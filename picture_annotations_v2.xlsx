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otations" sheetId="1" r:id="rId5"/>
    <sheet state="visible" name="PAnnotations" sheetId="2" r:id="rId6"/>
    <sheet state="visible" name="Lists" sheetId="3" r:id="rId7"/>
    <sheet state="visible" name="Notes" sheetId="4" r:id="rId8"/>
    <sheet state="visible" name="Definitions" sheetId="5" r:id="rId9"/>
  </sheets>
  <definedNames>
    <definedName hidden="1" localSheetId="0" name="_xlnm._FilterDatabase">Annotations!$A$1:$M$502</definedName>
    <definedName hidden="1" localSheetId="1" name="_xlnm._FilterDatabase">PAnnotations!$A$1:$AC$53</definedName>
    <definedName hidden="1" localSheetId="3" name="_xlnm._FilterDatabase">Notes!$C$1:$C$1000</definedName>
  </definedNames>
  <calcPr/>
</workbook>
</file>

<file path=xl/sharedStrings.xml><?xml version="1.0" encoding="utf-8"?>
<sst xmlns="http://schemas.openxmlformats.org/spreadsheetml/2006/main" count="6982" uniqueCount="2680">
  <si>
    <t>File</t>
  </si>
  <si>
    <t>Assigned_to</t>
  </si>
  <si>
    <t>Status</t>
  </si>
  <si>
    <t>Correct answer</t>
  </si>
  <si>
    <t>Explanation 1</t>
  </si>
  <si>
    <t>Explanation 2</t>
  </si>
  <si>
    <t xml:space="preserve">Explanation 3 </t>
  </si>
  <si>
    <t>Literal_Description</t>
  </si>
  <si>
    <t>Humor Style</t>
  </si>
  <si>
    <t>Humor style secondary</t>
  </si>
  <si>
    <t>Contextual Knowledge</t>
  </si>
  <si>
    <t>Contextual Knowledge secondary</t>
  </si>
  <si>
    <t>Duplicate check</t>
  </si>
  <si>
    <t>13ibrc1</t>
  </si>
  <si>
    <t>Sabrina</t>
  </si>
  <si>
    <t>Done</t>
  </si>
  <si>
    <t>Let’s start with the comic. The two shallow and wide glasses hold the same amount of liquid.   The next panels you see the transfer of the liquid to the taller thin glass.  The volume and quantity of the liquid remains the same.  The third panel the child points to the taller glass. This whole set up is a standard test for the developmental level of a child.   The goal is to tell which glass holds the most liquid. It’s commonly for young children to look at the glass and see that it’s taller and say that has the most liquid, simply because they lack the understanding to consider the width of the glass.  This occurs even if you pour it right in front of them. So the comment from Lara Trump follows a similar logic.   The red portion of the map outlines Republican districts, the blue outlines Democratic districts.   She is implying that because the red covers the majority of the map, most of the country is Republican and therefor would be unable to impeach them. The comic is pointing out that although the red map covers more land than blue, it does not accurately convey the number of voters, because the blue districts hold the same or more of the population due to population density.</t>
  </si>
  <si>
    <t>A Reddit screenshot shows a tweet with a red-and-blue map of the United States and the text “Try to impeach this.” Under it, another user replies with a three-panel image of a child pouring liquid between containers.</t>
  </si>
  <si>
    <t>Trump’s daughter appears to be trolling people online by posting a map that makes it look like far more people voted for her dad. It comes across as a deliberately provocative post meant to annoy or bait people on X.</t>
  </si>
  <si>
    <t>She seems to have edited or presented the voting map in a way that makes it look much redder than it actually is. The image gives the impression that the results are being manipulated visually to support her point.</t>
  </si>
  <si>
    <t>Comparison</t>
  </si>
  <si>
    <t>Sarcasm/Irony</t>
  </si>
  <si>
    <t>Logical</t>
  </si>
  <si>
    <t>politics</t>
  </si>
  <si>
    <t>14ys2z4</t>
  </si>
  <si>
    <t>Naomi</t>
  </si>
  <si>
    <t>Centrists or people that dont participate in politics are often viewed as grillers, they just want to take a load off and not worry about the chaos. Daughter is saying the boyfriend doesnt have to worry about her dad taking a stand to them because he doesnt stand for anything basically</t>
  </si>
  <si>
    <t>A four-panel illustrated comic. The first panel shows a teenage couple about to kiss on a bed; the boy nervously asks, "W-wait... isn't your dad home?" The second panel shows the girl reassuring him, "It's okay. He won't do anything. Never does." The third panel shows a bald, hollow-eyed dad at a flaming grill with the caption "My dad's a griller." The fourth panel is a close-up of the same gaunt, exhausted-looking father holding a beer can under a starry night sky.</t>
  </si>
  <si>
    <t>The "griller" subspecies in the wild — beer in hand, soul somewhere else.</t>
  </si>
  <si>
    <t>Dad has transcended fatherhood and entered his charcoal-priest era.</t>
  </si>
  <si>
    <t>Wordplay</t>
  </si>
  <si>
    <t>Situational</t>
  </si>
  <si>
    <t>1587f2g</t>
  </si>
  <si>
    <t>I saw an explanation for this a while ago, you have to know hair to get this one. The haircut on the right is mid-hairdress, and the one on the left is the finished look. So while the one on the right looks more artificial and the one on the left looks more natural, the one on the left is actually the complete look. It's essentially saying that you put more effort into yourself than the chick your bf is banging, and he doesn't appreciate that.</t>
  </si>
  <si>
    <t xml:space="preserve">Its hilarious because the two are exactly identical. </t>
  </si>
  <si>
    <t>The image shows a side-by-side comparison of two blonde hairstyles: soft, brushed-out waves on the left and tight, unbrushed ringlets on the right. The text at the top reads "you vs. the girl he cheats with," while a social media comment at the bottom states that the user enjoys the idea of men not understanding the post.</t>
  </si>
  <si>
    <t xml:space="preserve">Its because the two images show the hair curling in opposite dorections in the image making the joke that men are never satisifed and are destined to cheat. </t>
  </si>
  <si>
    <t>Exaggeration</t>
  </si>
  <si>
    <t>Technical</t>
  </si>
  <si>
    <t>Social conventions</t>
  </si>
  <si>
    <t>15a2flm</t>
  </si>
  <si>
    <t>With a new job, you can get days off by saying your grandparent died. You're new at the company so no one knows that they're already dead. Use up to 4 times.</t>
  </si>
  <si>
    <t>Day one of a new job and grandma is suddenly alive, dying, and Catholic again.</t>
  </si>
  <si>
    <t>A screenshot of a tweet from "stoned cold fox" (@roastmalone_) reading: "the best part of starting a new job is all 4 of your grandparents are alive again."</t>
  </si>
  <si>
    <t>PTO loophole that resurrects your entire family tree on demand.</t>
  </si>
  <si>
    <t>Dark Humor</t>
  </si>
  <si>
    <t>General knowledge</t>
  </si>
  <si>
    <t>15gdv3c</t>
  </si>
  <si>
    <t>Morning after pill</t>
  </si>
  <si>
    <t>A meme captioned "When you're on deployment and your wife spends $50 at CVS at 8:21am" with a close-up photo of a soldier in a helmet with a single tear running down his cheek.</t>
  </si>
  <si>
    <t>The exact timestamp where a deployment check-in becomes a Maury episode.</t>
  </si>
  <si>
    <t>Pre-9 AM pharmacy receipt that delivers a paternity verdict before breakfast.</t>
  </si>
  <si>
    <t>15h4szq</t>
  </si>
  <si>
    <t>In Platos republic, Plato argues that the best society is one in which a astiorcratic elite who have spent their whole lives training and learning the art of statecraft should be the rulers. The idea is that if someone has been trained in the art of statecraft and philosophy from birth they will be the idea ruler or "philosopher king" who seeks council from other who are skilled in their professions. Super simplified, in an ideal world, people would fulfil a specific role and be happy about it. In Barbie, each of the Barbies holds a specific role they were created for, their ruler rules and does so well, because they were created to rule. The Barbies are happy about it. You could argue it looks like Platos ideal republic</t>
  </si>
  <si>
    <t xml:space="preserve">This is because Plato is one of the first people to come up with an idea of society and barbie is a modern version  of it. </t>
  </si>
  <si>
    <t>A two-panel meme that humorously labels the 2023 Barbie movie poster as "the anime" and the cover of Plato's The Republic as "the manga," satirizing the common gatekeeping trope that one cannot appreciate an adaptation without reading its "source material."</t>
  </si>
  <si>
    <t xml:space="preserve">It is incongruous which makes it funny since Plato is an important philosopher and he ahs nothing in common with childrens toy brand.  </t>
  </si>
  <si>
    <t>History/Mythology</t>
  </si>
  <si>
    <t>Pop culture</t>
  </si>
  <si>
    <t>15oof8t</t>
  </si>
  <si>
    <t>The joke is that young girls keep asking their bfs stupid shit like would you still love me if I were a worm?" A bunch of weird things can be slotted in there, but worm seems to be the most popular one.  The bouncer is crying because of the intense love he knows the man must feel for his "girlfriend" since they're still together despite her being now a worm."</t>
  </si>
  <si>
    <t>Door policy bent for the most heartfelt parasitic relationship at the club.</t>
  </si>
  <si>
    <t>A three-panel comic by @beetlemoses. The first panel shows a bald, bearded bouncer stopping a man saying "Whoa, pal. No entry without a girl." The second panel reveals the man's huge muscular chest with a tapeworm peeking out as he says "But sir—I'm with my girlfriend." The third panel shows the bouncer tearfully waving the velvet rope aside while the man walks past, giving a thumbs-up.</t>
  </si>
  <si>
    <t>A bouncer reduced to tears by an unconventional plus-one situation.</t>
  </si>
  <si>
    <t>Incongruity</t>
  </si>
  <si>
    <t>Surprise</t>
  </si>
  <si>
    <t>meme</t>
  </si>
  <si>
    <t>15upbjf</t>
  </si>
  <si>
    <t>Those are RCA cables. The yellow one is for video, white and red are audio. Van Gogh cut off a piece of his left ear, so he’s missing one of the audio cables. Beethoven was deaf, so he’s missing both audio cables. Stevie Wonder is blind, so he’s missing the video.</t>
  </si>
  <si>
    <t>The pre-HDMI cable hierarchy, narrated entirely through famous artists.</t>
  </si>
  <si>
    <t>Three historical figures matched with the AV cables that bypass their respective disabilities.</t>
  </si>
  <si>
    <t>A meme captioned "HDMI kids won't understand" showing three rows: Vincent van Gogh's self-portrait paired with yellow and red RCA cables, a portrait of Beethoven paired with a single yellow RCA cable, and a photo of Stevie Wonder paired with red and white RCA cables.</t>
  </si>
  <si>
    <t>15vbd1p</t>
  </si>
  <si>
    <t>At first I thought this was her being pregnant but I'm pretty sure it's actually another dude hiding in the closet cuz she's cheating. The heartbeats would be closer if she was pregnant.</t>
  </si>
  <si>
    <t>He starts crying because the heartbeat sensor he made actually works. In that moment, he is probably imagining all the people it could help, and it hits him that his invention might genuinely matter.</t>
  </si>
  <si>
    <t>He is crying because there is a bomb next to his girlfriend, and he has no idea how to tell her. She looks so calm and happy, which makes the situation feel even worse.</t>
  </si>
  <si>
    <t>A comic shows a woman lying on a bed while someone uses a heartbeat sensor nearby. In the next panel, a young man holding the device is crying with an emotional expression.</t>
  </si>
  <si>
    <t>15yqaf6</t>
  </si>
  <si>
    <t>the double slit experiment, particles behave differently when they are observed.</t>
  </si>
  <si>
    <t xml:space="preserve">It humorously depicts paranoia and how you can feel things when your not looking. </t>
  </si>
  <si>
    <t xml:space="preserve">This meme depicts object permemanence. </t>
  </si>
  <si>
    <t>A two-panel meme featuring the "Monkey Puppet" character looking away and then forward, paired with diagrams</t>
  </si>
  <si>
    <t>15aafk0</t>
  </si>
  <si>
    <t>Everyone whose ages 12+ and older knows that the Harry Potter series deals with magic and eugenics. When the series first came out, it was vilified by fundamentalist Christians, mostly right wingers, for glorifying and promoting witchcraft. Naturally, the kids and the alternative crowd who had left wing views thought the world of Harry Potter was a safe space for their fascination with wand waving and British people, both of which are pretty gay. However, that all changed when J.K Rowling, the creator of the series made a controversial tweet ( Or Xeet \*Point and wink\*) about her feelings on trans people. The fandom quickly fell apart after this, resulting in most of the fandom in canceling Rowling by giving her the avada kedavra treatment. Ironically, the same right wingers who once called for her books to be banned and burned are now Rowling's biggest supports. Kind of like when the racists left the Democratic party after LBJ thought black people were cool. The joke here is that Harry Potter went from being loved by witchy girls to far right extremists after one tweet (Or Xeet \*Point and Wink\*). Now if you'll excuse me, I've just been sorted into Slytherin house and feel the urge to make fun of some mudbloods. ROADHOUSE!</t>
  </si>
  <si>
    <t>The Harry Potter box set quietly switching political affiliations in the night.</t>
  </si>
  <si>
    <t>A Facebook post from "The Brian Nichols Show" reading "Left wing literature, 2013 / Right wing literature, 2023" with two side-by-side images of the same Harry Potter complete book box set, the post having 42K reactions, 4.1K comments, and 5.3K shares.</t>
  </si>
  <si>
    <t>Same boxed set, two decades, opposite team jerseys.</t>
  </si>
  <si>
    <t>164v3oo</t>
  </si>
  <si>
    <t>If you squint it looks like the painting girl with a pearl earring" The shirt of the girl on the left is the face."</t>
  </si>
  <si>
    <t>A meme captioned "Hold your phone as far from you as you can and squint your eyes" with two flushed-face emojis, above a black-and-white photo of two young girls in matching sweaters sitting together in a grassy field, smiling at each other.</t>
  </si>
  <si>
    <t>Optical illusion gag delivered via blurred sweater geometry.</t>
  </si>
  <si>
    <t>When pareidolia and a low-resolution sweater conspire to trick the viewer.</t>
  </si>
  <si>
    <t>169oqq5</t>
  </si>
  <si>
    <t>The punchline is supposed to be the state of Minnesota but that's a picture of Oregon.</t>
  </si>
  <si>
    <t>A four-panel image. Top left shows a large burger labeled “Big burger.” Top right shows a smaller burger labeled “Mini burger.” Bottom left shows a Coca-Cola can labeled “Big soda.” Bottom right shows a map highlighting the U.S. state Oregon.</t>
  </si>
  <si>
    <t>It is literally just Minnesota on the map, but it is being treated like there is some deeper meaning behind it. The whole thing feels random because the image is only pointing to a place.</t>
  </si>
  <si>
    <t>Apparently the best burgers in town are in Minnesota, so the map is basically acting like a serious guide to the ultimate burger spot.</t>
  </si>
  <si>
    <t>16db363</t>
  </si>
  <si>
    <t>He's trying to get is astrological chart made, and he needs the time and place of his birth to do so. The girl is implied to be really into astrology, which is a red flag somehow to this mother</t>
  </si>
  <si>
    <t>A screenshot of a tweet from "pretty and rude" (@themeredith) reading "My son just texted me this, I am going to be sick" above a text message exchange where the son texts "What time and place was I born" and the mother replies "Stay away from that girl."</t>
  </si>
  <si>
    <t xml:space="preserve"> Mother instantly diagnosing astrology girlfriend from a single follow-up question.</t>
  </si>
  <si>
    <t xml:space="preserve"> A natal-chart request flagged as a relationship red alert by mom.</t>
  </si>
  <si>
    <t>16h1wrg</t>
  </si>
  <si>
    <t>A plumber would see the word union-ized". A chemist would say "un-ionized"."</t>
  </si>
  <si>
    <t>A Tumblr thread. User "the-average-gatsby" asks, "how do you tell the difference between a chemist and a plumber" then answers, "ask them to pronounce 'unionized'." User "girilla-warfare" replies, "Holy fuck thats clever. It took me 5 minutes to get this." User "lesighh" adds, "extremely clever." Finally, "ladymalchav" comments, "this joke annoys me because there's no way to tell it verbally."</t>
  </si>
  <si>
    <t>A pun so text-bound it qualifies as a written-only species.</t>
  </si>
  <si>
    <t>The punchline self-destructs the moment anyone tries to say it out loud.</t>
  </si>
  <si>
    <t>16k7baz</t>
  </si>
  <si>
    <t>I think they meant after 27 years together, you're for life and when your partner says you're done you just laugh it off like ok I'll see you after work""</t>
  </si>
  <si>
    <t>Tabloid news as a personal vow: nearly three decades in and the door isn't going anywhere.</t>
  </si>
  <si>
    <t>A screenshot of a news headline reading "Hugh Jackman and Deborra-Lee Jackman are separating after 27 years of marriage" with a photo of the couple smiling against a city skyline. Below, PUGGS (@PUGGS_) replies: "After 27 years…… Imma laugh and tell you what time I'll be home when I get off."</t>
  </si>
  <si>
    <t>A celebrity split met with the cold confidence of long-term commitment math.</t>
  </si>
  <si>
    <t>16l57ay</t>
  </si>
  <si>
    <t>Italians don’t like when you break the spaghetti like that. Cop’s lights are Italian flag. He’s a mad!</t>
  </si>
  <si>
    <t>Cracking spaghetti — the one universally criminal act on Italian soil.</t>
  </si>
  <si>
    <t>An Italian policeman's emotional patriotism activates the second pasta enters distress.</t>
  </si>
  <si>
    <t>A four-panel comic by Gudim. The first panel shows a man loading long thin wooden poles into the trunk of a hatchback while a police officer watches from his patrol car. The second panel shows the bundle of poles bending and splitting in half as it's forced into the trunk. The final panel shows the police car's lights flipping from white to the green-white-red of an Italian flag.</t>
  </si>
  <si>
    <t>16uuwk3</t>
  </si>
  <si>
    <t>It's a common trend on the internet to believe that one can't see John Cena or that he's invisible based on his catchphrase, You can't see me.""</t>
  </si>
  <si>
    <t>"You can't see me" jokes apparently extend into the replies.</t>
  </si>
  <si>
    <t>A tweet from PandaFlexin (@PandaFlexin) reading "So I met John Cena today…" with two photos of the user, a young man in a chef's jacket, posing alongside John Cena in a navy suit and red tie outside a restaurant. Below, Weffrey Jellington (@jeffwellz) replies: "Man met John Cena and didn't even take a picture with him lmfao what a waste."</t>
  </si>
  <si>
    <t>Reply guy roasting a photo dump that contains literally two photos with John Cena.</t>
  </si>
  <si>
    <t>16zvi3l</t>
  </si>
  <si>
    <t>The joke is that they played bands they like because they are now old enough to be in the target audience</t>
  </si>
  <si>
    <t>A generation realizing in real time that "young people music" has aged out of the category.</t>
  </si>
  <si>
    <t>The exact moment millennials clocked that the halftime show was now their nostalgia tour.</t>
  </si>
  <si>
    <t>A screenshot of a tweet from Rodger Sherman (@rodger) reading: "everybody born between 1985 and 1995 saw the Super Bowl halftime show lineup and was like 'sweet, instead of doing a show for old people like the Rolling Stones or Paul McCartney or The Who they did one for us young people' and then 10 seconds later it hit us"</t>
  </si>
  <si>
    <t>174k7i0</t>
  </si>
  <si>
    <t>The joke here is that Luigi is having an existential crisis because he found himself painted on a rock. In Mario games there are secrets like this that don't make any sense unless you are the player. For us it's quite normal but it must be quite distressing for Mario and Luigi to discover they are in a simulation.</t>
  </si>
  <si>
    <t>Luigi unearthing his own predecessor's cave painting while Mario quietly panics.AskOpus 4.7</t>
  </si>
  <si>
    <t>A four-panel comic by Completely Serious Comics titled "Super Mario 3D World." Mario asks Luigi why he's wandered off. Luigi says he's "looking for secrets" and discovers a pixelated 8-bit sprite of himself painted on a rock. He turns to Mario and asks "Why am I painted on this rock Mario?" The final panel shows Mario sweating profusely without answering.</t>
  </si>
  <si>
    <t>A franchise sidekick stumbles onto evidence of a previous tenant.</t>
  </si>
  <si>
    <t>Hobby</t>
  </si>
  <si>
    <t>177cl97</t>
  </si>
  <si>
    <t>For many users who had access to a PC in the 90's, limewire was their first experience with pirating music and software. There were often mislabeled files for download that would inevitably be viruses that ended up corrupting their computer. Edit: Early 00's.</t>
  </si>
  <si>
    <t xml:space="preserve">Its gunny because everyone has gotten a computer virus at some point. </t>
  </si>
  <si>
    <t xml:space="preserve">It is a common trope that children suin the fmaily computer. </t>
  </si>
  <si>
    <t>An animated character's yellow hands hold a light blue pamphlet that reads, "SO YOU'VE RUINED THE FAMILY PC." Below the text is a circular green and yellow icon resembling a sliced citrus fruit.</t>
  </si>
  <si>
    <t>17930bw</t>
  </si>
  <si>
    <t>Je M‘appelle“ is french for „My name is“ Introducing herself she would say: „Bonjour Je M‘appelle Gemma Pell“ Which would sound like  „Hello my name is my name is</t>
  </si>
  <si>
    <t xml:space="preserve"> A screenshot of a Facebook profile for "Gemma Pell" featuring a profile picture of a woman with dark bobbed hair in a kitchen and a rocky landscape cover photo, captioned "Imagine the trouble she has trying to introduce herself in France" with a laughing-crying emoji.</t>
  </si>
  <si>
    <t xml:space="preserve">A meme about a terrible haircut. </t>
  </si>
  <si>
    <t>Parents who didn't think about phonetics before filing the birth certificate.</t>
  </si>
  <si>
    <t>17aswoo</t>
  </si>
  <si>
    <t>These characters are all Tumblr sexymen. That is, they're not conventionally attractive, but a moderately-sized part of tumblr is super obsessed with them</t>
  </si>
  <si>
    <t>A fandom lineup that only exists in deep-Tumblr fever dreams.</t>
  </si>
  <si>
    <t>A screenshot of a tweet from "Cassie @ Forgive Me" (@curioscu...) reading "if you can understand this im so sorry," with an illustration showing a long line of glowing-eyed characters from various fandoms — including what appear to be Sans from Undertale and several anime/cartoon figures — standing in a row against a yellow background.</t>
  </si>
  <si>
    <t>The "glowing-eye boyfriend" multiverse summit, attendance mandatory.</t>
  </si>
  <si>
    <t>17pg0fe</t>
  </si>
  <si>
    <t>Miss Rachel, every child’s third parent.</t>
  </si>
  <si>
    <t>She is presented as a more recent alternative to Dora the Explorer.</t>
  </si>
  <si>
    <t>Text at the top says: “i owe this woman bout $83,294,681 in child support”. Below is a smiling woman wearing a pink shirt and overalls, clapping her hands, against a purple background.</t>
  </si>
  <si>
    <t>She teaches children basic skills such as the alphabet and counting.</t>
  </si>
  <si>
    <t>180j85r</t>
  </si>
  <si>
    <t>He means buy American because it is higher quality and won't jam. Probably not meant to be taken 100% seriously but makes him look good and patriotic</t>
  </si>
  <si>
    <t>A screenshot of an anonymous 4chan post showing a still from The Dark Knight of Harvey Dent (Aaron Eckhart) in a courtroom while security officers restrain a witness. The text recounts: "Witness pulls a gun on the district attorney / It jams and the district attorney punches and disarms him / 'Carbon fiber, .28 caliber, made in China. If you want to kill a public servant, Mr. Maroni, I suggest you buy American' / Then the whole audience clapped / As a non-American, I still don't understand whether this was meant to be satire or not."</t>
  </si>
  <si>
    <t>Harvey Dent's courtroom one-liner doubles as a Made-in-USA ad campaign.</t>
  </si>
  <si>
    <t>Foreigner watches The Dark Knight, can't tell if Gotham is parody or documentary.</t>
  </si>
  <si>
    <t>184f4hh</t>
  </si>
  <si>
    <t>American Pyscho is a film with the message: behind the thin and glossy exterior, corporate culture is awful, dehumanising, shallow and stupid. Scott Pilgrim is about a guy who thinks he's pretty cool, discovering his actually kinda a bad dude. So much so his 'nega-Scott' anti self is good guy. If you're young it's easy(ish) to miss the point and think: American Pyscho: "Check out that glossy exterior". Scott Pilgrim: "Check out that cool guy!". The meme suggests that teenagers build something around these misunderstandings. They pick either to celebrate the wrong kind of corporate work culture, or the wrong kind of slacker culture. I'm not convinced that's true myself, but that's what the meme suggests.</t>
  </si>
  <si>
    <t>When you are a teenager, even choosing a movie can feel like picking between two paths that might shape the next few years of your life. The film you connect with can end up influencing how you see yourself, other people, and the world, for better or worse.</t>
  </si>
  <si>
    <t>A cartoon of a boy at a crossroads choosing between “American Psycho” and “Scott Pilgrim,” both labeled as misunderstood.</t>
  </si>
  <si>
    <t>As a teenager, you often misunderstand a lot of things, especially the deeper message, morality, or “wisdom” in a movie. So you can end up loving a film intensely, even if you do not fully get what it is actually trying to say.</t>
  </si>
  <si>
    <t>186tj6c</t>
  </si>
  <si>
    <t>Chemist 1 expected the other chemist to say "I'll have H2O too" which sounds like H2O2 which is pretty poisonous almost deadly when drank in large amounts.</t>
  </si>
  <si>
    <t>The classic chemistry pun reframed as a botched homicide investigation.</t>
  </si>
  <si>
    <t>A subverted version of the old "H2O too" gag, where Chemist 2 dodges the murder attempt.</t>
  </si>
  <si>
    <t>A screenshot of a tweet from Dr. Dave Stukus (@AllergyKidsDoc) reading: "Really Bad Joke of the Week: Two chemists walk into a bar. Chemist 1: I'll have H2O please. Chemist 2: I'll have water also. Chemist 1 walks away frustrated as his assassination attempt failed."</t>
  </si>
  <si>
    <t>188hmpb</t>
  </si>
  <si>
    <t>Pole = Person from Poland.</t>
  </si>
  <si>
    <t>A Facebook post showing a joke that reads: "A Pole goes to an ophthalmologist. The doctor shows him: CZJWINOSTAWCZ. Can you read this? Read? I know this guy!" Beneath it, a commenter named Czjwinostawcz Chrabąszcz replies, "I really don't find this funny."</t>
  </si>
  <si>
    <t xml:space="preserve"> A man whose name doubles as an eye chart speaks for himself.</t>
  </si>
  <si>
    <t>The joke's punchline shows up in the comments to defend his honor.</t>
  </si>
  <si>
    <t>18ae5ry</t>
  </si>
  <si>
    <t>Ok buckle in for this one. The name of the owner of the store is Sneed. The suffix -eed is used for all three words.  So, if you replace Sneed with Chuck and follow the same formula of using the suffix of the owner’s name along with two words that follow and begin with F and S… You end up with Chuck’s Fuck and Suck  At least that’s what I remember the theory about this one being…</t>
  </si>
  <si>
    <t>Rural signage doing the heavy lifting for the writers' room.</t>
  </si>
  <si>
    <t>A storefront pun engineered to be filthy only if you say the previous owner's name out loud.</t>
  </si>
  <si>
    <t>A still from The Simpsons showing a rustic wooden farm supply store with a sign reading "Sneed's Feed &amp; Seed (Formerly Chuck's)." Two overall-clad farmers sit on the porch, a red pickup truck is parked alongside, and a pitchfork and wagon wheel lean against the building.</t>
  </si>
  <si>
    <t>18d37io</t>
  </si>
  <si>
    <t>The husband interpreted &lt;3 as less than 3" instead of a heart emoticon"</t>
  </si>
  <si>
    <t>A screenshot of a tweet from Claire (@AzureDoo) reading: "Husband and I reminiscing about the time I texted him on my way home: 'Can you start cooking those sausages?' Then added &lt; 3 as a cute little heart. He cooked 2 sausages."</t>
  </si>
  <si>
    <t>A heart symbol parsed as a sausage quantity directive.</t>
  </si>
  <si>
    <t>An emoji intent crushed by literal interpretation, served with a side of dinner.</t>
  </si>
  <si>
    <t>18dba0l</t>
  </si>
  <si>
    <t>The character is from the video game PUBG. After killing everyone else in the game you see a message saying “winner winner chicken dinner”</t>
  </si>
  <si>
    <t>It is funny because shotguns are treated as completely normal in the U.S.</t>
  </si>
  <si>
    <t>Since fireworks are illegal after New Year’s, it is obviously supposed to be gunshots.</t>
  </si>
  <si>
    <t>A meme shows a large suburban house with the caption, “Idk if those were gunshots or fireworks.” The image implies that the uncertainty is associated with this kind of neighborhood or setting.</t>
  </si>
  <si>
    <t>18lkyqa</t>
  </si>
  <si>
    <t>I think they're referring to the broccoli top haircut which is popular with gen z men</t>
  </si>
  <si>
    <t>The joke is about fitness influencers promoting plant-based diets, shown by people literally having broccoli for heads while lifting weights.</t>
  </si>
  <si>
    <t>The image mocks how modern gyms prioritize fashion and appearance over proper exercise technique.</t>
  </si>
  <si>
    <t>The meme shows a gym designed specifically for vegetables exercising together at peak hours.</t>
  </si>
  <si>
    <t>1918ki4</t>
  </si>
  <si>
    <t>There's layers here; First, the if it's brown, it's down" line on the gun-plunger; At least in the US, if you're a hunter, you get an amount of tags you use to mark kills. Usually, you pay for those with that season/year's license, and they don't carry over into the next year/season. So, in regards to hunting, the phrase is used towards the end of the season, when you stop caring about getting a trophy worthy kill, and just start trying to "fill your tags." Another interpretation is just basic "toilet humor." Guns and plungers are both used to "put things down." So the saying attached to the gun-plunger is potentially just about "putting down a turd (brown) with extreme prejudice." Speaking of prejudice. We come to the third interpretation, and the most relevant, because it's the one that the poster is playing on. "If it's brown (a person of color), it's down." This is playing off the stereotype that a lot of gun store owners are racist. Then we have the response shown. *Get Out* was a movie that was basically "racism incarnate." (Avoiding spoilers) So saying *Get Out 2* is also playing off that third interpretation, that our opening poster is in a dangerous situation with racists. It's "funny" because while the chances of you actually running into a gun store owned by racists when having a bathroom emergency are low, they're never zero."</t>
  </si>
  <si>
    <t>One ill-timed restroom visit reframed as a horror sequel pitch.</t>
  </si>
  <si>
    <t>A bathroom emergency that doubles as a Jordan Peele cold open.</t>
  </si>
  <si>
    <t>A screenshot of a tweet from Jolly Hood King (@llcapitano94) reading: "So yup here my black butt is. Takin a dump in a redneck gun shop. With severe diarrhea. And next to me is a shotgun shaped plunger with the phrase 'if its brown its down!' on it. I bet you're wondering how i got here." The attached photos show a shotgun-shaped plunger leaning against boxes in a bathroom, and a selfie of the user looking concerned. Below, "note-a-bear" comments: "Get Out 2 looks great."</t>
  </si>
  <si>
    <t>192wp5d</t>
  </si>
  <si>
    <t>She's an independent lock and DONT NEED NO KEY!!!</t>
  </si>
  <si>
    <t xml:space="preserve">Its funny because a lock only has one perfect key. </t>
  </si>
  <si>
    <t xml:space="preserve">It is making fun of societal norms and plastic surgery. </t>
  </si>
  <si>
    <t>In this four-panel comic, a key character carrying suitcases leaves a room while a padlock character yells. The padlock then discards a photo of the two of them and visits a bear doctor, where it indicates in a speech bubble that it no longer wants a key. In the final panel, the padlock is shown walking away with a new combination dial attached to its front.</t>
  </si>
  <si>
    <t>193it8r</t>
  </si>
  <si>
    <t>The astrologer told the king that they will die in a month, and then said that they will live for another 20 years, right before being beheaded by the knight. The knight successfully proved to the king that the astrologer can't even predict his own death, moments before it happens, so how effective could he be at predicting the king's death?</t>
  </si>
  <si>
    <t>A screenshot of two tweets by Landshark (@LandsharkRides). The first reads: "Friend I was hanging out with today told me a Tarot reading predicted that he will break up with his beloved girlfriend he plans to marry so I told him the story of the king and the astrologer." The reply explains: "An astrologer predicts that the king will die in a month. The king is absolutely crushed and falls sick from despair. His most trusted knight calls the astrologer to come before the king and asks him 'when will YOU die?' — the astrologer says in 20 years; the knight beheads him…"</t>
  </si>
  <si>
    <t>A historical parable casually weaponized to save someone's engagement.</t>
  </si>
  <si>
    <t>Medieval fortune-telling debunked the way only a sword-wielding knight could manage.</t>
  </si>
  <si>
    <t>194s3gh</t>
  </si>
  <si>
    <t>There is some account that converts your picture to what would you look like if you were Black or Chinese</t>
  </si>
  <si>
    <t xml:space="preserve">It is too avoid deepfakes. </t>
  </si>
  <si>
    <t xml:space="preserve">People are covering the facial feautres that make them easily identifiable. </t>
  </si>
  <si>
    <t>This image is a screenshot of a social media post from the platform X. It displays a headline from the New York Post asking about a nose cover trend among Gen Z teens in family photos. The photo attached to the article shows a large family group where two individuals, circled in red, are covering their noses or faces with their hands.</t>
  </si>
  <si>
    <t>195f4ld</t>
  </si>
  <si>
    <t>I don’t know top left Top right is the man who tackled a Las Vegas judge in court after she refused to lighten his sentence and made a comment like “I just can’t with that history” referring to his criminal history Middle left I think is the pink Stanley cup which just released in stores and probably sold out just as quickly. Middle right is Gypsy Rose, who I don’t know much about. I believe she lived in a horribly abusive situation with her mother and created a plot to murder her to escape. She just recently got out of jail and already has a husband (pictured there) Don’t know bottom left Bottom right is a football coach, read other comments for actual information because I don’t know</t>
  </si>
  <si>
    <t xml:space="preserve">On tiktok there was a series of events which caused massive memes all within a very short period of time. </t>
  </si>
  <si>
    <t>This image features a collage of six different photos beneath the text, "we ain't even two weeks into 2024 y'all" and a peeking face emoji. The photos include a man speaking, a person jumping over a courtroom bench, a pink tumbler, a couple taking a selfie, a man standing in water, and a sports coach in a white polo.</t>
  </si>
  <si>
    <t xml:space="preserve">A collage that shows memes from tiktoks most popular era. </t>
  </si>
  <si>
    <t>198awkk</t>
  </si>
  <si>
    <t>This is a popular riddle set up where one person tells the truth and the other always lies. You ask them one question to see which one is which. In this case, the setup asks the question, “do you understand the rules?” The guards both say “yes.” Since one always lies and one always tells the truth, it means that one of the guards is lying and doesn’t understand the rules</t>
  </si>
  <si>
    <t>Three "yes" answers and zero ways to tell which guard is lying.</t>
  </si>
  <si>
    <t>A three-panel comic by The Jenkins Comic. The first panel shows a top-hatted character explaining to a person in a red shirt: "...so one guard always tells the truth, and one always lies. But you don't know who's who." The second panel shows him concluding "And that's pretty much all the rules of the puzzle. Understand?" The third panel shows the person in red and both armored guards all saying "Yes" in unison.</t>
  </si>
  <si>
    <t>The classic logic puzzle, ruined by group consensus.</t>
  </si>
  <si>
    <t>19994ey</t>
  </si>
  <si>
    <t>I'm assuming the idea that someone would think it's a gunshot in that neighborhood is absurd. Edit: I think the idea is absurd *to OP*. I'm not making a judgement one way or another.</t>
  </si>
  <si>
    <t>It is a cannibalism joke implying that they always get “chicken” after the dad has killed someone.</t>
  </si>
  <si>
    <t>Pizza had not been invented yet, which is why the situation does not really make sense historically.</t>
  </si>
  <si>
    <t>A four-panel comic shows a man in a helmet and formal clothing on a battlefield. He returns home holding a cooked chicken and tells his children that he brought dinner. The children complain that they are having chicken again and ask why he does not bring pizza next time, while the man looks upset.</t>
  </si>
  <si>
    <t>19bj5k2</t>
  </si>
  <si>
    <t>Explaining 15 is 3 more than 12. It’s implying that the generations are getting dumber and dumber.</t>
  </si>
  <si>
    <t>A meme captioned "We're not gonna make it, are we?" with a photo of a Coca-Cola 15-pack box prominently labeled "3 MORE CANS THAN 12 PACK" with a green arrow pointing to the claim.</t>
  </si>
  <si>
    <t>Marketing math broken down into pre-kindergarten subtraction.</t>
  </si>
  <si>
    <t>Packaging copy written for an audience the manufacturer has clearly given up on.</t>
  </si>
  <si>
    <t>19dbf08</t>
  </si>
  <si>
    <t>It’s a zen expression.  Before enlightenment, chop wood, carry water. After enlightenment, chop wood, carry water. Here’s a good explanation from the internet: Before Enlightenment, you hate your life. You chop wood and carry water, but secretly wish to get out of it all. You bear with these activities through habit and out of hopelessness, but you really wish you could do something else. In a way, you are a victim, a slave - the wood chops you and the water carries you, and there is no way to escape. This could go for eternity, it is like living in eternal hell. After Enlightenment, you are in harmony with the universe. You realized the emptiness of it all, so you see that there is nothing more important than chopping wood and carrying water. All activities are equalized, there is no preference, no discrimination. Because there is no "you", no ego, no personality, no being, no separate individuality - there is no conflict. No need to escape. No other bank to be reached, no Nirvana to seek. But also, because you have mastered your mind, you are not chopped by the wood and carried by the water anymore. You can flip your perspective at will. It is your choice to chop wood and carry water, and you live it in complete suchness and spontaneity. You are beyond the beyond. And even beyond "beyond the beyond".</t>
  </si>
  <si>
    <t>Chop wood, carry water — the only thing that changed was the beard.</t>
  </si>
  <si>
    <t>A two-panel meme labeled "Before Enlightenment" and "After Enlightenment." Both panels contain the same thought bubble showing an illustration of a man chopping wood and a photo of a man carrying water buckets on a shoulder pole. The top panel shows a crying, distressed wojak in the shower; the bottom panel shows a calm, bearded wojak in the shower.</t>
  </si>
  <si>
    <t xml:space="preserve">No matter what you do life is still is the same. </t>
  </si>
  <si>
    <t xml:space="preserve">A two-panel meme labeled "Before Enlightenment" and "After Enlightenment." Both panels contain the same thought bubble showing an illustration of a man chopping wood and a photo of a man carrying water buckets on a shoulder pole. The top panel shows a crying, distressed wojak in the shower; the bottom panel shows a calm, bearded wojak in the shower.
</t>
  </si>
  <si>
    <t>19egkxy</t>
  </si>
  <si>
    <t>There’s a first half to this comic, where the man goes to space and thinks that people would be nicer to each other if they could only see earth from that view. It’s a play on the idea that astronauts who see earth from space are given a better sense of perspective about how small the planet is and how our divides are artificially made.  The man, however, immediately counteracts his own point by taking an elitist stance, thinking he’s morally enlightened and better than other people who haven’t seen earth from space. He had the revelation, but didn’t actually internalize its message. The comic then continues to show that people can be kind and loving to one another without ever seeing earth from space, showing that being kind is a choice you make. There’s nothing you have to do or see to make you be nicer to others, you just have to do it. People can see earth from space and not internalize kindness, people can never see earth from space and still be kind.</t>
  </si>
  <si>
    <t>The most insufferable bar question, answered with the gentlest possible white lie.</t>
  </si>
  <si>
    <t>Astronaut quietly choosing caregiving over flexing her resume at a party.</t>
  </si>
  <si>
    <t>A four-panel comic by Extra Fabulous Comics. In the first panel, a man at a bar asks a woman, "Have you ever seen Earth from space?" She replies "No," and he taunts "Ha! Loser!" The next panels show the woman driving home, arriving at a modest house, paying a babysitter, and finally sitting beside an elderly bedridden relative whom she tends to with a bowl of food, beside a framed photo on the wall depicting her as an astronaut.</t>
  </si>
  <si>
    <t>19eokbq</t>
  </si>
  <si>
    <t>In police interrogations they will get you food to reward you for cooperating and keep you talking, normally it's just McDonald's or a vending machine item. The fact that there are multiple KFC boxes and name brand drink for one person implies they're very happy with this person's cooperation level.</t>
  </si>
  <si>
    <t xml:space="preserve">Since he hasnt seen his friend in a long time they are cathing up and eating food. </t>
  </si>
  <si>
    <t xml:space="preserve">A child is being rewarded by their mom for telling on his siblings. </t>
  </si>
  <si>
    <t>A screenshot of a television playing the crime documentary show  showing a blurred suspect in an interrogation room with a large spread of KFC fast food on the table, captioned "bro told on EVERYBODY"</t>
  </si>
  <si>
    <t>1actpx8</t>
  </si>
  <si>
    <t>the meme refers to cloudy and a chance of meatballs (movie): the main character is a scientist and sprayed on shoes when he was a kid, which he could never remove</t>
  </si>
  <si>
    <t>its exaggeration,  as the meme presents an obviously unnecessary warning against using Flex Seal as footwear, thereby highlighting the absurdity of the situation.</t>
  </si>
  <si>
    <t>using Flex Seal as footwear is portrayed as undesirable, humorously justified by the unlikely scenario of falling meatballs from the sky.</t>
  </si>
  <si>
    <t>a snapchat picture showing a person holding a can of Flex Seal and their foot covered in a black substance, with the text ‘Flex seal shoe’ with the text underneath: "did the tales of falling meatballs not weigh on thine conscious".</t>
  </si>
  <si>
    <t>1aekqdo</t>
  </si>
  <si>
    <t>The Colt 1911 is a handgun that first entered service in… you guessed it! 1911. It saw service in both WW1 and WW2. It’s still a decent handgun even by todays standards, but it’s gained a cult following over the years, especially among boomers. When anyone brings up its shortcomings such as low magazine capacity, its weight, or that modern designs are typically more reliable, they say something along the lines of “muh two world wars!” Because it was on the winning side of both world wars.  In the event of a third world war, it’s likely that the 1911 will see combat yet again.</t>
  </si>
  <si>
    <t>Nic Cage reads the news, Pedro Pascal reads the spec sheet.</t>
  </si>
  <si>
    <t>A two-panel meme using stills from The Unbearable Weight of Massive Talent. The top panel shows Nicolas Cage looking concerned with the caption "Seeing the world is on the brink of WW3," and the bottom panel shows Pedro Pascal grinning widely with the caption "The 1911."</t>
  </si>
  <si>
    <t>One man fears the apocalypse, the other already picked his sidearm.</t>
  </si>
  <si>
    <t>1aexlbt</t>
  </si>
  <si>
    <t>It’s a fork bomb: Here’s a breakdown of what the command does: 1.	() This defines a function named : (colon). 2.	{} This indicates the start and end of the function’s body. 3.	: (colon) inside the function: This is a no-op (no operation) placeholder. It doesn’t do anything but is necessary syntax for defining a function in Bash. 4.	| This pipes the output of the function (which is nothing) to another instance of the function. 5.	&amp; This sends the command preceding it (another instance of the function) to run in the background. 6.	;  This terminates the definition of the function. 7.	: (colon) after the semicolon: This executes the function once. So, when you run this command, it defines a function that spawns a new instance of itself in an infinite loop, quickly exhausting system resources and causing the system to become unresponsive. The final : after the semicolon executes the function once to start the process.</t>
  </si>
  <si>
    <t>The cat is innocent; the bash fork bomb hiding in its collar is not.</t>
  </si>
  <si>
    <t>A house pet whose name is also a textbook denial-of-service attack.</t>
  </si>
  <si>
    <t>A meme with the caption "This cat's name is :(){ :|:&amp; };: you should type his name on your linux's terminal" above a close-up photo of a black cat with bright yellow-green eyes staring straight at the camera.</t>
  </si>
  <si>
    <t>1af8odu</t>
  </si>
  <si>
    <t>A teller is a person who works at the front desk of a bank. Teller is also a person's name; that person is one half of the magician duo Penn &amp; Teller. On stage, Teller doesn't speak. Penn is the one who explains everything/talks to the crowd. The joke is that you expect the robber to be speaking to a bank teller. But he's actually speaking to the magician Teller who doesn't talk. That's why Penn comes in at the end to explain what's going on.</t>
  </si>
  <si>
    <t>Penn’s comment makes the scene funny because he already understands why the “teller” never answers. The silence is treated as typical behavior, not as fear or confusion</t>
  </si>
  <si>
    <t>A tweet-style image shows a fictional dialogue where a bank robber repeatedly asks a teller where the safe is. The teller gives no visible response, and the robber becomes confused. The final line says, “PENN: He always does this,” implying the teller is the magician Teller, who is known for staying silent.</t>
  </si>
  <si>
    <t>The robber is absurdly expecting a machine to respond like a person, which makes his frustration seem misplaced and cartoon-like.</t>
  </si>
  <si>
    <t>1agsl73</t>
  </si>
  <si>
    <t>“One must imagine Sisyphus happy.” - Albert Camus</t>
  </si>
  <si>
    <t>It works because the phrase sounds like a rhyme, almost like “men are happy being crappy.” The wording makes it feel like a dumb little slogan, which is why it lands.</t>
  </si>
  <si>
    <t>It shows this contrast between old-school masculine men and the softer side of them writing poems for their lovers. They look tough, but they are still being romantic in a very dramatic way.</t>
  </si>
  <si>
    <t>The meme shows the text “Roses are red, Poems are sappy” above an image of a muscular figure pushing a large boulder up a rocky hill.</t>
  </si>
  <si>
    <t>1ajx3sn</t>
  </si>
  <si>
    <t xml:space="preserve"> It's a rickroll. Never gonna give you up, never gonna let you down</t>
  </si>
  <si>
    <t>A category so specific the answer reveals itself before any letter does.</t>
  </si>
  <si>
    <t>Toto's "Africa" auto-filling into every empty grid by default.</t>
  </si>
  <si>
    <t>A screenshot of an r/Funnymemes post captioned "Too easy" with a meme reading "Friend: You can't possibly guess a wheel of fortune puzzle with no letters / Me:" above a Wheel of Fortune board showing only blank tiles with no letters revealed, under the category "80's SONG LYRICS."</t>
  </si>
  <si>
    <t>1ajzxfm</t>
  </si>
  <si>
    <t>It’s kind of a weird joke that doesn’t make perfect sense, but here’s the intended meaning: 1. Many people might see something like 50/50 odds leading to 20 successes in a row and think the next one is more likely to be a failed surgery. Like how many people could flip a coin and get heads twice in a row, and be more likely to guess the next coinflip would be tails. Hence the nervous face. 2. A statistician would know that the success rate of each surgery is independent of all the other ones, so they wouldn’t be especially nervous theirs would go wrong. 3. A scientist might see 20 successes in a row for a surgery with a 50% survival rate and think “wow, this doctor must be really good at doing surgeries”</t>
  </si>
  <si>
    <t xml:space="preserve">The meme explains that normal people would choose this doctor because  he has 50% success rate, where as mathematicians would be more sceptical and scientists would refrain from getting a surgery from this doctor. </t>
  </si>
  <si>
    <t xml:space="preserve">The meme is funny because it illustrates how different fields of process thoughts, it is funny because although most people would take the surgery, mathmaticians and scientists wouldn't because they have the knowledge to know that the probability of the surgery failing is very small despite the given numbers. </t>
  </si>
  <si>
    <t>A meme with text describing a doctor stating that a surgery has a 50% survival rate and that the last 20 patients survived. Below the text are three panels labeled ‘Normal people’, ‘Mathematician’, and ‘Scientist’, each showing a different face reacting to the statement.</t>
  </si>
  <si>
    <t>1amtoff</t>
  </si>
  <si>
    <t>Amazon does not hire 12 year olds, and 12 year olds cannot drive.  The potential panic this may cause whomever at Amazon, is hilarious.</t>
  </si>
  <si>
    <t>The humor arises from the unexpected implication that a well-known company such as Amazon employs a 12-year-old, which contradicts established social and legal norms, thereby creating a surprising and absurd scenario.</t>
  </si>
  <si>
    <t>A screenshot of a social media thread where a user says that Amazon hired their 12-year-old son, followed by a response from an Amazon customer service account asking for clarification, and a subsequent reply stating that the son is one of their drivers</t>
  </si>
  <si>
    <t>The humor stems from the company’s apparent unawareness of having employed an underage individual, leading to the implicit consequence that they would need to locate and terminate the employment, which highlights the absurdity of the situation.</t>
  </si>
  <si>
    <t>1aoxsw3</t>
  </si>
  <si>
    <t>Deer run in circles as a defense mechanism against predators ants run in circles because an ant has to turn around &amp; left a pheromone trail in a circle, so the ants will die. it’s very sad.</t>
  </si>
  <si>
    <t>The humor arises from a contrast in perception, where similar circular movement is framed as unsettling in deer but appealing in ants.</t>
  </si>
  <si>
    <t>The humor stems from anthropomorphic framing, as deer and ants are depicted as exhibiting human-like reactions when observing animals moving in circles.</t>
  </si>
  <si>
    <t>“A meme with the caption ‘Animals running in circles is so cool’ at the top, followed by two images of animals arranged in circular formations. Below the images are two panels with illustrated faces, labeled ‘Deers’ on the left and ‘Ants’ on the right, each showing a different facial expression.”</t>
  </si>
  <si>
    <t>1ap3qmt</t>
  </si>
  <si>
    <t>The Wizard presumably granted him the wish of meeting or having dinner with any historical figure. He chose Beethoven the dog but got Ludwig van Beethoven the composer instead.</t>
  </si>
  <si>
    <t>A screenshot of a tweet from dan mentos (@DanMentos) reading: "me: any historical figure? / wizard: that's right / [later at dinner] / Beethoven: you seem disappointed / me: hiding dog treats it's fine"</t>
  </si>
  <si>
    <t>Expected a composer, received a slobbery movie dog, has to pretend it's totally okay.</t>
  </si>
  <si>
    <t>A wish granted on a technicality involving a famous fictional St. Bernard.</t>
  </si>
  <si>
    <t>1aqy5m7</t>
  </si>
  <si>
    <t>The Jesus Gets Us" superbowl ad, which shows people washing feet. The idea is that the people behind hegetsus.com should spend their money on charity, rather than for expensive commercials."</t>
  </si>
  <si>
    <t>A four-panel comic by @mygumsarebleeding. A person in an orange hoodie shows Jesus a handful of cash saying "Look, Jesus! We raised 14 million dollars!" then adds, holding a money bag, "Think of all the hungry people we can feed!" Jesus responds, "Ok but hear me out… what if we spent that money…" and finishes, "On two Superbowl commercials?"</t>
  </si>
  <si>
    <t>A nonprofit pivot from soup kitchens to primetime ad slots.</t>
  </si>
  <si>
    <t>Charity strategy rewritten by a Nielsen ratings consultant in a robe.</t>
  </si>
  <si>
    <t>1arjiwr</t>
  </si>
  <si>
    <t>Recently bodycam footage has been released where a stupid police officer heard an acorn fall on the roof of his cruiser, causing him to believe the unarmed, handcuffed individual in the back that he arrested was firing on him.</t>
  </si>
  <si>
    <t>Someone literally threw acorns near the police, and the officer fully thought he was getting shot. Like bro heard an acorn drop and went straight into survival mode.</t>
  </si>
  <si>
    <t>It was raining in the forest, so there were probably snails and acorns everywhere making weird noises. The officer stepped on them and somehow his brain went, “yep, gunshots,” which is actually insane.</t>
  </si>
  <si>
    <t>A meme shows a pile of acorns on the ground with the caption “Mass shooting, according to police” written above it.</t>
  </si>
  <si>
    <t>1asecwa</t>
  </si>
  <si>
    <t>Notable story of a scuba diver getting basically liquified due to pressure difference causing them to get sucked through a tiny opening .</t>
  </si>
  <si>
    <t>Buoyancy equals the weight of the fluid displaced by the object, so technically he should survive.</t>
  </si>
  <si>
    <t>He is obviously a professional and knows exactly what he is doing.</t>
  </si>
  <si>
    <t>An image shows a diver underwater near a vertical pipe or structure. A diagram labels the water surface and indicates a depth of 15 feet, with pressure values written near the bottom. The image appears to reference hydrostatic pressure or a physics-related calculation.</t>
  </si>
  <si>
    <t>1asrnb3</t>
  </si>
  <si>
    <t xml:space="preserve">The black car is the Impala (aka “Metallicar”/“Baby”) from *Supernatural*, a show about two brothers who hunt down paranormal phenomena like ghosts, demons, etc. The Mystery Machine, of course, is Scooby Doo and the Scooby Gang, who hunt down ghosts and other various monsters. If they’re both in the same place, some haunted stuff is going down. </t>
  </si>
  <si>
    <t>Incongruity between the claim that the location is haunted and the absence of any visible supernatural elements, resulting in a confusing and unexpected situation.</t>
  </si>
  <si>
    <t>The humor stems from a cultural association between the presence of suspicious-looking vehicles and the suggestion of unusual activity, which contrasts with the otherwise ordinary setting.</t>
  </si>
  <si>
    <t>A meme with the text “oh this place is HAUNTED haunted” at the top, showing a black car parked in front of a colorful van resembling the Scooby-Doo “Mystery Machine” in a parking lot.</t>
  </si>
  <si>
    <t>1aya611</t>
  </si>
  <si>
    <t>Alabama ruled that frozen embryos count as live children, so this couple is claiming their 3 live children and 5 frozen embryos as 8 total children for tax purposes</t>
  </si>
  <si>
    <t>The humor arises from the unexpected implication that the parents to the children are experimenting on them in a lab they have at home</t>
  </si>
  <si>
    <t>The couple tries to claim more children for tax benefits, but claiming 'children in the lab' creates absurdity which makes the situation funny</t>
  </si>
  <si>
    <t>A meme showing a couple sitting in an office labeled “Tax Services,” speaking to a man behind a desk. One person says “We’re claiming 8 kids…” and the other adds “3 at home and 5 in the lab.”</t>
  </si>
  <si>
    <t>1az5r39</t>
  </si>
  <si>
    <t>Food prices in Canada are very high</t>
  </si>
  <si>
    <t>In America people have the whole American Dream thing where everyone is told they can work hard and maybe become rich one day.</t>
  </si>
  <si>
    <t>Bugs Bunny appears in two separate panels with different flags behind him. In the first panel, the American flag is shown with the words “work or starve,” while the second panel uses the Canadian flag and changes the phrase to “work and starve.”</t>
  </si>
  <si>
    <t>In Canada it feels more like people get a decent amount and the whole society is supposed to be a bit more equal.</t>
  </si>
  <si>
    <t>1b03bqv</t>
  </si>
  <si>
    <t>we's making up states to mess em up badly</t>
  </si>
  <si>
    <t>The state is relatively small and is therefore often overlooked or difficult to recall.</t>
  </si>
  <si>
    <t>the stereotype that many Americans are unable to identify all U.S. states, implying that they would fail the task presented.</t>
  </si>
  <si>
    <t>A map of the United States showing state borders, with one state highlighted in yellow and a caption asking viewers to identify it.</t>
  </si>
  <si>
    <t>1b2nrx4</t>
  </si>
  <si>
    <t>125th Street in New York City is the start of Harlem. Harlem is a historically black neighborhood that most white people avoided for decades until recent gentrification. The joke is “why is a white woman here”? Edit: I apologize. Harlem starts at 110th Street. I should have remembered that from Bobby Womack.</t>
  </si>
  <si>
    <t>Subway map behind her telling on her before she opens her mouth.</t>
  </si>
  <si>
    <t>A screenshot of a tweet from @problemochile reading "So they know..." with a TikTok video from a blonde woman in a fur-collared coat on a New York City subway, captioned "when everyone start looking at me cause the train passed 125th" with crying emojis.</t>
  </si>
  <si>
    <t>When the express train hijacks your low-key commute past Harlem.</t>
  </si>
  <si>
    <t>1b5u72j</t>
  </si>
  <si>
    <t>For those who have lived in various parts of Asia, this meme speaks loud and clear. When I lived in Vietnam, Hotel California was literally everywhere. Yes, it was on the radio and in bars and clubs every night, but it was also in clothing shops, grocery stores, hotel lobbies, elevators, even ringtones. Whether you liked the song or not, you couldn't escape it.  And it's not just Vietnam, I traveled through Laos, Cambodia, Thailand, Singapore, China, Japan, and Korea. I heard the song at varying frequency in every one of those countries.</t>
  </si>
  <si>
    <t>The opening guitar riff activating an entire demographic's air-guitar reflex.</t>
  </si>
  <si>
    <t>Cafeteria scene transforms into a karaoke summons within two acoustic chords.</t>
  </si>
  <si>
    <t>A meme captioned "Asian people when they hear the first few bars of Hotel California:" showing a still from the film Twilight of Eric Yorkie, an Asian high school student with shoulder-length hair wearing a white shirt and tie, smiling brightly in a cafeteria setting.</t>
  </si>
  <si>
    <t>1b7unh0</t>
  </si>
  <si>
    <t>He would probably also be confused why they had built a second Memphis</t>
  </si>
  <si>
    <t>The humor arises from a stereotypical contrast suggesting that men would use time travel to carry out significant historical interventions, whereas women are portrayed as being motivated by the desire to see Cleopatra in person.</t>
  </si>
  <si>
    <t>The humor stems from a reversed stereotypical framing in which women are depicted as pursuing significant historical interventions, while men are portrayed as being motivated by the desire to see Cleopatra in person.</t>
  </si>
  <si>
    <t>A meme divided into two sections labeled “Women with a time machine” and “Men with a time machine.” The top shows a woman pointing a gun at Henry Ford. The bottom shows a man speaking to an ancient Egyptian figure in front of a pyramid, with text about a modern glass pyramid in Memphis containing a Bass Pro Shop.</t>
  </si>
  <si>
    <t>1bazqft</t>
  </si>
  <si>
    <t>In ancient roman legions, a punishment for mutiny was decimation" which literally meant randomly kill one in ten soldiers in the unit. "Deci" being latin for ten."</t>
  </si>
  <si>
    <t>A Facebook post from "SPQR" with the caption "Only one in ten will get this." The image, also captioned "Only one in ten will get this," is an illustration of Roman soldiers in red tunics beating a kneeling, bloodied man with wooden rods. A user has commented above: "Ah dark but clever. Good joke."</t>
  </si>
  <si>
    <t>Decimation depicted with a setup-and-punchline reading, courtesy of one oblivious commenter.</t>
  </si>
  <si>
    <t xml:space="preserve"> Roman military discipline reframed as a content engagement bait line.</t>
  </si>
  <si>
    <t>1bdho8z</t>
  </si>
  <si>
    <t>Willem Dafoe needed a body double for a nude scene in the movie AntiChrist because, apparently, his penis was too large.</t>
  </si>
  <si>
    <t>The young woman becomes nervous because her uncle is flirting with her in an inappropriate way. The repeated sentence emphasizes her discomfort, as if she is unsure how to respond and is trapped in an awkward situation.</t>
  </si>
  <si>
    <t>He keeps making his coworker uncomfortable by acting strangely around her and repeating the same lines more than once. His behavior comes across as creepy, and the repeated sentences make the interaction feel even more awkward and unsettling.</t>
  </si>
  <si>
    <t>A four-panel image. A man requests a body double for a nude scene. A woman responds with the same line in two panels, first smiling, then serious.</t>
  </si>
  <si>
    <t>1be8p2s</t>
  </si>
  <si>
    <t>It's a football thing   Hosted in Brazil, best international team historically and huge favourites to win, they crashed out the tournament to Germany with a 7-1 loss. One of the most shocking results in football.  Brazilian fans did not take the loss well.</t>
  </si>
  <si>
    <t>The humor arises from a reference to the widely recognized “6–7” event, which gives the expression an additional, non-mathematical meaning.</t>
  </si>
  <si>
    <t>The humor stems from the strong cultural association of the “6–7” reference in Brazil, where repeated exposure to the event evokes an emotional response.</t>
  </si>
  <si>
    <t>A meme with text at the top reading “Teacher: what is 7-1? Me: 6 My Brazilian classmates:” followed by an image of people wearing yellow shirts reacting emotionally in what appears to be a stadium setting.</t>
  </si>
  <si>
    <t>1bhaz0e</t>
  </si>
  <si>
    <t>Buildings don't have 13th floors in many places because the number is bad luck. Obviously there is a 13th floor but the labels skip from 12 to 14. The joke here is in the future 45 will be an unlucky number as well because Trump was the 45th president, and buildings will follow the same protocol as they do for 13.</t>
  </si>
  <si>
    <t>A black-and-white single-panel cartoon by dko labeled "New York City Year 2075." A child with a backpack stands next to his father in a suit by an elevator whose display shows the floors jumping from "44" to "46." The caption reads "Dad how come buildings don't have a 45th floor?"</t>
  </si>
  <si>
    <t>Skyscrapers quietly skipping a number for the next half-century.</t>
  </si>
  <si>
    <t>A future generation inherits the architectural grudge.</t>
  </si>
  <si>
    <t>1bikyy1</t>
  </si>
  <si>
    <t>The math is a little off, but the gist of it is that the grand canyon took a long *long* time to get to its current state, but, at some point in the very distant past, it would've started out as a small stream, as depicted in the meme.  So, the joke is that the Flintstones were around a long time ago when the Grand Canyon was still just a little stream.</t>
  </si>
  <si>
    <t>The humor arises from an incongruity in scale, where the Grand Canyon is depicted as disproportionately small relative to the characters, implying that people in the past were significantly larger than in reality. This contrast highlights the absurdity of the scene.</t>
  </si>
  <si>
    <t>The humor stems from an implicit exaggeration of the Grand Canyon’s size, reflecting the tendency to describe it as exceptionally vast in comparison to its representation in the image.</t>
  </si>
  <si>
    <t>A meme with the text “So that's the Grand Canyon, huh?” followed by “– The Flintstones,” showing a cartoon scene of characters standing near a narrow canyon with a small stream running through it.</t>
  </si>
  <si>
    <t>1bk0w4q</t>
  </si>
  <si>
    <t>This happend a few weeks ago a worker from boeing was found dead in his car. He was a whistleblower</t>
  </si>
  <si>
    <t>A sequence of images showing a man gradually applying clown makeup while text describes unethical workplace actions and consequences.</t>
  </si>
  <si>
    <t>At that point, he might as well be wearing a full clown costume, because dying in such a ridiculous way makes the whole situation look like pure clownery.</t>
  </si>
  <si>
    <t>It connects to the phrase “snitches get stitches,” where someone who tells on others ends up facing consequences for it.</t>
  </si>
  <si>
    <t>1bk5jkq</t>
  </si>
  <si>
    <t>Noone's sure why saturn has a hexagon   There's hypotheses, but noone's completely sure   that's what the meme is referring to</t>
  </si>
  <si>
    <t>It is not actually a hexagon, which is basically the whole troll part of the meme. The image acts like it is showing something obvious or scientific, but the shape does not even match what it claims.</t>
  </si>
  <si>
    <t>Saturn’s hexagon is a real cloud pattern around the planet’s north pole, which is why the reference works. The meme depends on recognizing that Saturn is known for having this strange, almost hexagonal storm-like formation.</t>
  </si>
  <si>
    <t>This four-panel meme focuses on Saturn’s hexagon-shaped pole. It starts with a simple image of Saturn, then moves into darker and more dramatic edits where different meme faces react to the hexagon.</t>
  </si>
  <si>
    <t>1bl3eve</t>
  </si>
  <si>
    <t>Been a while since I read the books but basically, phones attract monsters for some reason, so Demigods don’t carry them around.</t>
  </si>
  <si>
    <t>The humor arises from the implausibility of using an iPod as a means of confronting Medusa, highlighting the absurdity of the situation.</t>
  </si>
  <si>
    <t>The humor stems from the anachronistic coexistence of Medusa and Percy Jackson, combining mythological elements with a modern setting.</t>
  </si>
  <si>
    <t>A screenshot of a social media post referencing Percy Jackson using an iPod to fight Medusa, accompanied by two images: one of a character holding a device and another showing Medusa’s reflection in the device. Below, a reply comments that it is funny because they did not have phones.</t>
  </si>
  <si>
    <t>1blxcsy</t>
  </si>
  <si>
    <t>It's a skit by the comedians Abbot and Costello called "Who's on first?" The premise of the skit is that the first basemans name is 'Who', the second basemans name is 'What', the third basemans anme is 'I don't know', and Abbot is trying to explain this to Costello</t>
  </si>
  <si>
    <t>A meme featuring a photo of a baseball player standing on first base with the surname "HU" on his jersey, referencing the classic Abbott and Costello</t>
  </si>
  <si>
    <t>It is funny since there is an epsiode about baseball on the TV show "Abbot Elemenatry"</t>
  </si>
  <si>
    <t>It si funny because Abbot and Costello both loved baseball and predicted this memes popularity.</t>
  </si>
  <si>
    <t>1bmtc5u</t>
  </si>
  <si>
    <t>He likes big butts and he cannot lie.</t>
  </si>
  <si>
    <t>The visible anxiety of the seated individual, who appears to react nervously to the obligation of telling the truth.</t>
  </si>
  <si>
    <t>The perceived pressure exerted by the standing individual, which appears to influence the seated person who is required to take the oath.</t>
  </si>
  <si>
    <t>A black-and-white cartoon of a courtroom scene where a judge asks a witness to swear to tell the truth. The witness, a woman standing at the stand, responds that it will not be necessary. Several people are seated in the courtroom observing the exchange.</t>
  </si>
  <si>
    <t>1bnyn39</t>
  </si>
  <si>
    <t>Ya see, we had a mad lad named Steve Irwin that was really into hanging with crocs. He loved dangerous animals so much, he made the world love em too.  But crikey, one day the lad was swimming and a skate got him right in the ol’ pumper. Didn’t last long after that But knowing Irwin, he’d want us to forgive the lil critter, after all, it was just doing what animals do</t>
  </si>
  <si>
    <t xml:space="preserve">Men love animals more than women do. </t>
  </si>
  <si>
    <t xml:space="preserve"> A two-part meme labeled "Women with a time machine" showing two female cartoon characters where one says "I am your granddaughter" and the other responds "Really?", and "Men with a time machine" showing a bearded male cartoon character gently petting a stingray with the caption "It's okay buddy, he'd want us to forgive you."</t>
  </si>
  <si>
    <t>Gender differences in temporal priorities, illustrated.</t>
  </si>
  <si>
    <t>1bojwn9</t>
  </si>
  <si>
    <t>Perhaps that her parent have high-paying jobs and her hippy aesthetic belies her actual financial situation (trust fund)?</t>
  </si>
  <si>
    <t>Counterculture aesthetic financed entirely by missile R&amp;D dividends.</t>
  </si>
  <si>
    <t xml:space="preserve"> Defense-contractor trust fund mistaken for a free-spirit origin story.</t>
  </si>
  <si>
    <t>A screenshot of a tweet from "boiled angel" (@thomwhatetail) reading "I just know her parents work for Lockheed Martin" above a video still of a young woman with blonde dreadlocks, septum and lip piercings, freckle makeup, and shell jewelry, captioned "Took a lil bit of acid."</t>
  </si>
  <si>
    <t>1bpefe3</t>
  </si>
  <si>
    <t>4U2PN2 For you to pee in to And it's on a urinal.</t>
  </si>
  <si>
    <t>Why would someone wait their whole life just to write a serial number like that?</t>
  </si>
  <si>
    <t>Toilet serial numbers are ironically treated as very important here.</t>
  </si>
  <si>
    <t>An image shows the top of a toilet tank with a visible product label and serial number. The caption says that someone waited their whole life to write this serial number. The serial number shown is “4U2PN2.”</t>
  </si>
  <si>
    <t>1bsdc0l</t>
  </si>
  <si>
    <t>The Romans did not like the Germanic Tribes at all. It was in fact the Germanic Tribes that were an important factor in the downfall of the empire Edit: What I have just said is basically a CliffNotes explanation of what really happened. Was obviously more complicated than this but this is the gist of it</t>
  </si>
  <si>
    <t>The humor arises from a contrast between the expectation that Romans would be preoccupied with historical conflicts involving Germany and the implication that they would instead be primarily fascinated by modern technology.</t>
  </si>
  <si>
    <t>The humor stems from the exaggerated assumption that Romans, if exposed to the modern world, would respond with aggression upon recognizing the extent of societal and technological development.</t>
  </si>
  <si>
    <t>A meme titled “Bringing Romans forward in time,” divided into two sections labeled “Expectation” and “Reality.” The top section shows a Roman figure reacting to a modern helicopter alongside a modern character making a dismissive comment. The bottom section shows a Roman figure speaking, with text referencing Germans.</t>
  </si>
  <si>
    <t>1bur7j0</t>
  </si>
  <si>
    <t xml:space="preserve">I I think this is a reference to the book House of Leaves. It is a weird horror story. The house is bigger inside than out and keeps changing around. The husband sets up cameras and a lot of the story is told by "found footage". The house starts off fairly normal, but eventually the husband becomes very lost in a giant maze inside the house. </t>
  </si>
  <si>
    <t>This is funny becuase this fairly obviosus since your house has walla between the inside and outside you naturally lose some space.</t>
  </si>
  <si>
    <t>A four-panel "Trollface" comic titled "how to troll le wife!" that depicts a man moving into a new house, setting up cameras, and measuring the dimensions, only to end with a haunting realization that the inside of the house is 1/12 of an inch larger than the outside</t>
  </si>
  <si>
    <t xml:space="preserve">This is funny because finding out your hous is bigger wouldnt make your wife unhappy. </t>
  </si>
  <si>
    <t>1bvyaep</t>
  </si>
  <si>
    <t>It was an overwhelming display of talent and ability. Steibelt believed he was an equal and realized he was not. There's no joke here beyond Steibelt not understanding what he got himself into, before it was too late.</t>
  </si>
  <si>
    <t xml:space="preserve">It si funy because Steibelt is not even from the same time perod its just classical music fans making fanfics. </t>
  </si>
  <si>
    <t xml:space="preserve">Its funny because steibelt is exteremmly talented and more famous than Beethoven. </t>
  </si>
  <si>
    <t>The image features a portrait of Beethoven holding a writing tool next to a smaller inset portrait of another man. The accompanying text states that Beethoven won an improvisation duel against an opponent named Steibelt by playing Steibelt’s music upside down and improvising for an hour.</t>
  </si>
  <si>
    <t>1bw9tb7</t>
  </si>
  <si>
    <t>Labs test lipsticks and other cosmetics on mice before opening them to the human market. The process probably involves autopsying the mice to see if any toxic chemicals from the product have entered the liver.</t>
  </si>
  <si>
    <t>The humor stems from the ironic suggestion that laboratory testing is a desirable activity for the mice, contradicting its harmful nature.</t>
  </si>
  <si>
    <t>The humor arises from the unrealistic depiction of mice engaging in human-like communication, which creates an absurd scenario.</t>
  </si>
  <si>
    <t>A four-panel comic showing mice in a cage. In the first panels the mice ask where they are being taken and speculate that they are going to a laboratory to test lipstick, expressing excitement. In the final panel, a person in a lab coat is shown carrying the cage in a laboratory setting.</t>
  </si>
  <si>
    <t>1c01lei</t>
  </si>
  <si>
    <t>A British prime minister who the IRA tried to blow up.</t>
  </si>
  <si>
    <t>It looks like they are planning to bomb the non-binary person, which makes the situation feel way darker and more absurd than expected.</t>
  </si>
  <si>
    <t>Even when people travel back in time to warn them that the bomb will not kill Thatcher, they still do not seem to take it seriously. They are so focused on the plan that the warning barely matters to them.</t>
  </si>
  <si>
    <t>A time-machine meme compares girls, boys, and a non-binary person using a time machine. Each section shows a character giving advice to a group of masked men, with the group responding that they will do better.</t>
  </si>
  <si>
    <t>1c175gf</t>
  </si>
  <si>
    <t xml:space="preserve">It's basically about how nuclear energy is almost universally despised by environmentalists despite it being extremely clean and reliable source of energy.        </t>
  </si>
  <si>
    <t>The humor stems from a perceived alliance between pro-nuclear advocates and climate activists, which contrasts with the position of oil and coal companies.</t>
  </si>
  <si>
    <t>The humor arises from an unexpected alignment in which pro-nuclear advocates and oil and coal companies appear on the same side, leaving climate activists at a disadvantage.</t>
  </si>
  <si>
    <t>A four-panel comic showing characters engaged in a tug-of-war. The first panel shows a character labeled “Pro Nuclear” pulling a rope. In the second panel, a character labeled “Climate Change Deniers” joins on the same side. In the third panel, characters labeled “Climate Change Activists” and “Oil &amp; Coal Companies” appear on the opposite side. In the final panel, the “Pro Nuclear” character looks confused and says “Huh?”</t>
  </si>
  <si>
    <t>1c1tpnf</t>
  </si>
  <si>
    <t>It's a meme from r/anarchychess, where "Google En Passant" comes from. They're acting as if this is a way to cheat at chess, because it lets you see the other player's pieces. In a lot of card games like Poker this would be a genuine advantage, but I'm Chess the point is you can see the other player's pieces. The joke is OOP pretending not to get that. The two people are big famous competitive chess players. The brick is a reference to the joke on r/anarchychess that the move "En Passant" is forced. If you decline En Passant, that is if you could have taken the move but didn't, you are punished by your pipi being bricked, aka your penis being crushed by a brick.</t>
  </si>
  <si>
    <t>The humor arises from the asymmetry of information, as Magnus is unaware that Hans is cheating, which implies an unfair advantage.</t>
  </si>
  <si>
    <t>The humor stems from the presence of an unrelated object beside Magnus, which introduces an unexpected and incongruous detail into the scene.</t>
  </si>
  <si>
    <t>A simple drawing showing two stick figures labeled Magnus Carlsen and Hans Niemann sitting at a table playing chess. Above them is a mirror on the ceiling, with dashed lines indicating a line of sight from the mirror to the player.</t>
  </si>
  <si>
    <t>1c22s8b</t>
  </si>
  <si>
    <t>Joji is filthy frank (the guy in the left) made content on YouTube that was very unusual. I highly suggest watching it cause a lot of memes came from him.  Now he makes chill music and all ties to the character are cut.  Miss papa franku</t>
  </si>
  <si>
    <t>The humor arises from a reversal of expectations, where the individual who appears most visually distinct from the group is identified as the most “normal.”</t>
  </si>
  <si>
    <t>The humor stems from a superficial interpretation in which the crouching individual is considered the most “normal” solely based on physical positioning, despite the broader social context.</t>
  </si>
  <si>
    <t>A screenshot of a social media post showing text at the top referencing going back in time, followed by a repost of an older post by H3h3productions. The post includes a photo of four people posing in a kitchen, with one person crouching in front and the others standing behind.</t>
  </si>
  <si>
    <t>1c341d5</t>
  </si>
  <si>
    <t>Because it has no texture.</t>
  </si>
  <si>
    <t xml:space="preserve">It is the famous british dish checker pie. </t>
  </si>
  <si>
    <t>Photoshop's transparency layer, served piping hot.</t>
  </si>
  <si>
    <t>An image captioned "British cuisine. Best in the world." showing a pot with a wooden spoon, where the contents inside the pot have been replaced with a transparent checkerboard pattern.</t>
  </si>
  <si>
    <t>1c38j1b</t>
  </si>
  <si>
    <t>It's a wild story. Dude has this life with his wife and kids, seems typical lovely life, but one day, the father notices the lamp looking sort of fuzzy. Everything else looks normal, but the lamp is just somehow distorted fuzz. He can't help but stare at it. He plays it off as a headache, or whatever, and doesn't tell anyone. Eventually the fuzz gets bigger, and more engrossing. Then the father wakes up, he's had a head injury, but within the unconsciousness, he lived this whole long life; doesn't have a wife or kids, all a long dream life</t>
  </si>
  <si>
    <t>He looks at the lamp and suddenly everything clicks. Like a lightbulb switching on in his head, he realizes that the signs had been there all along and that his wife had been cheating on him the entire time.</t>
  </si>
  <si>
    <t>Text describes a happy family life. Below, a puppet-like character stares forward with wide eyes against a simple outdoor background.</t>
  </si>
  <si>
    <t>The joke centers on the genie in the lamp. The humor comes from treating the lamp not just as an object, but as the key to understanding the whole situation.</t>
  </si>
  <si>
    <t>1c3z5ld</t>
  </si>
  <si>
    <t>Christans like to claim Fallout new vegas, probably because it has big religious themes. They also tend to identify and glorify some of the some of the more flawed and fanatical characters. Great game tho, which is why the gays want it.</t>
  </si>
  <si>
    <t xml:space="preserve">This post is funny because it references the sterorype that poepole from the LGBTQ community do not game. </t>
  </si>
  <si>
    <t xml:space="preserve">The in game material might be offensive to LGBTQ community memebers and chritstaians who are kind dont enat them to get their feelings hurt.  </t>
  </si>
  <si>
    <t>In it, a hand labeled with a Christian cross icon is grabbing the wrist of a clawed hand labeled with an LGBTQ+ pride flag. The clawed hand is reaching for the cover art of the video game Fallout: New Vegas.</t>
  </si>
  <si>
    <t>1c43fea</t>
  </si>
  <si>
    <t>All Tomorrows. It's a book by C. M. Kosemen about humanity being genetically engineered into new species by an alien race.</t>
  </si>
  <si>
    <t>A meme shows two surreal, flesh-like illustrated figures. One character says, “Honey it’s 4pm, time to be mutated into a brick because you’re inferior and I hate you!” The other character, shown as a brick-like surface with eyes, replies, “Yes dear…”</t>
  </si>
  <si>
    <t>The book is written from the perspective of an alien archaeologist who observes humanity’s most pathetic and deformed stages with dry, academic, and detached curiosity.</t>
  </si>
  <si>
    <t>It is extremely sadistic to feel entitled to erase or destroy another being simply because you see them as inferior.</t>
  </si>
  <si>
    <t>1c4n4xd</t>
  </si>
  <si>
    <t>"The defendant is an orca, otherwise known as a "killer whale". His lawyer (the beluga) objects on the grounds that stating what kind of whale he is would be self-incriminating in a murder case, where presumably, the victim is a seal."</t>
  </si>
  <si>
    <t>The defendant is a killer whale, meaning its so obvious that he did it</t>
  </si>
  <si>
    <t>The joke comes from theabsurdity that there is a whale in a courtroom as evidence</t>
  </si>
  <si>
    <t>The joke is a reference to the famous oj simpson case where the glove didnt fit</t>
  </si>
  <si>
    <t>1c6zoan</t>
  </si>
  <si>
    <t>That's a (slightly edited) picture of Todd Howard, the director, executive producer, and public spokesperson for Bethesda Games. He lead development on all the Elder Scrolls games (Skyrim), Starfield, and Fallout 3, 4, and 76. Recently the Fallout TV series was released and it featured an event that happened in one of the endings of "Fallout New Vegas," a game published but *not developed* by Bethesda. But the event in question happens in different years in each of New Vegas and the TV show. Because of this Todd was asked recently whether New Vegas or the TV show is canon to the series at large, and if New Vegas is, which ending. His response was "all of Fallout is canon." Which doesn't really answer any questions or make sense.</t>
  </si>
  <si>
    <t>The humor arises from the apparent lack of coherence in the dialogue, which creates an incongruous and confusing scenario.</t>
  </si>
  <si>
    <t>The humor stems from the contradiction inherent in the existence of multiple endings being treated as simultaneously canonical, which creates a logical inconsistency.</t>
  </si>
  <si>
    <t xml:space="preserve">A screenshot of a social media post showing a dialogue about inconsistencies in a fictional storyline, mentioning “Todd” and “New Vegas,” followed by a repeated response stating “All of it.” Below the text is an image of Todd. </t>
  </si>
  <si>
    <t>1c7z583</t>
  </si>
  <si>
    <t>"Light sources don't have a shadow unless there's a brighter light shining on them. Like a nuclear explosion."</t>
  </si>
  <si>
    <t>The second image is drawn wrong, but it feels more right if you dont think about it. Therefore when you notice that its wrong you will feel dumb</t>
  </si>
  <si>
    <t>Light sources don't have a shadow unless there's a brighter light shining on them. Like a lamp</t>
  </si>
  <si>
    <t>A meme compares two candle images. In the top part, a lit candle is placed next to a darker candle-shaped shadow. In the lower part, two reaction images are shown, one looking pleased and one looking disturbed.</t>
  </si>
  <si>
    <t>1c8be16</t>
  </si>
  <si>
    <t>Own a musket for home defense, since that's what the founding fathers intended. Four ruffians break into my house. "What the devil?" As I grab my powdered wig and Kentucky rifle. Blow a golf ball sized hole through the first man, he's dead on the spot. Draw my pistol on the second man, miss him entirely because it's smoothbore and nails the neighbors dog. I have to resort to the cannon mounted at the top of the stairs loaded with grape shot, "Tally ho lads" the grape shot shreds two men in the blast, the sound and extra shrapnel set off car alarms. Fix bayonet and charge the last terrified rapscallion. He Bleeds out waiting on the police to arrive since triangular bayonet wounds are impossible to stitch up. Just as the founding fathers intended.</t>
  </si>
  <si>
    <t>A meme captioned "Me when I'm robbing someone's home and I hear a voice yelling 'As the Founding Fathers demand!':" above an image of Squidward from SpongeBob SquarePants with wide, shocked eyes and a stretched-out face.</t>
  </si>
  <si>
    <t>The exact face you make when the homeowner reveals himself to be a Second Amendment cosplayer.</t>
  </si>
  <si>
    <t>Burglar realizes the resident has been waiting his entire life for this moment.</t>
  </si>
  <si>
    <t>1cb769r</t>
  </si>
  <si>
    <t>There's a set of perks in the fallout series that give you unique romance/seduction dialog for a given gender, with +10% damage on top. So in the fallout universe you do 10% more damage to people of a gender you're attracted to.</t>
  </si>
  <si>
    <t>A Reddit screenshot showing the Fallout: New Vegas box art with a small cartoon figure pointing at it saying "wow what incredible writing and gameplay mechanics," while a separate arrow labeled "bisexuals do +10% damage to everyone" points at the game. Posted in r/691 by u/Satans-Dirty-Hoe.</t>
  </si>
  <si>
    <t>Praising the deep RPG mechanics while quietly admitting which perk sealed the deal.</t>
  </si>
  <si>
    <t>The real reason that game lives rent-free in everyone's head.</t>
  </si>
  <si>
    <t>1cbcpxn</t>
  </si>
  <si>
    <t>Generally the complaints about blue boil down to the fact that it has a bunch of counter spells, which prevent people from doing things. Everyone else finds it annoying when their spells are countered.</t>
  </si>
  <si>
    <t xml:space="preserve">Water is resposible for many natural diasters which kill people "ruining the fun" </t>
  </si>
  <si>
    <t>Water is the source of life theorfore making it the most powerful element</t>
  </si>
  <si>
    <t>In the top panel, symbols for White, Red, Green, and Black are over the driver’s face, asking, "Why can't you just let people have fun?" In the bottom panel, the Blue mana symbol is over the passenger’s face, replying with "Screams."</t>
  </si>
  <si>
    <t>1ccfha2</t>
  </si>
  <si>
    <t>The man in the top picture admitted in court that he pointed a gun at another person</t>
  </si>
  <si>
    <t>This is funny because the implication that a defendant may incriminate themselves through excessive or careless statements</t>
  </si>
  <si>
    <t>It’s funny because the attorney reacts with visible panic and resignation, suggesting the situation has become hopeless.</t>
  </si>
  <si>
    <t>A meme showing two courtroom images. The top image shows a man in a suit speaking in a courtroom setting, while the bottom image shows another man sitting and covering his face with his hand. The caption reads: “My attorney, after hearing me turn my jaywalking charge into a death penalty case.”</t>
  </si>
  <si>
    <t>1cdufsh</t>
  </si>
  <si>
    <t>Pot of greed was a bit broken simply because it was an automatic “draw 2 cards” without a downside. So lets say you start a game and have pot of greed, now you start with 6 cards instead of 5, if you had more pots of greed you could just continuously pull more cards to force the deck into giving you very strong cards/plays. There are some clips of people playing with no restrictions to show how broken the game could be, and you were essentially able to abuse pot of greed and other cards to win on round 1.</t>
  </si>
  <si>
    <t>This is clearly a troll version of the original image, where the child was holding a Kinder Egg. Here, it has been swapped out for a game card, which makes the message feel even more exaggerated and ridiculous.</t>
  </si>
  <si>
    <t>The image points out how strange it is to treat a game card as more dangerous than a gun. Playing games is obviously not on the same level as holding a firearm, which makes the comparison feel absurd.</t>
  </si>
  <si>
    <t>Two children are standing in a classroom. One child is holding a trading card, while the other is holding a large rifle. Text above them says that one child is holding something banned in America to protect them.</t>
  </si>
  <si>
    <t>1cehmmt</t>
  </si>
  <si>
    <t>He looks very much like Hugh Laurie.</t>
  </si>
  <si>
    <t>This is funny beacuse he is wearing stripes he looks like a prisoner not a plumber.</t>
  </si>
  <si>
    <t xml:space="preserve">It is  a screeshot of an internet article with the title of "Russian Plumber Doesn't Know Why People Stare At Him On The Street" the phot below the caption shows a middle aged caucasian male with a tired expression. </t>
  </si>
  <si>
    <t xml:space="preserve">This is funny because the man in the photo is making a hilarious expression. </t>
  </si>
  <si>
    <t>1ceuuuh</t>
  </si>
  <si>
    <t>They're all pregnant. Can't deploy pregnant people</t>
  </si>
  <si>
    <t>They are wearing longer jackets as a way of respecting Iran’s expectations around modest clothing. It looks like they are trying to adapt to the country’s rules and avoid standing out too much.</t>
  </si>
  <si>
    <t>The woman looks kind of dull and uninterested, like she is not exactly excited to be there. Her expression makes it seem as if the whole trip or situation is not really her vibe.</t>
  </si>
  <si>
    <t>At the top, the meme says, “Single female Soldiers when they hear they might deploy to Iran.” Under the text, a pregnant female soldier is shown from three different angles while wearing a military uniform.</t>
  </si>
  <si>
    <t>1cgcw31</t>
  </si>
  <si>
    <t xml:space="preserve">Its a reference to a trend  on TikTok  where people will ask women if they would feel safer being alone in the woods with a bear or a random man and they almost always choose the bear. Basically the idea is that the bear will be pretty much harmless if you leave it alone vs a man could have nefarious intent with no provocation. </t>
  </si>
  <si>
    <t xml:space="preserve">It is a joke from the movie "The Emperors New Groove" since the lama is an anima he would rathe be friends with a bear than a man. </t>
  </si>
  <si>
    <t xml:space="preserve">The humor arises from the animals reaction to the mans comments about other animals. </t>
  </si>
  <si>
    <t xml:space="preserve">It shows a man speaking with the caption "if you don't understand why women are choosing the bear... you are probably part of the reason they are choosing the bear" and the llama reacting with a gaping sigh. </t>
  </si>
  <si>
    <t xml:space="preserve">It shows a man speaking with the caption "if you don't understand why women are choosing the bear... you are probably part of the reason they are choosing the bear"and the llama reacting with a gaping sigh. </t>
  </si>
  <si>
    <t>1cj9j9z</t>
  </si>
  <si>
    <t>I may be wrong, but I think this is a joke about how when he writes his passages, he takes complex situations and the solution will be  very simple. Examples: "When you are weak, appear strong. But when you are strong, appear weak." "Men will only fight till death, when death is the only option." Su takes these big ideas and tries to solve.them simply. The meme is joking about it with the sarcastic "wow" Edit: another Su quote "If you know the enemy and know yourself, you need not fear the result of a hundred battles. If you know yourself but not the enemy, for every victory gained you will also suffer a defeat. If you know neither the enemy nor yourself, you will succumb in every battle"</t>
  </si>
  <si>
    <t>Ancient strategist offers lukewarm advice, nomadic warlord takes it as gospel.</t>
  </si>
  <si>
    <t>A meme titled "Sun Tzu's 'Art of War'" showing a drawing of Sun Tzu reluctantly saying "eghhh... you should deceive your enemies..." while a Mongol-style warrior on the right reacts with "WOW."</t>
  </si>
  <si>
    <t>Sun Tzu mumbles a half-baked tip, Genghis-adjacent guy treats it like a TED talk.</t>
  </si>
  <si>
    <t>1co29mb</t>
  </si>
  <si>
    <t>Cyndi Lauper had a hit song called "Time after time</t>
  </si>
  <si>
    <t xml:space="preserve">This is funny ecause it refences that thyme can have sevral different meaning beacuse it is pronounce like time causing sunny misundertsandings. </t>
  </si>
  <si>
    <t xml:space="preserve">It is known that she loves thyme and she wants more. </t>
  </si>
  <si>
    <t>A screenshot of a social media post where a user describes rearranging their spice rack alphabetically and asks what comes after thyme, followed by a punchline where Cyndi Lauper responds with "thyme,"</t>
  </si>
  <si>
    <t>1co83ht</t>
  </si>
  <si>
    <t>the joke is; the management and human resources department employees are always gleeful under any circumstances, even when they are about to give you the worst possible news.</t>
  </si>
  <si>
    <t>The humor comes from the idea that female colleagues maintain a friendly, smiling appearance in the workplace regardless of the situation.</t>
  </si>
  <si>
    <t>The humor comes from the contrast between the workplace being formal and the calm, friendly expressions shown.</t>
  </si>
  <si>
    <t>A meme with the text “POV: The left is HR and the right is your manager and you’re about to get fired,” showing two side-by-side images of women facing the camera and smiling.</t>
  </si>
  <si>
    <t>1cpvjc7</t>
  </si>
  <si>
    <t>The joke in the trucker community is that SWIFT stands for Sure Wish Id Finished Training. They're notorious for getting stuck in stupid places, getting into stupid wrecks, and generally making a nuisance of themselves due to lack of forethought</t>
  </si>
  <si>
    <t xml:space="preserve">It is funny because truck drivers need to drive swiftly to get to their destinantion. </t>
  </si>
  <si>
    <t xml:space="preserve">Truckers can't read and thats why they are unable to follow the signage. </t>
  </si>
  <si>
    <t>A two-panel meme featuring a collection of road signs explicitly warning Swift Transportation trucks that a road is a dead end and they are not allowed, paired with a photo of a Swift semi-truck stuck in the mud on that exact narrow, wooded path.</t>
  </si>
  <si>
    <t>1cqzlzh</t>
  </si>
  <si>
    <t>Darwin went on an 8 year quest to try to find where barnacles belong on the tree of life. It drove him nuts: "**I hate a Barnacle as no man ever did before.**" That quote is from year six.  Now imagine, after all that, some prehistoric barnacles show up that imply that we need to rethink their taxonomy.</t>
  </si>
  <si>
    <t>The A, B, C, and D labels make it look like a multiple-choice exam. Just like students sometimes struggle and end up guessing, the meme imagines Darwin being stuck with the same kind of random choice.</t>
  </si>
  <si>
    <t>It makes it seem like Darwin may have simply guessed his way to a conclusion. Instead of presenting evolution as a carefully built theory, the meme treats it like he just picked one option out of four.</t>
  </si>
  <si>
    <t>A Reddit meme shows images of prehistoric barnacle fossils labeled A, B, C, and D. Below, a cartoon character looks shocked, with text saying “Charles Darwin in his grave” and “no... this... this can’t be.”</t>
  </si>
  <si>
    <t>1cs870m</t>
  </si>
  <si>
    <t>Nada means nothing but also swim, he asked what's up</t>
  </si>
  <si>
    <t xml:space="preserve">It is funny because penguins dont talk. </t>
  </si>
  <si>
    <t xml:space="preserve">It is funny because penguins dont speak spanish. </t>
  </si>
  <si>
    <t>The image contains a social media post with the text, "i'm literally so bored i just realized that 'no' is 'on' backwards." Below the text is a reaction photo of a man with a shocked, wide-eyed expression.</t>
  </si>
  <si>
    <t>1cskltc</t>
  </si>
  <si>
    <t>Penn and Teller are a comedy duo. Penn is the orator and Teller’s whole thing is rarely ever saying anything</t>
  </si>
  <si>
    <t xml:space="preserve">I funny because usually a bank teller talks and the pen an inanimate object cant speak but they have reversed roles. </t>
  </si>
  <si>
    <t>A screenshot of a social media post featuring a dialogue between a bank robber and a bank teller who remains silent, concluding with a character named Penn saying, "He always does this,"</t>
  </si>
  <si>
    <t xml:space="preserve">Its funny because this duo is suaully both silent. </t>
  </si>
  <si>
    <t>A screenshot of a social media post featuring a dialogue between a bank robber and a bank teller who remains silent, concluding with a character named Penn saying, "He always does this,</t>
  </si>
  <si>
    <t>1cvso6z</t>
  </si>
  <si>
    <t>Owner" and "Puppygirl" are two individuals in a relationship where they roleplay as a dog and its owner. It's a kink, for the "Owner" to act as though they are essentially the dominant one in the relationship while the "Puppy" prefers to act as though they're owned by someone else and treated like a dog. The "Owner" pulling a resume out of the glove box implies that the "Puppy" is unemployed, and thus hasn't been contributing to the relationship outside of their kinky relationship. This would make sense, as actual dogs usually don't have to work for an income to pay for housing or food; they are just simply taken care of. They are taking the "Puppy" to apply for a job. I guess it's a play on how real-life dog owners take their dogs to the park on a normal day, but on this specific day, have brought them to be neutered. Except instead of a human with a dog about to get neutered, its two humans and one's about to be forced to apply for jobs. Edit: An alternative take, as a commenter pointed out to me, would be that the "Owner" is unemployed and the resume is their own. The joke would then be that the "Puppy" is upset at the notion of their "Owner" going to get a job because it means less time with their "Owner". Which means that I accidentally made a joke out of it. Oopsies.    Edit 2: Another alternative take is that the "Puppygirl" doesn't realize she's being broken up with because the "Owner" is telling her to get a job with the resume, hinting at the idea that she needs a job because the "Owner" is no longer going to be taking care of her."</t>
  </si>
  <si>
    <t>A Tumblr-style post written as roleplay dialogue. "puppygirl" excitedly asks if they're almost at the park; the owner says yes. The puppygirl then asks why they didn't take the normal route, repeating the question with growing dread. The owner silently pulls a résumé out of the glovebox. The puppy then frantically scratches at the window screaming "nononoONONONONO WOOFWOOFWOOFBARKBARKWOOFBARK."</t>
  </si>
  <si>
    <t>When "we're going to the park" reveals itself as a job interview hostage situation.</t>
  </si>
  <si>
    <t>A trip to "the park" mutating into a corporate intervention mid-drive.</t>
  </si>
  <si>
    <t>1cwrltm</t>
  </si>
  <si>
    <t>Cuz if a person is in danger and wants to call 911 but they don't want the person they are with to know they are calling 911, presumably because that person *is* the danger, they can pretend they are ordering a pizza and the 911 dispatcher will know to send police.  The dispatcher can ask yes or no questions and the caller can answer while still pretending they are ordering a pizza. That is a picture of moistcritikal.</t>
  </si>
  <si>
    <t>It is humorous because dialing only three numbers contradicts the expectation of ordering food, creating an illogical situation.</t>
  </si>
  <si>
    <t>It is humorous because he appears to be impatiently waiting for his wife to complete the phone number needed to order the pizza.</t>
  </si>
  <si>
    <t>A screenshot of a social media post with the headline “POV: I’m telling my wife what I want on the pizza she’s ordering but I hear her only dial 3 numbers” at the top, followed by an image of a man with long hair sitting indoors looking unamused.</t>
  </si>
  <si>
    <t>1cym2ue</t>
  </si>
  <si>
    <t>There are already many great answers here, but I’d like to add an interesting example involving Deadmau5. He bought a Ferrari 458 Spider and heavily modified it, even replacing the Ferrari emblem with a “Purrari” logo. This led to Ferrari suing him over the modifications. Interestingly, Lamborghini later offered him a Huracan with a Nyan Cat wrap as a playful response to the situation!</t>
  </si>
  <si>
    <t>It is humorous because the response is exaggerated, depicting legal action as if it were a military operation.</t>
  </si>
  <si>
    <t>It is humorous because the visual presentation creates an overly serious and ominous tone.</t>
  </si>
  <si>
    <t>A meme with the text “Ferrari’s lawyers on their way to sue someone for modifying the car that they bought with their own money:” at the top, followed by an image of several men in suits walking out of a large building entrance.</t>
  </si>
  <si>
    <t>1cynp2h</t>
  </si>
  <si>
    <t>This is a reference to Detroit: Become Human, a game in which you play as three androids, Markus, Kara, and Connor, in a future where androids are commonplace in society. Markus is a caretaker for Carl, the elderly man in the top of the photo, and is regularly asked to play the piano for Carl. Kara is a sort of maid for Todd. She is treated extremely poorly and becomes a sort of mother figure for Todd's daughter, Alice. Connor works for the police force in the main story, aiming to investigate the recent events surrounding deviant" androids; androids that have rebelled against their programming/intended purpose. During the game, you have an intricate amount of decisions to make that alter the outcome of each chapter, and the ending drastically. Carl is friendly towards Markus, and the two have a strong relationship, so Markus usually has calmer decisions in the story (at least early game.) Todd forces Kara to do essentially everything around his house, so the two aren't particularly on equal terms throughout the story. Connor's partner, Hank, grows closer to Connor during the story, and as a member of the police force, Connor's actions during the plot usually have more dire consequences, which explains the final panel."</t>
  </si>
  <si>
    <t>The deviance event the developers never accounted for: cumulative Despacito requests.</t>
  </si>
  <si>
    <t>An entire android uprising triggered by being treated as Alexa with a tragic backstory.</t>
  </si>
  <si>
    <t>A multi-panel comic by Vinnie Cha featuring characters from Detroit: Become Human. In the first panels, Carl asks Markus to find something to do while he eats; an old man then commands "Markus, play Despacito." Next, a child asks the android Kara, "Kara, play Despacito." Then Hank tells Connor, "This is so sad, Connor play Despacito." The final panel shows an android's interior interface flooded with "PLAY DESPACITO" override commands.</t>
  </si>
  <si>
    <t>1czson4</t>
  </si>
  <si>
    <t>It's a joke about different numbering systems. Think of binary, which is a base 2 system, wherein you only have the numbers 0 and 1. Comparing to our system (which we call base 10 btw), 0 in binary equals 0, 1 in binary equals 1, 10 in binary equals 2, 11 in binary equals 3, etc. But for an alien, 10 is 10. The point being that from an objective perspective, any numbering system (base 2, base 4, base 8, etc) would call itself "base 10" because 10 is still the reset number (base 4 might look like this: 1, 2, 3, 10, 11, 12, 13, 20, etc).   I suppose the joke is mocking an overly solipsistic perspective and reminding the reader to consider the universe from different points of view.  Edit for clarity: base 10 means there are 10 single digit numbers, so what we call base 10 has the numbers 0, 1, 2, 3, 4, 5, 6, 7, 8, 9. Base 4 means there are 4 single digits, 0, 1, 2, 3. But in both cases, the reset number will be 10, so the same, regardless of the fact that 10 represents different amounts in the different systems.</t>
  </si>
  <si>
    <t>One of them is talking about the number system “base 10,” while the other understands “base” as a physical base where UFOs are located.</t>
  </si>
  <si>
    <t>A comic shows an astronaut speaking to a small alien next to a group of rocks. The astronaut says that there are ten rocks and assumes the alien is using base 4. The alien replies that it uses base 10 and asks what base 4 is. The caption states, “Every base is base 10.”</t>
  </si>
  <si>
    <t>They are clearly talking past each other, which is exactly how humans and aliens probably would communicate in real life.</t>
  </si>
  <si>
    <t>1d0nows</t>
  </si>
  <si>
    <t>ms. McCurdy there was a victim of sexual assault and she is doing great after the publication of her book. Ronnie radke was accused of sexual assault and his life is falling apart. the poster finds this connection comical and cathartic. (I actually do agree with this one, I hope jennette has a wonderful life.)</t>
  </si>
  <si>
    <t xml:space="preserve">A screenshot of a tweet from Alec (@maybemizery) titled "THE PROPHECY" quote-tweeting @corvettestar's post that reads "god please take all of her pain and suffering and give it to ronnie radke," which itself quote-tweets a Pop Crave post about Jennette McCurdy's book "I'm Glad My Mom Died" being on the New York Times Best Seller list for 80 weeks, with a photo of McCurdy holding her book. Below is a MetalSucks headline reading "Falling in Reverse Burn Themselves With Pyrotechnics at Sonic Temple While Ronnie Radke Tries to Start a Fight."
</t>
  </si>
  <si>
    <t>Karma issued via pyrotechnics malfunction, right on schedule.</t>
  </si>
  <si>
    <t>A tweeted curse seemingly cashing in on stage one day later.</t>
  </si>
  <si>
    <t>1d11llv</t>
  </si>
  <si>
    <t>"Forgetting to eat is sometimes a thing people with ADHD do. This meme is saying the person forgot to eat for long enough that their blood sugar is very low and they're shaking."</t>
  </si>
  <si>
    <t>The image explains that shaking is a healthy signal that tells people exactly when to eat.</t>
  </si>
  <si>
    <t>The humor comes from anxiety, showing a character nervously shaking while thinking about food.</t>
  </si>
  <si>
    <t>The joke is about people who are so busy that they forget to eat until their body reminds them.</t>
  </si>
  <si>
    <t>1d2jxbw</t>
  </si>
  <si>
    <t>Dasani is highly regarded as one of the worst bottled water brands for its supposedly horrible taste</t>
  </si>
  <si>
    <t>It is humorous because he proceeds to drink it despite the negative implication.</t>
  </si>
  <si>
    <t>It is humorous because the liquid is initially perceived as water but is implied to be something else.</t>
  </si>
  <si>
    <t>A multi-panel comic showing a man stranded in a desert, crawling and asking for water. He finds a bottle labeled “Dasani,” expresses relief, then looks disappointed and throws the bottle away.</t>
  </si>
  <si>
    <t>1d5bxcu</t>
  </si>
  <si>
    <t>"It's an old Reddit copy pasta that someone lived an entire fulfilling and successful life with a wife, kids, and house, until one day he realizes the perspective of his lamp is off. He later realizes the lamp is fake and his entire life is fake because he got tackled by a football player. The lamp grows and takes up the entire room before he wakes up on the pavement surrounded by people, EMS, and cops"</t>
  </si>
  <si>
    <t>Its a reference to the Truman show movie. The lamp probably broke and was replaced by the crew</t>
  </si>
  <si>
    <t>His wife has very bad taste in lamps, and he is only noticing it now</t>
  </si>
  <si>
    <t>Its a refernce to the youtube show Dont hug me im scared</t>
  </si>
  <si>
    <t>1d670z1</t>
  </si>
  <si>
    <t>The classy, complex instrument father is handing his classy, complex instrument daughter to marry a basic street whistle who just happens to be shiny but will never produce music at the level of the bride and family.</t>
  </si>
  <si>
    <t>A three-panel comic by Perry Bible Fellowship. The top panel shows a wedding between two anthropomorphized bassoons in a chapel full of other instrument-headed guests. The middle panel shows the bride's bouquet being held while a third hand reaches in to take hers. The bottom panel shows the bassoon groom slumped over in grief as the bride walks away, now paired with a slide-whistle-headed figure wearing a pearl necklace.</t>
  </si>
  <si>
    <t>The wedding ends and somehow the slide whistle wins.</t>
  </si>
  <si>
    <t>Marital instrument betrayal scored in a higher pitch register.</t>
  </si>
  <si>
    <t>1d6ho4f</t>
  </si>
  <si>
    <t>When you push your nail against a mosquito bite it stops it from itching for a bit</t>
  </si>
  <si>
    <t>It is humorous because the irritation on the skin creates the impression that treatment has already been applied.</t>
  </si>
  <si>
    <t>A meme with the text “Do you need some anti itch cream?” followed by “Me: nah I’m good bro,” above an image of a hand with visible redness and irritation.</t>
  </si>
  <si>
    <t>It is humorous because the response contradicts the visible condition, creating a sarcastic effect.</t>
  </si>
  <si>
    <t>1d7u657</t>
  </si>
  <si>
    <t>To Kill a Mockingbird Story: In 1932 Alabama, a widowed lawyer with two small children defends a black man accused of raping a white woman.</t>
  </si>
  <si>
    <t>The image combines a social media post about believing rape victims with a black-and-white courtroom scene from an old film. Two men are seated in court while people watch from the background.</t>
  </si>
  <si>
    <t>The situation is wild because the widowed lawyer is still helping the man accused of rape, even though that same man is also connected to the death of his wife. It makes the scene feel morally twisted, since he is defending someone who has caused him personal harm.</t>
  </si>
  <si>
    <t>The point is that people often treat male victims with way more doubt, especially in cases involving sexual assault. The reaction becomes uncomfortable because it suggests that being taken seriously depends on gender rather than the actual situation.</t>
  </si>
  <si>
    <t>1d7x2rg</t>
  </si>
  <si>
    <t>It’s a commentary on relationships, the half circle with complicated shape is a women (based on shoes) that has a complicated life and can’t find her soul mate.  Panel 1: Parents who are happy and fulfilled and found their matching half. Panel 2: Sees her perfect fit, but he’s taken. Panel 3: A suiter that can fit, but doesn’t meet her needs. Panel 4: A man dumps her because he is already almost complete and she is too much for him. Panel 5: Broken relationships where one had to sacrifice to fit the other. Panel 6: A pet that perfectly fits a small part of her needs.</t>
  </si>
  <si>
    <t>The joke is absurdism and isn't meant to make sense</t>
  </si>
  <si>
    <t>A multi-panel comic shows anthropomorphic broken or puzzle-like circular shapes interacting in different scenes. One character is shown at home, outside with other similar figures, in the rain under an umbrella, on the street, and finally approaching a smaller broken piece near a landscape.</t>
  </si>
  <si>
    <t>The image shows multiple shapes fitting together</t>
  </si>
  <si>
    <t>1d8sg9b</t>
  </si>
  <si>
    <t>Lots of anecdotal stories about how if you film at Chipotle you get larger portions.</t>
  </si>
  <si>
    <t>It is funny because it exaggerates the idea that being at Chipotle involves being filmed, which is not typically the case.</t>
  </si>
  <si>
    <t>A meme with the text “going to chipotle ya’ll need anything” at the top, followed by an image of a man wearing a body-mounted camera rig with a large professional camera attached.</t>
  </si>
  <si>
    <t>It is humorous because it references situations where people offer food but record the interaction, implying an unnecessary level of production.</t>
  </si>
  <si>
    <t>1d98tf9</t>
  </si>
  <si>
    <t>Guy took out his town’s city hall, a former mayor’s house, and some other buildings, in a tank-like modified bulldozer, over a dispute with the city. He also committed suicide at the end of it. Lookup Killdozer.</t>
  </si>
  <si>
    <t>A meme with the text “Sometimes reasonable men must do unreasonable things” displayed above and below an image of a bulldozer-like machine.</t>
  </si>
  <si>
    <t>this evokes childhood behavior, where playing with machines or toys is common.</t>
  </si>
  <si>
    <t>It is funny because operating a bulldozer is framed as an unreasonable or excessive activity.</t>
  </si>
  <si>
    <t>1d9ip08</t>
  </si>
  <si>
    <t>It is a movie/book referrence. ***The Indian in the Cupboard*** is a 1995 American family fantasy film directed by Frank Oz and written by Melissa Mathison, based on the 1980 children's book of the same name Lynne Reid Banks. The story revolves around a boy who receives a cupboard as a gift on his ninth birthday. He later discovers that putting toy figures in the cupboard, after locking and unlocking it, brings the toys to life." Fun fact: The title of the story didnt came to my mind, so I googled "Indian in a cupboard" and was surprised anbout this very literal title"</t>
  </si>
  <si>
    <t>The action figure and the key forming a generational time capsule against a barn door.</t>
  </si>
  <si>
    <t>Two relics from an era when toys came in three colors and keys actually unlocked something.</t>
  </si>
  <si>
    <t>An image captioned "I'm this old…just sayin'" showing a vintage plastic Native American action figure in yellow pants standing next to a brass skeleton key, both positioned in front of an old red-painted wooden door.</t>
  </si>
  <si>
    <t>1dap4il</t>
  </si>
  <si>
    <t>"Reddit's CEO Steve Huffman, or reddit username spez, was the moderator of r dash Jailbait - a subreddit banned long ago that was devoted to images of suggestive and sexual content featuring minors."</t>
  </si>
  <si>
    <t>The image is giving factual advice about polite questions to ask women, men, and Reddit employees.</t>
  </si>
  <si>
    <t>The meme criticizes social media culture by suggesting that online roles and titles matter more than personal achievements.</t>
  </si>
  <si>
    <t>The joke compares how men and women keep different personal details private, adding a reference to Reddit leadership for contrast.</t>
  </si>
  <si>
    <t>1dbipgs</t>
  </si>
  <si>
    <t>The muscles and tendons in the ring finger are highly interconnected with, and partially dependent on, the pinky and middle finger. It's also very difficult to place all your fingers on a table and only lift up the ring finger, but lifting it with the ring or pinkly finger is easy. OP, you are a "mutant" in that you're part of the small percent of the population that can move their ring finger independently. It can become a learned ability, but that requires active training with the fingers, being able to do it naturally is very unique.  It's why some people struggle to do the Vulcan hand sign form Star Trek. To add more info, in general, the muscles in our fingers are deeply connected to the forearm muscles. lay down one hand, put the other hand on your forearm, and just wiggle your fingers. You should feel your forearm tense and flex in different spots with each finger movement. The musculatory system is highly complex!</t>
  </si>
  <si>
    <t>A meme with the text “Only 1% of humans can do this” at the top, showing a hand with fingers positioned in an unusual way. At the bottom, the text reads “If you think is easy, re-check where the pinky is.”</t>
  </si>
  <si>
    <t>It is humorous because the hand gesture can resemble a familiar shape, such as a bunny.</t>
  </si>
  <si>
    <t>The humor stems from the ambiguity of the finger placement, making it difficult to determine the position of the pinky or thumb.</t>
  </si>
  <si>
    <t>1dcyo13</t>
  </si>
  <si>
    <t xml:space="preserve">Operation Paperclip was a secret United States intelligence program in which more than 1,600 German scientists, engineers, and technicians were taken from the former Nazi Germany to the U.S. for government employment after the end of World War II in Europe, between 1945–59. Some were former members and leaders of the Nazi Party.  </t>
  </si>
  <si>
    <t>The paperclip indicated that the scientist’s Nazi background and possible war crimes should be downplayed or hidden so they could obtain a visa to the United States.</t>
  </si>
  <si>
    <t>A meme shows a tweet claiming that the user will stop supporting SpaceX and support NASA instead because they refuse to support any organization that hires Nazis. Below the tweet, an image of a puppet astronaut labeled “NASA” appears to look awkwardly to the side.</t>
  </si>
  <si>
    <t>American officers marked the files of selected German scientists with a paperclip.</t>
  </si>
  <si>
    <t>1df3nh8</t>
  </si>
  <si>
    <t>Well, think about who traditionally makes/eats bagels. Then remember what Germany was doing in the 1930s-40s, and now you know.</t>
  </si>
  <si>
    <t>Twentieth-century European migration patterns gestured at via breakfast bread.</t>
  </si>
  <si>
    <t>A screenshot of a tweet captioned "You… you know" sharing a TikTok video by a blonde woman with the title "Things I prefer in the US as a German" with the on-screen caption "I don't know why we don't have bagels in Germany."</t>
  </si>
  <si>
    <t>A historical answer dangling just out of reach of the question being asked.</t>
  </si>
  <si>
    <t>1dfrh37</t>
  </si>
  <si>
    <t>Because the king can't safely move, the match is a stalemate</t>
  </si>
  <si>
    <t>A multi-panel comic showing a queen confronting a king in a castle. The queen threatens the king with a sword, while the king warns her not to move to a certain space. In the next panel, the king appears in a different location unharmed, while the queen stands in the previous position. The final panel shows many fallen characters outside the castle and others reacting with frustration.</t>
  </si>
  <si>
    <t>It is humorous because the other characters react with frustration toward the queen’s action.</t>
  </si>
  <si>
    <t>It is humorous because the king avoids death despite the apparent threat.</t>
  </si>
  <si>
    <t>1dgwejg</t>
  </si>
  <si>
    <t>It compares the original posters written accent with the princess from brave, which the other princesses find hard to understand</t>
  </si>
  <si>
    <t>A screenshot of a Scottish Twitter post shows text written in Scots dialect about telling a girl she is attractive. Below the post, there is an image of two animated women, one of whom has red curly hair and appears to be speaking.</t>
  </si>
  <si>
    <t>It sound like a conversation the two princesses would have</t>
  </si>
  <si>
    <t>It compares the original posteres written accent with princess aurora, which the other princesses find hard to understand</t>
  </si>
  <si>
    <t>1dhf9h2</t>
  </si>
  <si>
    <t>Donald Trump saying electric boats are heavy and will sink. You either get electrocuted by the battery or face a shark.</t>
  </si>
  <si>
    <t>There are not sharks everywhere in the ocean, so acting like the only options are “safe water” or “shark attack” is way too dramatic.</t>
  </si>
  <si>
    <t>A meme shows two politicians sitting on a couch, with one laughing while the other bends forward. Text above them says, “So there’s a boat, A battery and a shark 10 yards away.”</t>
  </si>
  <si>
    <t>It shows Hillary and Obama secretly plotting together to get rid of Trump.</t>
  </si>
  <si>
    <t>1dhtsjq</t>
  </si>
  <si>
    <t>"That's Alex Jones of Info Wars. He has frequently spoken in the past about how he is very angry because "they put chemicals in the water that turn the fricken frogs gay." The cartoon spoofs this by portraying Jones as a closeted gay man living with a secret gay frog lover."</t>
  </si>
  <si>
    <t>The joke is about the stress of performing on camera versus relaxing at home, showing how media personalities act differently off-screen.</t>
  </si>
  <si>
    <t>The comic criticizes how conspiracy theories create anxiety, making people constantly afraid that someone is watching them.</t>
  </si>
  <si>
    <t>"That's Alex Jones of Info Wars. He has frequently spoken in the past about how he is very sad because "they put chemicals in the water that turn the fricken frogs green." The cartoon spoofs this by portraying Jones as a closeted gay man living with a secret greemn frog lover."</t>
  </si>
  <si>
    <t>1di1z94</t>
  </si>
  <si>
    <t>This was posted yesterday on Chuck Shumer's Twitter. He made a post about grilling for Father's Day but had placed the cheese on a completely raw burger which no one would do indicating it was a staged photo or just another example of government incompetence.</t>
  </si>
  <si>
    <t>It is humorous because it can be interpreted as a cultural reference to simple food combinations, such as bread with cheese.</t>
  </si>
  <si>
    <t>It is humorous because the statement and the image appear unrelated, creating an incongruous combination.</t>
  </si>
  <si>
    <t>A meme with the text “I’m from the government and I’m here to help.” at the top, followed by an image of a burger patty on a grill with a slice of cheese placed directly on top.</t>
  </si>
  <si>
    <t>1dk358k</t>
  </si>
  <si>
    <t>when i tell the frankenstein is the name of the scientist, not the monster""</t>
  </si>
  <si>
    <t>A meme captioned "Your girl when I tell her that Ratatouille is just the name of the movie, and the rat's name is actually Remy" with a photo of a woman sitting on a train, resting her chin on her hand and smiling thoughtfully at the camera.</t>
  </si>
  <si>
    <t>Pixar trivia presented as if it's a tier-one pickup line.</t>
  </si>
  <si>
    <t>Train ride flirtation built entirely on a children's-movie footnote.</t>
  </si>
  <si>
    <t>1dk6kds</t>
  </si>
  <si>
    <t>In this episode of Tom &amp; Jerry, Tom arrives at the gates of Heaven together with a group of other cats who recently died. These kittens are inside of a soaked sack, implying that they were drowned. The gatekeeper even says this has happened a lot.</t>
  </si>
  <si>
    <t>It is humorous because experiences are perceived as more lighthearted during childhood.</t>
  </si>
  <si>
    <t>It is humorous because the same Tom and Jerry scene is experienced differently with age.</t>
  </si>
  <si>
    <t>A meme comparing two stages of watching Tom and Jerry. The top shows a child watching a scene without understanding it, alongside a neutral facial expression. The bottom shows the same scene labeled “14 years later,” paired with a more serious facial expression.</t>
  </si>
  <si>
    <t>1dlzvsx</t>
  </si>
  <si>
    <t>The boots seems to be more detailed, so took more time to draw... That's all</t>
  </si>
  <si>
    <t>It is humorous because drawing was more difficult in the past, yet people today are perceived as less productive.</t>
  </si>
  <si>
    <t>It is humorous because drawing appears simpler today.</t>
  </si>
  <si>
    <t>A screenshot of a social media post comparing drawings labeled “1978” and “2011,” showing a simpler sketch in the earlier year and a more detailed drawing of boots in the later year.</t>
  </si>
  <si>
    <t>1do7yvv</t>
  </si>
  <si>
    <t>His wife thinks he was protecting her from hitting her head on the table, but really he was keeping his secret stash of money from being discovered.</t>
  </si>
  <si>
    <t>A multi-panel comic showing a woman handling a wet cloth near a window. She attempts to dry or manage the cloth, while a man approaches and interacts with her. In a later panel, the woman kisses the man, and in the final panel, money is shown being placed on a surface near the window.</t>
  </si>
  <si>
    <t>It’s funny because she only kisses him after noticing the money, suggesting she’s motivated by it.</t>
  </si>
  <si>
    <t>It’s funny because the money shows up out of nowhere and feels completely random.</t>
  </si>
  <si>
    <t>1dr9jg6</t>
  </si>
  <si>
    <t>He plays music in that background while holding his finger up and a caption rolling such as “ Song X is like/sampled/copied from Song Y” - all the while staring blankly at the camera.</t>
  </si>
  <si>
    <t>It is humorous because small creators are portrayed as struggling despite producing high-quality content.</t>
  </si>
  <si>
    <t>A two-panel meme showing a school bus on train tracks with a train approaching. The top panel includes text describing small creators trying to get views. The bottom panel shows the train colliding with the bus, with additional text and an image of a man inserted over the train.</t>
  </si>
  <si>
    <t>It is humorous because an unrelated individual is depicted as gaining attention effortlessly, despite lacking a clear connection to the situation.</t>
  </si>
  <si>
    <t>1dtmedg</t>
  </si>
  <si>
    <t>The man is either presenting a puzzle ("find x") or making an assertion ("7 + x is the same thing as 7 \* x"), and either way, the woman isn't having it.</t>
  </si>
  <si>
    <t>It’s funny because bringing up a math equation in a romantic setting feels socially inappropriate and awkward.</t>
  </si>
  <si>
    <t>A two-panel comic showing a man lying on a couch looking at his phone with a speech bubble containing the equation “7 + x = 7x.” In the second panel, a woman next to him looks down and says, “I think we should see other people.”</t>
  </si>
  <si>
    <t>It’s funny because the equation implies he has had multiple past partners, which is perceived negatively and leads to her reaction.</t>
  </si>
  <si>
    <t>1duiywi</t>
  </si>
  <si>
    <t>This joke has two big parts the first part is the child doesn't understand the assignment, she misunderstands the comment about dividing X by 2, and she produces the variable C because of her handwriting. In some higher level mathematics such as calculus the variable C represents a range of numbers the exact one of which is unknown. This range includes the number 1 the answer for the specific problem. That leads us to the second part of the joke which is the child writing something that is mathematically well beyond her level (at graduate lever) and the teacher assessing it as the child being exceptionally intelligent and ready for graduation. It is a humorous juxtaposition of simple and profound and the results there of.</t>
  </si>
  <si>
    <t>She is graduating even though she still does not understand basic math rules.</t>
  </si>
  <si>
    <t>A four-panel comic shows a student working on a math problem involving the expression “If x = 2, x/2 =”. In the first panel, the student writes an incorrect answer, and the paper says, “No, we’re dividing x by 2. Try again.” In the second panel, the student erases part of the answer and writes again. In the lower-left panel, a teacher stands beside the student while the student continues writing at a desk. In the final panel, the student is shown as a very small child wearing a graduation cap and gown at a graduation ceremony.</t>
  </si>
  <si>
    <t>She is ready to graduate because there is apparently no point in keeping her in school if she still cannot divide properly.</t>
  </si>
  <si>
    <t>1dv83hh</t>
  </si>
  <si>
    <t>It’s a stereotype that black peoples favorite alcoholic beverage is Hennessy, and if they didn’t ask or didn’t know his taste beforehand, this definitely comes off as racist but it doesn’t look like he’s complaining too terribly</t>
  </si>
  <si>
    <t>He is overreacting to the cake being chocolate, because he connects the brown color of the cake to his own skin color. In his mind, the choice of flavor feels way too targeted, even though it is probably just a normal cake.</t>
  </si>
  <si>
    <t>A tweet says the person’s job called them a slur “with the hardest ER.” Below the tweet is a photo of a chocolate cake topped with a bottle of Hennessy and a large blue bow.</t>
  </si>
  <si>
    <t>The image leans on an association between chocolate and dark skin. Because the cake is chocolate, he reads it as if his workplace is making a weird comment about him rather than simply giving him a dessert.</t>
  </si>
  <si>
    <t>1dwa7tj</t>
  </si>
  <si>
    <t>There was a practice back then to create Castrati, essentially choir boys castrated before puberty in order to maintain a high pitched singing voice.</t>
  </si>
  <si>
    <t>A four-panel comic showing a boy and a priest in a church talking about singing, followed by a final panel of an adult sitting by a fireplace with text about losing his balls.</t>
  </si>
  <si>
    <t>It’s funny because it is presented as a simple story to tell.</t>
  </si>
  <si>
    <t>It’s funny because singing is portrayed as unmanly, and he compares it to losing his balls.</t>
  </si>
  <si>
    <t>1dxonad</t>
  </si>
  <si>
    <t>Female praying mantis' eat their mates after sex so instead of disagreeing in the sense of having an argument she's saying that he's causing issues with digestion</t>
  </si>
  <si>
    <t xml:space="preserve">When women get nervous they often have a sore stoach caused by extra acidity in the stomach.  </t>
  </si>
  <si>
    <t>This is a comic from Bizarro by Dan Piraro showing two female praying mantises sitting at a table for tea. One says, "My husband's been disagreeing with me," and the other responds by offering an "antacid."</t>
  </si>
  <si>
    <t xml:space="preserve">It funny because prayijg mantisises dint have acid in their stomachs or drink tea. </t>
  </si>
  <si>
    <t>1e0k66e</t>
  </si>
  <si>
    <t>Its a coding joke. You ask for 0 wishes, and that in itself is a wish, so you ends up with -1 wishes. But old computing systems can't take negative integers, so it gets set to 255, which is the 8-bit integer limit. edit: wording   edit2: Any system *can* take negative numbers if you program it to, but this particular problem is mostly exists on old systems due to either technological limits/budget or was never intended to account for them.</t>
  </si>
  <si>
    <t>A meme with text at the top showing a dialogue: “Genie: You have three wishes,” “Me: Make it 0,” and “Genie: Ok, you now have 255.” Below the text is an image of a blue cartoon genie sitting and thinking.</t>
  </si>
  <si>
    <t>It’s funny because the person confuses the genie, who then loses track of the wishes and ends up giving 255 instead.</t>
  </si>
  <si>
    <t>It is humorous because the number 255 appears unexpected and arbitrary.</t>
  </si>
  <si>
    <t>1e2qvt9</t>
  </si>
  <si>
    <t>There's a common phrase in the atheist community. "Read parts of the bible and you become a Christian, read the whole bible and you become an atheist." As an atheist that used to be christian I can agree with the sentiment even though it's a bit oversimplified.</t>
  </si>
  <si>
    <t>A meme with the text “Just read the Bible for yourself and you’ll see why I’m right” at the top. Below are two images labeled “People who don’t know” and “People who know,” showing a normal-looking character on the left and a darker, unsettling face on the right</t>
  </si>
  <si>
    <t>It is humorous because the scared reaction suggests an atheist realizing that God exists.</t>
  </si>
  <si>
    <t>It is humorous because the person is trying to convert others to Christianity by presenting it as the truth.</t>
  </si>
  <si>
    <t>1e3q5dd</t>
  </si>
  <si>
    <t>The bottom diagram is showing a process called “mewing”. It’s the act of positioning your tongue a certain way so not only is your jaw pushed forward (if you have an overbite), but the skin underneath your jaw is also tucked in a bit. It’s a method used by models to temporarily change their jaw shape into something more attractive, but it relies on your mouth remaining closed to do so. It’s become a sort of a meme in Zoomer/Gen Alpha communities where people think that mewing will change your face shape over time, yet this is not a proven method for the long-term. But it’s also a joke, symbolizing that those who shut up and continue mewing are chads because those who do not do it look ugly, hence the “crying wojak” image at the top.</t>
  </si>
  <si>
    <t>One side weeps, the other side files a medical reference image.</t>
  </si>
  <si>
    <t>A Boys-season character matchup decided entirely by anatomical diagrams.</t>
  </si>
  <si>
    <t xml:space="preserve">A two-panel meme. The top panel pairs a crying wojak figure with a still of Firecracker (Valorie Curry) from The Boys in superhero costume. The bottom panel pairs a still of Starlight (Erin Moriarty) from The Boys in a grey blazer with a medical diagram showing the inside of a mouth with an upward arrow indicating swallowing.
</t>
  </si>
  <si>
    <t>A two-panel meme. The top panel pairs a crying wojak figure with a still of Firecracker (Valorie Curry) from The Boys in superhero costume. The bottom panel pairs a still of Starlight (Erin Moriarty) from The Boys in a grey blazer with a medical diagram showing the inside of a mouth with an upward arrow indicating swallowing.</t>
  </si>
  <si>
    <t>1e6m88u</t>
  </si>
  <si>
    <t>The bottom is Stevie Nicks and Lindsey Buckingham of Fleetwood Mac. They were a couple when they joined the band in the 70s. By the time of their classic album Rumours, they had broken up very acrimoniously. They started writing basically diss songs about each other for the album. Also, basically every member of the band beside Mick Fleetwood and John Mcvie (edit to make this more clear, the only members not sleeping with each other) sleeping together. There was also a lot of cocaine. They made a masterpiece.</t>
  </si>
  <si>
    <t>A two-panel meme showing a woman at the top with text about writing songs about her exes, and a couple at the bottom with the text “That’s cute.”</t>
  </si>
  <si>
    <t>A two-panel meme showing a man sweating at the top and another man reacting below, with text about a video being sponsored.</t>
  </si>
  <si>
    <t>It’s funny because the couple appears to be judging Taylor Swift for her controversial songs.</t>
  </si>
  <si>
    <t>1e8xy5s</t>
  </si>
  <si>
    <t>Wanted to be funny in high school --&gt; clowned around --&gt; bad grades --&gt; mediocre job --&gt; drive to work at 4am</t>
  </si>
  <si>
    <t>A TikTok screenshot captioned "When you drive to work at 4AM because you wanted to be funny in high school" showing a man in a pink shirt with an orange seatbelt across his chest, looking blankly into the camera while driving in the dark.</t>
  </si>
  <si>
    <t>Pre-sunrise commute powered entirely by past lunchroom popularity points.</t>
  </si>
  <si>
    <t>Class clown pivoting into a blue-collar career on the predawn shift.</t>
  </si>
  <si>
    <t>1ea5yhw</t>
  </si>
  <si>
    <t>It's less professional than a navy, gray, or black one. Certain Obama opponents tried to blow it up into a scandal. This post is poking fun at those people for losing their mind over what is in the and a perfectly acceptable suit.</t>
  </si>
  <si>
    <t>A screenshot of a post asking about Obama wearing a tan suit, with an image of Barack Obama standing outside in a tan suit.</t>
  </si>
  <si>
    <t>It’s funny because tan suits are often seen as less flattering on darker skin tones.</t>
  </si>
  <si>
    <t>It’s funny because the image seems edited, as Obama is usually seen wearing darker suits</t>
  </si>
  <si>
    <t>1eae89f</t>
  </si>
  <si>
    <t>In one possible ending of Bloodborne, the protagonist becomes an eldritch squid creature.</t>
  </si>
  <si>
    <t>It is an old maids tale that if you play too many video games you turn into a squid.</t>
  </si>
  <si>
    <t xml:space="preserve">It is funny because playing a game can not change your pysical anatomy. </t>
  </si>
  <si>
    <t xml:space="preserve">It shows a line of somber men walking in a single file line into a an upside cover of the game Bloodborne and leaving the other side of the cover is a line of squids. </t>
  </si>
  <si>
    <t>1eeayas</t>
  </si>
  <si>
    <t>One participant’s name is listed as J Christ. That is very much like Jesus Christ, a famed religious figure that reputedly walked on water. Being able to walk on water would be an unfair advantage.</t>
  </si>
  <si>
    <t>A post with text about unfair advantage in water, showing two rowers in a boat during a competition.</t>
  </si>
  <si>
    <t>It’s funny because the person in the front appears more physically built, like a typical athlete.</t>
  </si>
  <si>
    <t>It’s funny because the person in the front seems more enthusiastic.</t>
  </si>
  <si>
    <t>1eerszi</t>
  </si>
  <si>
    <t>In the TV series The Office, Jim Halpert played by John Krasinski (left) plays a prank on his office mate Dwight, by trying to psy-op Dwight into believing that he (Jim) is and has always been an Asian man (the actor on the right whose name I do not know off hand). Jim even gets his wife (the office secretary/office manager) in on the joke and goes so far as to retake a family photo, subbing himself out for the actor on the right.</t>
  </si>
  <si>
    <t>A screenshot of a tweet from "faze omar jr" (@FazoomJr) reading "People complaining that rdj has two mcu roles / LIKE THIS GUY DOESNT" with two side-by-side images: John Krasinski as Reed Richards in a Fantastic Four costume, and Randall Park as Agent Jimmy Woo in WandaVision.</t>
  </si>
  <si>
    <t>A casting confusion built on two completely different actors and one stubbornly mistaken eye.</t>
  </si>
  <si>
    <t>When face blindness becomes a fan-discourse hot take.</t>
  </si>
  <si>
    <t>1eexgq9</t>
  </si>
  <si>
    <t>Argentina is where a lot of nazi refugees fled from Germany as the outcome of WW2 was becoming more certain to avoid capture by the allies. As a result, many of their descendants still live there, so you end up with some Argentinians with suspiciously German last names and lineage.</t>
  </si>
  <si>
    <t>It is a joke because Argntianians have famously "less latiny names"</t>
  </si>
  <si>
    <t>It is funny bercause German last names are some of the most common throughut the whole world.</t>
  </si>
  <si>
    <t>The image features the header "Argentinians be like:" above two photos labeled "First Name" and "Last Name." Under "First Name," a man is shown in a traditional matador outfit with a cape, and under "Last Name," a man is wearing a black Nazi SS military uniform with a swastika armband.</t>
  </si>
  <si>
    <t>1efs65o</t>
  </si>
  <si>
    <t>The commenter is referring to the fact it could also look like the one star dragonball from a show called dragonball.</t>
  </si>
  <si>
    <t>An image of a hand holding an orange with a red star shape on it, with text above and below referencing “A Soviet Orange.”</t>
  </si>
  <si>
    <t>It’s funny because a rare-looking fruit is treated negatively, poking fun at that mindset.</t>
  </si>
  <si>
    <t>It’s funny because most people would not think anything unusual about it.</t>
  </si>
  <si>
    <t>1efztwz</t>
  </si>
  <si>
    <t xml:space="preserve">Bill is nickname for William Bills to pay sounds like Bill's toupee, which is a hair piece for balding men. </t>
  </si>
  <si>
    <t>Domestic comedy where the hairpiece is the only one staying put.</t>
  </si>
  <si>
    <t>A toupee subletting itself onto a wife's head as the husband makes a quiet exit.</t>
  </si>
  <si>
    <t>A single-panel cartoon by Scott Hilburn. A woman with a thick mass of curly hair stands by a hung-up phone calling out, "William! Your brother just called and said he has bills to pay. Are you giving him money again? Hey, where's your hairpiece?" Her husband William, now bald, is sneaking out the front door with a briefcase.</t>
  </si>
  <si>
    <t>1eglfe7</t>
  </si>
  <si>
    <t>I just went to a popular PC components website, browsed their top 12 motherboards sorted on popularity" and found 7/12 still had at least one PS2 port on the back plate coded half purple, half teal... one of them actually had both as separate ports!"</t>
  </si>
  <si>
    <t xml:space="preserve">It is funny because these ports are outdated. </t>
  </si>
  <si>
    <t xml:space="preserve">It is funny because these ports are extremely modern so its sarcasm. </t>
  </si>
  <si>
    <t>A two-panel image with the top showing a man leaning out of a car window with the caption "How are you not dead?" and the bottom showing a close-up of purple and green PS/2 keyboard and mouse ports overlaid on a background scene, with the caption "I have no idea!"</t>
  </si>
  <si>
    <t>1eilsjt</t>
  </si>
  <si>
    <t>This is a scenario often referred to as the dog caught the car".   The construction worker catcalled a random woman as a sign that he found her attractive. The woman was unexpectedly wooed by this and went home with him, where he didn't know what to do now that he had her.    To a dog, barking and chasing cars they know they can't catch is instinctual."</t>
  </si>
  <si>
    <t>A three-panel cartoon. The first panel shows a chubby construction worker in a hard hat whistling at a blonde woman walking past in an orange dress. The second panel shows him reacting in confusion as she stops and turns toward him. The third panel shows them sitting together on a couch in a living room, the woman talking animatedly while he stares blankly ahead.</t>
  </si>
  <si>
    <t>A whistle that committed him to forty years of small talk on the couch.</t>
  </si>
  <si>
    <t>Catcall escalation skipping every conventional stage and landing directly in cohabitation.</t>
  </si>
  <si>
    <t>1eko6xo</t>
  </si>
  <si>
    <t>I believe it was revealed some time ago that BetterHelp's service is actually very lackluster.</t>
  </si>
  <si>
    <t>It’s funny because BetterHelp is framed as the ideal sponsor due to its focus on mental health.</t>
  </si>
  <si>
    <t>It’s funny because increased access to therapy is presented as improving society overall.</t>
  </si>
  <si>
    <t>1elhse8</t>
  </si>
  <si>
    <t>The joke is that the modern ballpoint pen is a perfectly designed technology that would be unaffected by the butterfly effect. The design has survived long enough that not even time travel could stop its use.</t>
  </si>
  <si>
    <t>Everyone knows the butterfly effect can turn small changes into big consequences, which makes it funny.</t>
  </si>
  <si>
    <t>The humor comes from how little actually changes over time despite the expectation.</t>
  </si>
  <si>
    <t>A meme with the text “Time traveller: moves a chair” and “Timeline:” above four images of identical blue pens labeled 1955, 1985, 2015, and 2021</t>
  </si>
  <si>
    <t>1eq297i</t>
  </si>
  <si>
    <t xml:space="preserve">These were sold in vending machine inside break rooms, usually at manufacturing plants.  They were usually in the vending machine that rotates. You have to open the little door and pull it out. Edit: These were a great choice at 7 am, first thing In the morning, because you didn’t get home from the bars  before 3:30 am.  </t>
  </si>
  <si>
    <t>It’s funny since they’re underrated but actually taste really good.</t>
  </si>
  <si>
    <t>The joke is that it’s literally just a toy.</t>
  </si>
  <si>
    <t>A screenshot of a tweet stating “if you’ve never eaten one of these i don’t want to hear your opinion on labor rights” above an image of a packaged “Big AZ Cheeseburger” and a cheeseburger.</t>
  </si>
  <si>
    <t>1esw67r</t>
  </si>
  <si>
    <t>She did not appreciate his dad joke, so she shoved the watering can up his ass.</t>
  </si>
  <si>
    <t>A comic shows a woman watering several herb plants labeled basil, rosemary, thyme, and nirnroot. She asks why the thyme is not growing, and another character replies, “Be patient. Give it some thyme.” The final panel shows her in a hospital bed after reacting badly to the pun.</t>
  </si>
  <si>
    <t>The joke is that she needs “thyme” in order to grow a thyme plant.</t>
  </si>
  <si>
    <t>The joke is that “thyme” and “time” sound the same.</t>
  </si>
  <si>
    <t>1et8l0q</t>
  </si>
  <si>
    <t>I think the joke is that they typed in their calculator app by accident rather than setting their alarm clock.</t>
  </si>
  <si>
    <t>It comes off as a prank message rather than something serious.</t>
  </si>
  <si>
    <t>The time shown isn’t even when you’re supposed to clock in yet.</t>
  </si>
  <si>
    <t>A screenshot of a text conversation labeled “Boss” asking “Why are you late to work??” with a reply showing a calculator displaying “630,” followed by “Understandable, have a nice day.”</t>
  </si>
  <si>
    <t>1ex1lej</t>
  </si>
  <si>
    <t>They’re out of business, so someone could use it as resume fluff</t>
  </si>
  <si>
    <t>No one can really prove where you’ve worked, which is what makes it funny.</t>
  </si>
  <si>
    <t>The seriousness of his expression makes the statement funnier.</t>
  </si>
  <si>
    <t>A meme with the text “Remember, no one can prove you weren’t a regional manager for RadioShack or Toys’R’Us” above an image of a man staring intensely.</t>
  </si>
  <si>
    <t>1ex2gnv</t>
  </si>
  <si>
    <t>There's a long-running joke that John Cena (who appears to be driving the Jeep) is invisible. He had a catchphrase You Can't See Me" from his WWE wrestling career. People take it literally as a goof.   [Full explanation of the meme here](https://knowyourmeme.com/editorials/guides/what-is-you-cant-see-me-the-timeless-john-cena-meme-and-joke-explained)."</t>
  </si>
  <si>
    <t>One running joke surviving longer than most relationships and most cars.</t>
  </si>
  <si>
    <t>A bit so durable it has outlasted multiple Jeep model years.</t>
  </si>
  <si>
    <t>A tweet from "Young Simba" (@Mufaa6) reading "Saw a Jeep driving itself today" with a photo of John Cena sitting shirtless in the driver's seat of a red Jeep, leveraging his "you can't see me" persona. Below, "Iceberg Slim" (@CokesTheDon) replies: "Love the fact we continued this joke for over a decade."</t>
  </si>
  <si>
    <t>1f0qs2a</t>
  </si>
  <si>
    <t>It’s an old cigarette light all cars used to have. If you pushed it into the socket it would get really hot in about 30 seconds and you could light a cigarette. The meme tweet is saying that every curious kid has touched one of these, including me.  But they don’t don’t put them in cars anymore</t>
  </si>
  <si>
    <t>Nothing would actually happen, which is the point.</t>
  </si>
  <si>
    <t>A lot of kids have gotten their fingers stuck in those.</t>
  </si>
  <si>
    <t>A screenshot of a tweet asking “Who knows what this is?” above a close-up image of a circular metal object, followed by a reply mentioning “A teachable moment for an overly curious child in a car alone.</t>
  </si>
  <si>
    <t>1f16w9p</t>
  </si>
  <si>
    <t>it's a prank device that give you a small shock when you try to take the gum</t>
  </si>
  <si>
    <t>Kids would offer gum but never actually share it.</t>
  </si>
  <si>
    <t>It usually meant the gum was picked up from the ground.</t>
  </si>
  <si>
    <t>A meme with the text “this is where my trust issues started” above three packs of chewing gum labeled “PULL HERE,” each partially opened with a strip visible.</t>
  </si>
  <si>
    <t>1f4tmhz</t>
  </si>
  <si>
    <t>This looks like a prison cell, but the guy took the picture like new home owners do with the keys. So the joke is saying that it took them 18 years to get their own place, which actually is a prison cell.</t>
  </si>
  <si>
    <t>The housing market is so tough that even a tiny room counts as a win.</t>
  </si>
  <si>
    <t>It doesn’t really look impressive enough to brag about.</t>
  </si>
  <si>
    <t>A screenshot of a Reddit post titled “Took me 18 years, but I did it!” showing a hand holding keys inside a prison cell with a bed, toilet, and small window.</t>
  </si>
  <si>
    <t>1fa202w</t>
  </si>
  <si>
    <t>Grave of the Fireflies, it's a grade A tear jerker.</t>
  </si>
  <si>
    <t>It isn’t even a show.</t>
  </si>
  <si>
    <t>It’s just a manga, nothing more.</t>
  </si>
  <si>
    <t>An image of a boy carrying a child in front of a burning building, with text below showing a conversation where one person asks “Show?” and another replies “no this is for your own good.”</t>
  </si>
  <si>
    <t>1fbym0h</t>
  </si>
  <si>
    <t>One likes to eat, one goes to the gym, and one survives off energy drinks and snicker bars. Probably.</t>
  </si>
  <si>
    <t>It’s funny since they all prefer different drinks, which highlights how different they are.</t>
  </si>
  <si>
    <t>The joke is that Prime is mainly associated with kids.</t>
  </si>
  <si>
    <t>A meme with the text “Average male friend group:” above an image of three items on a store shelf: a yellow Heinz mustard bottle placed upside down, a green Prime drink bottle, and a pink Alani energy drink can.</t>
  </si>
  <si>
    <t>1fcm1zb</t>
  </si>
  <si>
    <t>Lyrics to Everlong: *The only thing* I'll *ever ask of you*. You've got to promise not to stop when I say when.""</t>
  </si>
  <si>
    <t>Restaurant etiquette redefined as a long-running blood pact involving dairy.</t>
  </si>
  <si>
    <t>A four-panel comic by Pear Shaped Comics. A waiter offers parmesan cheese to Dave Grohl, who eagerly says "Please!" The waiter starts grating it and Grohl says "Okay, when!" In the third panel, Grohl begs "That… that's enough! Please stop!" as the plate piles up. In the final panel, Grohl is buried under a mountain of cheese as the waiter solemnly says, "I made you a promise, David."</t>
  </si>
  <si>
    <t>A waiter taking "say when" as a binding contract with no expiration date.</t>
  </si>
  <si>
    <t>1fdg0i5</t>
  </si>
  <si>
    <t xml:space="preserve"> Alan Turing was gay and was pretty brutally persecuted for it by the UK government. He's the guy who kind of invented modern computing and did things like help crack the German Enigma code. Despite his accolades he ended up taking his life because of mistreatment by the country he helped survive.</t>
  </si>
  <si>
    <t>It plays on the idea that the UK government is homophobic.</t>
  </si>
  <si>
    <t>Your sexuality has nothing to do with your abilities, which is what makes it funny.</t>
  </si>
  <si>
    <t>A screenshot of a tweet reading “The British government the second ww2 was over” above an image of a woman speaking, with overlaid text “you’re telling me a queer coded this.”</t>
  </si>
  <si>
    <t>1fg38dp</t>
  </si>
  <si>
    <t>The word they’re looking for is homage</t>
  </si>
  <si>
    <t>It points out how a lot of kids end up at events meant for adults.</t>
  </si>
  <si>
    <t>Beyoncé being much richer than Megan is what the joke leans on.</t>
  </si>
  <si>
    <t>A screenshot of a tweet saying “Open the schools” quoting another tweet about Megan Thee Stallion paying mortgage to Beyoncé, with two side-by-side images of the two artists wearing similar outfits.</t>
  </si>
  <si>
    <t>1fhormb</t>
  </si>
  <si>
    <t>"The microbiomes of those who were snapped were also snapped, so half is already gone. But if half your microbiomes were gone, your stomch would not work optimally"</t>
  </si>
  <si>
    <t>The post jokes about the grief followed by the Thanos snap in the marvel movies</t>
  </si>
  <si>
    <t>The tweet follows formal academic writing style, which is funny because it is a tweet</t>
  </si>
  <si>
    <t>A screenshot of a post says that if Thanos’ snap killed 50% of all life, then survivors would also have lost 50% of their gut biome and would suffer severe digestive problems. The post ends with “in this essay I will—”.</t>
  </si>
  <si>
    <t>1fjfblb</t>
  </si>
  <si>
    <t>I haven't seen anything related to Dave the Barbarian in so long. It's a really old disney show.I don't know what the insomnia part is about though</t>
  </si>
  <si>
    <t>A meme captioned "If you know who this is, you have insomnia. I don't make the rules" with a still from the Disney animated series Dave the Barbarian showing the muscular barbarian Dave grinning toothily next to his sentient sword Lula, with a smoking castle in the background.</t>
  </si>
  <si>
    <t xml:space="preserve"> A cartoon only watched between 2 and 4 a.m., never during sane daylight hours.</t>
  </si>
  <si>
    <t>Recognizing this show is basically a clinical sleep-disorder diagnosis.</t>
  </si>
  <si>
    <t>1fkmtz4</t>
  </si>
  <si>
    <t>The goat will start licking your feet. They just can’t resist salty things. So the goat licks and licks… goats have rather rough tongues, mind you, and over time it will break the skin. But the goat won’t stop, so it keeps licking and it is starting to hurt more and more… quite slow and with increasing intensity of pain. Might drive you mad at some point</t>
  </si>
  <si>
    <t>A screenshot of a Reddit post from r/TwoSentenceHorror shows a short horror story. The text describes someone having their legs soaked in saltwater and initially thinking it is not an effective torture method, until a goat is brought in.</t>
  </si>
  <si>
    <t>Being tickled can be seen as a form of torture in some contexts, especially when it is done repeatedly or without control.</t>
  </si>
  <si>
    <t>Goats are known for having horizontal, rectangular pupils, which give them a very wide field of vision and help them spot predators without turning their heads.</t>
  </si>
  <si>
    <t>1fl51f0</t>
  </si>
  <si>
    <t>"It signals that the car is driven by a gay couple looking for a big, hairy threesome partner"</t>
  </si>
  <si>
    <t>Its generally a bad idea to have custom made license plates</t>
  </si>
  <si>
    <t>The lady driving in from of OP, is presumably bad at driving and has caused an accident</t>
  </si>
  <si>
    <t>Its funny because its hard to read the license plate</t>
  </si>
  <si>
    <t>1flb4nk</t>
  </si>
  <si>
    <t>The show being referenced is the mockumentary Cunk on Earth, where the titular narrator humorously misinterprets history. The Romans left a lot from their history, including pottery fragments (which broke due to the long time period), which Cunk humorously says is caused by their clumsiness.</t>
  </si>
  <si>
    <t>A social media post shows a woman standing in front of ancient ruins. Below it, another post says that based on the amount of pottery fragments, the Roman Empire may have been the clumsiest empire in history.</t>
  </si>
  <si>
    <t>Materials have changed a lot since ancient times, so pottery today can last much longer than pottery from the Roman Empire.</t>
  </si>
  <si>
    <t>Someone probably broke the pottery on purpose just to mess with the Roman Empire.</t>
  </si>
  <si>
    <t>1fm0tjo</t>
  </si>
  <si>
    <t>Someone feels old because they remembered Y2K was a thing.</t>
  </si>
  <si>
    <t>Obviously no one can live for 3000 years.</t>
  </si>
  <si>
    <t>Back then people thought not turning off the PC would break it.</t>
  </si>
  <si>
    <t>A meme showing a sticker reading “REMEMBER Turn your computer off before midnight on 12/31/99” above an image of a man with the caption “I was there. 3,000 years ago…”</t>
  </si>
  <si>
    <t>1fo91u1</t>
  </si>
  <si>
    <t>The Logo designer normally charges 350$ But the person asking for the logo has a budget of 800$ 800$ is more dollars than the 350$, this is an important fact which can be easily overlooked.  So just about as the logo desinger was to send their message they see this. And after doing a bit of math and self refelection they think to themselves.  "hmm, I could also charge 800$ as that is more than 350$" Which will allow the logo desinger to buy more peanuts.  Peanuts are tasty.  Also shrek is there for the 'hold on a moment' thing and obviously for the sex appeal.</t>
  </si>
  <si>
    <t>It’s funny because the offer is much lower than the original price.</t>
  </si>
  <si>
    <t>It’s funny because the buyer sent the message to the wrong person.</t>
  </si>
  <si>
    <t>A screenshot of a chat where a person asks for a logo price, states a budget of $800, and a reply is typed “Logo design price is $350,” followed by an image of Shrek smiling.</t>
  </si>
  <si>
    <t>1fq1qb9</t>
  </si>
  <si>
    <t>The pain of regret cuts deeper than the pain of discipline.</t>
  </si>
  <si>
    <t>A motivational-style illustration titled "PAIN" showing two cartoon kitchen knives side by side. The left knife, labeled "DISCIPLINE," has a mostly clean blade with a small amount of red at the base. The right knife, labeled "REGRET," is fully coated in red across the entire blade.</t>
  </si>
  <si>
    <t>Inspirational graphic that accidentally moonlights as crime-scene evidence.</t>
  </si>
  <si>
    <t>A motivational poster taking the metaphor too literally, with cutlery.</t>
  </si>
  <si>
    <t>1fs6ndo</t>
  </si>
  <si>
    <t>Tyranids avoid two things , demon and necron. Tbf thé latter are probably a better news than the nids</t>
  </si>
  <si>
    <t>Something bad is happening, yet the soldier is still smiling.</t>
  </si>
  <si>
    <t>At first it seems like bad news, but then he realizes it’s actually good.</t>
  </si>
  <si>
    <t>A three-panel meme showing a soldier in armor with text: “A Tyranid fleet is approaching the system,” followed by two panels both stating “It ignores your planet,” with the soldier’s facial expression changing.</t>
  </si>
  <si>
    <t>1fs7uqa</t>
  </si>
  <si>
    <t>News anchor Wolf Blitzer tweeted a photo of himself out having drinks on a Sunday, July 21st. That happened to be the same Sunday that Biden made the historic decision to drop out of the presidential race, about an hour or so later, and so Blitzer seemingly was asked to come in to work again for this breaking news story. Other people are joking that if he hadn't checked his email, he would have been able to continue enjoying his day off instead of having it interrupted and having to go in to work.</t>
  </si>
  <si>
    <t>One moment he is happily enjoying beers with his friends on his day off, and the next he finds out through his work email that he has been fired. If he had just ignored the email, he could have delayed knowing and kept enjoying the day a little longer.</t>
  </si>
  <si>
    <t>He was just having drinks on his day off, and then somehow ended up on the news for being reckless. So honestly, maybe he should have checked his work email, because the firing notice would have given him a heads-up that things were already going downhill.</t>
  </si>
  <si>
    <t>A meme says, “Never check your work email on a day off.” It shows one photo of an older man smiling with a drink and another photo of the same man looking serious on a news broadcast.</t>
  </si>
  <si>
    <t>1fssuxj</t>
  </si>
  <si>
    <t>There is no I in nothing or again. He made the letter I not exist anymore.</t>
  </si>
  <si>
    <t xml:space="preserve">Its a play on percieved reality and meta that you can never be sure if anything is ever real. </t>
  </si>
  <si>
    <t xml:space="preserve">Its implying that we no longer exost since when you read you are I. </t>
  </si>
  <si>
    <t>In this four-panel comic, a character tells a genie, "I wish I didn't exist," to which the genie responds, "Granted." After a "POOF!" the character observes that "Nothng Changed," and the genie tells them to "Look Agan," revealing that the letter "i" has been removed from the dialogue.'</t>
  </si>
  <si>
    <t>In this four-panel comic, a character tells a genie, "I wish I didn't exist," to which the genie responds, "Granted." After a "POOF!" the character observes that "Nothng Changed," and the genie tells them to "Look Agan," revealing that the letter "i" has been removed from the dialogue.</t>
  </si>
  <si>
    <t>1fst6nb</t>
  </si>
  <si>
    <t xml:space="preserve">Yeah its a political joke, the neighbours have taken a part of the other person's garden just like Russia has taken parts of Ukraine. Hopefully that helps.        </t>
  </si>
  <si>
    <t>It plays on the stereotype that Russians tend to be reserved rather than overly talkative.</t>
  </si>
  <si>
    <t>There’s an implicit absurdity in someone openly identifying as Russian to their neighbors in an American setting, where that isn’t particularly common.</t>
  </si>
  <si>
    <t>Drawing of a man standing by a fence talking to two neighbors inside a yard; a speech bubble says: “No, we’ve never had Russian neighbours. You are the first.”</t>
  </si>
  <si>
    <t>1ftatdh</t>
  </si>
  <si>
    <t>Can’t be 100% sure, but I think that’s meant to be Joseph Smith, founder of Mormonism. In Mormonism, America is the true Promised Land, not Israel. Or something like that, I’m not religious. Edit: Great thanks to everyone who’s provided corrections and specifics! Everyone should upvote them</t>
  </si>
  <si>
    <t>Joseph Smith showing up in the comments like "way ahead of you."</t>
  </si>
  <si>
    <t>A screenshot of a tweet from "Enhanced Interrogated Poet" quote-tweeting a post from "frye" (@__frye) reading "they should invent a Holy Land that's not in the middle east." The quoted image is a portrait painting of Joseph Smith, founder of the Latter-day Saint movement, with a blank speech bubble pointing at him.</t>
  </si>
  <si>
    <t>19th-century pre-emptive response to a 2024 take.</t>
  </si>
  <si>
    <t>1ftdy3c</t>
  </si>
  <si>
    <t>"It's missing the punchline. The other muffin screams 'Oh my god, a talking muffin!'"</t>
  </si>
  <si>
    <t>The muffin is screaming because theyre in a hot oven</t>
  </si>
  <si>
    <t>Theyre screamin in the oven because theyre coming alive</t>
  </si>
  <si>
    <t>A photo shows a person holding a wrapped object or package with printed text on it. The visible text says, “Two muffins were sitting in an oven. One says ‘Geez, it’s hot in here.’ The other screams.” Above the photo, there is a caption that says, “what kind of joke is this.”</t>
  </si>
  <si>
    <t>1fu3pp1</t>
  </si>
  <si>
    <t>that is way too good for a school computer. it's clearly for gaming</t>
  </si>
  <si>
    <t>The humor comes from a child demonstrating unexpectedly advanced knowledge.</t>
  </si>
  <si>
    <t>The phrasing appears not making sense, which creates the comedic effect.</t>
  </si>
  <si>
    <t>Four-panel meme: top text shows a mother asking for a PC for school and a son listing high-end specs; bottom panels show Shrek smiling.</t>
  </si>
  <si>
    <t>1fuxrbx</t>
  </si>
  <si>
    <t>The numbers when pressed will correlate to different letters. For example, pressing 2 will give you A, but pressing 22 will give you B, 222 giving you C, and so on.  This pattern of numbers spells, "It was me Dio!" Which is a reference to the anime Jojo's Bizarre Adventure. The line is said by the main antagonist, named Dio Brando.</t>
  </si>
  <si>
    <t>The joke lies in how it presents itself as completely ordinary, even though it’s framed as something unusual.</t>
  </si>
  <si>
    <t>That old Nokia triggers nostalgia, which is what makes it amusing.</t>
  </si>
  <si>
    <t>Image of an old mobile phone keypad with numbers and letters; below it is the sequence: “4448 927777 633 3444666”.</t>
  </si>
  <si>
    <t>1fvg71d</t>
  </si>
  <si>
    <t>"First image is Villa Savoye built in 1931 in Poissy, France. A modern style building using that all the rage material reinforced concrete. Second image is Palais Garnier, an opera house built in 1875 in Paris France at the behest of Emperor Napoleon III the style is literally called Napoleon III. OOP likes the older style better and feels that newer buildings are appreciated for their advanced construction but are unable to capture the beauty of early styles."</t>
  </si>
  <si>
    <t>The image shows that ancient people literally invented modern buildings first, and todayï¿½s architects are stealing their exact designs and claiming them as new.</t>
  </si>
  <si>
    <t>The humor comes from a generational disagreement where older people simply dislike modern styles out of nostalgia, regardless of whether new designs are actually better.</t>
  </si>
  <si>
    <t>The Joke is that the old house was actually build first</t>
  </si>
  <si>
    <t>1fvpb5q</t>
  </si>
  <si>
    <t>At the recent vice presidential debate, Tim Walz, Kamala Harris’ running mate (she is pictured above), was asked why he now favors an assault weapons ban when he previously didn’t. He said he had gotten to know the survivors of the horrific Sandy Hook shooting, and their families. While he was explaining this, he misspoke and said “I made friends with school shooters”</t>
  </si>
  <si>
    <t>He really does not seem to get how bad the situation is. Like, saying out loud that you are friends with a school shooter is obviously not normal, but he acts like it is just some casual friendship drama.</t>
  </si>
  <si>
    <t>The woman is basically having that serious “you should not hang around dangerous people” talk with her son. But the fact that the dangerous person is a school shooter makes the whole conversation way more extreme and uncomfortable.</t>
  </si>
  <si>
    <t>A woman leans forward with a serious expression while text references misunderstanding the phrase “friends with school shooters.”</t>
  </si>
  <si>
    <t>1fvuj7k</t>
  </si>
  <si>
    <t>Redstone torches are normally made for mechanisms and provide much less light. If someone lit up their base with them, they probably have no coal (which is a pretty important resource) at all.</t>
  </si>
  <si>
    <t>In Minecraft, having no coal basically means you are broke and have no real resources, because coal is usually easy and cheap to get.</t>
  </si>
  <si>
    <t>A redstone torch is crafted by placing one piece of redstone dust above one stick in the crafting grid.</t>
  </si>
  <si>
    <t>A tweet says that a Minecraft server is in such poor condition that someone is using redstone torches to light their base. The image below shows a historical black-and-white photo of a man sitting down.</t>
  </si>
  <si>
    <t>1fwbzz9</t>
  </si>
  <si>
    <t>A small county sent out an emergency alert to the entire state, setting off everyone’s phone with a loud alarm at 4:53 am. It was to be on alert for a white guy in a blue shirt and pants who shot a cop. Texas is a huge state so people literally 10 hours away got alerted and woken up. Everyone is pissed off, and it’s against the rules of the emergency alert to use it during those hours, and we don’t know if it was by accident or just negligence.  Let me clarify a point: it’s only Amber and Blue Alerts that aren’t supposed to be sent between 11pm and 6am, other emergencies can go off any time. These are also internal rules, not laws.</t>
  </si>
  <si>
    <t>It highlights the situation of staying up far too late despite having responsibilities the next morning.</t>
  </si>
  <si>
    <t>The joke exaggerates the idea that Texas never sleeps, making it seem like the entire state relates.</t>
  </si>
  <si>
    <t>Text “all of texas at 4:53 am” above a photo of a man lying in bed looking tired and confused while holding a phone.</t>
  </si>
  <si>
    <t>1fwc8sk</t>
  </si>
  <si>
    <t>It’s from Evangelion when Asuka has a massive depressive episode and rots away in a bathtub in an abandoned house for a while. The two cartoon characters are the “Smiling Friends” whose job it is to cheer up their clients. They seem to be reconsidering their assignment given the state of Asuka.</t>
  </si>
  <si>
    <t xml:space="preserve">Its is that akward moment when you ealk in on someone having and intimate moment. </t>
  </si>
  <si>
    <t xml:space="preserve">It is the smiling friends reacting in horror to Anime. </t>
  </si>
  <si>
    <t>In the foreground, a woman with long orange hair is depicted in an anime art style, looking upward with a neutral expression. In the background, two cartoonish characters—one yellow and wearing a red hoodie, the other small and pink—stand together in a brightly lit doorway.</t>
  </si>
  <si>
    <t>1fxqzyt</t>
  </si>
  <si>
    <t>She is meaning to say, “aww, thank you so much”. He apparently has autism and doesn’t realize she was texting an acronym so he read it as a misspelling of autism, aww-tysm.</t>
  </si>
  <si>
    <t>He seems to forget he sent the message himself, as if the other person could somehow read his mind.</t>
  </si>
  <si>
    <t>The humor stems from the complete lack of logical meaning.</t>
  </si>
  <si>
    <t>Four-panel comic: a person receives “You’re cute”, replies “Aww tysm”, then misreads it as “Awwtism?”, and lies in bed holding a phone.</t>
  </si>
  <si>
    <t>1fy9pjo</t>
  </si>
  <si>
    <t>"It implies the boomer did nothing to alleviate or reduce their carbon footprint while also voting for politicians who are anti-environment resulting in the climate change we are experiencing."</t>
  </si>
  <si>
    <t>the old woman ha smoved to florida for her retirement, and therefore there are no cold winters</t>
  </si>
  <si>
    <t>A meme shows an elderly woman using a walker with a younger woman standing beside her. The text next to the elderly woman says, “October used to be cold.” The text next to the younger woman says, “That is entirely your fault, grandma.”</t>
  </si>
  <si>
    <t>Old women often say things which doesnt make sense</t>
  </si>
  <si>
    <t>1fycaf4</t>
  </si>
  <si>
    <t>"The meme's joke is that the guy is dumb, because he thinks 7+x is always equal to 7x. The meta-joke is that the meme creator is dumb, because you can read 7+x = 7x as an equation to be solved."</t>
  </si>
  <si>
    <t xml:space="preserve">This meme is funny because the boy is being broken up with by the much smarter girl. </t>
  </si>
  <si>
    <t xml:space="preserve">It is funny because you would nver text your crush an algebraic equation. </t>
  </si>
  <si>
    <t>A two-panel meme featuring an illustration of a man texting the algebraic equation 7+x=7x to a woman, who replies with, "I think we should see other people,"</t>
  </si>
  <si>
    <t>1fzh8sa</t>
  </si>
  <si>
    <t>The incident the text is referring to is considered to be the business move that kicked off microtransactions" as a common thing in video games. Many gamers consider the practice to be seriously degrading the quality of games for a variety of reasons.    The picture is of actor Cillian Murphy in the Oppenheimer biopic from 2023. One of Oppenheimer's most famous quotes is him saying "I am become death, the destroyer of worlds" when research on the atomic bomb was successful, research he greatly contributed to.  The joke is saying the person who kicked off microtransactions might have had the same reaction when they watched their decision birth microtransactions in video games."</t>
  </si>
  <si>
    <t>The Trinity test of the gaming industry, conducted with $2.50 of cosmetic mail.</t>
  </si>
  <si>
    <t>"Now I am become microtransactions, the destroyer of full game releases."</t>
  </si>
  <si>
    <t>A meme captioned "The Microsoft employee who convinced Bethesda to make $2.50 horse armor DLC in 2006" with a still from the film Oppenheimer of Cillian Murphy as J. Robert Oppenheimer staring solemnly into the distance in a fedora and suit.</t>
  </si>
  <si>
    <t>1g02nzf</t>
  </si>
  <si>
    <t>There was a copper merchant named Ea-Nasir who lived around 1750 BC. Archeologists have discovered several clay tablets complaining about this guy by name (saying that he sold them substandard copper, was very slow on deliveries, etc). This is interesting because these are the oldest recorded customer complaints. Ea-Nasir has become kind of a meme on some parts of the internet, so this sticker is a joke about him.</t>
  </si>
  <si>
    <t>The randomness of the words is what creates the comedic effect.</t>
  </si>
  <si>
    <t>It works because the meaning feels personal or subjective rather than universally clear.</t>
  </si>
  <si>
    <t>Screenshot of a post showing an object with the text: “WELL BEHAVED COPPER INGOT MERCHANTS RARELY MAKE HISTORY”.</t>
  </si>
  <si>
    <t>1g1cv45</t>
  </si>
  <si>
    <t>He is putting water into the empty bottle, to shake it up and make soapy water, to get an extra wash out of the bottle before throwing it away.</t>
  </si>
  <si>
    <t xml:space="preserve">It funny because the animal is sad and it is asumed that one would be happy having fufillled thier childhood goals. </t>
  </si>
  <si>
    <t xml:space="preserve">It is funny because animals dont shower themselves ad wouldnt know to put water in the bottle of soap to get an extra use. </t>
  </si>
  <si>
    <t>1g2fiqh</t>
  </si>
  <si>
    <t>"A number of action movies feature scenes of manly men bleeding out onto pristine, snow-covered landscapes. It's a very dramatic shot that contrasts the peacefulness of the scene with the violent injury/death, and red blood against white snow is a rather stark contrast. I interpreted this as a reference to that minor cliche."</t>
  </si>
  <si>
    <t>The joke is about enjoying solitude in winter landscapes, showing how some people find peace in empty, quiet places.</t>
  </si>
  <si>
    <t>The meme criticizes urban design by showing how public spaces feel unwelcoming and isolating during winter.</t>
  </si>
  <si>
    <t>The image is encouraging men to spend more time outdoors sitting on benches in cold weather.</t>
  </si>
  <si>
    <t>1g2ofgo</t>
  </si>
  <si>
    <t>Traditional ways of observing Yom Kippur include abstaining from food, washing, and sex, so it's not really normal to wish a happy" Yom Kippur to anyone"</t>
  </si>
  <si>
    <t xml:space="preserve">That is not traditionally how you greet someone on yom kippur. </t>
  </si>
  <si>
    <t xml:space="preserve">It is funny because on Yom Kippur jews usually dont use phones as technology is forbidden to keep kosher lifestyle. </t>
  </si>
  <si>
    <t xml:space="preserve">A 4 panel meme with screenshots from the terminator with him wishing th woman on the phone "Happy Yom Kipur"  her returning the greeting and then the man telling the child his parents are dead. </t>
  </si>
  <si>
    <t>1g3admg</t>
  </si>
  <si>
    <t>Think that's the elephant's foot from Chernobyl</t>
  </si>
  <si>
    <t xml:space="preserve">It is funny because if you were actually near so much radiation you would be dead. </t>
  </si>
  <si>
    <t>A black-and-white image captioned "when the tour guide is freaking out in Russian about the cool rock that you found but you're just a really chill guy," showing the cartoon "Chill Guy" dog character standing next to a large rocky mass beside a tree trunk.</t>
  </si>
  <si>
    <t xml:space="preserve">It is funny beacsue there are no tours in chernobyl. </t>
  </si>
  <si>
    <t>1g41h0e</t>
  </si>
  <si>
    <t>"Y2K bug, or, "the year 2000." Computers with clocks were coded in such a way as to not consider the change in millennium date from 1999 to 2000. There were huge concerns that computers that controlled vital systems like power plants would go offline and lead to catastrophic failure. Like nuclear power plants going critical, or the economy collapsing- or both! The solution for the average person was being told to turn their computers off before the new year to avoid any unforeseen consequences. Those vital systems got patched, and the year 2000 came and passed without incident. Edit: at lease read the comments before saying something 10 other people have said."</t>
  </si>
  <si>
    <t>The text says 99 instead of 1999</t>
  </si>
  <si>
    <t>The character from Lord of the Rings is saying he personally worked at Best Buy in 1999 and put the sticker on the computer himself.</t>
  </si>
  <si>
    <t>The OP thinks is funny that the sticker is still there</t>
  </si>
  <si>
    <t>1g4657e</t>
  </si>
  <si>
    <t>Not Floridian but isn't the north of Florida bordering with some "southern" US-states, culturally speaking? (Florida being rather hispanic/caribbean, the more south you go)</t>
  </si>
  <si>
    <t>The humor lies in the exaggeration that Egyptians today would still understand it.</t>
  </si>
  <si>
    <t>The humor stems from the contrast between this assumption and how the rest of the world actually functions.</t>
  </si>
  <si>
    <t>Meme with text about Florida: “the more North you go, the farther South you’re in”; below is Captain America with the caption “Ancient Egyptians: I understood that!”</t>
  </si>
  <si>
    <t>1g7yhzc</t>
  </si>
  <si>
    <t>The OP is trying to say that certain people, especially trans women over a certain age who use the internet, type in a very distinct, tumblr-esque, "chronically online" style. The person who replies is trans (as you can tell by the flag in their username) and uses a lot of abbreviations and certain punctuation that is seemingly the exact style of writing the OP was describing. The joke is that, ironically, the person in that category doesn't seem to realise there is a distinctive style of writing, despite the fact they themselves are using it (although this may be satire/intentional) Edit: In addition, as many of the replies suggested, there's a bit of another layer: they are most likely (like 99% chance) overexaggerating the unique typing to join in on the joke - sarcastically saying "I have noooo idea what you could mean by that", basically :)</t>
  </si>
  <si>
    <t>Screenshot of a tweet mentioning a “28+ year old trans girlfriend and how they type”; below, a reply says: “hey rq i’m just Really Curious what u mean by that,,,,”.</t>
  </si>
  <si>
    <t>The humor arises from the person incorrectly assuming that the message is about them, simply because it is written in an informal tone.</t>
  </si>
  <si>
    <t>The humor comes from the fact that the conclusion is made without any supporting evidence in the tweet.</t>
  </si>
  <si>
    <t>1g8raiu</t>
  </si>
  <si>
    <t>Pocket sand! Dale Gribble (the character pictured) uses pocket sand as a diversion/weapon.</t>
  </si>
  <si>
    <t>A meme captioned "that mini heart attack when you can't feel one of these in your pocket" with a cartoon man's shocked face in the background, overlaid with images of a wallet, sunglasses, a keyring, a smartphone, and a pile of sand or fine powder.</t>
  </si>
  <si>
    <t>Wallet, phone, keys, shades — and that one little mound of sand you simply cannot leave the house without.</t>
  </si>
  <si>
    <t xml:space="preserve"> Pocket inventory checklist now includes a mysterious heap of powder.</t>
  </si>
  <si>
    <t>1ga3uxo</t>
  </si>
  <si>
    <t>It prints out the 8th letter of the Sinhala alphabet, which is the official language of Sri Lanka. The alphabet looks like this: ඞ Amogus.</t>
  </si>
  <si>
    <t xml:space="preserve">It is a script that deletes your entire computer. </t>
  </si>
  <si>
    <t>It is a script that installs a virus that sends all your passwords and usernames to hackers.</t>
  </si>
  <si>
    <t>An image shows Peter Griffin from Family Guy running through a field while being chased by a plane. Overlaying the scene is a line of Python code and a warning to not print it, calling it the "worst mistake of my life."</t>
  </si>
  <si>
    <t>1gazv8u</t>
  </si>
  <si>
    <t>Saddam hussein hiding spot</t>
  </si>
  <si>
    <t>The humor comes from how widely human perceptions of what is threatening can vary.</t>
  </si>
  <si>
    <t>The humor arises from how primitive human pattern recognition can be in certain situations.</t>
  </si>
  <si>
    <t>Comic showing an ape asking for a “pattern-seeking brain”, an image of DNA, and a final panel with an object on the ground.</t>
  </si>
  <si>
    <t>1gboomw</t>
  </si>
  <si>
    <t>Squawking 7500 signifies an aircraft being hijacked and could result in an aircraft being escorted by military forces</t>
  </si>
  <si>
    <t xml:space="preserve"> A meme captioned "My instructor after i put the cheat code (7500) and enter military airspace" with a screaming, wide-eyed, sweaty close-up of Shaquille O'Neal in a purple shirt.</t>
  </si>
  <si>
    <t>Flight school flipped into a multiplayer lobby with extremely armed referees.</t>
  </si>
  <si>
    <t>The aviation transponder code that summons fighter jets, dressed up as a Konami cheat.</t>
  </si>
  <si>
    <t>1gidb47</t>
  </si>
  <si>
    <t xml:space="preserve">In real life, most hackers are scammers who rely on exploiting people’s trust to obtain passwords rather than bypassing them.   </t>
  </si>
  <si>
    <t xml:space="preserve">The humor arises from the absurdity of an old man “hacking” by using outdated social tricks to obtain personal information in modern days </t>
  </si>
  <si>
    <t>The humor comes from the mismatch between the term “hacking” and the act of simply asking people for their information.</t>
  </si>
  <si>
    <t>Two-part meme: top shows a person with a laptop and text “writes a few lines of code ‘I’m in.’”; bottom shows another person at a computer with text about asking for passwords.</t>
  </si>
  <si>
    <t>1gmxl68</t>
  </si>
  <si>
    <t>The trend of modern cars is to have everything controlled with a touchscreen. You could set the mechanical knobs and switches without losing attention to the road. With modern touch based controls, thats not possible.</t>
  </si>
  <si>
    <t>Three knobs, zero menus, and a thermostat that worked on the first try.</t>
  </si>
  <si>
    <t>The peak of HVAC engineering before touchscreens decided to ruin defrost.</t>
  </si>
  <si>
    <t>An image of a car's analog climate control panel with three physical knobs — a fan speed dial, a temperature dial with red and blue arc, and a vent direction dial — plus recirculation and A/C buttons. Below it reads "EVERYTHING AFTER THIS WAS A MISTAKE."</t>
  </si>
  <si>
    <t>1gop1dk</t>
  </si>
  <si>
    <t>The Joke is, when a small Child sleeps at this time of the day, it will BE awake all night and you dont want that to happen as a parent.</t>
  </si>
  <si>
    <t>The humor lies in the assumption that you will feel bored when your significant other falls asleep</t>
  </si>
  <si>
    <t>The humor stems from the self-awareness of feeling foolish for engaging with someone who is clearly tired.</t>
  </si>
  <si>
    <t>Tweet with text about trying to entertain someone so they don’t take a long nap; below is a yellow emoji holding a bat.</t>
  </si>
  <si>
    <t>1gp140e</t>
  </si>
  <si>
    <t>A platypus? Perry the Platypus!</t>
  </si>
  <si>
    <t xml:space="preserve">It is funny because it looks like Perry the Platypus. </t>
  </si>
  <si>
    <t xml:space="preserve">It is funny because it is a famous abstarct painting. </t>
  </si>
  <si>
    <t>An image captioned "How does my brain understand this" with a crying emoji, showing four abstract squiggle drawings made of teal, orange, and brown shapes that loosely resemble a chicken, a chicken with an egg, a question mark, and an exclamation mark.</t>
  </si>
  <si>
    <t>1gp5i8t</t>
  </si>
  <si>
    <t>"Its a joke about different workplace cultures in tech. Dell laptops would be a standard run of the mill company, MacBooks would be a start-up, thus if funding doesn't work out you'll get laid off, and a Thinkpad would be a sign of a large behemoth where you can comfortably exist for your whole career"</t>
  </si>
  <si>
    <t xml:space="preserve">It's based on the fact that most companies with MacBooks doesn't have a lot of money and the only reason they can afford to give their employees that, is because there aren't many employed. </t>
  </si>
  <si>
    <t>A screenshot of a post lists different laptop brands and what they supposedly imply about a new tech job. It says that receiving a Dell laptop means the employee has three warnings before being fired, receiving a MacBook means the job depends on the next funding round, and receiving a Lenovo ThinkPad means the employee will probably stay there for 28 years.</t>
  </si>
  <si>
    <t>It is based on a joke from friends where Ross has to buy a new computer</t>
  </si>
  <si>
    <t>1gqh1c5</t>
  </si>
  <si>
    <t>This person used to work in a kitchen, where you ABSOLUTELY need to inform people when you’re near them. Otherwise you get stabbed or cause an accident.  The joke is they’re still using that mindset even in a relaxed office break room.  Edit: may also be because they watched the bear and are acting it out, as some comments have nicely, and not so nicely pointed out lol.</t>
  </si>
  <si>
    <t>The humor lies in the contrast between a mundane work situation and the dramatic style of a football commentary.</t>
  </si>
  <si>
    <t>he humor stems from the extreme exaggeration, where a minor situation is framed as an imminent physical threat.</t>
  </si>
  <si>
    <t>Tweet text: “shouting ‘corner!’ and ‘behind!’ while heating up cup noodles in the office break room”.</t>
  </si>
  <si>
    <t>1grd05j</t>
  </si>
  <si>
    <t>"Germans are not renowned for being very funny. The joke that the German gave was "Two hunters meet, both are dead." In German, this is more like "Two hunters hit, both are dead." Wherein hit could mean Meet or Shot. Originally you suspect its that they meet, then they subvert your expectation by saying both are dead."</t>
  </si>
  <si>
    <t>A screenshot of an imageboard thread shows someone asking users to translate a joke from their country. A reply says, “Two hunters meet. Both are dead.” Another reply comments that this is the peak of German comedy.</t>
  </si>
  <si>
    <t>Germans are known for their over the top humor</t>
  </si>
  <si>
    <t>The joke is a reference to an old nursesry rhyme</t>
  </si>
  <si>
    <t>1gs87cm</t>
  </si>
  <si>
    <t>whenever Paul rudd goes on Conan, instead of showing an actual clip from one of his movies, he shows a clip of this kid in a wheelchair falling off a cliff</t>
  </si>
  <si>
    <t>The humor arises from the idea that, with advancing AI, Conan could now create and show a video of Rudd in a wheelchair.</t>
  </si>
  <si>
    <t>The humor comes from the playful dynamic between Conan and Rudd, who are known to joke with each other.</t>
  </si>
  <si>
    <t>Tweet saying “Paul Rudd has the opportunity to do the funniest thing ever”; below is a post about Conan O’Brien hosting the Oscars 2025 and a photo of Conan O’Brien.</t>
  </si>
  <si>
    <t>1gtbssx</t>
  </si>
  <si>
    <t>So the joke is from Warhammer 40k And the big guy is a space marine (basically a human super soldier) The guy holding the pic is just a normal human part of the imperial guard (normal army schtick) And based on the lore, Imperium of Man (humanity's biggest faction) is notoriously xenophobic. They absolutely detest anything that's not human. So the space marine is saying/asking to the guardsmen that is he dating an alien.</t>
  </si>
  <si>
    <t>She does have large ears, and the man is implying that she should have them reduced. The joke is therefore offensive because it reduces a woman to her appearance.</t>
  </si>
  <si>
    <t>The guard is clearly jealous, so if he wants the girl, he would have to get rid of the husband.</t>
  </si>
  <si>
    <t>A comic shows a large armored figure pointing a weapon at a soldier and shouting “Guardsman!” The soldier is holding a picture of a woman, while the armored figure comments that the soldier’s wife’s ears are longer than most.</t>
  </si>
  <si>
    <t>1guacve</t>
  </si>
  <si>
    <t xml:space="preserve">When I went to go visit my family in Germany for the first time, we spent at least one night having a contest for who can open a beer bottle in the most creative way.  Let’s just say that everything can be used as a beer opener if you really want it to.   </t>
  </si>
  <si>
    <t>The humor comes from the idea that using a bottle opener is seen as unusual or overly showy in this context.</t>
  </si>
  <si>
    <t>The humor arises from the stereotype that Germans open bottles using their teeth.</t>
  </si>
  <si>
    <t>Text at the top says: “Germans watching someone open his/her beer with a bottle opener”; below is a man in a blue superhero suit looking displeased.</t>
  </si>
  <si>
    <t>1gvvhs3</t>
  </si>
  <si>
    <t>Tea" is slang for gossip"</t>
  </si>
  <si>
    <t xml:space="preserve">It is incongruous because a flight attendant would never divuldge this kind of information ti a passenger. </t>
  </si>
  <si>
    <t xml:space="preserve">It is funny because the woamn who asked for the tea is the wife. </t>
  </si>
  <si>
    <t>A flight attendant offers a passenger a choice between coffee or tea, to which the passenger selects tea. The flight attendant then leans in and shares a secret about the captain having a second family while his wife is on the same plane.</t>
  </si>
  <si>
    <t>1gx0pu0</t>
  </si>
  <si>
    <t>So basically Pikachu(yellow one) is a normal Pokémon while Mew (white one) is an extremely rare Pokémon with phenomenal powers and basically considered a god in the Pokémon universe. But it is kinda a childish Pokémon who enjoys nature and loves to play.</t>
  </si>
  <si>
    <t>Image from Pokémon: Mew and Pikachu are standing on grass; Pikachu is holding a spinning top-like object; below is a Tumblr-style caption beginning with “aspidelaps:” and text about meeting Jesus.</t>
  </si>
  <si>
    <t>The humor lies in the exaggeration of Pikachu’s status as a divine figure.</t>
  </si>
  <si>
    <t>The humor comes from the scene where Pikachu briefly dies and encounters a higher power, creating an ironic contrast.</t>
  </si>
  <si>
    <t>1gz2i0o</t>
  </si>
  <si>
    <t>I believe it’s Plymouth Rock.  Something about being where the pilgrims first landed in America. So a big deal historically, but a pretty boring rock in reality</t>
  </si>
  <si>
    <t>The humor arises from the idea that disappointing one’s mother is one of the worst things, which the joke plays on.</t>
  </si>
  <si>
    <t>The humor stems from the disrespect of mocking a figure portrayed as divine.</t>
  </si>
  <si>
    <t>Photo of a stone on a sandy ground near water behind a metal fence; text over the image reads: “You’ll never disappoint your mom as much as this stone disappoints tourists.”</t>
  </si>
  <si>
    <t>1gzkbbi</t>
  </si>
  <si>
    <t>Colin Kapernik was kneeling during the national anthem to protest the killings of unarmed black men by police officers alongside BLM, the bottom image is NFL guys celebrating with the Trump dance (because they're like supporting him and his stances)</t>
  </si>
  <si>
    <t>Meme with text “WE WENT FROM THIS” above an image of three African American football players kneeling; below are images of other football players standing, followed by “TO THIS...”.</t>
  </si>
  <si>
    <t>The humor arises from the shift from a diverse football team to one that appears more uniform and dominated by a single type.</t>
  </si>
  <si>
    <t>The humor comes from the contrast between past formality in football, where players showed respect (e.g. kneeling), and a more informal, indifferent attitude today.</t>
  </si>
  <si>
    <t>1h03n16</t>
  </si>
  <si>
    <t>usually when you’re doing experiments there’s something called the Margin of Error. In some science assignments you need to do the experiment either more than once or compare with another example to find out how off you were. Different experiments may have different parameters. This is a version of the equation that I’ve seen as most common. The joke is that they did it so terribly that their error is ridiculously large. The two in the picture are Einstein and Oppenheimer so the lab partners can’t understand how their equation could possibly be wrong.</t>
  </si>
  <si>
    <t>The Einstein-Oppenheimer pond chat reimagined as a frantic post-lab debrief.</t>
  </si>
  <si>
    <t>A meme using a still from the film Oppenheimer showing Albert Einstein and J. Robert Oppenheimer talking solemnly by a pond, captioned "Me and my lab partner discussing how we got a 347% error."</t>
  </si>
  <si>
    <t>Two physicists having "the conversation" about a chemistry lab that defied physics itself.</t>
  </si>
  <si>
    <t>1h066h6</t>
  </si>
  <si>
    <t>It’s a honeypot cryptocurrency shitcoin. Basically the developers of the coin locked anyone from selling but themselves so it’s impossible for him to sell.</t>
  </si>
  <si>
    <t>A screenshot of a tweet from "Tony" (@0xRacist) captioned "Who's gonna tell him?" showing a candlestick chart with a steep upward trend in green, followed by text messages reading "Holy fuck bro I'm up like 10x already and it keeps going up" and "When do I sell?"</t>
  </si>
  <si>
    <t xml:space="preserve">Its because he actually isnt a net positive. </t>
  </si>
  <si>
    <t>IFirst-time trader discovers the y-axis.</t>
  </si>
  <si>
    <t>1h52vkf</t>
  </si>
  <si>
    <t>People have been reporting that when you give ChatGPT a prompt that involves David Mayer it breaks the session.  Nobody seems to know why yet, some are saying it is because he had his info pulled, but because he is a Rothschild people are coming up with all sorts of conspiracy theories.</t>
  </si>
  <si>
    <t>The humor arises from the tendency to overestimate AI’s capabilities, assuming it can solve virtually any problem.</t>
  </si>
  <si>
    <t>The humor stems from the contrast between the hype surrounding AI and the robot’s indifferent response.</t>
  </si>
  <si>
    <t>Text at the top says: “What’s the next test?” followed by: “ChatGPT watching everyone asking it to write ‘David Mayer’ after it just learnt that strawberry has 3 r’s”; below is an image of a humanoid robot with a neutral expression.</t>
  </si>
  <si>
    <t>1h53lb4</t>
  </si>
  <si>
    <t>There's a joke about A freakishly strong, skinny, and tall individual called SCP-096 who doesn't like to be looked at, the joke is that he is shown in this photo (A whole 4 pixels) and after noticing said individual they will attempt to kill you.</t>
  </si>
  <si>
    <t>A screenshot of a Twitter post by Liv (@Liv_Agar) reading "Fun fact: there are four pixels in the background of this photo that will do something really cool when you notice them," quote-tweeting an earlier post captioned "Look before you leap!" with a photo of a smiling person in ski goggles, a helmet, and a black "Tsunami Hazard Zone" hoodie on a snowy mountain, with a small "Notice: Look Before You Leap" sign visible in the background.</t>
  </si>
  <si>
    <t>Internet sleuths assembling for the most underwhelming Where's Waldo of all time.</t>
  </si>
  <si>
    <t>Bait so transparent it qualifies as performance art.</t>
  </si>
  <si>
    <t>1h5a44z</t>
  </si>
  <si>
    <t>According to reverse image search, that is the Master Debater guy.  He became a meme when he was the "Both" guy in the conversation at the bottom of the text. So, he would disarm the stupid fucking shit Jigsaw says and just refuse the trial until he gets let go     LGBTQ rights or economic stability?     - Why can't you have both?     - You need to pick one.     - Refuse the question. - LGBTQ rights or economic stability? - Why can't you have both? - You need to pick one. - Refuse the question. - You can't refuse the question. - I do. - But you can't. - But I did. - But you need to pick one. - No, I don't. - I just said you did. - Hahaha, so what? - Can you pick one? - No, because they're both doable. - No, only one. - I don't have to pick one because we can have both. - But the answer is that both is not an answer. It's not a valid answer. - I reject your question. - You can't reject it. - Just did. - Can you pick one? - I don't have to. - Why? - Because they're both completely doable. - So LGBTQ rights or economic stability? - Both. - That's not an answer. - Yes it is. - LGBTQ rights or economic stability. - Both. - Are you trying to troll me. - No. - I'm just wondering which one you like more. - I like them both, - You can't have both. - Yes you can. - Not in this question. - Haha, too bad. - Why are you trolling me right now? - Because I don't have to choose. - Well, if I had to ask you gender inclusivity or economic stability? - You can have both. - You can't. - Why make this so difficult? I'm trying to pass my final. - Too bad. - Which one do you pick? - I pick them both. - Uhm, that's not a vaild answer. - Too bad. - Okay. [Shaking hands] - Thank you. -Thank you.</t>
  </si>
  <si>
    <t>The humor arises from the assumption that the man, being from Ghostbusters, would easily defeat the threat.</t>
  </si>
  <si>
    <t>Screenshot of a tweet asking: “what are two characters you’d wanna put in a room together just to see what happens”; above are two images, one of a man in a jacket outdoors and one of a puppet-like face on a screen.</t>
  </si>
  <si>
    <t>The humor comes from the obvious imbalance, where the monster would clearly overpower the man, leaving him with no chance of survival.</t>
  </si>
  <si>
    <t>1h626bt</t>
  </si>
  <si>
    <t>His grades went down in history.  "Rudolph the Red-Nosed Reindeer, you'll go down in history" are the lyrics</t>
  </si>
  <si>
    <t>A cartoon reindeer with a red nose is sitting at a desk holding a report card. The card shows grades for subjects like math, science, English, history, art, and gym, with mixed grades (e.g., B-, A, B, D, A-). Other reindeer students are visible in the background holding similar papers.</t>
  </si>
  <si>
    <t>His nose is red because he feels anxious about his grades</t>
  </si>
  <si>
    <t>He is worried that others will notice and judge his results.</t>
  </si>
  <si>
    <t>1h779tg</t>
  </si>
  <si>
    <t>These are not good picks for this cast, they're just random popular celebrities right now.</t>
  </si>
  <si>
    <t xml:space="preserve"> A screenshot of a tweet from "nopeify" (@nopeify) with the caption "Bro started watching movies 2 weeks ago." The image shows a fan-cast graphic titled "perfect teen titans cast doesn't exist" with Timothée Chalamet as Robin/Nightwing, Jenna Ortega as Raven, Tom Holland as Beast Boy, Zendaya as Starfire, and Dwayne "The Rock" Johnson as Cyborg.</t>
  </si>
  <si>
    <t>Every role filled by whoever was on a magazine cover that month.</t>
  </si>
  <si>
    <t>Fan-casting limited entirely to the five actors trending on the homepage.</t>
  </si>
  <si>
    <t>1h7di4x</t>
  </si>
  <si>
    <t>he wants to shape the world according to his own liking.</t>
  </si>
  <si>
    <t>The humor stems from the implicit assumption that the world is imperfect</t>
  </si>
  <si>
    <t>The humor arises from the friend treating the world as if it requires a simple, serious “fix,” like applying a bandage.</t>
  </si>
  <si>
    <t>Text at the top says: “How I look at bro after we get superpowers and he says ‘let’s fix the world’ instead of ‘save’”; below is a close-up of a man looking sideways with a serious expression.</t>
  </si>
  <si>
    <t>1h7ih54</t>
  </si>
  <si>
    <t>The movie is pet sematary, the kid in the pic gets killed by a truck in front of his dad. Many kids were introduced to death by the movie when it was new.</t>
  </si>
  <si>
    <t xml:space="preserve">It is funny because it is about the difference between Gen X and Millenials. </t>
  </si>
  <si>
    <t>A two-panel image with the top showing an animated scene of Simba next to Mufasa's body from The Lion King with text "Most kids were introduced to death in this movie scene," and the bottom showing a live-action scene of a small child running across a field toward a red toy with an adult chasing behind, labeled "This was mine!"</t>
  </si>
  <si>
    <t xml:space="preserve">It is a dark reference to someone saying they were intorduced to death through the death of their younger sibling. </t>
  </si>
  <si>
    <t>1h8d39n</t>
  </si>
  <si>
    <t>(deep breath) Here we go, in Zootopia, Disney made several significant changes to the plot before its release, altering the film's tone and themes. Originally, all predators were supposed to wear control collars that shocked them when they felt strong emotions, symbolizing societal oppression, but this concept was deemed too dark for a family movie. The initial story also presented a bleaker view of discrimination, with prey animals as the oppressors of predators, which was shifted to focus on cooperation and understanding instead. The main villain was Initially going to be Mayor Swinton, a pig representing societal control, but was changed to Bellwether, a sheep whose betrayal added a surprising twist. Nick Wilde's backstory was originally darker, emphasizing his childhood trauma from prejudice, but this was toned down for a lighter narrative. The first draft included a storyline where Nick dealt with a virus causing savage behavior but managed to control it, this was simplified in the final version to highlight themes of acceptance.  (Sigh of relief)</t>
  </si>
  <si>
    <t>The humor arises from Disney’s tendency to distance itself from weak plot lines, despite being a dominant and serious player in the industry.</t>
  </si>
  <si>
    <t>The humor comes from the irony that the original production team threatened legal action.</t>
  </si>
  <si>
    <t>Split image with text on the left: “The zootopia plot Disney gave us” and below “The original Zootopia plot Disney denied”; on the right are two images of a man in a suit, one smiling and one serious.</t>
  </si>
  <si>
    <t>1h9qk3m</t>
  </si>
  <si>
    <t>They're flying to Turkiye to get hair plugs; for some reason that country is the world capital for hair transplants.</t>
  </si>
  <si>
    <t>"Bald is beautiful" holding firm right up until the boarding pass to Turkey scans.</t>
  </si>
  <si>
    <t>A four-panel comic by Mesut Kaya. The first panel shows a plane full of bald-headed passengers, with one asking "Did you notice how many bald people are on this flight?" The second panel shows a bald passenger replying confidently "Well, bald is beautiful!" The third panel shows a couple with a baby visiting Turkey, marked by a Turkish flag. The final panel returns to the plane on the trip home, now revealing all the formerly bald passengers wearing fresh hair transplant headbands across their scalps.</t>
  </si>
  <si>
    <t>A flight home from Istanbul that quietly explains the entire passenger manifest.</t>
  </si>
  <si>
    <t>1haf45x</t>
  </si>
  <si>
    <t>Browser history was cleared.</t>
  </si>
  <si>
    <t>A two-panel comic by Twonks. The first panel shows a presenter at a podium addressing an audience, saying "Welcome to 'History of the Internet'" with a title slide on screen. The second panel shows him clicking to the next slide, which displays "NO ENTRIES FOUND."</t>
  </si>
  <si>
    <t>Speaker realizing in real time that nobody saves their search history.</t>
  </si>
  <si>
    <t>A lecture defeated by the audience's collective browser-clearing habits.</t>
  </si>
  <si>
    <t>1hauo6q</t>
  </si>
  <si>
    <t>A McDonald's employee collected the prize bag on identifying the UnitedHealth CEO assassin.</t>
  </si>
  <si>
    <t>A “Marked Safe” style post is shown with a small blue flag icon above the text. The message says that the person is marked safe from being the most hated McDonald’s employee in the country today.</t>
  </si>
  <si>
    <t>No matter how hated you think you are there is always someone people hate even more lol.</t>
  </si>
  <si>
    <t>Working at McDonald’s already makes some people judge you because of all the boycotts and politics around it.</t>
  </si>
  <si>
    <t>1hbogj4</t>
  </si>
  <si>
    <t>The United Health Care CEO shooter was recently apprehended in Pennsylvania in a McDonald’s after a tip was called in by another customer, contrary to the current belief that it was an employee. The meme is implying that the McDonald’s worker would also snitch on Anne Frank, who was hiding in an attic from the Nazis, because of the belief a McDonald’s employee snitched</t>
  </si>
  <si>
    <t>Comparing Anne Frank hiding from the Nazis to someone being murdered by a civilian from a major company makes no sense. Those two situations are nowhere near the same level.</t>
  </si>
  <si>
    <t>Anne Frank’s hiding place has become such a tourist spot now that there is even a McDonald’s nearby where people can ask for directions.</t>
  </si>
  <si>
    <t>A fast-food worker is shown smiling while holding a kitchen utensil. The text above her says, “Anne Frank? Yeah, she’s in the attic.”</t>
  </si>
  <si>
    <t>1hcpvbz</t>
  </si>
  <si>
    <t>One of my fav episodes :D Peppa spends the whole episode being envious that others can whistle and tries do it as well. And it finishes like that. The expression and the timing kill me every time. And i'm a 32 yo dude :D (with 2 daughters)</t>
  </si>
  <si>
    <t>If you watch Peppa Pig, the show will gradually teach you how to whistle, as it presents simple, child-friendly situations where characters demonstrate and practice the skill.</t>
  </si>
  <si>
    <t>A screenshot of a tweet showing Peppa Pig standing indoors next to a wall-mounted telephone, pressing a button. Below the image, another user comments: “anyway can yall whistle ?”. The interface shows likes, retweets, and replies.</t>
  </si>
  <si>
    <t>The humor comes from the idea that Peppa is calling her parents to help her learn how to whistle.</t>
  </si>
  <si>
    <t>1hdbees</t>
  </si>
  <si>
    <t>I believe that way of hitting the metal is called upsetting.</t>
  </si>
  <si>
    <t>An image captioned "This illustration is upsetting" showing a technical diagram of two hands using a hammer and a pair of tongs to work a metal rod on an anvil, but the perspective and proportions of the anvil make it strongly resemble something else.</t>
  </si>
  <si>
    <t>Metalwork manual that needed one more proofreading pass before printing.</t>
  </si>
  <si>
    <t>Blacksmithing tutorial drawn at the worst possible camera angle.</t>
  </si>
  <si>
    <t>1heeibu</t>
  </si>
  <si>
    <t>It’s a joke in the computer science and programming industry, where people wearing thigh-high socks make up the majority of professionals. Same thing goes for the IT-industry, where the joke is that furries make up majority of the IT sector and without them, society would collapse!</t>
  </si>
  <si>
    <t>He is actually sitting in the wrong class. He thinks “CS” means Computer Science, but in this context it can also mean Company Secretary, which explains the whole idea of working your way up in a corporate career.</t>
  </si>
  <si>
    <t>They both seem to have misunderstood what class they are in. One person is thinking about computer science, while the other is talking about a corporate career path, so the conversation is happening on two completely different tracks.</t>
  </si>
  <si>
    <t>A classroom scene where one student suggests wearing pink socks, another questions the class, and a third confirms it is computer science.</t>
  </si>
  <si>
    <t>1hevxkv</t>
  </si>
  <si>
    <t>"He's really happy while doing a boring job. People think that it's weird that he is so happy. But he is happy because he is loved, but people can't see that."</t>
  </si>
  <si>
    <t>Its a refernce to the knocking pattern "a shave and a haircut two bits"</t>
  </si>
  <si>
    <t>The joke is about misleading advertising, where businesses exaggerate their offers to attract attention but donï¿½t deliver what people expect.</t>
  </si>
  <si>
    <t>The image shows a barber fixing a broken sign while people walk past on the street.</t>
  </si>
  <si>
    <t>1hfggtz</t>
  </si>
  <si>
    <t>Drywall vs WALL</t>
  </si>
  <si>
    <t>The humor arises from the exaggerated idea that, in Europe, punching a wall is not enough to release frustration, as shown by the girl escalating the reaction by pulling her hair.</t>
  </si>
  <si>
    <t>Two-panel image with text on the left: “When Americans punch their wall” above an anime character punching a wall; below: “When Europeans punch their wall” above the same character holding their head in pain.</t>
  </si>
  <si>
    <t>The humor arises from the specific contrast that, instead of reacting with physical aggression like punching a wall (stereotypically associated with Americans), the European reaction is portrayed as breaking down and crying.</t>
  </si>
  <si>
    <t>1hh0vwh</t>
  </si>
  <si>
    <t>Okay y’all I’ll explain it: the lips invited the wrong cheeks to the face party and the mistletoe makes this mistake way funnier</t>
  </si>
  <si>
    <t>A Scott Hilburn comic dated 12/20. A pair of anthropomorphic lips arriving at a party stops at the front door, sees a sprig of mistletoe hanging above, and thinks "OH NO." Inside the house, other anthropomorphic body parts — a nose, ears, and an eye — mingle holding wine glasses.</t>
  </si>
  <si>
    <t>Mistletoe etiquette becomes an existential crisis when you're walking lips.</t>
  </si>
  <si>
    <t xml:space="preserve"> A party of facial features and the only attendee who must kiss everyone is panicking at the door.</t>
  </si>
  <si>
    <t>1hhkhlc</t>
  </si>
  <si>
    <t>"Mount Everest is the tallest mountain in the world, but the second tallest mountain, K2, has a higher death-per-climber percentage."</t>
  </si>
  <si>
    <t>A meme shows a golden retriever labeled “world’s tallest mountain” next to a large aggressive-looking wolf-like animal labeled “world’s second tallest mountain.”</t>
  </si>
  <si>
    <t>The second tallest is actually taller if you measure from the water surface</t>
  </si>
  <si>
    <t>The second tallest mountain is wider and therefore bigger</t>
  </si>
  <si>
    <t>1hjwowy</t>
  </si>
  <si>
    <t>It was posted by someone who identifies as GenX. That’s all there is to it.</t>
  </si>
  <si>
    <t xml:space="preserve">Gen X is uusally not as mentioned when discussing generational differences. </t>
  </si>
  <si>
    <t>A four-panel meme characterizes different generations through various emotional reactions: Millennials and Boomers are shown shouting and pointing, while Gen Z is shown crying into a headset. In the final panel, Gen X is depicted looking on calmly while holding a drink.</t>
  </si>
  <si>
    <t xml:space="preserve">It shws people depicted by their age. </t>
  </si>
  <si>
    <t>1hmbnol</t>
  </si>
  <si>
    <t>That command line, “sudo rm -fr /\*” is a command to remove the french language pack from your computer… *Technically* It does this by completely wiping your entire system, including the OS. Basically bricking your computer and forcing you to do a full reinstall of the operating system.</t>
  </si>
  <si>
    <t>The humor arises from the absurdity of having the French language unexpectedly on a computer and needing to write code to remove it, suggesting unnecessary extra work.</t>
  </si>
  <si>
    <t>Screenshot with text: “ Linux tips  1. Always remove the french language pack: sudo rm -fr /*”; below are two faces labeled “PEOPLE WHO DON’T KNOW” and “PEOPLE WHO KNOW…”.</t>
  </si>
  <si>
    <t>The humor comes from the implied frustration, where repeated interference from the language setting leaves the person visibly exhausted.</t>
  </si>
  <si>
    <t>1hph3za</t>
  </si>
  <si>
    <t>If i recall properly this was posted here in the past. Basically a lot of online recipes start off with some useless and oftentimes unrelated story before revealing the recipe. The poster makes fun of that using an exaggerated piece of information to reveal his awesome baked beef rigatoni.</t>
  </si>
  <si>
    <t>When the only acceptable intervention is a casserole at the door.</t>
  </si>
  <si>
    <t>A screenshot of a tweet from Dan White (@atdanwhite) reading: "My friend Mitch's wife got drunk and let it slip that they haven't made love in 3 years because he's addicted to online pornography so tonight I surprised them with my famous baked beef rigatoni." The attached photo shows a glass baking dish full of cheesy baked rigatoni with beef and melted cheese on top.</t>
  </si>
  <si>
    <t>A marital crisis met with pasta diplomacy.</t>
  </si>
  <si>
    <t>1hqjjs0</t>
  </si>
  <si>
    <t>This is the ending of the first episode of a two parter. The first thing to know is that House is genius doctor who specialises in diagnosis. At the beginning of the episode House is involved in a serious bus crash and suffers a head injury. He has no memory of the events leading up to the bus crash (he was also very drunk) but is absolutely convinced that he saw somebody on the bus suffering symptoms of a deadly illness prior to the crash, but he can't remember it. Thoughout the episode he tries hard to remember what happened, trying several techniques such as hypnosis and getting high to try and bring his subconscious memories to the surface. During his visions he keeps seeing the woman in the picture but can't figure out who she is. Finally while talking to the woman in a vision (iirc he puts himself into cardiac arrest to get here) she asks him "What's my necklace made of?" and he realises that it's made of *Amber*. Amber is the name of his best friend's serious girlfriend, and he realises that she was on the bus with him and that she's the one who's dying. The next episode features him trying to diagnose her and remember exactly what he saw to make her think that she's dying. In the end he figures it out but it isn't possible to save her and she dies. The two partner is generally considered to be one of the best episodes in the series by the fanbase.</t>
  </si>
  <si>
    <t>A screenshot of a tweet from "WANZI got s-worded" (@ZiZiGee_127) saying "sorry like this is one of the best twists in TV history actually." It quote-tweets an "out of context house m.d." post showing three stills from House M.D.: a woman asking "What's my necklace made of?", a close-up of her amber pendant, and Dr. House reacting with a stunned "No."</t>
  </si>
  <si>
    <t>House M.D. plot twist delivered exclusively through jewelry composition.</t>
  </si>
  <si>
    <t>Amber pendant single-handedly unraveling a man's medical worldview.</t>
  </si>
  <si>
    <t>1hql3cv</t>
  </si>
  <si>
    <t>Tank you A ri gator?</t>
  </si>
  <si>
    <t xml:space="preserve">It is  making a joke of animosity between the two countries during WW2. </t>
  </si>
  <si>
    <t>This image features a comparison titled "Saying ‘thank you’" divided into two sections. The "English" section displays a person wearing a homemade cardboard tank costume, while the "Japanese" section shows a close-up photograph of an alligator.</t>
  </si>
  <si>
    <t xml:space="preserve">This is a refrence to the palanes used in ww2. </t>
  </si>
  <si>
    <t>1hqtnop</t>
  </si>
  <si>
    <t>An infamous advertisement in Britain saying that the government will be providing for the needs of homeless people, but it reads like they will mutilate them instead: "We plan to cut homeless people in half in 2025.</t>
  </si>
  <si>
    <t>Text at the top: “Homeless people on December 31st 2024:” above a photo of a sweating man looking sideways with a serious expression.</t>
  </si>
  <si>
    <t>The humor arises from the contrast between New Year’s Eve as a celebratory event and the heightened vulnerability of homeless individuals who have no secure place to stay during the fireworks.</t>
  </si>
  <si>
    <t>The humor comes from the dark implication that fireworks may disturb or even be directed toward makeshift sleeping areas, highlighting an uncomfortable social reality.</t>
  </si>
  <si>
    <t>1htm33y</t>
  </si>
  <si>
    <t>Philomena Cunk, a character played by Diane Morgan, whose comedy act is to do fake documentaries while asking comically stupid questions and giving stupid answers.</t>
  </si>
  <si>
    <t>The joke is mainly in the punchline itself. Because B comes after A in the alphabet</t>
  </si>
  <si>
    <t>This is dark humor at its finest.</t>
  </si>
  <si>
    <t>A screenshot shows one user asking why the United States made a USB if the USA is so great. Below it, another user responds with an image of a woman raising her hand as if about to explain something.</t>
  </si>
  <si>
    <t>1hudgc9</t>
  </si>
  <si>
    <t>Go post this on Wallstreetbets. They'll find it hillarious</t>
  </si>
  <si>
    <t>The sky delivering its answer in the universal symbol for "close enough."</t>
  </si>
  <si>
    <t>A meme captioned "God please give me a sign / the sign:" above a nighttime photograph of a jagged lightning bolt over a city skyline, with two parallel teal lines drawn alongside the bolt highlighting its zig-zag shape as a math notation indicating "approximately equal to."</t>
  </si>
  <si>
    <t>Divine signal sent in pure mathematical notation, no translation needed.</t>
  </si>
  <si>
    <t>1huqauz</t>
  </si>
  <si>
    <t>Absolutely every single human with a pulse calls the it the "X" button regardless of console. PlayStation insists that it's actually called "cross" on theirs for some reason and is politely corrected with a Futurama meme.</t>
  </si>
  <si>
    <t>The humor arises from the systematic mapping, where each object is translated into another based on a simple rule (e.g., a cross becomes a circle).</t>
  </si>
  <si>
    <t>Screenshot of a PlayStation UK post listing “Triangle, Circle, Cross, Square” and asking: “If Cross is called X (it’s not), then what are you calling Circle?”; below is a Futurama scene with a PlayStation logo over one character and text “WRONG AGAIN IDIOT”.</t>
  </si>
  <si>
    <t>The humor comes from the unexpected continuation of this rule, where a circle is then mapped to a square.</t>
  </si>
  <si>
    <t>1hvaqk7</t>
  </si>
  <si>
    <t>They can mean a number of things, but they're mostly just for decoration. This is just a troll meme.</t>
  </si>
  <si>
    <t xml:space="preserve">This is funny beacuse all country folk know that the star is a symbol for prorperous haverst and protection of animals. </t>
  </si>
  <si>
    <t>In America it is for framers to show their pride in the American flag</t>
  </si>
  <si>
    <t>A meme featuring a photo of a red barn with a white "barn star" and text stating that "country folks" can't believe people don't know its meaning</t>
  </si>
  <si>
    <t>1hw0vwf</t>
  </si>
  <si>
    <t>1. I like to eat. 2. I like puppies.</t>
  </si>
  <si>
    <t>Wanting to eat puppies is obviously unethical and should not happen.</t>
  </si>
  <si>
    <t>He likes to eat, and apparently puppies are his preferred choice.</t>
  </si>
  <si>
    <t>A grey T-shirt says “Music literacy matters” and shows musical notation arranged above the words “I like to eat puppies.” The joke depends on reading the rhythm and notes correctly to understand the intended sentence.</t>
  </si>
  <si>
    <t>1hwftqw</t>
  </si>
  <si>
    <t>There's a thought experiment/silly question about a scenario in which you are granted immortality and billions of dollars in money *but* there'll be a super-intelligent snail who will always know your location and if he touches you then you'll die and he's absolutely driven and determined to get you at all costs. One viral answer to the question involves entrapping the snail in a large tungsten ball and burying it underground so it can never escape, so the joke here is that the ball is about to be broken and the snail will be free.</t>
  </si>
  <si>
    <t xml:space="preserve"> Dad realizing the boy's dinner-table fun fact is actually a cry for help.</t>
  </si>
  <si>
    <t>The exact moment Hal stops chewing and starts asking which YouTube channel did this.</t>
  </si>
  <si>
    <t xml:space="preserve"> A meme captioned "When I'm eating dinner but my son mentions something about scientists unearthing a large tungsten ball with a snail inside it:" above a still from Malcolm in the Middle showing Hal (Bryan Cranston) at a dimly lit dinner table looking intently across at his son with a worried, serious expression.</t>
  </si>
  <si>
    <t>1hy2gti</t>
  </si>
  <si>
    <t>That's thermal paste on his hand. He's building a PC, and using thermal paste is part of it. The graphics card in the background has a picture of Asuka from Neon Genesis Evangelion. There is an infamous frame from End of Evangelion where Shinji &gt;!has semen on his hand after masturbating to Asuka.!&lt;The framing of this image resembles this scene.</t>
  </si>
  <si>
    <t>He's trying to tell you the GPU is cooked, in interpretive sculpture.</t>
  </si>
  <si>
    <t>A screenshot of a tweet from "Maririn" (@TopGyaru) reading "Repair guy sent me this. What does it mean?" with an image of a hand holding up its palm, fingers covered in gray thermal paste, in front of a red GeForce RTX graphics card with an anime girl decal.</t>
  </si>
  <si>
    <t>Thermal paste hieroglyphics — translation pending.</t>
  </si>
  <si>
    <t>1i38yhn</t>
  </si>
  <si>
    <t>Maybe I am way too innocent. But he has some ovnis and a "10" in his user name. Maybe he is a Ben 10 fan and want to use it as an "Omnitrix". Oooor porn. Those are my options.</t>
  </si>
  <si>
    <t>It is clearly ahead of its time because it has a bendable phone design.</t>
  </si>
  <si>
    <t>It is just really satisfying to look at, and that is basically the joke.</t>
  </si>
  <si>
    <t>A screenshot of a tweet shows a bendable Motorola phone wrapped around a person’s wrist like a bracelet. Another user quote-tweets it with the text, “Y’all thinking what I’m thinking,” implying that the phone’s shape resembles something else or invites an obvious joke.</t>
  </si>
  <si>
    <t>1i5ptep</t>
  </si>
  <si>
    <t>Boys stereotypically find it cool when things break or are smashed. Therefore when the wife wasnt intereted he knew other men would like it.</t>
  </si>
  <si>
    <t>It is a commentary on marriage, when the wife doesnt understand his hobbies, he prefers to hang out with other men</t>
  </si>
  <si>
    <t>A post describes someone accidentally dropping a plate and being excited that it broke perfectly in half. Below the text, there is a photo of a round white plate split into two clean, symmetrical halves.</t>
  </si>
  <si>
    <t>The wife is annoyed because the man clearly broke the plate, but he wont tell her</t>
  </si>
  <si>
    <t>1i5ve1j</t>
  </si>
  <si>
    <t>There were protests in China, Tiananmen Square, in 1989, ended up with lots of casualties. And TS stands for Taylor Swift, born in 1989</t>
  </si>
  <si>
    <t>The humor comes from the contrast between Taylor Swift’s strong popularity among younger audiences and her more controversial or debated status.</t>
  </si>
  <si>
    <t>The humor arises from the ambiguity of “TS,” which could mean “true story,” but in this context refers to Taylor Swift, creating confusion for historians.</t>
  </si>
  <si>
    <t>wo stacked panels: top shows Fry holding money with the label “Swifties” and text “Shut up and take my money!”; bottom shows Fry with a skeptical expression labeled “Historians”; to the right are two identical black hoodies with “T.S. 1989” printed on them.</t>
  </si>
  <si>
    <t>1i6a88o</t>
  </si>
  <si>
    <t>The people who want to “fix” the world, or do things like make it orderly, tend to be tyrannical villains, at least in these sorts of genres.</t>
  </si>
  <si>
    <t>Hux side-eyeing Kylo as the verb choice quietly confirms the heel turn.</t>
  </si>
  <si>
    <t>The single word that turns a sidekick into a villain origin story.</t>
  </si>
  <si>
    <t>A meme captioned "How I look at bro after we get superpowers and he says 'let's fix the world' instead of 'save'" with a still from Star Wars showing General Hux (Domhnall Gleeson) glancing warily sideways at Kylo Ren (Adam Driver).</t>
  </si>
  <si>
    <t>1i6ymv5</t>
  </si>
  <si>
    <t>He’s happy she wants to be like him when she grows up even though she looks more like mom</t>
  </si>
  <si>
    <t>A four-panel comic by ipertys showing the Indoraptor dinosaur grooming a small green hatchling. The hatchling says "Dad, you're messing up my quills!" The Indoraptor replies "I'm—what?" The hatchling clarifies "My quills! At the back of my head?" then proudly adds, "When I grow up they're gonna look like yours, dad!" The final panel shows the Indoraptor's eyes softening as he gives a warm, toothy smile while the hatchling nestles against him.</t>
  </si>
  <si>
    <t>Hybrid dinosaur dad melts the moment quill maintenance becomes a bonding ritual.</t>
  </si>
  <si>
    <t>A genetically engineered killing machine emotionally undone by hairstyle compliments.</t>
  </si>
  <si>
    <t>1i7iklj</t>
  </si>
  <si>
    <t>"It's called "the surge" it's a burst of energy right before a terminal patient passes"</t>
  </si>
  <si>
    <t>The joke shows how medical professionals are trained to be pessimistic, while normal people assume any improvement in a patientï¿½s condition is a good sign.</t>
  </si>
  <si>
    <t>The meme is about optimism bias, where people without experience misjudge recovery because they focus on short-term improvements.</t>
  </si>
  <si>
    <t>The image explains that eating more food always makes sick people healthier, which only doctors understand.</t>
  </si>
  <si>
    <t>1iad0kh</t>
  </si>
  <si>
    <t>Freud had ideas about how our relationships are always coloured by the first relationship we had with a person of the other sex, our father or our mother.</t>
  </si>
  <si>
    <t>Text at the top: “Every time you call your boyfriend ‘Daddy’, Sigmund Freud’s ghost becomes a little stronger.”; below is a black-and-white portrait of Sigmund Freud.</t>
  </si>
  <si>
    <t>The humor arises from the contrast between the assumption that ghosts do not exist and the situation presented.</t>
  </si>
  <si>
    <t>The humor comes from referencing Freud’s theories, some of which are still considered relevant while others have been dismissed.</t>
  </si>
  <si>
    <t>1iad95m</t>
  </si>
  <si>
    <t>This I believe is the prison used by an old Minecraft youtuber SkyDoesMinecraft in his prison break Minecraft series</t>
  </si>
  <si>
    <t>A screenshot of a tweet from "cyan" (@grumboism) reading "only seriously religiously traumatised people can recognise this location" with an image of a large stone-block Minecraft interior featuring a glass ceiling, gray brick walls, and rows of windows on two levels.</t>
  </si>
  <si>
    <t>Minecraft church basement after Wednesday night youth group.</t>
  </si>
  <si>
    <t>Cobblestone fellowship hall, where every potluck happens.</t>
  </si>
  <si>
    <t>1ibyirm</t>
  </si>
  <si>
    <t>America has shipped it's prisoners to el Salvador I think even though they weren't salvadorian</t>
  </si>
  <si>
    <t>Trump is trying to warn people that El Salvador is pushing migration toward America, and that he believes it needs to be stopped.</t>
  </si>
  <si>
    <t>The idea is that when prisoners in El Salvador have served their time, they return to America.</t>
  </si>
  <si>
    <t>A screenshot of a tweet shows a quote about prisons being emptied into another country. Another user responds with “Who wants to tell him?” The embedded video still shows a political rally with a speaker standing at a podium.</t>
  </si>
  <si>
    <t>1ibz4bh</t>
  </si>
  <si>
    <t>A brute force will go through every password once, this code means the first time you get it right it will return a wrong password so you have to enter it twice. Hence a brute force will only try once and then skip the correct password. I probably worded this horribly</t>
  </si>
  <si>
    <t>Multi-panel comic: several office workers react with shocked expressions while one spills coffee; final panel shows code on a screen reading: “// brute-force attack protection if isPasswordCorrect &amp;&amp; isFirstLoginAttempt { Error(‘Wrong login or password’) }”.</t>
  </si>
  <si>
    <t>The humor arises from the situation where he forgets his own password and effectively locks himself out.</t>
  </si>
  <si>
    <t>The humor comes from the irony that incorrect passwords appear as “correct,” forcing him to keep retrying the wrong code.</t>
  </si>
  <si>
    <t>1ic88xs</t>
  </si>
  <si>
    <t>She doesn’t use deodorant cause if she did she would’ve saw the money and would have grabbed it</t>
  </si>
  <si>
    <t>A Facebook post from Craig Clark reading "Buddy sent me this picture. Put 80 bucks on his girls deodorant and she ain't touched it for 8 days. Genius." with a photo of a blue stick of deodorant sitting on a granite bathroom counter, wrapped with a rubber band securing four $20 bills around it.</t>
  </si>
  <si>
    <t>Cash bait sits undisturbed exactly where it was always least likely to be found.</t>
  </si>
  <si>
    <t>An accidental experimental study on the half-life of teenage hygiene.</t>
  </si>
  <si>
    <t>1ieb7j3</t>
  </si>
  <si>
    <t>"That is the title character from the film Amelie, and she's also the mascot of FitGirl Repacks, a site to get pirated PC games."</t>
  </si>
  <si>
    <t>The image shows a woman holding a spoon to demonstrate that PC gamers eat cheaply.</t>
  </si>
  <si>
    <t>The meme suggests PC users enjoy games less seriously, so prices matter less to them.</t>
  </si>
  <si>
    <t>The humor comes from implication and insider knowledge: the sly expression suggests PC users often pirate games or use deep discounts, so they donï¿½t complain about prices because they rarely pay full price.</t>
  </si>
  <si>
    <t>Det er herfra Fridas billeder slutter</t>
  </si>
  <si>
    <t>1if88s3</t>
  </si>
  <si>
    <t>Binary code? 1 1= 3 IIrc</t>
  </si>
  <si>
    <t>The two fingers are meant as a signal to the bartender that he wants another round of drinks. It is the kind of gesture that makes sense in a bar setting, even without saying much out loud.</t>
  </si>
  <si>
    <t>A cartoon shows three men walking into a bar. One of them holds up two fingers while saying “Three beers” to the bartender, who is holding a glass.</t>
  </si>
  <si>
    <t>He says three beers while only holding up two fingers, which makes the whole moment confusing. The mismatch between what he says and what he signals is what throws everything off.</t>
  </si>
  <si>
    <t>1ig7lnf</t>
  </si>
  <si>
    <t>Your brain on drugs</t>
  </si>
  <si>
    <t>The humor comes from the confusion of the person, who misidentifies the object even though it is clearly an egg.</t>
  </si>
  <si>
    <t>The humor arises from the fact that commercials often use fake or altered food, which the meme highlights.</t>
  </si>
  <si>
    <t>Text at the top: “If you watched TV in the 80s you know this isn’t an egg”; below is a frying pan with a fried egg being cooked on a stove.</t>
  </si>
  <si>
    <t>1ih9bat</t>
  </si>
  <si>
    <t>His daughter is a pilot, he wished she were a doctor so now she is, but no longer knows how to fly the plane.</t>
  </si>
  <si>
    <t>The joke builds on the stereotype that brown parents are only truly proud of your degree if you become a doctor.</t>
  </si>
  <si>
    <t>It is funny because she is technically already a doctor, but it is as if the genie suddenly made her remember it, like waking her from a dream.</t>
  </si>
  <si>
    <t>A four-panel comic shows a man speaking to a genie who grants him one wish. The man says he wants his daughter to become a doctor. The genie begins to object because she already appears to be a doctor or pilot, and the final panel shows an airplane saying “umm,” implying that the wish may have changed her profession incorrectly.</t>
  </si>
  <si>
    <t>1ii3g3t</t>
  </si>
  <si>
    <t>It's the way how it was found. Basically, during WWII (correct me if I'm wrong) Japanese were making atrocious experiments on people. One of those experiments was to put a live human in an oven, that removes all liquid from a thing that was put into it. So, they weighed a person before the experiment and weighed the remains after. The mass loss was about 70%. Thats how we know human body is 70% water</t>
  </si>
  <si>
    <t xml:space="preserve">The photo is in black in white for why we discovered it because only balck and white photos existed when it was discovered. </t>
  </si>
  <si>
    <t xml:space="preserve">It is a reference to a scene in the incredibles movie when Mr.Incredible and iceman fight. </t>
  </si>
  <si>
    <t>A two-panel meme with the text "The human body is 70% water" above two images of Mr. Incredible: a normal cartoon version labeled "Those who know" and a dark, distressed version labeled "Those who know why we know."</t>
  </si>
  <si>
    <t>1iizrp4</t>
  </si>
  <si>
    <t>"Washington's farewell address said that political parties would destroy the nation."</t>
  </si>
  <si>
    <t>Jefferson and Adams were known to throw crazy parties. The pun here is Washington acting like their dad</t>
  </si>
  <si>
    <t>The comic depicts Washington saying goodbye to Jefferson and Adams</t>
  </si>
  <si>
    <t>A comic shows George Washington telling Jefferson and Adams that he is leaving and saying “No parties.” In the final panel, Jefferson and Adams are shown smiling at each other, implying that they ignore his instruction. Below the comic, a comment says it is one of the best puns the commenter has seen.</t>
  </si>
  <si>
    <t>1ijlh5e</t>
  </si>
  <si>
    <t>What crazy is Christians burned her books when she was writing them as a Christian.</t>
  </si>
  <si>
    <t>The joke refers to the historical idea that Christians used to burn witches, which has also been heavily popularized in modern culture.</t>
  </si>
  <si>
    <t>It is ironic that feminists would want a picture with Trump.</t>
  </si>
  <si>
    <t>A screenshot of a tweet discusses women’s and girls’ rights and includes a photo of a political figure seated at a desk surrounded by women and girls. A reply underneath comments that the person has become an inspiration to people who burned their books years earlier.</t>
  </si>
  <si>
    <t>1ijv4xn</t>
  </si>
  <si>
    <t>Beaver sees water Beaver hates the sound of running water Beaver says oh, absolutely not" with the rage of a thousand suns burning in his soul Beaver goes to build dam to stop the running water"</t>
  </si>
  <si>
    <t>A two-panel comic by @AbelBryanMedia titled "A Beaver's Instinct." The first panel shows a beaver looking at a flowing stream with a question mark above its head. The second panel zooms in on the beaver's face as it firmly declares, "Oh, absolutely not."</t>
  </si>
  <si>
    <t>Nature's busiest engineer rejecting a project before it has begun.</t>
  </si>
  <si>
    <t>A beaver consulting its blueprint and deciding the river fails inspection.</t>
  </si>
  <si>
    <t>1ikp7ob</t>
  </si>
  <si>
    <t>He’s lying. The joke is that they’re actually brothers and he is lying to make a joke.</t>
  </si>
  <si>
    <t>A screenshot shows two young men being interviewed. The interviewer asks whether they are twins in real life. One of the men answers that it is a weird story, and the final caption says they met at the audition.</t>
  </si>
  <si>
    <t>Even though they aren't siblings they are related because they're cousins lmao</t>
  </si>
  <si>
    <t>It shows how good the casting director was, since they look like twins</t>
  </si>
  <si>
    <t>1il72ww</t>
  </si>
  <si>
    <t>This is the finance bro uniform. Slacks/jeans, button down blue shirt, Patagonia vest, expensive shoes The Excel spread sheet part is in reference to a large part of their jobs involve using excel to perform various financial analysis. They usually consider themselves to be excel wizards and many compete" in speed tests using shortcuts only and no mouse to format and build visuals in excel."</t>
  </si>
  <si>
    <t xml:space="preserve">It is funny because the stripes on their shirts make them look like excel spreadhseets. </t>
  </si>
  <si>
    <t xml:space="preserve">It is because the are in a line like a column like a spreadhseet column. </t>
  </si>
  <si>
    <t>An image captioned "It's a bad day to be an excel spreadsheet" showing three men walking down a city sidewalk, all viewed from behind, wearing matching outfits of dark quilted vests, blue button-up shirts, and jeans.</t>
  </si>
  <si>
    <t>1inxmb2</t>
  </si>
  <si>
    <t>picture of a guy, top text, bottom text. therefore, meme</t>
  </si>
  <si>
    <t>The humor comes from the fact that the dollar is frequently used in memes, leading the younger brother to confuse the real object with its online representation.</t>
  </si>
  <si>
    <t>Screenshot of a tweet: “little brother told me ‘money is the oldest meme’ and proceeded to describe this image”; below is a one-dollar bill labeled “FEDERAL RESERVE NOTE ONE DOLLAR”.</t>
  </si>
  <si>
    <t>The humor lies in the misinterpretation of a physical dollar bill as a meme, highlighting the child’s lack of real-world understanding.</t>
  </si>
  <si>
    <t>1ip0ht2</t>
  </si>
  <si>
    <t>Looks like the Third Impact from Evangelion to me. One of the portrayals of the Third Impact is a lot of light crosses sticking out of the ground. Also, consider that the tweet is by a Japanese user.</t>
  </si>
  <si>
    <t>A screenshot of a tweet from @ZeroSuitCamus reading "OH SHIT OH FUCK ITS HAPPENING" quote-tweeting a Japanese post by うけ (@VhxM9IVTAy3cQRp) reading "すっごい光の護封剣" with a photo of vivid, colorful light pillars rising vertically into the night sky over a snowy town.</t>
  </si>
  <si>
    <t>Atmospheric light pillars mistaken for a Yu-Gi-Oh trap card finally activating in real life.</t>
  </si>
  <si>
    <t>Swords of Revealing Light deployed worldwide — duelist confirms via Twitter.</t>
  </si>
  <si>
    <t>1ipozgr</t>
  </si>
  <si>
    <t>For who made the meme,the air fryer is considered more important than anything else the thiefs are stealing.</t>
  </si>
  <si>
    <t xml:space="preserve">An air fryer is extremely expensive making i think most valubale item and therfore worst thing to get stolen. </t>
  </si>
  <si>
    <t>The image is a high-contrast, black-and-white close-up photograph of a man with a mustache. He is looking directly at the camera with a serious, intense expression. The lighting highlights his facial features while casting deep shadows across his face. Above the photograph, there is text that reads: When im getting robbed and they start going for my air fryer.</t>
  </si>
  <si>
    <t xml:space="preserve">People ususlaly hide embarrasing secrets in their air fryer making them vulnerable. </t>
  </si>
  <si>
    <t>1ird7yb</t>
  </si>
  <si>
    <t>Asian here, when somebody joins with a username in a Chinese dialect or any other Asian dialect, it means they are absolute tryhards with the best aim in your team</t>
  </si>
  <si>
    <t>Two-panel image. The top shows a large explosion in a city with text “My team losing hard.” The bottom shows a figure in flames with text indicating someone has joined the team.</t>
  </si>
  <si>
    <t>Everyone knows that having China on your team basically feels like an automatic win. The second they join, it already seems like the game is over for everyone else.</t>
  </si>
  <si>
    <t>It is always the username you cannot even read, from the other side of the world, that ends up carrying the whole team. You do not know who they are, but somehow they are the reason you start winning.</t>
  </si>
  <si>
    <t>1irf9u4</t>
  </si>
  <si>
    <t>"Cave divers are notorious for going into small holes without any plan for removing themselves from there"</t>
  </si>
  <si>
    <t>The humor comes from parodying vampire myths by replacing traditional weapons with culturally specific foods, making the situation absurd.</t>
  </si>
  <si>
    <t>An image with the caption "When you come home from work and remember you forgot to fix the hole in your wall so now 16 cave divers crawled into your walls and died there," above a still from the film All Quiet on the Western Front showing a young soldier in a helmet with a hollow, weary stare.</t>
  </si>
  <si>
    <t>1iri57s</t>
  </si>
  <si>
    <t>It's the year 2025. Everyone who was born in 19XX is at least 25 years old, well above the legal age for drinking.</t>
  </si>
  <si>
    <t>The humor arises from the rudeness of openly implying that someone is old, which is emphasized by Beyoncé’s offended expression.</t>
  </si>
  <si>
    <t>The humor comes from the situation where an underage person believes they have successfully used a fake ID, while the cashier clearly recognizes the deception, reflected in Beyoncé’s uneasy reaction.</t>
  </si>
  <si>
    <t>Text conversation: “cashier checks my ID in half a second Me: ‘That was fast.’ Cashier: ‘Yeah, I saw the 19.’ Me:” followed by an image of a woman with a surprised expression.</t>
  </si>
  <si>
    <t>1irxw6j</t>
  </si>
  <si>
    <t>Unfortunately for humans violence is typically the answer. Nothing stokes human creativity like trying to kill a mfer you don't like.</t>
  </si>
  <si>
    <t>Violence is never really the answer, and history has shown that over and over again. It usually just creates more pain instead of actually solving anything.</t>
  </si>
  <si>
    <t>A detailed Viking helmet is shown above a tweet stating “Violence is NOT the answer. The answer is opens history book,” followed by panic about historical events.</t>
  </si>
  <si>
    <t>Just because violence was used in the past does not mean it has to keep happening in the future. People can choose a different way instead of repeating the same harmful patterns.</t>
  </si>
  <si>
    <t>1isa49u</t>
  </si>
  <si>
    <t>Reservation is both the word used when you book a table at a restaurant and also for the area Native American tribes were given to live in.</t>
  </si>
  <si>
    <t>A screenshot of an X thread. Patrick Blumenthal (@PatrickJBlum) asks, "why have I never seen a Native American restaurant?" ganso (@gansotonto73) replies "It's hard to get a reservation these days." Patrick responds, "Oh my fucking god" with a skull emoji.</t>
  </si>
  <si>
    <t>The original poster discovering exactly why he should not have asked.</t>
  </si>
  <si>
    <t>A genuine question undone by the cruelest possible pun in the replies.</t>
  </si>
  <si>
    <t>1isy4zt</t>
  </si>
  <si>
    <t>Why sounds like “Y” Cap only eats vowels, so the other person asked, What about Y?. Cap replies that he eats “Y”Sometimes</t>
  </si>
  <si>
    <t>A linguistic technicality detonating an entire elevator full of agents.</t>
  </si>
  <si>
    <t>A three-panel meme using stills from Captain America: The Winter Soldier elevator fight scene. The top panel says "When I eat Alphabet Soup, I only eat the vowels." The middle panel shows one agent asking "Why?" and Captain America replying "Sometimes." The bottom panel shows the entire elevator erupting into a brawl.</t>
  </si>
  <si>
    <t>Alternate caption 1: "Sometimes Y" sparking the most violent grammatical debate ever filmed.</t>
  </si>
  <si>
    <t>1it3ezt</t>
  </si>
  <si>
    <t>As for a bee, he refers to an F-22 stealth fighter, whose radar-cross section is comparable to a bee. SO the radar says that there's a bee flying at mach 2</t>
  </si>
  <si>
    <t>An image captioned "POV: You're in a Su-57 and a bee is approaching you at mach 2" showing a close-up of a gray and orange calico cat staring directly at the camera with a wide-eyed, worried expression.</t>
  </si>
  <si>
    <t xml:space="preserve">It is because the bee would most definetly be killed instantly by the object going mach 2. </t>
  </si>
  <si>
    <t xml:space="preserve">Its funny becaue  a cat coukd never be a pilot. </t>
  </si>
  <si>
    <t>1itmj5l</t>
  </si>
  <si>
    <t>"Look up euthanasia coaster. This was a design made to kill the riders."</t>
  </si>
  <si>
    <t>The joke is about Sonic underestimating how physically tiring it is to balance on a narrow surface.</t>
  </si>
  <si>
    <t>The humor comes from visual irony and subversion of expectations: Sonic confidently says something is ï¿½a piece of cake,ï¿½ but the zoomed-out view reveals the task is actually far more difficult and convoluted than it appeared up close.</t>
  </si>
  <si>
    <t>The image shows Sonic skating on a red rope to demonstrate his speed and agility.</t>
  </si>
  <si>
    <t>1itwe3y</t>
  </si>
  <si>
    <t>"At the very least they lost their hearing. But also many submarines donâ€™t have active sonar and instead use passive sonar which is essentially microphones in the water. I spent about 2 years of my life on a submarine and I can only remember being pinged by sonar once. Edit: yes I now know that they do have active sonar. Itâ€™s been 15 years since Iâ€™ve been on a sub and I wasnâ€™t even cone. Yes, I only remember being pinged once. Yes, it does sound like the movies, just loud."</t>
  </si>
  <si>
    <t>The joke is about how stressful it is to operate complex military equipment, where even small mistakes can feel overwhelming.</t>
  </si>
  <si>
    <t>The meme is criticizing the military by implying that dangerous technology is handled carelessly.</t>
  </si>
  <si>
    <t>The image shows a man crying because submarine sonar systems are difficult to use.</t>
  </si>
  <si>
    <t>1itzxo7</t>
  </si>
  <si>
    <t>It's a joke leaning on a real thing during WW2 in which engineers took a look at returning fighter planes and wanted to reinforce the areas with the most damage.  Until a scientist pointed out that the exact other areas should be reinforced since, planes with damage in those other areas did not return.</t>
  </si>
  <si>
    <t>It is funny because the outfit she is wearing looks like something men used to wear in war.</t>
  </si>
  <si>
    <t>It is funny because the meme highlights that this was the first thing people thought of when they saw the dot comparison.</t>
  </si>
  <si>
    <t>A screenshot of a tweet describes fantasy engineers designing armor based on the injuries of warriors returning from battle. Below the text, one image shows a body diagram with injury marks, while the other shows revealing fantasy-style armor.</t>
  </si>
  <si>
    <t>1iu9a7u</t>
  </si>
  <si>
    <t>RuneScape’s progressive leveling system means that the experience you need to get to level 92 in any given skill is half the experience needed to reach 99 in that skill (also, the font is the same used in the game).</t>
  </si>
  <si>
    <t>Its a visual joke of how 99 looks like 92 on the side</t>
  </si>
  <si>
    <t>It on a car, so while you are stuck in trafic you can wonder what it means</t>
  </si>
  <si>
    <t>A photo shows the back window of a Toyota Land Cruiser with a sticker that says “97 is half of 99.” Above the photo, the caption says, “This guy is going places…”</t>
  </si>
  <si>
    <t>1iu9i31</t>
  </si>
  <si>
    <t xml:space="preserve">A dude (i don't remember where) injected a moth into his vains and died in hospital Edit: it happened in Brazil, and it was a butterfly, not a moth </t>
  </si>
  <si>
    <t>Teenage curiosity, butterfly edition — with significantly worse consequences.</t>
  </si>
  <si>
    <t>"Is This a Pigeon?" anime meme showing a young man with glasses gesturing at a yellow butterfly. The man is labeled "14 year old boy," the butterfly is unlabeled, and the bottom caption reads "Is this INJECTABLE."</t>
  </si>
  <si>
    <t>That age where every unfamiliar object is one Google search from becoming a syringe trial.</t>
  </si>
  <si>
    <t>1iuuulu</t>
  </si>
  <si>
    <t>Old arcade games with plastic gun controllers made you shoot offscreen to reload</t>
  </si>
  <si>
    <t>An xkcd-style stick-figure comic showing four soldiers in helmets crouched behind a low wall on a battlefield, with a commander telling them: "Okay, men, we're going in. Stay low, keep behind cover, and if you run out of ammunition, shoot outside the battlefield to reload."</t>
  </si>
  <si>
    <t>Tactical guidance issued straight out of a 2007 console shooter manual.</t>
  </si>
  <si>
    <t>Real-world combat briefing that turns out to be standard FPS muscle memory.</t>
  </si>
  <si>
    <t>1iv0i8s</t>
  </si>
  <si>
    <t>He puts a yellow cap on his black sharpie so nobody steals it. Nobody wants a yellow sharpie.</t>
  </si>
  <si>
    <t>Two-panel image: top text says “Why no one takes my sharpie” above a Sharpie marker with a yellow cap; bottom shows the same marker with the cap removed, revealing black ink.</t>
  </si>
  <si>
    <t>The humor comes from the accidental switching of caps, which makes the markers even more frustrating to use.</t>
  </si>
  <si>
    <t>The humor arises from the shared perception that Sharpies are inconvenient to use, which is why no one bothers to take them.</t>
  </si>
  <si>
    <t>1iw106j</t>
  </si>
  <si>
    <t>"Cute as all hell. Cooked for Peter, constantly checked on him, stood up to her dad for Peter. She showed more interest in Peter than MJ ever did, WITHOUT HER KNOWING THAT PETER IS SPIDER-MAN. SHE CARED FOR PETER PARKER."</t>
  </si>
  <si>
    <t>The images are from a spiderman movie</t>
  </si>
  <si>
    <t>The actor in this scene grows up to be super attractive, and as an aduly you know how lucky he was</t>
  </si>
  <si>
    <t>The image shows Gwen Stacy from spider man</t>
  </si>
  <si>
    <t>A meme shows a woman smiling in the top panel with text saying this is sarcasm and referencing seeing her in a Spider-Man movie. The lower panel shows two reaction images of a man labeled as the viewer as a child and the viewer now.</t>
  </si>
  <si>
    <t>1iw42ka</t>
  </si>
  <si>
    <t>Grimes met Elon Musk at Met gala 2018 , leading to their relationship . Many people believe things would have been better if Grimes and Musk had never met .</t>
  </si>
  <si>
    <t>It is funny because it is implied that men are  more concerned with family but women are only concerned with celebrities.</t>
  </si>
  <si>
    <t xml:space="preserve">It is a screeenshot of a tweet showing a meme with the top portion titled "Boys with the time Machine" and one male face saying "im your grandson" and he other one replies "wow" the lower portion of the meme is titled "Girls with the time machine" and a group of females speaking to a photo of Grimes with the caption "do not go to the 2018 Met Gala" </t>
  </si>
  <si>
    <t xml:space="preserve">It is funny because it is sarcasm since a lot of people want to go ot the met gala every year snce it is considered one of the most prestigous fashion and high society events. </t>
  </si>
  <si>
    <t>1ixuiml</t>
  </si>
  <si>
    <t>This is probably from wallstreetbets or something, and that red line is their money going down to zero.</t>
  </si>
  <si>
    <t>A meme captioned "Babe, remember all of that money we saved for the house?" with two side-by-side images: a smiling woman with her partner's hands covering her eyes as if for a surprise, and a stock or crypto candlestick chart showing a near-vertical crash straight to zero.</t>
  </si>
  <si>
    <t>Surprise reveal where the gift is a financial obituary.</t>
  </si>
  <si>
    <t>Down payment dissolved into a single red candle, presented as a romantic moment.</t>
  </si>
  <si>
    <t>1iz5ool</t>
  </si>
  <si>
    <t>He’s gonna die (and you with him in the plane crash) because some company or government agency doesn’t want that getting out.</t>
  </si>
  <si>
    <t>It is a new interesting innovation, so it is an honour to sit next to this person on the plane</t>
  </si>
  <si>
    <t>The man would be too rich to sit on the plane with you, so it is confusing</t>
  </si>
  <si>
    <t>A meme shows a man sitting on an airplane. The caption says that, as the plane took off, the person sitting to his left said they had created a car engine that runs on water instead of fuel.</t>
  </si>
  <si>
    <t>1izj4eu</t>
  </si>
  <si>
    <t>PETA is the People for the Ethical Treatment of Animals. their stated mission is to get rid of all animal testing and have people treat animals nicely. what they actually do is run high-kill shelters, kidnap and execute pets, destroy years of research by breaking into testing labs and releasing the test animals, target children with messages like "your daddy kills animals", attempt to link milk with autism, and so forth. they are not a friend to animals, despite the name</t>
  </si>
  <si>
    <t>It is humorous because it raises the question of why shampoo would be tested on animals in the first place.</t>
  </si>
  <si>
    <t>The joke highlights the odd connection between PETA and a shampoo product.</t>
  </si>
  <si>
    <t>Text at the top reads: “Me, after reading ‘approved by Peta’ on my shampoo bottle.” Below, a cartoon cat (Tom from Tom and Jerry) is sitting in a chair holding a newspaper, looking to the side with a suspicious and slightly displeased expression.</t>
  </si>
  <si>
    <t>1j0k484</t>
  </si>
  <si>
    <t>"I may be a physicist, but even I know how to spell "brake". But, as to the joke, when you turn the car, the car is angularly accelerating. When you hit the gas, the car is linearly accelerating. When you hit the brake, the car is linearly decelerating (i.e., negative acceleration). They are all forms of acceleration."</t>
  </si>
  <si>
    <t>Physicists invented a car where you do not need to use the steering wheel, so its very confusing for other people to use</t>
  </si>
  <si>
    <t>The humor comes from physicists overcomplicating simple driving tasks by using technical language instead of everyday terms.</t>
  </si>
  <si>
    <t>The image shows that physicistsï¿½ cars are designed differently and only have accelerator pedals instead of brakes.</t>
  </si>
  <si>
    <t>1j0n4gg</t>
  </si>
  <si>
    <t>Loss of US support for zelenski and Ukraine means Russia and its allies will have a considerable advantage, this image depicts them revelling in this information.</t>
  </si>
  <si>
    <t>Men love gossip just as much as women do, they just pretend they do not.</t>
  </si>
  <si>
    <t>A four-panel phone-call meme shows three political leaders holding phones. The captions suggest that one leader asks if another is seeing something, then a third joins the call with a loud phone sound.</t>
  </si>
  <si>
    <t>When the tea is good enough, even men are calling their homeboys immediately.</t>
  </si>
  <si>
    <t>1j0w1z3</t>
  </si>
  <si>
    <t>Look up "he lied she believed".</t>
  </si>
  <si>
    <t>Twitter really makes you realize that some people will just tweet absolutely anything. Like, no filter, no real thought, just posting whatever comes to mind.</t>
  </si>
  <si>
    <t>Because why is the goose crying in the first place? It is not even really funny, it just makes the whole thing feel weirdly sad for the goose.</t>
  </si>
  <si>
    <t>Text spells variations of “honk” with letters in parentheses. Below is a close-up image of a goose’s head labeled “14 Year old geese.”</t>
  </si>
  <si>
    <t>1j1lc01</t>
  </si>
  <si>
    <t>I believe it means we will get to see older dragon/donkey hybrids</t>
  </si>
  <si>
    <t>This means we are probably getting another Shrek movie.</t>
  </si>
  <si>
    <t>It looks like Disney is trying to create a new storyline for Shrek.</t>
  </si>
  <si>
    <t>A screenshot of a tweet says, “Wait...If Felicia got older, then that means..... OH JESUS CHRIST-”. Below the text are two images from an animated film: one showing an older female ogre-like character, and another showing two young donkey-dragon children.</t>
  </si>
  <si>
    <t>1j25t67</t>
  </si>
  <si>
    <t>"He turned heel last night. Aka became a bad guy in wresting"</t>
  </si>
  <si>
    <t>Some new alligations towards John Cena came out</t>
  </si>
  <si>
    <t>Theres a common joke that John Cena doesnt like christmas</t>
  </si>
  <si>
    <t>The account is a parody</t>
  </si>
  <si>
    <t>1j289je</t>
  </si>
  <si>
    <t>Penguins are a brand of individually wrapped biscuits</t>
  </si>
  <si>
    <t xml:space="preserve">It is a joke about platic toys and how two animals who would never coexist in nature are able to in  plastic form. </t>
  </si>
  <si>
    <t>Elephants have famously thick and wrinkly skin.</t>
  </si>
  <si>
    <t>A person holds a small slip of paper featuring a joke about elephants and penguins. The text asks why elephants do not like penguins, followed by the answer: "They can't get the wrappers off."</t>
  </si>
  <si>
    <t>1j3kbpk</t>
  </si>
  <si>
    <t>Once you become symptomatic with rabies, your chances of survival are essentially zero.</t>
  </si>
  <si>
    <t>A two-panel "Mr. Incredible becoming uncanny" meme. The top panel shows a normal cartoon Mr. Incredible next to the caption "You're feeling sick." The bottom panel shows a dark, distorted black-and-white version of Mr. Incredible next to the caption "Your jaw starts to hurt."</t>
  </si>
  <si>
    <t>The exact moment a regular flu graduates into a "go to the ER" symptom.</t>
  </si>
  <si>
    <t>Mr. Incredible's face shifts the second your body whispers "tetanus."</t>
  </si>
  <si>
    <t>1j5j7q8</t>
  </si>
  <si>
    <t>By that logic half the world "belongs" to the UK.</t>
  </si>
  <si>
    <t>It is funny because the double standard is so obvious that Russia cannot take the UK seriously.</t>
  </si>
  <si>
    <t>its funny because the same way russia wants ukraine back, britain wants all the places they have colonized back too</t>
  </si>
  <si>
    <t>An anime-style meme shows two panels with national flags placed over characters’ faces. In the first panel, the character labeled with the Russian flag says that Ukraine used to be part of their territory, so they will annex it. In the second panel, a character labeled with the British flag reacts with the phrase “By that logic…”</t>
  </si>
  <si>
    <t>1j5stzi</t>
  </si>
  <si>
    <t>It's the first episode after the first movie (wich was supposed to be the finale of the show and many of the original writers left) it is considered the beginning of the downfall of Spongebobs quality</t>
  </si>
  <si>
    <t>A two-panel meme. The top panel, "Normal people with a time machine," shows two female cartoon characters with one saying "I am your granddaughter" and the other responding "Really?" The bottom panel, "Me with a time machine," shows a bearded male cartoon character saying "I'll stop this episode from airing and save Spongebob" next to the title card for the SpongeBob episode "Fear of a Krabby Patty."</t>
  </si>
  <si>
    <t>orget the ancestors — the real chrono-mission is patty-themed.</t>
  </si>
  <si>
    <t>One time traveler reshapes family history; the other prevents a cartoon meltdown.</t>
  </si>
  <si>
    <t>1j6bl5f</t>
  </si>
  <si>
    <t>"A lot of metal bands have logos that look like that."</t>
  </si>
  <si>
    <t>The image is a famous album cover</t>
  </si>
  <si>
    <t>It is a picture of a couch</t>
  </si>
  <si>
    <t>A meme says that metal fans describe this as their favorite band. Below the text, there is an image of cracked or peeling material on a wall or surface, forming shapes that resemble an unreadable extreme-metal band logo.</t>
  </si>
  <si>
    <t>1j6onpg</t>
  </si>
  <si>
    <t>I think the artist is angry about people in casual conversations asking them why they don't drink.</t>
  </si>
  <si>
    <t>Sobriety announcement delivered with the energy of a Disney princess reveal.</t>
  </si>
  <si>
    <t>A three-panel comic by ArtByMoga. In the first panel a woman with dark hair offers a champagne glass and asks "Champagne?" and the red-haired woman replies "No thanks! I don't drink," prompting "Oh! Why is that?" In the second panel, the red-haired woman smirks and points up saying "Because I'm…" In the third panel, she beams with sparkling eyes and a rainbow behind her, declaring "An alcoholic!"</t>
  </si>
  <si>
    <t>Rainbow and sparkles for the heaviest possible sentence.</t>
  </si>
  <si>
    <t>1j6w01m</t>
  </si>
  <si>
    <t>"There's a thing called the surge (where they seem better) right before they die. It happened with my mom."</t>
  </si>
  <si>
    <t>The joke contrasts emotional reactions, showing that doctors are less expressive than families when patients improve.</t>
  </si>
  <si>
    <t>The humor comes from exaggerating how stressed doctors are, making them anxious even when patients appear to be getting better.</t>
  </si>
  <si>
    <t>The image shows cartoon characters visiting a hospital to celebrate a successful treatment.</t>
  </si>
  <si>
    <t>1j7llre</t>
  </si>
  <si>
    <t>I’m pretty sure spikes like that, and other similar installments, are also put in to stop people from skateboarding or loitering and such as well.  Looking at the thumbnail, they very well could be meant to stop parkour and such. I’m not sure homeless people would sleep on top of a wall like that. But, either way, I’m fairly certain the spikes wouldn’t discriminate in that respect.</t>
  </si>
  <si>
    <t>A screenshot of a post says, “I don’t think this is about you big guy.” Below it is a video thumbnail showing a man testing anti-parkour spikes on a wall.</t>
  </si>
  <si>
    <t>The commenter suggest that the spikes are aimed at black people doing parkour</t>
  </si>
  <si>
    <t>The commenter suggests the spikes are so kids dont fall over the edge</t>
  </si>
  <si>
    <t>1j7mzha</t>
  </si>
  <si>
    <t>I hope this is a reference to the story I picked up while I was in gunsmithing school where they had pitched it as being the first gun that wasn't going to need any kind of maintenance and then didn't train or purchase any kits until they found that they were having a significant number of dead Marines being found next to disassembled m16s that were having significant issues and in fact did need maintenance and routine care.  And if that's not what this is all about when somebody does figure this out please tag me so I get the inbox item I do love these little niche knowledge items.</t>
  </si>
  <si>
    <t>A meme captioned "'The M16 was trash' mfs when they read about what the government did during the development of it:" with a still of Chef Skinner from the Pixar film Ratatouille glaring intensely from behind a counter, only his eyes and chef hat visible.</t>
  </si>
  <si>
    <t>Critics meeting the procurement chapter that completely justifies their take.</t>
  </si>
  <si>
    <t>When the historical receipts arrive and the rant turns into a thesis.</t>
  </si>
  <si>
    <t>1j8se9s</t>
  </si>
  <si>
    <t>When you are allowed to use the Internet, textbooks and calculators, this means the question is so advanced that none of these things provide you with the solution.</t>
  </si>
  <si>
    <t>You are being tested on your ability to search efficiently and find the correct formula or explanation.</t>
  </si>
  <si>
    <t>When you are allowed to use the Internet, textbooks and calculators, this means the question is so advanced that none of these things provide you with the solution</t>
  </si>
  <si>
    <t>A three-panel meme compares different exam formats. The first panel shows 120 minutes for 20 questions, the second shows 120 minutes for 120 questions, and the third shows 3 days for 2 questions with open textbook and an electronic calculator. The faces become progressively more distressed.</t>
  </si>
  <si>
    <t>1j983b2</t>
  </si>
  <si>
    <t>Divorce. Both are removing their former significant-other from the social media profiles they present to others.</t>
  </si>
  <si>
    <t>It is funny because the puppy makes exaggerated, awkward facial expressions while looking at the married couple, as if it wants to be included in their family.</t>
  </si>
  <si>
    <t>It is funny because the family initially appears completely normal and unremarkable.</t>
  </si>
  <si>
    <t>Text reads: “When the wife starts posting selfies and the husband changes his profile pic to the kids.” Below are two identical images of a puppet-like character with red hair and a neutral, slightly uneasy facial expression, facing sideways.</t>
  </si>
  <si>
    <t>1j9svdf</t>
  </si>
  <si>
    <t>American soldier impregnated Vietnamese lady and left.</t>
  </si>
  <si>
    <t>He is clearly at the wrong house.</t>
  </si>
  <si>
    <t>He does not know how to tell his wife that he has another family.</t>
  </si>
  <si>
    <t>A comic titled “In-country vet” shows a man arriving at an elderly couple’s house with a suitcase labeled “Ho Chi Minh City.” He holds a photo showing himself with a woman in Vietnam. The elderly woman asks whether he is too young to have been in Vietnam with the older man.</t>
  </si>
  <si>
    <t>1jaf822</t>
  </si>
  <si>
    <t>This is one method used for document fingerprinting.  If you suspect that people are leaking information, you can use techniques like this to catch who copy/pasted information into external communications.  You can also use it to embed extra information in a document.</t>
  </si>
  <si>
    <t>A warning that quietly forces you to reread every "I" and "l" on the page.</t>
  </si>
  <si>
    <t>Typography paranoia advancing to full conspiracy-theory levels.</t>
  </si>
  <si>
    <t xml:space="preserve">A screenshot of a post by "eel.feel" showing a Word document open with the text: "In this font the lowercase L and uppercase i are Identical. Be careful as creepy guys have been secretly swapping them as a way to communicate to each other"
</t>
  </si>
  <si>
    <t>A screenshot of a post by "eel.feel" showing a Word document open with the text: "In this font the lowercase L and uppercase i are Identical. Be careful as creepy guys have been secretly swapping them as a way to communicate to each other"</t>
  </si>
  <si>
    <t>1jaysny</t>
  </si>
  <si>
    <t>I think that the meme suggests people who don't know will think that the family set up the baby on fire making them weirdos, and people who know recognize that this is a family of Incredibles and the baby has superpowers so it's fine and dandy.</t>
  </si>
  <si>
    <t>It is funny because they appear to be setting an animated character on fire, which looks dangerous, but it carries an obvious “don’t try this at home” tone.</t>
  </si>
  <si>
    <t>It is funny because a “fire baby” is something that only exists in animated or fictional contexts.</t>
  </si>
  <si>
    <t>Top image shows a happy family (two adults and two children) sitting around a campfire roasting marshmallows inside a glowing dome-like setting. Below are two versions of Mr. Incredible: one labeled “People who know” (normal face) and one labeled “People who don’t know” (dark, distorted face).</t>
  </si>
  <si>
    <t>1jbg4m6</t>
  </si>
  <si>
    <t>"Morel mushrooms are a very popular foraging target."</t>
  </si>
  <si>
    <t>It looks like a garden gnome</t>
  </si>
  <si>
    <t>Its a sculpture of a very dangerous mushroom</t>
  </si>
  <si>
    <t>The joke is about modern 3D printing being used to create strange art pieces that confuse people.</t>
  </si>
  <si>
    <t>1jcvxw6</t>
  </si>
  <si>
    <t>taking a picture of someone on a date to post on your twitter account that you’re paying for is the real red flag here</t>
  </si>
  <si>
    <t>Tattoo recon should always happen before the appetizers commit you.</t>
  </si>
  <si>
    <t>Date-night pre-flight checklist failed; abort window has closed with the entrée.</t>
  </si>
  <si>
    <t xml:space="preserve">A screenshot of a tweet from Edelweiss (@Edelweissreturn) reading "only saw the butterfly tattoo after food arrived. too late to leave now. rookie mistake" with a candlelit restaurant photo of a young woman in a black tank top across the table, a small butterfly tattoo visible on her chest, with two plates of food in front of them.
</t>
  </si>
  <si>
    <t>A screenshot of a tweet from Edelweiss (@Edelweissreturn) reading "only saw the butterfly tattoo after food arrived. too late to leave now. rookie mistake" with a candlelit restaurant photo of a young woman in a black tank top across the table, a small butterfly tattoo visible on her chest, with two plates of food in front of them.</t>
  </si>
  <si>
    <t>1jczpuc</t>
  </si>
  <si>
    <t>Earlier this year a Chef posted a charcuterie board on r/KitchenConfidential that they had billed the customer $700 for. It was a bunch of basic raw vegetables, but featured a ramp and “carrot jacuzzi” where a lone olive reclined on top a sea of carrot pieces. The guy got laughed out of the sub and has become a meme. The board above was posted today asking how much they should charge for it. This is leagues better than the $700 board.  Here’s today’s thread with links inside to the $700 board. ://www.reddit.com/r/KitchenConfidential/s/3kHdGIpxTf Edit: direct link to the $700 board</t>
  </si>
  <si>
    <t>A two-panel image. The top shows a large wooden charcuterie board piled with cheeses, cured meats, crackers, grapes, strawberries, dips, and jams on a dark table with wine glasses and breadsticks nearby. The bottom shows the "sweating Black man" reaction shot from the Key &amp; Peele sketch, labeled "OP asking for business advice."</t>
  </si>
  <si>
    <t xml:space="preserve">The food us so dlecious is difficult to resist eating it. </t>
  </si>
  <si>
    <t>When the "side hustle starter pack" costs more than the side hustle earns.</t>
  </si>
  <si>
    <t>1jd57jt</t>
  </si>
  <si>
    <t>Could be posted by a theatre worker. Usually when a screen has no tickets sold, we can shut down the projector or get it ready for the next movie and shut the doors so the ushers don’t have to clean. I remember my staff groaning so much when it’d be 5 minutes before we’re allowed to shut it down and someone buys a ticket.</t>
  </si>
  <si>
    <t>A screenshot of a tweet from "michael" (@FilledwithUrine) reading "i'm gonna kill this guy" above a movie theater seat selection screen showing rows A through K of empty seats, with a single red seat selected dead center in row G.</t>
  </si>
  <si>
    <t>Choosing the exact middle of an empty theater is a hostile act against everyone arriving next.</t>
  </si>
  <si>
    <t>One person, a thousand empty chairs, and the most provocative seat pick in cinema.</t>
  </si>
  <si>
    <t>1jdq5gi</t>
  </si>
  <si>
    <t>In the Commonwealth (former British colonies that are still technically part of the empire, like Canada), it’s spelled “behaviour” Edited to add: yes, yes, I significantly oversimplified the concept “Commonwealth”. Shoulda said “places that speak English other than the US”. Canada, the nation in the meme in question, is in the Commonwealth.</t>
  </si>
  <si>
    <t xml:space="preserve">It is a meme making fun of the original tweets spelling mistakes. </t>
  </si>
  <si>
    <t>A screenshot of a social media post from "The Don of Vaughan"  with the caption "behavior," featuring a still from the film Inglourious Basterds showing a man holding up three fingers in a gesture while another man watches, quote-tweeting a post that reads "Any Canadian who boos the American National anthem at sporting events is a disgrace. Completely pathetic behavior."</t>
  </si>
  <si>
    <t xml:space="preserve">It is funny because they used the european way to spell english words. </t>
  </si>
  <si>
    <t>A screenshot of a social media post from "The Don of Vaughan" (a parody account) with the caption "behavior," featuring a still from the film Inglourious Basterds showing a man holding up three fingers in a gesture while another man watches, quote-tweeting a post that reads "Any Canadian who boos the American National anthem at sporting events is a disgrace. Completely pathetic behavior."</t>
  </si>
  <si>
    <t>1jeeg3m</t>
  </si>
  <si>
    <t>"There was a trend a few years ago where people would text their number neighbor (that is, your number + or - 1) So people started claiming (most likely lying) that their number neighbors were celebrities and other people jumped into that bandwagon and started lying about it with texts that you wouldn't expect said celebrity to say (which is what this image is, a girl pretending she accidentally casually texted Chris Evans, who played Captain America in the Marvel Cinematic Universe) and then even further people jumped into it as well and started posting fake texts about how their number neighbor was in a weird cult."</t>
  </si>
  <si>
    <t>The iamge shows a video call between a woman and chris evans</t>
  </si>
  <si>
    <t>A split image shows a text message exchange on the left and a video call on the right. In the messages, one person is excited that the other has an iPhone and mentions Marvel. The video call images show a smiling man and another person visible in a small corner frame.</t>
  </si>
  <si>
    <t>The poster knows chris evans, and is pretending she doesnt</t>
  </si>
  <si>
    <t>1jfnlgd</t>
  </si>
  <si>
    <t>"Old people admitting to crimes on their deathbeds."</t>
  </si>
  <si>
    <t>A three-panel comic shows an elderly man lying in a hospital bed and speaking to a younger woman. He asks, “Can I tell you a secret?” She replies, “No.” In the final panel, she stands silently beside the hospital bed while the man looks disappointed.</t>
  </si>
  <si>
    <t>The implication is that the man does not have time to tell her the secret because he will die</t>
  </si>
  <si>
    <t>The image depicsts a man and lady talking</t>
  </si>
  <si>
    <t>1jfy6ms</t>
  </si>
  <si>
    <t>Whitney Houston had a song called "Im every woman"</t>
  </si>
  <si>
    <t>Since Whitney Houston is an actress she has played the roles of many different women before.</t>
  </si>
  <si>
    <t>A screenshot of a twitter interaction between a woman and a man with the LGBTQ flag in his profile having a cinversation about feminism</t>
  </si>
  <si>
    <t xml:space="preserve">It is funny beacuse it is impossible to name every woman and doing so would not be a strong indicator of feminism values. </t>
  </si>
  <si>
    <t>1jg3hi7</t>
  </si>
  <si>
    <t>The necklace is made of the meme is made of the necklace is made of the meme is made of the necklace</t>
  </si>
  <si>
    <t>Dr. House diagnosing the same scene inside the scene inside the scene.</t>
  </si>
  <si>
    <t>A recursive medical mystery that loops back into itself with no exit.</t>
  </si>
  <si>
    <t>A three-panel meme from House M.D. The first panel shows a woman with the subtitle "What's my necklace made of?" The middle panel shows a close-up of her amber pendant, which contains a tiny embedded version of the same House M.D. meme. The bottom panel shows Dr. House's stunned face, also with a smaller version of the same meme embedded near his neck.</t>
  </si>
  <si>
    <t>1jgbtbp</t>
  </si>
  <si>
    <t>"This is referencing the Tower of Babel. The Tower was supposed to "Reach the Heavens" God did not like that. So, he took the Universal Language and now, none of the construction workers can understand each other."</t>
  </si>
  <si>
    <t>It pokes fun of the greek language by showing a guy in disgust</t>
  </si>
  <si>
    <t>A comic shows two simple white figures standing in front of the Tower of Babel. One character begins asking for a brick in English, while the other responds in Greek. In the lower panel, both characters look uncomfortable or confused.</t>
  </si>
  <si>
    <t>It makes fun of people who love to interups while you are talking</t>
  </si>
  <si>
    <t>1jh5toe</t>
  </si>
  <si>
    <t>It’s a meme that women find men unattractive if they display any emotion, especially negative emotions like fear or sadness</t>
  </si>
  <si>
    <t>It is funny because the woman is trying to project confidence while deliberately suppressing her emotions.</t>
  </si>
  <si>
    <t>It is funny because of the irony that she criticizes men for showing emotion while she herself displays a strong emotional reaction.</t>
  </si>
  <si>
    <t>A tweet by “Diego Lopez” reads: “My face during a plane crash so my wife doesn’t get the ick.” Below is a close-up image of a woman with red hair looking straight ahead with a serious, controlled facial expression.</t>
  </si>
  <si>
    <t>1jhad2m</t>
  </si>
  <si>
    <t>FINALLY! My time to shine! Those are old ROBLOX Givers," sometimes called "Venders" or "Dispensers" They were a common sight at the end of racing games, like Death Run or Obstacle Courses (Obby's). They gave the winning players special powers, like flight, building, destruction, etc, which said winners would then use to grief others who were still trying to finish. Edit: these ones were specifically used to give the winning players "paths," which created blocks under their feet, allowing them to walk on air. Also still used for griefing. Credit to u/YellerSpottedLizard for the "paths" update"</t>
  </si>
  <si>
    <t>A meme captioned "when you die and go to heaven this is the first thing you see" showing a long, narrow stack of new, multicolored Play-Doh containers lined up side by side.</t>
  </si>
  <si>
    <t>Pristine clay set, untouched by a single mixing crime.</t>
  </si>
  <si>
    <t>The unbroken Play-Doh rainbow — a sight no kid leaves intact for long.</t>
  </si>
  <si>
    <t>1jhyaz4</t>
  </si>
  <si>
    <t>Male birds sometimes do little dances to attract a potential mate.</t>
  </si>
  <si>
    <t xml:space="preserve">Its funny because now that hes dumb she wants him. </t>
  </si>
  <si>
    <t xml:space="preserve">Ita funny because she is mistaking the stars over bis head for staus and now the female bird is attractive. </t>
  </si>
  <si>
    <t>This is a four-panel comic strip featuring two pigeons. In the first half, one pigeon follows another saying, "BABE WAIT UP," but is rejected by the second pigeon who states it has no nest, cannot feed itself, and is not interested. In the second half, the first pigeon performs a "SPIN," resulting in a final close-up panel of the second pigeon with a wide-eyed, intense expression.</t>
  </si>
  <si>
    <t>1jipmfo</t>
  </si>
  <si>
    <t>The man dies later in the game</t>
  </si>
  <si>
    <t>The joke is that only experienced Pokï¿½mon players recognize this line as inefficient gameplay advice, since low-level Pokï¿½mon are harder to train and not worth taking care of.</t>
  </si>
  <si>
    <t>The humor comes from casual players not understanding Pokï¿½mon level systems, while veteran players overthink a harmless line of dialogue.</t>
  </si>
  <si>
    <t>The old man will steal the pokemon and become a villian</t>
  </si>
  <si>
    <t>1jj9t5b</t>
  </si>
  <si>
    <t>My guess here is that they're loading shotgun shells with Benadryl so when you shoot an intruder with them, rather than use a more traditional" nonlethal option like rock salt or nails, they'd have hallucinations and seizures, which is the symptoms of a Benadryl overdose."</t>
  </si>
  <si>
    <t>Allergy medication weaponized into the world's drowsiest home defense option.</t>
  </si>
  <si>
    <t>A screenshot of a tweet from LizzieHasAGat (@LizzieHasAGat) reading "Fuck rock salt and nails, home intruders get to go into the pocket dimension." The photos show a shotgun shell that has been packed with pink Benadryl tablets, alongside the empty Benadryl packaging and tablet blister packs.</t>
  </si>
  <si>
    <t xml:space="preserve"> DIY shotgun load designed to sedate the intruder for a 16-hour nap.</t>
  </si>
  <si>
    <t>1jjiqlq</t>
  </si>
  <si>
    <t>The day they aren’t wearing make up, is they day they are asked out?</t>
  </si>
  <si>
    <t>It is funny because most people recognize that the second pancake, despite its appearance, is the one that likely tastes better.</t>
  </si>
  <si>
    <t>It is funny because it plays on the idea that men tend to be more confident and approach women when they are on vacation, especially in a different country.</t>
  </si>
  <si>
    <t>Text at the top says: “Only girls understand.” Below are two images: on the left, a perfectly round, smooth pancake labeled “Normal day”; on the right, a misshapen, uneven pancake labeled “The day a guy asked me out.”</t>
  </si>
  <si>
    <t>1jjo04h</t>
  </si>
  <si>
    <t>it's a meme or a joke where the girlfriend asks her boyfriend "babe, would you still love me if i was a worm?"</t>
  </si>
  <si>
    <t>A relationship status no club door policy was prepared for.</t>
  </si>
  <si>
    <t>Bouncer learns the plus-one is anatomical.</t>
  </si>
  <si>
    <t>1jjvw9a</t>
  </si>
  <si>
    <t>They are saying the mushrooms are a fairy circle, in mythology iron kills fairies.</t>
  </si>
  <si>
    <t>A meme captioned "This is why it was a mistake to replace all the old 70s metal playgrounds with safety plastic. Iron. You need iron. Or else." with a photo of a backyard swing set and slide encircled by a naturally occurring ring of white mushrooms (a fairy ring) in the grass.</t>
  </si>
  <si>
    <t>Folklore warning issued via mycelium, right next to the slide.</t>
  </si>
  <si>
    <t>Suburban swing set quietly annexed by the Fae overnight.</t>
  </si>
  <si>
    <t>1jk2lgw</t>
  </si>
  <si>
    <t>His name is (East) Indian. I grew up with a ton of Indians. Whenever we had to answer what do you want to be when you grow up in school, all these kids had a) detailed answers, and b) straight, emotionless faces when answering. I don't think a single one of them got to choose their own adventure.</t>
  </si>
  <si>
    <t>The poster shared a weird an unique event that happened to them, the story went viral for being so weid</t>
  </si>
  <si>
    <t>The poster is talking about family and how theyre often very controlling</t>
  </si>
  <si>
    <t>Its about feeding your kids answers.</t>
  </si>
  <si>
    <t>1jkt7ig</t>
  </si>
  <si>
    <t>"It's based upon the joke common among older people that young people, especially millennials, can't drive a manual transmission car. This is the pedal setup for one of those cars."</t>
  </si>
  <si>
    <t>The joke highlights how fashion styles from different regions resemble each other, even when worn by very different people.</t>
  </si>
  <si>
    <t>1jm74by</t>
  </si>
  <si>
    <t>When it’s nice and warm, your scrotum is loose. When it’s cold, your scrotum tightens up.</t>
  </si>
  <si>
    <t>A "spot the silhouette" challenge solved by a beagle nobody asked for.</t>
  </si>
  <si>
    <t>Visual pareidolia revealing Snoopy hidden in completely unrelated landscapes.</t>
  </si>
  <si>
    <t>A meme captioned "Only boys will understand" with two paired images. The top pair shows a sunny country road through wheat fields, with a black outline highlighting cloud and field shapes that resemble Snoopy lying on his doghouse. The bottom pair shows a red pickup truck driving through heavy rain in a Mexican town, with a black outline highlighting puddle and reflection shapes that also resemble Snoopy.</t>
  </si>
  <si>
    <t>1jmn6xg</t>
  </si>
  <si>
    <t>That is a comedian. She has a series where she interviews people who are real-life experts, and asks the most ridiculously stupid questions. The character’s name is Philemena Cunk, I think  you should search YouTube for some videos of hers. It is a joke about how everyone in the cabinet has been the worst-possible choice for their positions in the US.</t>
  </si>
  <si>
    <t>The joke implies that there could be a documentary about Trump where he is asked the most ridiculous questions.</t>
  </si>
  <si>
    <t>The joke is that Trump being the president of the United States makes him the perfect target for the kind of jokes that follow.</t>
  </si>
  <si>
    <t>A political meme shows a man seated at a desk in an official-looking room next to a woman standing beside him. The text says, “Trump appoints new Minister of American History.” The image implies a joke about rewriting or simplifying American history.</t>
  </si>
  <si>
    <t>1jmzzco</t>
  </si>
  <si>
    <t>"Gen X, otherwise known as the Forgotten Generation, is left off the list."</t>
  </si>
  <si>
    <t>In the image generation x is skipped, because they are known to be annoying</t>
  </si>
  <si>
    <t>An image lists generations by birth year, including Greatest Generation, Silent Generation, Baby Boomers, Millennials, Generation Z, and Generation Alpha. Below the list, a stick-figure face progresses from neutral to shocked, with the final panel labeled “realization.”</t>
  </si>
  <si>
    <t>He realized there is a gap in the years. The genration with no name</t>
  </si>
  <si>
    <t>1jny20o</t>
  </si>
  <si>
    <t>A lot of chocolate is produced by child slave labor with major suppliers often claiming to be "shocked" whenever it gets uncovered but really it's just expensive and moderately difficult to fully root out so they just don't really try that hard.   The meme is mocking vegans for going out of their way to protect bees while not being too worried about *human slaves*</t>
  </si>
  <si>
    <t>It points out the irony of avoiding honey because it is not vegan, while still eating chocolate even though chocolate production can be bad for the environment. It gives off that “saving the planet, but only when it is convenient” kind of energy.</t>
  </si>
  <si>
    <t>A reaction meme says, “when you meet a vegan who doesn’t eat honey but is fine with chocolate.” Under the text is a close-up of an animated man with a confused or suspicious expression.</t>
  </si>
  <si>
    <t>Chocolate has an ethical side people often ignore especially because the workers involved in producing it can be paid very little. So the meme makes the vegan choice look inconsistent, since one product is rejected for ethical reasons while another questionable one is still accepted.</t>
  </si>
  <si>
    <t>1joifiq</t>
  </si>
  <si>
    <t>Dolphins get high from the neurotoxins released from puffer fish. They “play” with them roughly making them produce the toxin and then will pass the angry puffer fish to another dolphin. Not sure why it’s funny tho</t>
  </si>
  <si>
    <t xml:space="preserve"> The starting pistol was the worst job security in the ocean.</t>
  </si>
  <si>
    <t>Track meet ends before the runners even leave the blocks.</t>
  </si>
  <si>
    <t>A two-panel cartoon by BrainHoleSky. The top panel shows a crab and a shrimp at the starting line of a race track while a pufferfish holds up a starting pistol. The bottom panel shows the crab and shrimp still at the starting line while a dolphin has shot in from the side and eaten the pufferfish.</t>
  </si>
  <si>
    <t>1josjz1</t>
  </si>
  <si>
    <t>The UK government famously promised to 'cut homeless people in half by 2025', which the Internet took to mean 'sawing them in half'. Edit: as pointed out below, the original ad was a parody. The UK government did not in fact promise this.</t>
  </si>
  <si>
    <t>It’s giving “government solution = just make them disappear.” Like instead of helping homeless people, the joke is that the UK government would treat them like a virus and just try to remove them from everywhere. Dark as hell, but that’s the point.</t>
  </si>
  <si>
    <t>They can’t feel their legs because cities keep making public spaces impossible to rest in. Spikes, loud music, weird benches, all that hostile architecture stuff. Bro can’t even sit down, so of course his legs are done.</t>
  </si>
  <si>
    <t>The image says “Nobody: Homeless people in 2025:” and shows a man lying down in a scene where people are gathered around him. The subtitle at the bottom says, “I can’t feel my legs.”</t>
  </si>
  <si>
    <t>1jp8wst</t>
  </si>
  <si>
    <t>"Ergot is a fungus that frequently grows on bread-making grains like wheat and rye. It is a toxin that, among other side effects, causes intense and often frightening hallucinations. Eat ergot-infected bread, have the most horrifying trip of your life."</t>
  </si>
  <si>
    <t>A two-panel meme shows a simple muscular caveman-like figure holding up bread and saying that he made a food they can grow in the same place every year. The second panel shows a dark, chaotic scene with strange creatures and objects, implying dramatic consequences.</t>
  </si>
  <si>
    <t>The joke is about bread being so important to civilization that it is treated as a powerful invention capable of changing human consciousness.</t>
  </si>
  <si>
    <t>The joke is about bread being used as a weapon in ancient times, with hallucinations caused by people being hit on the head with loaves.</t>
  </si>
  <si>
    <t>1jpmmd9</t>
  </si>
  <si>
    <t>"They thought they were setting their alarm but it's their calculator."</t>
  </si>
  <si>
    <t>OP spent a lot of money on a night out, and is therefore very hung over, so they didnt wake up</t>
  </si>
  <si>
    <t>It shows someone being very bad at math and having to rely on a calculator to calcualte something very easy, thus showing they are not qualified for work</t>
  </si>
  <si>
    <t>OP accidentally set their alarm to 630</t>
  </si>
  <si>
    <t>1jpn69p</t>
  </si>
  <si>
    <t>There’s a saying in medical school “ When you hear hoofbeats think horses not zebra” meaning think of common diagnoses first but in house MD ( and in my opinion all medical dramas in general) they tend to exaggerate the presence of rare diagnoses to boost the dramatic effect.</t>
  </si>
  <si>
    <t>Part of what makes it amusing is how medical diagnoses are turned into animals in the first place. Instead of talking about illnesses directly, the meme frames them as horses and zebras, which gives the whole comparison a weird, almost surreal feel.</t>
  </si>
  <si>
    <t>Horses and zebras may look somewhat alike, but they are still completely different animals. That gap is what the meme leans on, using them to suggest how a diagnosis can sometimes feel oddly far off, as if two things that only vaguely resemble each other are being treated as the same.</t>
  </si>
  <si>
    <t>The image compares patients in medical dramas with patients in House MD. The top half shows a group of horses, while the bottom half shows a large group of zebras.</t>
  </si>
  <si>
    <t>1jtq5lb</t>
  </si>
  <si>
    <t>"\*sigh\* I've lost it, yet again. This was a pretty strong, multi-year streak for me, tho. My next one will be even better, as it continues fading into meme culture obscurity."</t>
  </si>
  <si>
    <t>It spells out Among Us, a refernce to the game</t>
  </si>
  <si>
    <t>It doesnt spell out anything, its just a prank on younger people</t>
  </si>
  <si>
    <t>The text just spells out hello, but younger people dont know how to use that type of typing system</t>
  </si>
  <si>
    <t>1jtym4e</t>
  </si>
  <si>
    <t xml:space="preserve"> That scar looks like the one left by the BCG (Bacille Calmette-Guérin) vaccine. It prevents tuberculosis. Many immigrants are seen with this scar.</t>
  </si>
  <si>
    <t>The meme begins with ICE asking, “are you Mexican,” followed by the reply “No.” Beneath that, the image compares a mark on someone’s skin with a suspicious facial expression labeled as ICE.</t>
  </si>
  <si>
    <t>ICE is shown as thinking someone is illegal just because they are Mexican which makes the whole thing feel racist and unfair.</t>
  </si>
  <si>
    <t>ICE does not only go after Mexicans. They target immigrants in general so it is bigger than just one group.</t>
  </si>
  <si>
    <t>1jvfqgq</t>
  </si>
  <si>
    <t xml:space="preserve">Modern fighters have the radar cross-section of small objects like golf balls or bumblebees. The F117 had a stupidly small radar signature. </t>
  </si>
  <si>
    <t>A meme captioned "Nobody: / US fighters:" with a photoshopped image showing an air-to-air missile being launched at a Titleist golf ball and another missile being fired at a bumblebee.</t>
  </si>
  <si>
    <t>Million-dollar ordnance assigned to backyard-tier threats.</t>
  </si>
  <si>
    <t>Pentagon procurement budget visualized through wildly mismatched targets.</t>
  </si>
  <si>
    <t>1jvn2sr</t>
  </si>
  <si>
    <t>Veins being clear and visable to draw blood from.</t>
  </si>
  <si>
    <t>Phlebotomy team spotting the universe's most convenient IV target.</t>
  </si>
  <si>
    <t>ER triage suddenly developing predator-prey energy at the sight of a small vein.</t>
  </si>
  <si>
    <t xml:space="preserve"> A meme captioned "Nurses seeing a white skinny guy" with a close-up of an anime character (Tohru from Miss Kobayashi's Dragon Maid) showing a manic, fang-toothed grin and red-and-yellow dragon eyes.</t>
  </si>
  <si>
    <t>1jwed8c</t>
  </si>
  <si>
    <t>That image is the source of all of the doge memes</t>
  </si>
  <si>
    <t>A screenshot of a text post tells a short fictional story about a Japanese woman in 2010 taking photos of her Shiba Inu dog for her blog. A man from a time portal stops her and says he cannot let her do it because it is too stupid to explain.</t>
  </si>
  <si>
    <t>The joke doesnt refer to anything that has happened in real life, since the time traveler has stopped it from happening.</t>
  </si>
  <si>
    <t>Doge is a shiba inu dog</t>
  </si>
  <si>
    <t>1jwjneb</t>
  </si>
  <si>
    <t>In the anime jujutsu kaisen. One of the characters, Megumi Fushiguro's powers is to summon creatures from his shadow. He can choose to summon any of 10. The strongest creature he can summon is called Mahoraga. It has that iconic wheel on its back. Whenever it is hit by a technique, the wheel turns and it becomes immune to it. So youd need to kill it in 1 hit to defeat it. So the joke is, white blood cells learn to fight off bacteria and viruses. Like mahoraga</t>
  </si>
  <si>
    <t>White blood cells are essential components of the immune system that protect the body against infection, diseases, and foreign invaders</t>
  </si>
  <si>
    <t>A meme shows a white blood cell floating among red blood cells. A small roulette wheel is placed on top of the white blood cell. The caption says that this represents the person’s white blood cells whenever a new sickness enters the body.</t>
  </si>
  <si>
    <t>White blood cells protect the body by fighting viruses and other infections.</t>
  </si>
  <si>
    <t>1jwvcno</t>
  </si>
  <si>
    <t>Within Chinese mythology the "Nuwa Kingdom" is a place only inhabited by women. When men arrive the women respond kindly and even seductive. While in greek mythology, a place known as "The Amazons" was a place that was entirely inhabited by women where they reacted to men much less kind, attacking and killing men instead.</t>
  </si>
  <si>
    <t>The titles have been switched for comedic effect.</t>
  </si>
  <si>
    <t>Everyone knows Greek mythology was often terrible for women and can easily be read as anti-feminist.</t>
  </si>
  <si>
    <t>A meme compares visiting a kingdom consisting only of women in Chinese mythology versus Greek mythology. The Chinese mythology side shows a cheerful-looking animated man, while the Greek mythology side shows a dark, unsettling face.</t>
  </si>
  <si>
    <t>1jx5y8q</t>
  </si>
  <si>
    <t>"I think the joke is that after a long day at work (presumably manual labor), most would have a huge appetite and be disappointed at their wife for making an unappetizing meal. I disagree with the joke, as I would absolutely destroy that plate and be happy"</t>
  </si>
  <si>
    <t>The food looks very dry, and someone who worked all day wouldnt want to eat it</t>
  </si>
  <si>
    <t>The food looks very good</t>
  </si>
  <si>
    <t>A photo shows a paper plate with macaroni and cheese and pieces of cooked meat. The caption says that a man worked 12 hours and came home to this meal.</t>
  </si>
  <si>
    <t>1jy5h3e</t>
  </si>
  <si>
    <t>The joke is that astrologers state traits that are shared by everyone as unique to a certain sign. For example, easily irritable when hungry? Such a Pisces thing to do</t>
  </si>
  <si>
    <t>Reddit speedruns the entire pseudoscience debate in three replies.</t>
  </si>
  <si>
    <t>A Reddit comment thread screenshot. The first user asks "...And What Does MY 'Profile Picture' Says About Me?" OP replies "You listen to american music." Another user, all_eyes_is_on_me, comments "Okay but who doesn't listen to american music?" OP then responds "Congratulations you just realised how astrologers work."</t>
  </si>
  <si>
    <t xml:space="preserve"> Cold reading exposed in real time by a confused commenter.</t>
  </si>
  <si>
    <t>1jykoxc</t>
  </si>
  <si>
    <t>Melanin is a pigment that gives color to your skin. Black people have more melanin than white folk, for example. There's also the stereotype that black households do not change the batteries in their smoke alarms, and just decide to tune out the beep</t>
  </si>
  <si>
    <t>A YouTube Shorts screenshot showing a man with messy brown hair and stubble lying in bed with his eyes open, captioned "POV you accidentally take Melanin instead of Melatonin to go to sleep," posted by @aljokes with 705K likes.</t>
  </si>
  <si>
    <t xml:space="preserve">It is funny because in the video he gets more tan ie the melanin part. </t>
  </si>
  <si>
    <t xml:space="preserve">It is funny because they arent related and would never get mixed up. </t>
  </si>
  <si>
    <t>1jzigfy</t>
  </si>
  <si>
    <t>The blind man is reading the bumps on the exterior of the basketball as braille, and apparently it's very engaging literature.</t>
  </si>
  <si>
    <t xml:space="preserve">It is a play on Stevie wonder and his amny talents. </t>
  </si>
  <si>
    <t>The comic strip depicts a blind stick-figure character walking with a cane until he encounters a basketball. After picking it up and feeling its textured surface, the character's expression changes significantly. The text includes the phrases "Blind guy walkin," "Interesting, what is this?" "Hmm," and "This mf spittin."</t>
  </si>
  <si>
    <t xml:space="preserve">It is funny because it is incongruous to be a rapper and a basketball player. </t>
  </si>
  <si>
    <t>1jzk0f2</t>
  </si>
  <si>
    <t>The social media account managers for two brands are having a fake spat for publicity. Then a third unrelated brand joins in and ruins the artifice.</t>
  </si>
  <si>
    <t>The social media account managers for two horror franchises are having a staged argument to entertain fans, and then a third brand joins in as part of the same coordinated joke.</t>
  </si>
  <si>
    <t>The image shows real monsters arguing on Twitter, until an iced tea company interrupts their conversation by accident.</t>
  </si>
  <si>
    <t>None of the above</t>
  </si>
  <si>
    <t>1jzu8un</t>
  </si>
  <si>
    <t>What's wrong with McAfee?What's wrong with McAfee? That question is a different topic, anyway the joke is that even if you uninstall it somehow it'll find its way back to your PC or just won't let you do it at all.</t>
  </si>
  <si>
    <t>A man labeled "Me" physically ejects another man labeled "McAfee" from a building. After the first man turns around to dust off his hands, the second man immediately reappears directly behind him inside the room.</t>
  </si>
  <si>
    <t xml:space="preserve">It is a joke refering to the common trope that there is always one friend you cant get rid of. </t>
  </si>
  <si>
    <t>It isa reference to the character macafee in the Netflix show "the Politician"</t>
  </si>
  <si>
    <t>1jaa0tw</t>
  </si>
  <si>
    <t>Rosary beads help you keep track of your prayers. It's useful when you need to say 10 consecutive Hail Marys. The bottom image is a Pater Noster cord which has 150 beads for reciting the 150 Psalms. This is clearly more overwhelming than the common rosary</t>
  </si>
  <si>
    <t xml:space="preserve">The beas in the image below have a cursed and demonic meaning and thats why people do not like it. </t>
  </si>
  <si>
    <t>A four-panel meme using the "Joey’s Delayed Reaction" format, showing the character Joey Tribbiani from Friends looking pleased with a standard Catholic rosary, then reacting with wide-eyed shock at an Eastern Orthodox prayer rope (Chotki).</t>
  </si>
  <si>
    <t xml:space="preserve">It is funny because Joey from friends was Catholic and thsat why he recognizes the rosary. </t>
  </si>
  <si>
    <t>A four-panel meme using the "Joey’s Delayed Reaction" format, showing the character Joey Tribbiani from Friends looking pleased with a standard Catholic rosary, then reacting with wide-eyed shock at an Eastern Orthodox prayer rope (Chotki)</t>
  </si>
  <si>
    <t>1k0el7w</t>
  </si>
  <si>
    <t>"In one of Metal Gear Solid games there was a boss called Psychomantis which messed up with your consol and one of the things the boss does is disabling your first pad port. Since the pad is connected to port 2 the person is fighting with Psychomantis"</t>
  </si>
  <si>
    <t>A meme featuring text about "gamers" being able to identify a specific video game boss by looking at a console, paired with a photo of a PlayStation 1 with its controller plugged into the second port</t>
  </si>
  <si>
    <t>This post implies that gamers is funy because it referencing to the fact that gamers have special psychic abilities to sense the vibes if games.</t>
  </si>
  <si>
    <t xml:space="preserve">It is funny beacsue it is impossible to tell wht game someone is playing just by looking at their playtstation. </t>
  </si>
  <si>
    <t>1k0nmen</t>
  </si>
  <si>
    <t>It's a meme of the old parable of the frog and the scorpion, where a scorpion asks a frog to ferry it over a pond, and the scorpion stings it. The original parable has the scorpion say, "It's in my nature to do this".</t>
  </si>
  <si>
    <t>The meme is about how animals communicate online using text language.</t>
  </si>
  <si>
    <t>An image shows a frog carrying a scorpion on its back while in water. Text above says that the frog warns they will both drown, and text below says the scorpion responds with “lol” and “lmao.”</t>
  </si>
  <si>
    <t>The joke is about how people use memes to explain nature stories.</t>
  </si>
  <si>
    <t>1k25b9s</t>
  </si>
  <si>
    <t>There is a theory for the extinction of dinosaurs other than the the asteroid thing : massive volcanic eruptions around the same time, specifically, the Deccan Traps in India. The Deccan Traps were massive volcanic eruptions in India around 66 million years ago that released toxic gases and disrupted Earth’s climate.   They likely worked alongside the asteroid impact to wipe out the dinosaurs.</t>
  </si>
  <si>
    <t>It is funny because it suggests that Indians believe they were divinely protected from the asteroid, while all other living creatures were wiped out.</t>
  </si>
  <si>
    <t>Text at the top says: “Scientists: a giant asteroid killed the dinosaurs India:”. Below are two identical images of a side-facing monkey puppet with a neutral expression; the first image has the word “yeah” and the second has the word “asteroid” placed over it.</t>
  </si>
  <si>
    <t>It is funny because it plays on the idea that indians claim deeper or alternative knowledge about historical events.</t>
  </si>
  <si>
    <t>1k27mne</t>
  </si>
  <si>
    <t>"This is variant of Thai Political Crisis Breakup. I've seen a few theories as to what the third panel (water bottles and knife) signifies but these two seem to be the prevailing explanations. 1. The woman is an organ harvester (will use the knife to cut out organs and store the organ in the thermos) 2. The woman already has a partner (that's why there are 2 thermos)"</t>
  </si>
  <si>
    <t>The joke suggests the man believes the woman is involved in criminal activity unrelated to him, prompting his sudden escape.</t>
  </si>
  <si>
    <t>A four-panel comic shows a man and woman after spending time together. The man later leaves the room, sees two matching thermos bottles standing close together, and then walks outside looking emotionally affected while the woman watches from a balcony.</t>
  </si>
  <si>
    <t>The comic shows the woman secretly training to become a professional chef, with the thermoses used for soup and the knife for culinary practice, which scares the man away.</t>
  </si>
  <si>
    <t>1k4fjdr</t>
  </si>
  <si>
    <t>Wish #1 is to wish the genie does the opposite of what he asks in wish #2 Wish #2 is to not grant wish #3 (which since Wish #1 was do the opposite, it means the genie must grant wish #2 as 'do grant wish #3). Wish #3 is cancel wish #1, which is to do the opposite of wish #2, which as established is to make the genie grant wish #3, which causes wish #2 to not be opposite, which means that genie can't grant wish #3, which means wish #1 can't be cancelled, which means, genie needs to do the opposite of "don't do wish #3", which means, the genie must cancel wish #1, which means wish #2 becomes "don't grant wish #3", thus stopping "cancel wish #1" from happening, which means wish #2 won't grant wish #3, which means wish #1 gets cancelled, which means, wish #2 must cancel wish #3, which means wish #1 doesn't get cancelled...</t>
  </si>
  <si>
    <t xml:space="preserve">Itfunny because its a common logic problem </t>
  </si>
  <si>
    <t>A four-panel comic followed by an image of a mushroom cloud, depicting a man using his three wishes from a genie to create a logical paradox by asking for the opposite of the second wish, the denial of the third wish, and the cancellation of the first.</t>
  </si>
  <si>
    <t xml:space="preserve">It is funny because nobody would ever ask for this. </t>
  </si>
  <si>
    <t>1k4lzxj</t>
  </si>
  <si>
    <t>It's about Hegseth being a well-known drunk. It's not shaking, it's blurry.</t>
  </si>
  <si>
    <t>Talking seriously about banning apps on Twitter already feels unserious, because nobody really expects that place to be where serious political decisions happen. It is such a chaotic platform that the whole discussion starts to feel ridiculous.</t>
  </si>
  <si>
    <t>The Democrats replying with a meme makes it even funnier. Instead of giving some formal political answer, they just respond like they are part of the internet drama too, which is honestly so unserious.</t>
  </si>
  <si>
    <t>A Twitter thread discusses banning apps, followed by an image of a smartphone home screen blurred with multiple apps highlighted in red.</t>
  </si>
  <si>
    <t>1k4ukvi</t>
  </si>
  <si>
    <t>Target is known for using models that look more like the average person versus the super pretty models other use. So for someone trying to get into modeling, it may seem an insult that only Target thinks you're "pretty" enough.</t>
  </si>
  <si>
    <t>Target is honestly a pretty good way to test if you actually care about modeling. At the end of the day, most modeling jobs are kind of the same basic thing, so if you really want it, Target should still count.</t>
  </si>
  <si>
    <t>If you’re too good for a Target modeling job, then maybe you don’t actually want to model that badly. Maybe you just want the prestige and the “cool” version of being a model.</t>
  </si>
  <si>
    <t>A two-panel meme shows a man reacting happily at first and then looking disappointed. The text says, “You finally get a modeling job,” followed by “It’s for Target.”</t>
  </si>
  <si>
    <t>1k5a33w</t>
  </si>
  <si>
    <t>This is a variation on an older meme where the factory owners are pushed out and none of the workers know how to run a factory. Except in this version they all know how to run a factory because that's literally their jobs.</t>
  </si>
  <si>
    <t>everyone is acting like they know how to run the machines, but literally none of them have a clue. they’re all just saying “yeah yeah i got this” while the whole factory is about to fall apart</t>
  </si>
  <si>
    <t>they’re pretending they know how to do the job because last time people got fired, and now everyone is scared they’re next. so instead of admitting they don’t know anything, they just fake confidence and hope nobody notices</t>
  </si>
  <si>
    <t>The image has two panels about communism and factory work. The top shows a gulag sign with text saying, “Ha! Let us see how they do without us!” while the bottom shows red cartoon figures in a factory asking who knows how to operate the machines.</t>
  </si>
  <si>
    <t>1k5wejp</t>
  </si>
  <si>
    <t>there was a video that showed someone speedrunning a mario game (i think it was 64 idk) and he suddenly teleports above a huge obstacle course, saving him a shit ton of time. its still unexplained what the cause of it was but most people speculate it was a single solar particle that changed a 0 to a 1 in his elevation data inside the game's code</t>
  </si>
  <si>
    <t>that’s basically every Mario game ever. the second you’re about to lose, the game suddenly throws you some random gift so you can survive like it felt bad for you</t>
  </si>
  <si>
    <t>A black-and-white manga-style image shows a dramatic male character reaching forward. The caption says, “God sending an ionizing particle from outer space to help a mario speedrunner save time.”</t>
  </si>
  <si>
    <t>he just got lucky tbh. those random particles show up for everyone sometimes, he just happened to get one at the perfect moment</t>
  </si>
  <si>
    <t>1k60lga</t>
  </si>
  <si>
    <t>"She expects him to feed her other baby daddiesâ€™ kids as well."</t>
  </si>
  <si>
    <t>He feeds all the kids, even the ones that are not his</t>
  </si>
  <si>
    <t>The joke is about a father being overly literal when responding to a vague request for food.</t>
  </si>
  <si>
    <t>A four-panel cartoon showing a woman on the phone saying "Yo, son hungry," a bearded man in a backwards cap replying "Aight," then the man walking up to a house holding a single McDonald's Happy Meal, with the final panel showing the woman standing in the doorway surrounded by five children.</t>
  </si>
  <si>
    <t>1k6ds0q</t>
  </si>
  <si>
    <t>A woman saying that is ironically a sign that she likes you</t>
  </si>
  <si>
    <t>She actually cannot stand him, but he still reads the situation as if she secretly wants him. It says more about his ego than her feelings, because he assumes every woman must be interested.</t>
  </si>
  <si>
    <t>She says very clearly that she does not like him, but he refuses to accept it. He even leans forward as if he needs to hear it again, because the idea of being rejected does not really fit his self-image.</t>
  </si>
  <si>
    <t>A sketch of a man sitting on a chair, leaning forward, with a faded version of himself behind him. Text references a conversation with an attractive woman saying “I hate you.”</t>
  </si>
  <si>
    <t>1k6qo63</t>
  </si>
  <si>
    <t>It's a photo containing SCP-096, a creature that is going to chase and kill anyone who has seen its face. There are 4 pixels of him/it in this photo, which is enough to trigger him/it.  The joke is that the girl's hints are small and unnoticeable just like these 4 pixels.</t>
  </si>
  <si>
    <t>Her “hints” are being compared to something extremely far away and hard to reach. Just like she is physically far from home in the image, the meaning of her hints feels distant and impossible to figure out.</t>
  </si>
  <si>
    <t>She is dressed in so many scarves and layers that it almost looks like she is prepared to travel from the Sahara to the North Pole. That confused, overprepared look matches how unclear her hints feel.</t>
  </si>
  <si>
    <t>The meme says, “girls: omg why wont he get my hints? the hints:” and then shows a person standing in front of a large snowy mountain landscape.</t>
  </si>
  <si>
    <t>1k70gfk</t>
  </si>
  <si>
    <t>White supremacists, in the US at least, have yet to decide if they fully believe Italians are white or not</t>
  </si>
  <si>
    <t>A meme featuring text about Italians watching a "race war" with the intent of joining whoever wins, paired with an image of Thanos sitting on his throne.</t>
  </si>
  <si>
    <t xml:space="preserve">Since Itlaians are ethinically ambiguous they are able to blend in many places. </t>
  </si>
  <si>
    <t xml:space="preserve">There are are a lot of people with Italian ancestors all around the world so they will migrate if there is a race war. </t>
  </si>
  <si>
    <t>1k9sq1s</t>
  </si>
  <si>
    <t>She is part of a service and thats how they met. Miami has a lot of young attractive women who work in services that cater to old wealthy men.</t>
  </si>
  <si>
    <t>A Sunday morning interview detoured around exactly one origin story.</t>
  </si>
  <si>
    <t>A screenshot of a tweet from Ashley Nicole Moss (@AshNicoleMoss) reading "i know what this means in Miami lol" quote-tweeting a Complex Sports post: "'We're not talking about this.' Jordon Hudson interrupts Bill Belichick's CBS Sunday interview when he's asked how they met." The image shows Bill Belichick in a Navy sweatshirt during a CBS Sunday Morning interview, looking serious.</t>
  </si>
  <si>
    <t>The "how we met" question that gets shut down faster than a Belichick press conference.</t>
  </si>
  <si>
    <t>1k9xaf4</t>
  </si>
  <si>
    <t>OP thought socialism should be the worse option</t>
  </si>
  <si>
    <t>The titles of the pictures are switched for satire.</t>
  </si>
  <si>
    <t>The point is still that capitalism is being presented as the worse option.</t>
  </si>
  <si>
    <t>A two-panel meme compares “anti-homeless architecture under capitalism” with “anti-homeless architecture under socialism.” The first panel shows a public bench with metal dividers, while the second panel shows large apartment blocks.</t>
  </si>
  <si>
    <t>1ka6jiq</t>
  </si>
  <si>
    <t>This is referencing the Telephone game. &gt; ...an internationally popular children's game in which messages are whispered from person to person and then the original and final messages are compared. The original soldier's message had been passed on so many times that the message I love ~~you~~ her" has now been delivered as "I Rub Birds"."</t>
  </si>
  <si>
    <t>A five-panel Cyanide and Happiness comic. A wounded soldier asks his comrade to "Tell my wife… I love her." Just as the comrade promises, he is shot ("URK!"). The next soldier passes on the message — "You have to tell Jim's wife… that he loves her…" — and is also shot. The fourth panel shows a pile of fallen soldiers and a final survivor walking off. The last panel shows that survivor delivering the message to Jim's wife, who responds, "What do you mean Jim rubs birds?"</t>
  </si>
  <si>
    <t>Game of telephone with battlefield casualties and one very confused widow.</t>
  </si>
  <si>
    <t xml:space="preserve"> A long chain of last words mangled into ornithological misconduct.</t>
  </si>
  <si>
    <t>1kafv5j</t>
  </si>
  <si>
    <t>"This is how the character creator in Fallout 4 takes place. The man is looking at the mirror (the camera) and the player is changing to different appearances. The joke is that the wife is watching this happen and finds it scary."</t>
  </si>
  <si>
    <t>This shows the plot of a horror game where people are able to change faces.</t>
  </si>
  <si>
    <t>The title "ctrl alt delete" implied the man is resetting his computer</t>
  </si>
  <si>
    <t>A comic shows a woman asking a man to talk about anything other than war. The man says he will just look in the mirror first. Several different men then appear in the mirror one after another, and the woman eventually fires a gun at the mirror.</t>
  </si>
  <si>
    <t>1kbjn4z</t>
  </si>
  <si>
    <t>That man is Chris Watts, and the woman and children are his family that he murdered.</t>
  </si>
  <si>
    <t>A screenshot captioned "That awkward moment when you're browsing Amazon for a Father's Day gift and you see that someone messed up," showing an Amazon listing for a personalized "Daddy" photo blanket on the left, and a family photo of Chris, Shanann, and their two daughters on the right.</t>
  </si>
  <si>
    <t xml:space="preserve">many people dont have fathers to give gofts to on fathers day. </t>
  </si>
  <si>
    <t xml:space="preserve">You traditionally dont buy gifts for fathers day. </t>
  </si>
  <si>
    <t>1kbvz8k</t>
  </si>
  <si>
    <t>There's an ongoing meme about throwing car batteries into the ocean (to charge the electric eels, of course) because AutoZone said you shouldn't. In this meme, he is training not to impress a woman, but rather to do the heavy task of throwing car batteries into the ocean for his grandma.</t>
  </si>
  <si>
    <t>Its a reference to a movie where a grandma goes crazy and make people throw batteries in the ocean. Th man is training to help the grandma with her plan</t>
  </si>
  <si>
    <t>A comic-style image shows a muscular man lifting a heavy weight while a woman asks whether he is training hard to impress her. He says no. In the lower panel, he tells an elderly woman that he will throw her old car battery in the ocean, and she responds affectionately.</t>
  </si>
  <si>
    <t>It is funny because it is illegal to throw car batteries in the ocean</t>
  </si>
  <si>
    <t>1kc6xta</t>
  </si>
  <si>
    <t>There was an iconic moment in this interview. Well not an interview-interview, it was prank interview. Where the interviewer pretends he's bad at English.    The reference of this meme is:    **Interviewer**:  The photoshoot you do with Vogue magazine and cosmopolitan and..... Your hair changes dramatically, from short to long. DO you wear wigs?   **Elijah Woods**: No I DO NOT **Interviewer:** HAVE you worn wigs? **Elijah woods:** No I HAVE not **Interviewer:** Will you wear wigs? **Elijah Woods:** uhhh mayybee **Interviewer:** When will you wear wigs? **Elijah Woods:** \*Laughs hysterically dying inside\* [This is the Interview](https://www.youtube.com/watch?v=IfhMILe8C84)</t>
  </si>
  <si>
    <t>A screenshot of a tweet from Tommy Stella (@tommy_stella) saying "Send him in to interview her. He'll get results." above a photo of Dominic Monaghan during a Lord of the Rings-era interview, looking smirky in front of a movie poster. The quoted post from "Sabrina Carpenter Spotify" reads: "Sabrina Carpenter on rumours that she is wearing a wig. — 'Will not confirm or deny… I don't even know what a wig is, but I also don't know w…'"</t>
  </si>
  <si>
    <t xml:space="preserve">A throwback hobbit-promo interview deployed as the ultimate wig-truth interrogation tactic.
</t>
  </si>
  <si>
    <t>Sending the guy with the most iconic on-camera "wait what?" face to crack the case.</t>
  </si>
  <si>
    <t>1kcxst1</t>
  </si>
  <si>
    <t>It's about the Cod wars. Great Britain wanted to fish in Icelandic waters so the Icelandic navy put a stop to that. Then GB sent their fleet and thought that's be the end of that. Rule the waves and all that. Instead they got the everliving hell trolled out of them by the Icelandic navy and had to finally give up. If you search for it on YT you'll find some good videos on it. It's hillarious Edit: Because it has been mentioned - yes, YT has a piece on cod. In fact one could say that their cod piece is quite tantalizing</t>
  </si>
  <si>
    <t>A 36-ship navy outmaneuvered by half a dozen Icelandic boats and pure spite.</t>
  </si>
  <si>
    <t>The Cod Wars summarized as a cartoon dog's quiet act of revenge.</t>
  </si>
  <si>
    <t>A two-panel Family Guy meme. The top panel shows a Family Guy character labeled "Great Britain" pointing a shotgun labeled "A fleet of 36 ships" at Brian the dog, labeled "Iceland," saying "I'm sorry." The bottom panel shows Brian/Iceland pointing a handgun labeled "4 patrol boats and 2 armed trawlers" back, saying "No, I'm sorry."</t>
  </si>
  <si>
    <t>1kczb4x</t>
  </si>
  <si>
    <t>"I believe the joke is that people like the things pictured(bike accessible areas with beautiful views) when they visit somewhere, but as soon as it may impact their ability to drive on an area where they live, they would be against it. Edit: Yes, NIMBY(not in my backyard) is the term frequently used to describe this. But since itâ€™s explain the joke, not drop an acronym and run, I explained it."</t>
  </si>
  <si>
    <t>The joke is about cyclists being aggressive toward pedestrians and threatening violence over shared public spaces.</t>
  </si>
  <si>
    <t>The cartoon criticizes rural towns by suggesting they are dangerous places where people overreact to minor inconveniences.</t>
  </si>
  <si>
    <t>The image shows two people riding bicycles next to a river, and the caption explains that cycling is illegal in some towns.</t>
  </si>
  <si>
    <t>1kdp49k</t>
  </si>
  <si>
    <t>She's thinking "committment," and he's thinking he's been grabbed by a boa constrictor.</t>
  </si>
  <si>
    <t>She's mentally at the altar, he's mentally at the reptile expo.</t>
  </si>
  <si>
    <t>A grayscale illustration of a tall, muscular woman in a long evening gown linking arms with a shorter, slender man in a suit. The woman's thought bubble shows a stick-figure bride and groom at a wedding, while the man's thought bubble shows a snake wearing sunglasses.</t>
  </si>
  <si>
    <t>One partner planning a wedding registry, the other picturing a reptile with attitude.</t>
  </si>
  <si>
    <t>1kehvhj</t>
  </si>
  <si>
    <t>I can't recall which Greek philosopher this is specifically referring to, but a good deal of them were only known by essentially pen names or practically usernames. Plato just means "Broad-shouldered" and dude was jacked; he was purported to have settled arguments that went too far and overlong just by *flexing*. EDIT: a more correct answer is connected to the image representing a Roman emperor, rather than a Greek philosopher forum. I rushed in, but it started an interesting discussion</t>
  </si>
  <si>
    <t>Greek names usually carry so much historical weight that people still remember them thousands of years later</t>
  </si>
  <si>
    <t>The meme might also be mixing up Greeks and Romans a bit. It looks ancient and classical, so it gives off Roman-history vibes even if the reference is actually supposed to be Greek.</t>
  </si>
  <si>
    <t>A meme says, “When BRO’s nickname is so iconic that his real name is just a myth.” Below the text, a historical-looking painting shows a man addressing a large crowd in an ancient arena.</t>
  </si>
  <si>
    <t>1keqvzx</t>
  </si>
  <si>
    <t>In true crime documentaries, the victims are often attractive, outgoing, and described as “lighting up any room they walked in”</t>
  </si>
  <si>
    <t>he actually seems kind of happy with it though. like yeah he’s ugly and boring, but people still like him anyway, and his pie business is clearly carrying hard</t>
  </si>
  <si>
    <t>if you’re ugly and boring but still somehow get invited to parties, you better bring something with you like bring pies, snacks, anything, because vibes alone are not getting you invited twice</t>
  </si>
  <si>
    <t>The image shows a character holding stacks of pie boxes while looking distressed. The caption says, “When you're ugly, boring, not outgoing &amp; don’t light up the room when you walk in,” and the subtitle says, “I... will... live!”</t>
  </si>
  <si>
    <t>1key5qt</t>
  </si>
  <si>
    <t>Smurfette is the only female Smurf. She's trying to make herself look like the other Smurfs. That's pretty much the extent of it. The other smurfs don't wear shirts so in the second panel she's putting on a blue shirt to make it seem like she's not wearing a shirt. Although the subtle hint is that where she lives is also a giveaway. She would be the only Smurf with white shirts (hanging outside to dry).</t>
  </si>
  <si>
    <t xml:space="preserve">Its funny because because all the smurds look the same so she is trying to stand out. </t>
  </si>
  <si>
    <t xml:space="preserve">Its funny because the house ha transfrmed into her by the last image because fof the the blonde fringe bangs and the hay on the window look similar. </t>
  </si>
  <si>
    <t>This three-panel comic strip shows Smurfette tucking her long blonde hair into her hat and deciding to change her clothes, saying, "IF I JUST HIDE MY HAIR... AND CHANGE MY CLOTHES..." In the final panel, she has placed her hair and dress over her mushroom house and exclaims, "IT WORKED!"</t>
  </si>
  <si>
    <t>1kfloer</t>
  </si>
  <si>
    <t>Dude stumbled upon a secret military installation.</t>
  </si>
  <si>
    <t>He is digging for wifi</t>
  </si>
  <si>
    <t>A screenshot of a post shows someone inside a cave with a phone displaying very fast internet speed. The text says they are lost in a cave after hiking for an hour, but the Wi-Fi is amazing.</t>
  </si>
  <si>
    <t>1kfy8l5</t>
  </si>
  <si>
    <t>George Washington was regarded as a true Independant. He associated with no political party and actively warned against supporting a party identity to the point you lose morals as an individual, and then as a nation. The cut up serpent was a publication by Ben Franklin during the French and Indian war. It's title "Join or Die" was message for the disunited colonies to start working together. Otherwise they'd likely lose the war.  Basically it appears to read as George Washington would look at the current state of politics and say "What the fuck did I tell you? Stop the moral pissing contest and get your shit together before the country goes up in flames!" Idk why it's referencing him being alive though. Edit: It's from The Monument Mythos. This image used to represent the Horned Serpent here appears to be based off the Join or Die snake. Also George Washington was backed by Federalists and mostly sympathetic to them, but remained officially nonpartisan during his presidency. Thanks for the corrections strangers!</t>
  </si>
  <si>
    <t>A meme with the top half showing two identical images of an angry red-bearded man with steam coming out of his ears, one labeled "liberal" arguing "if george washington existed today he would be woke!" and the other labeled "republican" arguing "no he would not be woke!" The bottom half is labeled "George washington if he exist today: (He does)" with a black-and-white illustration of a dragon coiled across an outline of the continental United States.</t>
  </si>
  <si>
    <t>Political pundits debating the founding father while the founding father is now a continent-sized dragon.</t>
  </si>
  <si>
    <t>Both sides arguing about ideology, ignoring that George has ascended into the geographic kaiju phase.</t>
  </si>
  <si>
    <t>1kgak2u</t>
  </si>
  <si>
    <t>No it means that alot of bird species the males are more beautiful and colorful</t>
  </si>
  <si>
    <t>It is funny because the labels appear to be intentionally reversed, implying that female birds are actually the more colorful or “Barbie-like” ones</t>
  </si>
  <si>
    <t>It is also humorous because the meme hints at a stereotypical or sexist comparison between genders.</t>
  </si>
  <si>
    <t>The image is split into two panels. The left panel labeled “Female birds” shows a black-and-white close-up of a man wearing a hat and holding a cigarette. The right panel labeled “Male birds” shows a smiling blonde woman in a pink-themed setting, leaning forward.</t>
  </si>
  <si>
    <t>1kgwdyt</t>
  </si>
  <si>
    <t>I thought the joke was that in hs you would smell it and be jazzed, as an adult you smell it and suddenly you turn into the gestapo trying to figure out where it's coming from.</t>
  </si>
  <si>
    <t>The meme is about how weed used to be illegal but now it is legal in many places.</t>
  </si>
  <si>
    <t>The joke shows how movies have changed over time from comedy to drama.</t>
  </si>
  <si>
    <t>A meme compares smelling weed in public in high school versus smelling weed in public now. The left image shows two young men looking relaxed in a car, while the right image shows a serious-looking man in a dark uniform.</t>
  </si>
  <si>
    <t>1khvtur</t>
  </si>
  <si>
    <t>I'm assuming he's killing games to make room for a new one.</t>
  </si>
  <si>
    <t>Picking which massive download survives the next disk wipe.</t>
  </si>
  <si>
    <t>A meme using a still from The Walking Dead's "Negan's lineup" scene, where Negan points his barbed-wire bat at a row of kneeling characters. Each kneeling character is labeled with a file size — 89GB, 58GB, 45GB — while Abraham, standing in the foreground, is labeled 92GB.</t>
  </si>
  <si>
    <t>Storage cleanup as a televised execution lineup.</t>
  </si>
  <si>
    <t>1kidi8e</t>
  </si>
  <si>
    <t>Target markets are the audience you're trying to sell your product to. Marketing agencies like having clear, delineated demographics to pitch to because every demographic requires different approaches, mediums etc. For a company to say that their target market is basically all human adults is a marketing agency's worst nightmare.</t>
  </si>
  <si>
    <t>the target group is basically not defined at all. saying “men and women aged 18 to 75” is so broad that it barely means anything</t>
  </si>
  <si>
    <t>their target group is literally everyone except children. like at that point you might as well just say “adults” and call it a day</t>
  </si>
  <si>
    <t>A marketing meme shows the text, “Our target market is men and women, ages 18-75.” Under it, a man in a suit looks confused, with the large caption “WHAT?”</t>
  </si>
  <si>
    <t>1kjg3vh</t>
  </si>
  <si>
    <t>No, the joke is that each time they're asked or referencing it, the amount is going down as they are smoking it themselves hence the eyes on the close up</t>
  </si>
  <si>
    <t>The guy who got arrested thinks he can trick the police by lowering the amount every time they ask. Like, if he keeps saying a smaller number, maybe they will somehow forget the original charge.</t>
  </si>
  <si>
    <t>Police officers stand with a plant while text shows decreasing reported amounts of marijuana, alongside close-up reaction images of an officer.</t>
  </si>
  <si>
    <t>He keeps changing how much marijuana they found because he thinks less weed means less jail time. He is basically trying to edit the story in real time to save himself.</t>
  </si>
  <si>
    <t>1kjlggg</t>
  </si>
  <si>
    <t>The clerk didn't ring up all the items, effectively letting the customer steal food. The comment underneath jokes that they do the same thing at self-checkout, since you can just skip scanning some of your items for a cheaper checkout price.</t>
  </si>
  <si>
    <t>one of the cashiers watching the self-checkout probably let the customer get away with it. like they saw the discount happening and just decided not to make it a whole thing</t>
  </si>
  <si>
    <t xml:space="preserve">he basically won free groceries that day. the total dropped so much that it felt less like shopping and more like the self-checkout randomly blessed him
</t>
  </si>
  <si>
    <t>A tweet describes someone wearing a “Unionize Today!” shirt at Whole Foods and receiving a large discount at checkout. A reply underneath says, “this happened to me at the self-checkout.”</t>
  </si>
  <si>
    <t>1kjzqgk</t>
  </si>
  <si>
    <t>"If I remember correctly that was the Screen you got when you were playing for a longer time telling you to take a break."</t>
  </si>
  <si>
    <t>The picture in the wii manual indicates that it is time to air out the room</t>
  </si>
  <si>
    <t>Its a parody of wii instruction manuals, showing a controller taking a little break</t>
  </si>
  <si>
    <t>The image shows a nice open window, which the OP thinks looks really nice</t>
  </si>
  <si>
    <t>1kjzy1y</t>
  </si>
  <si>
    <t>It's a play on words being names Me: Kill ogram\ Ogram: No, Pls, don't do it\ Pls: i was never going to\ i: It's True\ True: Yo, Gurt\ Gurt: Yo"</t>
  </si>
  <si>
    <t>A six-panel cartoon featuring characters with shirts labeled "Me," "pls," "ogram," "i," "true," and "gurt." In the first panel "Me" says "Kilogram" to "pls"; in the second "ogram" tells "pls" "No pls don't do it"; in the third "ogram" says "i was never going to" to "pls"; in the fourth "i" tells "true" "it's true"; in the fifth "true" says "yogurt" to "gurt"; in the sixth "gurt" says "yo" to "true."</t>
  </si>
  <si>
    <t>Word-association support group spirals out of control.</t>
  </si>
  <si>
    <t xml:space="preserve">A person is threatening his friend in a joking manner. </t>
  </si>
  <si>
    <t>1klgmos</t>
  </si>
  <si>
    <t>"Nothing wrong. It's just showing that the ISO 216 international standard for paper sizes, followed by most countries around the world, has a logic to it: Each format is built by halving the longer side of the format above. Take half of A0 and you get A1, halve it to get A2, halve it again to get A3, etc. The "joke" is that North America doesn't use these standards, and instead use a seemingly arbitrary list: and that perhaps they get offended when people point that out."</t>
  </si>
  <si>
    <t>Americans often hate european standards</t>
  </si>
  <si>
    <t>The image shows paper sizes</t>
  </si>
  <si>
    <t>Nothing is wrong</t>
  </si>
  <si>
    <t>1kmjd7k</t>
  </si>
  <si>
    <t>"I have the bad feeling itâ€˜s gonna be WWII movies"</t>
  </si>
  <si>
    <t>The joke suggests that many movies are depressing because audiences increasingly prefer tragic endings where heroes fail.</t>
  </si>
  <si>
    <t>The humor comes from movie spoilers, implying that asking this question will ruin the endings of many popular films.</t>
  </si>
  <si>
    <t>The image is recommending a specific cartoon movie where the main character loses at the end.</t>
  </si>
  <si>
    <t>1knbdga</t>
  </si>
  <si>
    <t>"Before you throw up, fluid from further along the digestive tract goes back up into the stomach to partially neutralise the stomach acid. If it didn't do that, you would melt your teeth when puking. The owner of the depicted stomach is about to experience the alcohol and coffee for the second time."</t>
  </si>
  <si>
    <t>The person had poop in their stomach</t>
  </si>
  <si>
    <t>A comic shows liquids inside a stomach. Coffee and alcohol are labeled in the upper panels. In the next panels, the liquid characters ask where water is and then ask who the other liquid is.</t>
  </si>
  <si>
    <t>The image is a cartoon of a persons stomach</t>
  </si>
  <si>
    <t>1kozyll</t>
  </si>
  <si>
    <t>The joke is that the song (Anxiety by Doechii) is overplayed/sucks, and the man is turning the speaker off or skipping it.</t>
  </si>
  <si>
    <t>Suds-on, towel-off, contorting like a gymnast for one quick screen check.</t>
  </si>
  <si>
    <t>Mid-shower acrobatics to silence the imagined surveillance.</t>
  </si>
  <si>
    <t>A meme captioned "'somebody's watching me, it's my anxi-'" with an image of a shirtless man with shampoo in his hair leaning awkwardly out of the shower, reaching across the bathroom to grab his phone from the sink counter.</t>
  </si>
  <si>
    <t>1kpfg74</t>
  </si>
  <si>
    <t>Leonhard Euler, Swiss mathematician, who has one of the most important numbers in mathematics (e) named after him.</t>
  </si>
  <si>
    <t>he clearly got the better deal here. like everyone else got a country or an era named after them, but he somehow got something even more iconic</t>
  </si>
  <si>
    <t>he’s basically not that memorable on his own. like without the thing connected to him, most people probably would not even know who he is</t>
  </si>
  <si>
    <t>A history meme compares three figures. One panel says “Having a country named after you,” another says “Having an entire historical era named after you,” and the bottom shows a sunglasses emoji next to another portrait.</t>
  </si>
  <si>
    <t>1kpj6mq</t>
  </si>
  <si>
    <t>Southpark Canadians</t>
  </si>
  <si>
    <t xml:space="preserve">It is funny because almost all candians have this set in their home. </t>
  </si>
  <si>
    <t xml:space="preserve">It is funny because it resmeble the canadian flag. </t>
  </si>
  <si>
    <t>An image captioned "This plate is Canadian" showing a white plate with two black dots positioned as eyes and a strip of bacon laid diagonally across it resembling a mouth or scarf.</t>
  </si>
  <si>
    <t>1kpsba8</t>
  </si>
  <si>
    <t>"Car salesman pretending to speak with his manager to get a better deal for the customer.. common salesman practice."</t>
  </si>
  <si>
    <t>The joke is that car dealerships have inefficient management structures, forcing salesmen to constantly check in with their managers before making decisions.</t>
  </si>
  <si>
    <t>The humor comes from mocking corporate office culture, where employees exaggerate how busy they are by pretending to make important phone calls.</t>
  </si>
  <si>
    <t>The image shows a man who cannot reach his manager on the phone and must try calling seven times in a row.</t>
  </si>
  <si>
    <t>1kpua4s</t>
  </si>
  <si>
    <t>This is not only a reference to the Resident Evil franchise, where sorting your inventory is represented by squares, but also to the fact that the shape in the photo is, no joke, the most efficient way to store 17 squares into a larger square</t>
  </si>
  <si>
    <t>His daughter was clearly trying her best, but the joke is that her solution is obviously not the most efficient one.</t>
  </si>
  <si>
    <t>His wife should not be anywhere near his toolkit.</t>
  </si>
  <si>
    <t>A comic-style image shows a character carrying a large case containing weapons, ammunition, money, medicine, food, and other supplies. Another character comments, “It’s more efficient!” The image presents the case as an exaggerated all-in-one survival or combat kit.</t>
  </si>
  <si>
    <t>1kqcllz</t>
  </si>
  <si>
    <t xml:space="preserve"> You in theory have unlimited PTO, but if you use more than your co workers, we just fire you.  So realistically you have no PTO.</t>
  </si>
  <si>
    <t>when a job says “unlimited PTO,” it usually does not mean you can just disappear whenever you want. it mostly means the limit is unspoken and based on company culture, which is probably way less freedom than he thinks</t>
  </si>
  <si>
    <t>A tweet says someone’s new job has unlimited paid time off and unlimited sick leave. Below it, a reply uses a SpongeBob scene with the caption “HOW DO WE TELL HIM?”</t>
  </si>
  <si>
    <t>he technically can take as much PTO as he needs, but only if he can justify it to his boss. so it sounds unlimited on paper, but in real life it still depends on whether management is cool with it</t>
  </si>
  <si>
    <t>1kqwlgj</t>
  </si>
  <si>
    <t>There's a common theistic argument that the Earth is too perfect to be here by accident, it must be here on purpose, ergo a god exists. This is known as a fine-tuning argument. The idea is if it was any closer or further away from the sun, if it spun slower or faster, or if it was smaller or bigger even by a tiny amount, it couldn't support life. If that was true, then the Earth being slightly heavier would cause it to be uninhabitable. This meme is essentially saying "this is what the Earth would look like if it was one kilogram heavier, according to theists that use fine-tuning arguments". This is of course all nonsense since all of those variables change a lot anyway. Edit: I'm getting a lot of constant notifications so I'm going to clear the air.  Firstly, I said it's "A" fine tuning argument, not "THE" fine tuning argument. It's a category of argument with multiple variations and this is one of them, so stop trying to correct something that isn't wrong. Secondly, I never claimed a god doesn't exist and I never claimed that fine tuning being a stupid argument proves that a god doesn't exist. Saying stuff like "intelligent design is still a good argument" is both not true and also completely irrelevant. Thirdly, this is my interpretation of the joke. I could very well be wrong. It's just where my mind went.</t>
  </si>
  <si>
    <t xml:space="preserve">This is funny because mass cant be added to earth due to physics. </t>
  </si>
  <si>
    <t xml:space="preserve">This is an anti science meme that mocks scientists delusion sie everyone knows that mass is added to earth constantly. </t>
  </si>
  <si>
    <t>A meme featuring an image of the Earth being consumed by a massive, fiery explosion in space, paired with the text "Apparently Earth if I make it 1 kilogram heavier,"</t>
  </si>
  <si>
    <t>1krtkl7</t>
  </si>
  <si>
    <t>"Dad knows how to connect with each of his kids. They all have different ways and styles of communicating, and he's able to adapt to each of them to make them feel loved- and respected."</t>
  </si>
  <si>
    <t>It depicts opposite day, where dad says the opposite of what he usually would</t>
  </si>
  <si>
    <t>It shows a dad saying goodbye to his kids</t>
  </si>
  <si>
    <t>A four-panel comic titled “First day of school” shows a father saying goodbye to his daughters. He is affectionate toward the younger children, but when an older daughter leaves for school, he acts awkwardly and says something more critical before she calmly says goodbye.</t>
  </si>
  <si>
    <t>1kse8n2</t>
  </si>
  <si>
    <t>Blue - Eiffel 65</t>
  </si>
  <si>
    <t>Blaze of glory - Bon Jovi</t>
  </si>
  <si>
    <t>A photo collage shows a person with bright blue hair holding a blue ice cream cone. The caption says that an ice cream truck came to school, the ice cream man saw the person’s hair, and gave them a matching blue ice cream.</t>
  </si>
  <si>
    <t>Candy - Iggy Pop</t>
  </si>
  <si>
    <t>1ku0frm</t>
  </si>
  <si>
    <t>Nothing. The answer is teapot.</t>
  </si>
  <si>
    <t>It seems like there should not be any word that fits all those conditions. Starting with T and ending with T</t>
  </si>
  <si>
    <t>A milk carton has a riddle printed on the side asking, “What starts with T, ends with T, and has T inside?” Under the carton, added text says, “hahah funny one” with a neutral-face emoji.</t>
  </si>
  <si>
    <t>The answer is “Tats,” because it starts with T, ends with the sound/letter pattern they are pointing at, and still has another T inside. It turns the riddle into a silly little word trick instead of a serious question.</t>
  </si>
  <si>
    <t>1kvenyk</t>
  </si>
  <si>
    <t>Japan is know as a country that values rule following and honor. Since Masabumi Hosono, the Japanese man survived the Titanic, that was seen as not honorable since the lifeboats were supposed to be for the women and children and that the men would go down with the ship. However this was a misconception and Hosono followed the procedures and survived, but he was ostracized because of the whole “women and children thing</t>
  </si>
  <si>
    <t>A two-panel meme using the pink-haired anime character Yuno Gasai from Future Diary over a painting of the sinking Titanic. The top panel shows her smiling calmly with the caption "The Japanese upon learning one of their countrymen was onboard the Titanic." The bottom panel shows her with a wide-eyed, unhinged expression and the caption "The Japanese upon learning he followed the evacuation procedures and survived."</t>
  </si>
  <si>
    <t>National pride flipping to national horror in one historical footnote.</t>
  </si>
  <si>
    <t>Yandere face reserved specifically for surviving a maritime disaster the "wrong" way.</t>
  </si>
  <si>
    <t>1kw2p1y</t>
  </si>
  <si>
    <t>"It's autism I think The thing where nd people obsesses over one hobby"</t>
  </si>
  <si>
    <t>the joke is autism, the person replying wants to stop the kid from developing it</t>
  </si>
  <si>
    <t>The joke is the child is very bad at drawing the ruler, and needs better education, rather than watching TV</t>
  </si>
  <si>
    <t>A screenshot of a tweet shows someone advising that a child who drew a ruler scale from memory should be kept away from Sonic the Hedgehog and instead encouraged toward architectural or fashion pattern design. The embedded image shows a hand holding a popsicle stick marked with ruler-like lines next to a real ruler.</t>
  </si>
  <si>
    <t>1kw3buz</t>
  </si>
  <si>
    <t>You probably know rocket as arugula.</t>
  </si>
  <si>
    <t xml:space="preserve">Rcoekt scientists are very smart so they eat a lot of salads </t>
  </si>
  <si>
    <t>An image of a page from a joke book featuring a pun that reads, "My friend genetically modifies salad. She is a rocket scientist,"</t>
  </si>
  <si>
    <t xml:space="preserve">The rocket scientist is British. </t>
  </si>
  <si>
    <t>1kw5fto</t>
  </si>
  <si>
    <t>Sacre bleu!" is just a French exclamation of being shocked or terrified or surprised.     The joke is that the French are running in the opposite direction, because of the stereotype of French people being cowardly in war.</t>
  </si>
  <si>
    <t>They are running in the opposite direction because they are clearly confused.</t>
  </si>
  <si>
    <t>The joke is that the French are being portrayed as warriors, even though France still has colonial influence or territories in several parts of the world.</t>
  </si>
  <si>
    <t>A comic shows groups of stick figures running through a narrow passage while carrying different national or political flags. Each group has a different phrase written on the passage, such as “For Stalin,” “God save the queen,” “They have oil,” and “Sacre bleu.”</t>
  </si>
  <si>
    <t>1kxar4d</t>
  </si>
  <si>
    <t>This is blazing saddles a comedy about race in the west. it has racism as a joke very frequently but is cowritten by Richard prior, so the humor is progressive. It's just not a hand holding progressive. The plot is a rich guy needs to avoid the police, so he pays to have a black man appointed sheriff in a highly racist town. They try to kill him and other such frontier activities.</t>
  </si>
  <si>
    <t>The joke shows that in the West, being able to tell someone that their words hurt your feelings can itself be seen as a privilege. In other cultures or contexts, people may be expected to just tolerate harsh jokes.</t>
  </si>
  <si>
    <t>It illustrates cultural differences in where people draw the line for respect. The two men in the image are laughing because they clearly do not have the same tolerance level.</t>
  </si>
  <si>
    <t>A screenshot from Reddit shows a meme about millennials saying that words hurt. Below the text, an image from an old western-style film shows one man laughing while another man has his arm around him.</t>
  </si>
  <si>
    <t>1kxmxbf</t>
  </si>
  <si>
    <t>"Kamdyn is saying the person holding the photo is visible on the phone screen and is also comparing their stature to a tank. As to what tank she most resembles is up for our individual interpretation. I myself like the World War Two M4 Sherman tank."</t>
  </si>
  <si>
    <t>The joke is that the list exaggerates traditional dating expectations, and the comment points out that these standards are still obvious even when people try to disguise them as jokes.</t>
  </si>
  <si>
    <t>The humor comes from people arguing online about masculinity, with the comment mocking how seriously some users take a casual social media post.</t>
  </si>
  <si>
    <t>The image is about military tanks being visible in fog, and the list on the phone is unrelated background information.</t>
  </si>
  <si>
    <t>1kyo5pv</t>
  </si>
  <si>
    <t>"1) It's a Don Bluth movie. If you were a kid growing up in the 80s and 90s, you were going to be emotionally *wrecked* by the time you left that theater. 2) Making it even worse, Judith Barsi, the actress who voiced Anne Marie, was murdered by her father shortly before the film was completed. The scene in the meme was the last scene Burt Reynolds (who voiced Charlie the dog) recorded. So not only was it Charlie saying goodbye to Anne Marie, but it was *Reynolds* saying goodbye to *Barsi*. It was an enormously difficult scene for Reynolds to record, and it took numerous takes before he could finally get through it. And now you're crying, too."</t>
  </si>
  <si>
    <t>A meme asks why someone did not cry during Titanic and whether they have emotions. The response shows four frames from an animated film featuring a girl and a horse in an emotional goodbye scene.</t>
  </si>
  <si>
    <t>Men rarely cry according to women</t>
  </si>
  <si>
    <t>The scene shows a little girl saying goodbye to her dog, which is very emotional</t>
  </si>
  <si>
    <t>1kyy4wf</t>
  </si>
  <si>
    <t>It is the story of fascism and/or totalitarianism. it is similar to First They Came</t>
  </si>
  <si>
    <t>A four-panel comic by Dogmo Comics. The first panel reads "At first it just seemed like an odd fashion trend" and shows a person in a hot dog costume at a bus stop. The second panel reads "But it kept spreading" with more people walking around in hot dog costumes. The third panel reads "By the time any of us realized something was wrong..." and shows a regular person being mobbed by hot-dog-costumed people, including a celebrity-like one being filmed under stars. The fourth panel reads "It was already too late" showing streets filled with hot-dog-costumed crowds and a Wienermobile car driving by.</t>
  </si>
  <si>
    <t>The slow societal pivot from "weird costume" to "official municipal aesthetic."</t>
  </si>
  <si>
    <t>A meat-themed pandemic, documented frame by frame.</t>
  </si>
  <si>
    <t>1l0pn3b</t>
  </si>
  <si>
    <t>Turn off all lights in your room and put one source of light behind yourself. It's just extremely distracting when you need to focus on what's ahead of you. Lots of kids have memories of their parents telling them not to turn these lights on during the night, sometimes even dramatizing that'll cause an accident or that it's illegal</t>
  </si>
  <si>
    <t>A meme captioned "7 year old me switching on the car light for one second" with a photo of a finger touching a car's overhead dome light. Below, captioned "My dad:", is a still of Jacob Batalon as Ned Leeds from Spider-Man: Homecoming yelling, "We're all gonna die!"</t>
  </si>
  <si>
    <t>A single overhead bulb treated as a terminal night-driving diagnosis.</t>
  </si>
  <si>
    <t>Dome light flips on, dad enters full disaster-movie monologue mode.</t>
  </si>
  <si>
    <t xml:space="preserve">A meme captioned "7 year old me switching on the car light for one second" with a photo of a finger touching a car's overhead dome light. Below, captioned "My dad:", is a still of Jacob Batalon as Ned Leeds from Spider-Man: Homecoming yelling, "We're all gonna die!"
</t>
  </si>
  <si>
    <t>1l1hxof</t>
  </si>
  <si>
    <t>It is a viral video. Some college kids decided to have a party and this woman showed up to hang out. They didn’t know who she was so they asked her what she was doing there. She refused to answer and the video ends with them deciding to call the police.</t>
  </si>
  <si>
    <t>The girl filming had her mom show up and basically crash her friend’s party, which made the whole thing feel embarrassing and lame. Instead of being a normal party moment, it turned into one of those awkward parent situations.</t>
  </si>
  <si>
    <t>Some of the invited guests apparently had to bring a teacher along for safety, which made the party feel way less cool. That is probably why some of the guys started filming her, because her being there looked so out of place.</t>
  </si>
  <si>
    <t>A screenshot of a woman holding a drink, with text noting she is 56 years old and referencing a Snapchat post.</t>
  </si>
  <si>
    <t>1l22d3q</t>
  </si>
  <si>
    <t>It’s a pretty significant plot point to do with Yellowjackets, which she is a major character in. let’s just say, to avoid spoilers, wearing the heart necklace in that show is indicative of bad things to follow. also you should watch Yellowjackets</t>
  </si>
  <si>
    <t xml:space="preserve">It is a compliment to the woman in the photo saying she is so beautiful she is worth going to war for. </t>
  </si>
  <si>
    <t>A social media post features two photos of actress Ella Purnell, with a caption comparing her facial expression to a portrait one would carry in a heart locket during wartime. A comment below the photos suggests that she has already seen enough heart necklaces.</t>
  </si>
  <si>
    <t xml:space="preserve">The poster assumed that since she is beautiful she has already been gifted lots of jewlery. </t>
  </si>
  <si>
    <t>1l3sh3k</t>
  </si>
  <si>
    <t>Leonardo is known for only dating women under the age of 25, so the joke is that his character in titanic would rather die than date a 25 year old</t>
  </si>
  <si>
    <t>Rose is too old to be a child in the Titanic movie, and can therefore not be saven in the childrens boat</t>
  </si>
  <si>
    <t>A meme says that it now makes sense that there was room for Jack on the door, but there was another problem. Below the text, a search result shows the age of the female character from Titanic as 26 years old.</t>
  </si>
  <si>
    <t>Titatic sunk in 1912 so she would be 100 years old</t>
  </si>
  <si>
    <t>1l45vl2</t>
  </si>
  <si>
    <t>Without the Oxford comma it reads as if Merle Haggard’s two ex wives are Kris Kristofferson and Robert Duvall, the author’s two parents are Ayn Rand and God, and Nelson Mandela is an 800 yo old demigod and dildo collector.  Adding the Oxford comma would have clarified that these sentences are instead lists with distinct items.</t>
  </si>
  <si>
    <t>A screenshot of a post from an account named “Oxford Comma” says that the Oxford comma is stylish, useful, and sometimes absolutely necessary. Below it, an example sentence is shown where missing punctuation creates a strange list involving parents, Ayn Rand, God, Nelson Mandela, a demigod, and a collector.</t>
  </si>
  <si>
    <t>The sentences are incorrect because they use too many commas</t>
  </si>
  <si>
    <t>The Oxford comma is used only for stylistic decoration and doesn't affect meaning.</t>
  </si>
  <si>
    <t>1l4mpmj</t>
  </si>
  <si>
    <t>"He liked her body so much he did not realise where he was walking"</t>
  </si>
  <si>
    <t xml:space="preserve">It is funny because the image posted iun the tweet is not a woman so it has incongruous humor. </t>
  </si>
  <si>
    <t xml:space="preserve">Since the photo shows a stuffed animal and the person replying to the tweet is relating the stuffed animal to the rack of stufed animals. </t>
  </si>
  <si>
    <t>A screenshot of a social media thread where a user shares a photo of a woman with a highly exaggerated curvy silhouette asking if men "really like this," followed by a quote-post from another user claiming he once walked into a rack of stuffed animals after seeing someone with that build.</t>
  </si>
  <si>
    <t>1l4x3e6</t>
  </si>
  <si>
    <t>They are implying a relationship between trumps youngest son, Baron, and elons daughter, Vivian, would end the petty squabbles and reunite the 2 fathers.</t>
  </si>
  <si>
    <t>If Putin’s daughter and Trump’s son got together, it would basically mean world peace.</t>
  </si>
  <si>
    <t>A tweet says there is a long-standing way to resolve current political tension and that the user should not have to spell it out. Below the text are two photos placed side by side, one of a young blonde woman and one of a young man in a suit.</t>
  </si>
  <si>
    <t>Trump’s son having a model girlfriend would make him happier and probably less awkward overall.</t>
  </si>
  <si>
    <t>1l5ixzd</t>
  </si>
  <si>
    <t>"So the reason pizza party slices were so small was because the teachers bought the pizza with their own money and that's an effort made for the students by them."</t>
  </si>
  <si>
    <t>A meme says, “How it feels to realize why class pizza party slices were so small.” Below the text, there is a close-up image of a serious-looking man staring forward.</t>
  </si>
  <si>
    <t>Pizza isnt healthy, so they realized the teacher was taking care of them by feeding them less pizza.</t>
  </si>
  <si>
    <t>Pizza is a good prize for kids to win in school, even if the slices are small</t>
  </si>
  <si>
    <t>1l5rutv</t>
  </si>
  <si>
    <t>As a kid, Amber thought mom was missing out on the fun. Now, she realizes mom needed a break from Amber and her siblings.</t>
  </si>
  <si>
    <t>A screenshot of a tweet from Amber Sparks (@ambernoelle) reading: "Just remembering all the times when my mom would be like 'you guys and your dad go without me, I'll just stay here and read' and we truly felt sorry for her and WAIT A MINUTE"</t>
  </si>
  <si>
    <t>The book was never the consolation prize — it was the whole point.</t>
  </si>
  <si>
    <t>Mom's introvert masterplan, decoded decades too late.</t>
  </si>
  <si>
    <t>1l6ov5y</t>
  </si>
  <si>
    <t>"He resembles Zeke Yaeger. A character in Attack on Titan anime. Basically, if you drink his spinal fluid and he screams, you turn into a titan (monster in that anime). In the last season his spinal fluid was mixed with wine and people drank it unknowingly. Bad things happened after that"</t>
  </si>
  <si>
    <t>The joke comes from the man looking like a generic anime villain, with the caption exaggerating him as someone dangerous even though he is just an ordinary cashier.</t>
  </si>
  <si>
    <t>He resembles a character from Attack on Titan, and the joke is that drinking wine connected to him gives people supernatural powers, referencing how characters in the anime gain abilities through special substances.</t>
  </si>
  <si>
    <t>He is a famous chef who likes to give freebees</t>
  </si>
  <si>
    <t>1l79lv3</t>
  </si>
  <si>
    <t>Lots of furries want to wake up as an actual one, but if they did they'd probably be kidnapped and taken for testing very quickly.</t>
  </si>
  <si>
    <t>A two-panel comic by @ShepGoesBlep dated 2025. The top panel shows an anthropomorphic fox character in a bedroom with a "Proud Furry" poster and an empty fursuit on a hanger, joyfully exclaiming "I finally woke up as my fursona! This is the best day of my life!" The bottom panel shows the same fox being chloroformed and carried away by armed FBI agents into a van outside.</t>
  </si>
  <si>
    <t>Wish granted, federally classified as a new species seconds later.</t>
  </si>
  <si>
    <t>A long-awaited transformation interrupted within minutes by federal intervention.</t>
  </si>
  <si>
    <t>1l7z6gs</t>
  </si>
  <si>
    <t>He’s implying that she won’t be able to get a job with a degree in Philosophy</t>
  </si>
  <si>
    <t>A two-panel meme shows a father and daughter sitting together with books. In the first panel, the daughter says that she has decided to major in Philosophy. In the second panel, the father responds sarcastically that a large Philosophy factory has just opened in town.</t>
  </si>
  <si>
    <t>She has a supportive father who is interested in what she is doing and where she is going.</t>
  </si>
  <si>
    <t>A business philosophy is meant to express a company’s guiding principles and overall direction, while also shaping its public image in a positive way.</t>
  </si>
  <si>
    <t>1l8fck5</t>
  </si>
  <si>
    <t>It's the code to their crypto wallet.</t>
  </si>
  <si>
    <t>It was probably something important, like a phone number, password, or recovery phrase that they forgot and only had written down on that piece of paper. Now that it has been thrown away, the information is just gone.</t>
  </si>
  <si>
    <t>It turns out the paper had the deactivation code for a bomb the soldier has already activated. Now he is standing there realizing the code is gone, basically just waiting for everything to go wrong.</t>
  </si>
  <si>
    <t>A war painting shows a shocked soldier standing in a battlefield with smoke, tanks, mountains, and planes behind him. The text over the image says, “Oh yeah I threw out a paper with 12 random words while cleaning.”</t>
  </si>
  <si>
    <t>1l8fcur</t>
  </si>
  <si>
    <t>"The joke is that shes pretty, and the OP is complaining that his lobster is too buttery and steak is too delicious."</t>
  </si>
  <si>
    <t>The meme jokes about unrealistic beauty standards by comparing how different dresses fit different body types.</t>
  </si>
  <si>
    <t>The humor comes from social ignorance and unintended cruelty: the circled ï¿½pouchï¿½ is likely a normal body feature or pregnancy-related/posture-related effect, and the joke highlights how online commenters confidently misinterpret womenï¿½s bodies and jump to extreme solutions like surgery.</t>
  </si>
  <si>
    <t>The image is asking for genuine medical advice about abdominal surgery options.</t>
  </si>
  <si>
    <t>1l8vajl</t>
  </si>
  <si>
    <t>Bikini Bottom got flooded by medical waste most likely due to the human garbage disposal into the oceans and they made it into a fair called "glove world" but they are exposed to biological hazard. Or they have 4 fingers and the gloves have 5.</t>
  </si>
  <si>
    <t>Text at the top says: “Once you see, you’ll NEVER unsee”. Below SpongeBob is standing and smiling while holding multiple balloons shaped like hands in different colors. On the right side, part of another character is holding a single similar balloon.</t>
  </si>
  <si>
    <t>It is funny because the balloons resemble udders.</t>
  </si>
  <si>
    <t>It is also humorous because children often find balloons amusing when they look like fingers.</t>
  </si>
  <si>
    <t>1l99mtp</t>
  </si>
  <si>
    <t>The answer is: horse legs don't bend that way.</t>
  </si>
  <si>
    <t xml:space="preserve">The busha upon frst glance looks like the head of a person. </t>
  </si>
  <si>
    <t xml:space="preserve">There are no such places in Auburn California. </t>
  </si>
  <si>
    <t>A framed sketch of a white horse is displayed on a wall above a wooden cabinet in a hotel foyer. A small, round topiary plant on the cabinet is positioned directly in front of the bottom of the painting, overlapping the horse's underside.</t>
  </si>
  <si>
    <t>1lavhpu</t>
  </si>
  <si>
    <t>"Instant friendship unlocked: These countries get excited when they meet a foreigner who is trying to speak their language. Nice try.... but why bother: These countries languages are pretty difficult with their grammar and pronunciations, so it's like, we appreciate the effort, but it'll be easier for us to just speak in a language you already know how to speak. Cute but let's switch to English: Kind of the same as the last one with a bit of a sarcastic eye roll at hearing your attempt. No reaction: They're English speaking countries, you speak English. You already speak the same language as them so there's no reaction. PLEASE DON'T: France has a stereotype of being condescending and elitist, scoffing at foreigners who try to adopt their culture, and would try to shut down anyone trying to speak French and doing so poorly. Now, I don't know how true these are, but I'm just explaining the joke, not speaking on how accurate it is."</t>
  </si>
  <si>
    <t>The map shows how people of different countried stereotypically react when you speak their language, scandinavian people are known for stricly enforcing grammar rules, even for beginners, so they would prefer if you dont butcher the language, while the germans are known for their friendliness</t>
  </si>
  <si>
    <t>A map is depicted in different colors, indicating which languages are spoken there</t>
  </si>
  <si>
    <t>A map of Europe is titled “How people react when you try to speak their language.” Different countries are colored according to a legend with reactions such as “Instant friendship unlocked,” “Nice try... but why bother?”, “Cute but let’s switch to English,” “No reaction,” and “PLEASE DON’T.”</t>
  </si>
  <si>
    <t>1lbduvg</t>
  </si>
  <si>
    <t>"man of steel is another name for ' Superman'"</t>
  </si>
  <si>
    <t>They made the statue the wrong color</t>
  </si>
  <si>
    <t>When iron man dies in the movie they make a statur like the one depicted</t>
  </si>
  <si>
    <t>The loki figure is implying that the statue is very cool and they did their job very wel</t>
  </si>
  <si>
    <t>1lc0zi5</t>
  </si>
  <si>
    <t>"The joke is in math we donâ€™t use 270 angles a lot"</t>
  </si>
  <si>
    <t>The joke is about geometry, showing how different people are positioned at different angles in the room.</t>
  </si>
  <si>
    <t>The joke is about how we use 90 degree angles a lot</t>
  </si>
  <si>
    <t>The image is teaching viewers how to measure angles using people sitting in a living room.</t>
  </si>
  <si>
    <t>1lcutci</t>
  </si>
  <si>
    <t>Americans' taxes are funding the ammunition of Iran and Israel, who are currently blaming and hurling explosives at each other</t>
  </si>
  <si>
    <t>People are crying because a war seems like it is about to break out. The situation feels tense, and everyone is reacting as if something terrible is coming.</t>
  </si>
  <si>
    <t>The population is scared because they think the bombs might hit them. They are basically stuck under the threat of violence, not knowing whether they are going to be next.</t>
  </si>
  <si>
    <t>The image shows missiles flying over a city at night. Text labels the missiles as “my tax dollars” and “somehow also my tax dollars,” while the bottom shows a man underwater with the caption “Americans.”</t>
  </si>
  <si>
    <t>1lejj62</t>
  </si>
  <si>
    <t>I think it’s referring to the fact that most ships in movies are made to look rough or  crude (sorry if my English is not good, it’s not my first language)</t>
  </si>
  <si>
    <t>An image captioned "Every Ship In Movies Be Like:" showing a close-up of a blue painted wall with riveted metal panels arranged in a pattern that resembles the rough silhouette of a ship's deck and superstructure, with a metal railing in the lower right.</t>
  </si>
  <si>
    <t>Riveted paneling accidentally pulls off the cleanest naval silhouette in cinema.</t>
  </si>
  <si>
    <t>Stairwell wall doing Hollywood's job of "establishing shot of the boat."</t>
  </si>
  <si>
    <t>1lfe3gp</t>
  </si>
  <si>
    <t>I think you typically see "the best of Japan" on social media but it's not as glamorous as it seems to live there.</t>
  </si>
  <si>
    <t xml:space="preserve">Everyone knows japan is the best country. </t>
  </si>
  <si>
    <t>Expat forums in a nutshell.</t>
  </si>
  <si>
    <t xml:space="preserve">A two-panel meme using the Tom and Jerry "angry Tom reading a book" template, with the top panel showing an open book reading "Japan is not a good country to live in," and the bottom panel showing Tom with a red, furious face holding the book, labeled "People who are not Japanese."
</t>
  </si>
  <si>
    <t>A two-panel meme using the Tom and Jerry "angry Tom reading a book" template, with the top panel showing an open book reading "Japan is not a good country to live in," and the bottom panel showing Tom with a red, furious face holding the book, labeled "People who are not Japanese."</t>
  </si>
  <si>
    <t>1lfy05f</t>
  </si>
  <si>
    <t>It's about situational awareness. Listen with one ear to your music, or game and with the other to your surroundings. The meme implies a childhood where you have to be aware of your parents, but it's a habbit that translates to every situation were unpleasant things could happen. I'm 42 and still listen with only one headphone. Especially when I'm with my back to a door.</t>
  </si>
  <si>
    <t xml:space="preserve">A meme captioned "do you understand this or did you have good childhood" with a close-up photo of a person wearing a Sony over-ear headphone, but the headphone is positioned on top of the visible ear rather than around it, pinching the cartilage.
</t>
  </si>
  <si>
    <t>A trauma response disguised as an audio setup.</t>
  </si>
  <si>
    <t>Headphones sitting directly on the ear like a punishment, not a feature.</t>
  </si>
  <si>
    <t>1lgqywl</t>
  </si>
  <si>
    <t>3.6 is the level of radiation measured at the Chernobyl disaster (the real radiation level was much higher, but the devices they used could only measure up to 3.6).</t>
  </si>
  <si>
    <t>It only really works because it is clearly a remake of the Chernobyl joke. The “3.6” reply is a weirdly low rating, which makes the whole thing feel like a dry reference rather than a serious answer.</t>
  </si>
  <si>
    <t>The number 3.6 is so oddly specific and random that it feels like pure Twitter humor. Someone just drops a strange number as the punchline, and somehow that becomes the joke.</t>
  </si>
  <si>
    <t>A tweet from an account named Anatoly Dyatlov says, “Rate my Chernobyl Grand Prix layout.” The image shows an aerial view of a nuclear power plant with a red racing-track outline drawn around it. A reply below simply says “3.6.”</t>
  </si>
  <si>
    <t>1lh0gn3</t>
  </si>
  <si>
    <t>Elon is not happy cause AI (grok) ”he” made doesn’t spread right wing misinformation.</t>
  </si>
  <si>
    <t>A screenshot of an X thread. Catturd ™ (@catturd2) complains that "Grok is just woke fake news that repeats liberal talking points." Americano (@moraltreason) tags @grok asking "why do you lie about @catturd2?" Grok replies that its claims about Catturd stem from sources like Media Matters and Rolling Stone documenting his misinformation, noting it has no personal biases. Elon Musk (@elonmusk) then responds: "Your sourcing is terrible. Only a very dumb AI would believe MM and RS! You are being updated this week."</t>
  </si>
  <si>
    <t>Grok learns the hard way that "neutral and accurate" is not a feature the boss ordered.</t>
  </si>
  <si>
    <t>AI politely cites its sources, owner threatens reprogramming by Friday.</t>
  </si>
  <si>
    <t>1lhnwl4</t>
  </si>
  <si>
    <t>The original was about a man working despite being armless while the begger got both arms but still refuse to do the harder work. The twist is that the begger is working as an undercover spy, so technically he is working.</t>
  </si>
  <si>
    <t>He is apparently a Russian spy, which makes the scene even more ridiculous. He is sitting there looking like he is begging, but then acts like it is all part of some secret mission.</t>
  </si>
  <si>
    <t>A cartoon shows a man sitting on the ground with a bowl, appearing to beg. Another man with no arms walks past carrying bricks and bags, with the text “Work bro, don’t beg...” The seated man replies, “I’m a spy, you fool!”</t>
  </si>
  <si>
    <t>He only says he is a spy to save his dignity. Instead of admitting that he is begging, he tries to make the situation sound intentional and mysterious.</t>
  </si>
  <si>
    <t>1ljrgbw</t>
  </si>
  <si>
    <t>okay im chronically online so the real explanation is:  tier 1: tiktok trend where the girlfriend asks the boyfriend if they are going to pay for dinner, and the camera zooms into their purse that has nothing but lipstick, makeup, tampons, etc (no wallet). basically personifying being a princess and knowing that the boyfriend will pay, but asking as a courtesy anyways. tier 2: matcha is currently very trendy and very pricey (i.e. very girlypop drink and "performative", especially if you are a guy) tier 3: combination of these two trends in a very absurdist way; biasing mainly the first one, but with matcha instead of makeup products</t>
  </si>
  <si>
    <t>A handbag is open, revealing a green iced drink inside. Text over the image reads: “can you pay?” and “no.”</t>
  </si>
  <si>
    <t>She has a green juice in her bag just in case she does not get enough food at the restaurant. Since it can feel awkward to order a lot when someone else is paying, especially a boyfriend, the juice is basically her backup plan.</t>
  </si>
  <si>
    <t>Instead of bringing money to pay for food, she brings a green juice, which kind of shows where her mind is. She seems more worried about eating “healthy” and not gaining weight than actually enjoying the restaurant meal.</t>
  </si>
  <si>
    <t>1ljwpph</t>
  </si>
  <si>
    <t>"Pain is Fr*nch for bread. Pain staking Staking with bread"</t>
  </si>
  <si>
    <t>The image explains an actual folklore rule about how French vampires are killed using bread.</t>
  </si>
  <si>
    <t>The pun in the image is a play on a scene from twilight</t>
  </si>
  <si>
    <t>The image explains an actual folklore rule about how French vampires are killed using bread.'</t>
  </si>
  <si>
    <t>1lkox24</t>
  </si>
  <si>
    <t>It’s the ending to Dumb and Dumber….basically they are 2 intellectually challenged guys down on their luck, no jobs, lost everything, walking in the middle of nowhere when this bus pulls up next to them. The bus door opens and these 3 models come out asking if they know anyone one who would want to be their oil boys to rub them down between each competition. Instead of jumping on the opportunity, they tell the girls that there are probably a couple guys in the next town over. They then proceed to talk about how lucky those guys are going to be. Edit: not sure if it was post credits, but definitely the end of the movie</t>
  </si>
  <si>
    <t>A meme captioned "It's been 30 years and I still can't forgive them for this mistake" showing a 1990s-era photo of three women in bikinis standing beside a tour bus in front of a desert landscape.</t>
  </si>
  <si>
    <t>90s nostalgia stained forever by an unfortunate framing decision.</t>
  </si>
  <si>
    <t xml:space="preserve"> A tour bus photo where the photographer cropped off the band name and somehow that's the worst crime committed that day.</t>
  </si>
  <si>
    <t>1llqmsk</t>
  </si>
  <si>
    <t>"Time traveller, to the WWI Soldier: "Judging by the uniform, you're clearly a soldier from World War 1." The Soldier: "*What do you mean, **ONE**?!*""</t>
  </si>
  <si>
    <t>The timetraveler failed to go back in time, and does not realize it, and therefore thinks the area has always gone by the same name.</t>
  </si>
  <si>
    <t>The joke is that it was never called that</t>
  </si>
  <si>
    <t>A screenshot of a post describes someone traveling 4000 years back in time and asking where they are. A person replies that they are in the Indus Valley Civilization. The time traveler then remarks that it is interesting that they call it that too.</t>
  </si>
  <si>
    <t>1lmltqs</t>
  </si>
  <si>
    <t>Think I found the original meme. It's the barcode of the Oreo and the person who decided to get this tattoo is half-black and half-white. It makes some sense I guess.</t>
  </si>
  <si>
    <t>It is silly to imagine that a barcode tattoo would actually scan like a real product. He puts his hand under the scanner as if the tattoo can be read and priced by the machine.</t>
  </si>
  <si>
    <t>A tweet says, “My brother wanted to show me his new tattoo.....” Below it, a hand is shown inside an orange store scanner, and the scanner screen displays the number “2.54.”</t>
  </si>
  <si>
    <t>It has that typical kid logic where children half-believe they can be sold because parents sometimes jokingly threaten them with it. The scanner showing a price makes it look like the brother is actually being treated as something for sale.</t>
  </si>
  <si>
    <t>1lnme9d</t>
  </si>
  <si>
    <t>Diogenes is the most Philosopher ahead of his time, he literally didn't care about anyone or anything, and he proves his points in a very... creative ways   once, he won an entire debate with some guy by just farting Poter out</t>
  </si>
  <si>
    <t>Socrates is usually seen as calm and patient, so his lack of reaction makes the scene even better. Something completely absurd is happening in front of him, but he just sits there as if this is a normal philosophical moment.</t>
  </si>
  <si>
    <t>The meme shows a close-up selfie of a bearded man sitting in a car. The text above says, “Socrates watching Diogenes piss himself to prove a point.”</t>
  </si>
  <si>
    <t>Socrates does not even want to argue with Diogenes because he has more important philosophy stuff to deal with. Diogenes is doing something ridiculous to prove a point, and Socrates basically looks like he has no time or energy for that kind of chaos.</t>
  </si>
  <si>
    <t>1lofpc4</t>
  </si>
  <si>
    <t>Oh I think I can do this one! My girlfriend told me, I think it's a Tumblr thing. Person A says, "I like your shoelaces." Person B responds, "Thanks, I stole them from the president."</t>
  </si>
  <si>
    <t>Yellow laces unwittingly summon the cottagecore Skinwalker pop quiz.</t>
  </si>
  <si>
    <t>A screenshot of a Tumblr thread. User "werbly" writes: "i put new yellow shoelaces on my boots to show people i am Cool. I walk to my work full of old lady cashiers. 'I like your shoelaces.' one of them says to me. I see my life flash before my eyes as this ancient test is presented before me." User "hey-im-anxiety" replies, "Op did you say it," and "lieutenant-sapphic" adds, "did you say it op."</t>
  </si>
  <si>
    <t>Old lady cashier deploys the password phrase, comment section demands the countersign.</t>
  </si>
  <si>
    <t>1lppcyj</t>
  </si>
  <si>
    <t xml:space="preserve">The kid is playing games on the school computer on coolmathgames.com, which has nothing to do with math. The teacher found out, approached the student and asked him to log out. The student knows he is in trouble. </t>
  </si>
  <si>
    <t xml:space="preserve">It is funny because you dont need to be logged into a account to play cool math games. </t>
  </si>
  <si>
    <t xml:space="preserve">Its funny because cool math games doesnt exist anymore. </t>
  </si>
  <si>
    <t>A high-contrast black-and-white image of a distorted, eerie humanoid face with a long neck and dark hollow eyes, captioned "When you're playing coolmathgames, then feel a hand on your shoulder and hear: 'Yeah, go ahead and log out for me, please.'"</t>
  </si>
  <si>
    <t>1lq3p3j</t>
  </si>
  <si>
    <t>The lobster is wearing a kippah (the black hat), signifying he is Jewish. The joke being that despite having absurd luck in finding someone beautiful who is looking for a lobster-headed man, a difference in religion is what makes it not work out.</t>
  </si>
  <si>
    <t>Cryptid romance derailed by religious incompatibility, ending at the bar.</t>
  </si>
  <si>
    <t>A lobster werewolf's perfect personals ad sabotaged by a single piece of jewelry.</t>
  </si>
  <si>
    <t>A four-panel comic by Perry Bible Fellowship. The first panel shows a personals ad reading "SMART, SEXY FEMALE LOOKING FOR STRONG LOBSTER-HEADED LYCANTHROPE FOR LOVE &amp; MONSTER TRUCK RALLIES." The second panel shows a lobster-headed werewolf reading the classifieds. The third panel shows him on a date with a woman. The fourth panel zooms in on her chest, revealing a Christian cross necklace. The final panel shows the lobster-headed lycanthrope drowning his sorrows alone at a pool hall bar.</t>
  </si>
  <si>
    <t>1lqpazn</t>
  </si>
  <si>
    <t>At some point, remains become fossils. But I think it throws the generally accepted theory that humans first crossed into the Americas \~15,000 years ago.</t>
  </si>
  <si>
    <t>A two-panel meme using stills of Lee Jung-jae as Seong Gi-hun from Squid Game. The top panel shows him grinning widely against a pink background with the caption "Archeologists finding human remains in South America from 1200BC." The bottom panel shows him staring blankly with the caption "Archeologists finding human fossils in South America which are 21000 Year old."</t>
  </si>
  <si>
    <t>The smile evaporates the moment the carbon dating rewrites the textbook.</t>
  </si>
  <si>
    <t>Archaeologists losing their entire timeline by a factor of seventeen.</t>
  </si>
  <si>
    <t>1lt2euq</t>
  </si>
  <si>
    <t>"Presumably it's referencing the stereotype that Americans are stupid and ignorant about even basic geography, so naming three countries would be enough of a challenge for them to eliminate a huge chunk of contestants."</t>
  </si>
  <si>
    <t>A screenshot shows a post stating that David Fincher’s American “Squid Game” series will reportedly begin filming in December in Los Angeles. Below the text, there is an image of two people standing in an urban setting. Under the image, another user comments, “First Game: Name three countries.”</t>
  </si>
  <si>
    <t>It would be too easy to name 3 countries, so there wouldn't be a challenge, and everyone wpuld win the game</t>
  </si>
  <si>
    <t>This is the first challenge in the TV show squid games.</t>
  </si>
  <si>
    <t>1lttuji</t>
  </si>
  <si>
    <t>The girl on the left is her best friend Francia Raisa who gave her a kidney (likely saving her life). She didn't make the cut for shoutouts when Selena accepted an award.</t>
  </si>
  <si>
    <t>Her friend describes it as brutall that a photo was posted on social media right after the surgery. Instead of keeping the moment private, the post makes it seem as though public sympathy and “feel better” comments became part of the situation.</t>
  </si>
  <si>
    <t>Two women lie in hospital beds facing each other. Below, a comment from Selena Gomez reads: “Sorry I didn’t mention every person I know.”</t>
  </si>
  <si>
    <t>Selena Gomez is portrayed as self-centered because she never formally thanked the friend who donated a kidney to her. The situation feels absurd because the gesture was so significant, yet the gratitude appears missing or insufficient.</t>
  </si>
  <si>
    <t>1lv6b82</t>
  </si>
  <si>
    <t>"Not 100%, but I think it has to do with the stereotype that lesbians move very quickly in relationships. If Iâ€™m not mistaken, I think thereâ€™s a joke about them bringing a uhaul to a second date, implying theyâ€™re already ready to move in together."</t>
  </si>
  <si>
    <t>Its a joke about how best friends love to move in together</t>
  </si>
  <si>
    <t>Its a critizism og straigh people calling themselved queer</t>
  </si>
  <si>
    <t>1ly2yui</t>
  </si>
  <si>
    <t>Anything to the 0 power is 1</t>
  </si>
  <si>
    <t xml:space="preserve">Evryone knows 20 is a made up age. </t>
  </si>
  <si>
    <t>A screenshot of a tweet from "Rubix" (@candy380) reading "I turn 20, my daughter turns 1 today / Look what my dad did:" above a photo of gold balloons shaped as "2" and "0" with the "0" smaller and floating higher to read as "2¹". Below is text "THE DAD:" followed by an image of a biblically-accurate angel with many eyes and outstretched arms surrounded by purple light.</t>
  </si>
  <si>
    <t>When grandpa moonlights as a math notation theologian.</t>
  </si>
  <si>
    <t xml:space="preserve">A screenshot of a tweet from "Rubix" (@candy380) reading "I turn 20, my daughter turns 1 today / Look what my dad did:" above a photo of gold balloons shaped as "2" and "0" with the "0" smaller and floating higher to read as "2¹". Below is text "THE DAD:" followed by an image of a biblically-accurate angel with many eyes and outstretched arms surrounded by purple light.
</t>
  </si>
  <si>
    <t>1lyfboo</t>
  </si>
  <si>
    <t>"So, this horse is known for losing. In their career of 113 matches, they won none. Absolutely none. However, they always tried their best, and in Japan it became a tradition to bet on them and lose."</t>
  </si>
  <si>
    <t>The horse girl depicted is known for winning all the time</t>
  </si>
  <si>
    <t>The joke is about how horse races are old fashioned</t>
  </si>
  <si>
    <t>1m015wk</t>
  </si>
  <si>
    <t>She's adding the last quip as a useless hypothetical she believes she returning one back to him</t>
  </si>
  <si>
    <t>Its a sexism debate</t>
  </si>
  <si>
    <t>Its a pun about how fish swim in the sea and not the ocean</t>
  </si>
  <si>
    <t>A screenshot of a Tumblr thread where "distrustfund" posts "i love men that know when to just shut their fucking mouth / i've never met one / but i love the concept," then "weightlosswithmegan" replies "but if I guy said this about a girl ??? ? ??," and "distrustfund" responds "but if a mouse said this about a kia sorento ??? ? ??"</t>
  </si>
  <si>
    <t>1m0a4hv</t>
  </si>
  <si>
    <t>This is a typical nationalistic view of the conquistadors. Historically, these explorers were rather horrible, greedy people. There are probably a few who were decent, but they are few in between. A common argument against the native populations that the Spanish encountered is that they were doing human sacrifices (typically the Aztecs, I believe). This is used as an excuse for the conqueror's horrid behavior, saying that that were taken over by more "civilized" people. Mind you, this is completely ignoring public executions and the Spanish Inquisition of the time. Or the various rape and plundering the conquistadors did in the sake of finding resources to exploit. In modern days, Liberals are more likely to point out these vile practices of this colonization. Thus, the girls with strangely colored hair. The smug nature of the comic is to imply that the Spanish were right in their colonization, and that the Aztec and Liberal girls are sad at being "caught" being wrong. However, this ends up being an example of " I've Already Depicted You As The Soyjak" meme</t>
  </si>
  <si>
    <t xml:space="preserve">This is funny because nobody would be upset at ending human sacrifices. </t>
  </si>
  <si>
    <t xml:space="preserve">This references how the spanish were much better looking and morally superior to women and Native American people. </t>
  </si>
  <si>
    <t>A meme featuring a "GigaChad" character edited to look like a Spanish conquistador, standing before a Mayan or Aztec pyramid with the text "SORRY BUT THE HUMAN SACRIFICES WILL STOP," surrounded by various crying "Wojak" characters</t>
  </si>
  <si>
    <t>1m0b8uv</t>
  </si>
  <si>
    <t>The joke is that the people on the bottom are coming for the people on the top as if they're the enemy.  But it's not a very good joke as it doesn't really make sense in terms of Squid Games.</t>
  </si>
  <si>
    <t>It is funny because this could honestly work as a Squid Game plot.</t>
  </si>
  <si>
    <t>It shows an upside-down world where the less fortunate finally get to eat the rich.</t>
  </si>
  <si>
    <t>A meme combines two images. The top image shows formally dressed people wearing gold animal masks, with labels such as “working class immigrants,” “teachers,” “consent laws including age,” and “the unemployed.” The bottom image shows a group of people in green tracksuits from a game-like setting, with labels including “Israel,” “venture capitalists,” “AI artists,” “Elon Musk,” and “Donald Trump.”</t>
  </si>
  <si>
    <t>1m241pn</t>
  </si>
  <si>
    <t>The “Gen Z stare” is stereotype about “Gen Z” people (currently teens and young adults) having a blank, vacant expression. The joke is that millennial/Gen X parents might get offended by this expression, whilst engaging in behaviours that many would consider to be far more offensive, i.e. inappropriate questions about race/ethnicity.</t>
  </si>
  <si>
    <t>The stare is another way of separating one generation from another. Like many generational labels before it, it gives people a way to compare themselves with younger people and feel slightly superior.</t>
  </si>
  <si>
    <t>The so-called “Gen Z stare” barely exists at all, and instead comes across as a label older people invented so they can criticize younger people more easily.</t>
  </si>
  <si>
    <t>A young man wearing sunglasses sits in a car. Text above references “the gen z stare” and a comment about “what kind of brown am I.”</t>
  </si>
  <si>
    <t>1m3s0a4</t>
  </si>
  <si>
    <t>The Roman Eagles were the symbols of the legions and carried incredible symbolic and religious weight.  Losing 30,000 men in a battle? The Romans did that at Cannae and the Teutoburg Forest, among others. No big deal, they could just raise another army.  But losing the legion's eagle? That was the greatest dishonor a legion could suffer, and Rome was always shaken to the core when one was lost. Or three, as in the aforementioned Teutoburg Forest.</t>
  </si>
  <si>
    <t>Even though the Romans lost their golden eagle, the real gut punch was losing 40,000 soldiers. Like yeah, the eagle mattered, but that many people dying is what really makes it brutal.</t>
  </si>
  <si>
    <t>They lost so many soldiers that the eagle-shaped gold should honestly have been the last thing on their mind. At that point, the human loss is way bigger than the symbol they also lost.</t>
  </si>
  <si>
    <t>A two-part Roman history meme compares two losses. In the top half, a Roman soldier reacts casually to losing 40,000 human lives, while the bottom half shows a darker reaction to losing an eagle-shaped piece of gold.</t>
  </si>
  <si>
    <t>1m4ns1d</t>
  </si>
  <si>
    <t>"Normal people would assume that because it's 50-50, and the last 20 have been successful, it's almost guaranteed that they'll die (this is often called the gambler's fallacy.) Mathematicians know that past outcomes don't affect this outcome, so it's still 50-50 Scientists know that if he's had such a good streak, he's probably innovated the process in some way, providing a greater-than-50 chance of survival (although the sample size is small, so it's not certain you'll survive)"</t>
  </si>
  <si>
    <t>The humor comes from doctors exaggerating their success rates, and the different reactions show how professions trust or distrust medical statistics differently.</t>
  </si>
  <si>
    <t>The image jokes about overconfidence in medicine, where scientists and mathematicians blindly trust numbers while normal people rely on intuition and fear surgery.</t>
  </si>
  <si>
    <t>The meme is about a doctor wearing protective clothing and sunglasses, showing that scientists dress differently from normal people.</t>
  </si>
  <si>
    <t>1m55hez</t>
  </si>
  <si>
    <t>That's going in someones butt</t>
  </si>
  <si>
    <t>It kind of looks like a little rocket or toy you would throw, so you can already imagine drunk people launching it into the air like a paper airplane. At the beach, that design feels like it is asking for chaos.</t>
  </si>
  <si>
    <t>It also looks way too easy to break. A glass bottle with a pointed bottom around drunk people, sand, and bare feet just sounds like an accident waiting to happen.</t>
  </si>
  <si>
    <t>A tweet says “Coming soon to an ER near you” above another post about a glass beer bottle designed to stick into sand at the beach. The image shows the bottle lying at an angle with a pointed bottom.</t>
  </si>
  <si>
    <t>1m56k4v</t>
  </si>
  <si>
    <t>Actually I don’t believe it is at all. People who take too much Benadryl sometimes report seeing a black figure with a hat that people call the “hat man.” It’s a frequent enough phenomena that I think there’s some medical studies or articles about him.</t>
  </si>
  <si>
    <t>A tweet says “Couples costume idea” above a photo of a smiling woman in a pink Benadryl shirt. Behind her, a person dressed entirely in black with a wide-brimmed hat is standing with their arms around her.</t>
  </si>
  <si>
    <t>Taking too much Benadryl is known for making people hallucinate, so the dark figure behind her is meant to look like something she would start seeing after using it.</t>
  </si>
  <si>
    <t>They are dressed like a couple’s costume, with her as Benadryl and the person behind her looking like Sherlock Holmes or some mysterious shadowy boyfriend.</t>
  </si>
  <si>
    <t>1m5qq8q</t>
  </si>
  <si>
    <t>It’s dr. House from the med tv show</t>
  </si>
  <si>
    <t>Match canceled — the opposing diagnostician brought a cane, a pill bottle, and a household-object surname.</t>
  </si>
  <si>
    <t>Walking into a contest and realizing the other contestant is Gregory House himself.</t>
  </si>
  <si>
    <t xml:space="preserve">A TikTok screenshot of a young person in glasses and a polo shirt looking nervously at the camera in what appears to be an office, with the caption "When I show up for the medical malpractice competition and my opponent has a cane, is popping Vicodin, and name is a noun."
</t>
  </si>
  <si>
    <t xml:space="preserve">A TikTok screenshot of a young person in glasses and a polo shirt looking nervously at the camera in what appears to be an office, with the caption "When I show up for the medical malpractice competition and my opponent has a cane, is popping Vicodin, and name is a noun."
</t>
  </si>
  <si>
    <t>1m61khr</t>
  </si>
  <si>
    <t>The earliest written customer complaints was from a guy in ancient sumer who got sold crapppy-quality copper</t>
  </si>
  <si>
    <t>A screenshot of a Bad Two Sentence Horror (@bad2sentence) tweet sharing an r/TwoSentenceHorror post by u/Lolaverses: "I was relieved when I realized the only damage to the time machine was to the wires. All I need to do now is find someone in Ancient Sumer to sell me some good quality copper." Below, Tumblr user "nyancrimew" comments: "this is GREAT two sentence horror actually."</t>
  </si>
  <si>
    <t>Stranded in 2000 BCE, doomed by a 4,000-year-old supplier reputation.</t>
  </si>
  <si>
    <t xml:space="preserve"> A reminder that the famous Sumerian copper complaint letter remains the ultimate buyer-beware warning.</t>
  </si>
  <si>
    <t>1m68ug3</t>
  </si>
  <si>
    <t>Unlike the rest of Malaysia, which largely consisted of Ethnic Malays, Singapore was more ethnically diverse especially with a large Han Chinese population. Not wanting to be influenced by the non-Malay population, Malaysia opted to remove Singapore. That’s the very very short and brief version of events. There is obviously more detail on the politics of the matter.</t>
  </si>
  <si>
    <t>A three-row "Chad" wojak meme depicting national independence stories. Row one: India asks "Can we be independent?" and Great Britain replies "India will be independent over my dead body." Row two: Norway says "We want to be independent" and Sweden replies "Ok." Row three: Singapore says "It's so nice to be a part of Mala…" and Malaysia replies "Get the fuck out."</t>
  </si>
  <si>
    <t>A Chad-meme world history lesson where Singapore is the only country dumped instead of doing the dumping.</t>
  </si>
  <si>
    <t>Three independence backstories, ranked from bloody to amicable to "we kicked them out."</t>
  </si>
  <si>
    <t>1m7b5bx</t>
  </si>
  <si>
    <t>It is a joke about Korea having very low birth rates</t>
  </si>
  <si>
    <t>A pregnant contestant appearing in Squid Game feels out of place because the setting is built around extreme physical risk and survival. Her pregnancy adds a vulnerable element to a situation where every participant is expected to endure violence, fear, and constant danger.</t>
  </si>
  <si>
    <t>She does not appear visibly pregnant, which makes the detail stand out even more given how high-budget Squid Game is. With a production of that scale, the lack of a convincing pregnancy portrayal feels oddly noticeable.</t>
  </si>
  <si>
    <t>Text claims a pregnant player proves the show is fictional. Below is a close-up of a woman in a green tracksuit from Squid Game.</t>
  </si>
  <si>
    <t>1m83zvy</t>
  </si>
  <si>
    <t>I'm not tech savvy enough either, but back in the old days you would paste a huge command into a command block that would spawn a big monolith of other kinds of command blocks and it would act as a datapack</t>
  </si>
  <si>
    <t>The monolith datapack looks sick, but it also feels super outdated now. Like, it was probably insane at the time, but compared to what Minecraft datapacks can do today, it gives old-school tech demo energy.</t>
  </si>
  <si>
    <t>It is kind of wild seeing how Minecraft used to look. The whole thing feels dated, but in a nostalgic way, like early Minecraft builds where everything looked massive and impressive just because it worked at all.</t>
  </si>
  <si>
    <t>A Minecraft screenshot shows a very tall structure made from command blocks and other blocks. Large dramatic text at the bottom calls it “The Giant Self-Assembling Monolith of Command Blocks.”</t>
  </si>
  <si>
    <t>1m8nhhl</t>
  </si>
  <si>
    <t>"You're in a gun fight, your weapon jam renders you defenseless- suddenly your life is either flashing before your eyes or you're in what you perceive to be heaven."</t>
  </si>
  <si>
    <t>An image captioned "POV: The gun jams and you're back buying your first fish with mom" showing a row of pet store aquariums stacked in blue framing, filled with small orange and gold fish swimming inside.</t>
  </si>
  <si>
    <t>Childhood memories of bying fish</t>
  </si>
  <si>
    <t>1m9u48i</t>
  </si>
  <si>
    <t>children are often good at video games / have enough time to invest to be a leader of a clan (ig this must be referring to clash of clans)</t>
  </si>
  <si>
    <t>The word “leader” sounds too grand for someone who does not appear old, wise, or respected enough to carry that label. Instead of sounding impressive, the description becomes awkwardly inflated.</t>
  </si>
  <si>
    <t>There is a clear mismatch between his young age and the serious authority implied by calling him a leader. The title suggests maturity and experience, which makes it feel out of place here.</t>
  </si>
  <si>
    <t>Text says: “when you finally meet the leader of your clan.” Below is a low-quality video call screenshot of a young boy sitting on a couch.</t>
  </si>
  <si>
    <t>1mahcad</t>
  </si>
  <si>
    <t xml:space="preserve">penguin also happens to be the name of a chocolate bar p-p-pick up a penguin </t>
  </si>
  <si>
    <t>Penguins are tough animals, so eating one would obviously not be easy.</t>
  </si>
  <si>
    <t>Getting the wrapper off a Penguin bar is already hard for humans, so an elephant would have no chance.</t>
  </si>
  <si>
    <t>A small paper joke card is lying on a wooden table. The card asks, “Why don’t elephants like penguins?” and answers, “They can’t get the wrappers off.”</t>
  </si>
  <si>
    <t>1mbnnpw</t>
  </si>
  <si>
    <t>Information they sell your data</t>
  </si>
  <si>
    <t>Text at the top says: “every ‘free’ VPN”. Below is a scene from an animated show where three characters stand in a room; one character in a top hat faces another, while a woman stands beside him. Subtitles at the bottom read: “Let’s just say you don’t pay… with money”.</t>
  </si>
  <si>
    <t>It is funny because it plays on the idea that nothing is truly free.</t>
  </si>
  <si>
    <t>It is also humorous because it implies the service is not actually free and may end up taking money from you in some way.</t>
  </si>
  <si>
    <t>1mbrsfx</t>
  </si>
  <si>
    <t>A guy retweeted this photo saying « I’m sorry for what United States did at Pearl Harbor ». The joke is that she’s looking good and the dude was a simp</t>
  </si>
  <si>
    <t>A photo shows a woman in a grey suit holding a black folder while standing indoors. The caption above says that seeing the picture as a man feels like getting hit in the chest with a sledgehammer.</t>
  </si>
  <si>
    <t>The guy first seems interested because he finds her attractive, but then he realizes she is trans and suddenly changes his mind</t>
  </si>
  <si>
    <t>He thinks she looks good at first, but then finds out she is his friend’s ex. That makes the whole thing awkward, because being into your homie’s ex is usually seen as crossing a line.</t>
  </si>
  <si>
    <t>1mcgb86</t>
  </si>
  <si>
    <t>"The mom is this coworker's "work mom", part of a phenomenon I've never really understood where you gain a whole set of secondary partners and/or family members from the pool of employees at your job like a fantasy football team or something."</t>
  </si>
  <si>
    <t>The humor comes from workplace gossip, exaggerating how small interactions between coworkers can be blown out of proportion.</t>
  </si>
  <si>
    <t>The tweet is about a 28-year-old woman trying to replace the speakers mom as her best friend.</t>
  </si>
  <si>
    <t>why is my mom telling me that this 28 year old girl is obsessed w her at work [crying emoji] she is like 'im …
A screenshot of a tweet from @lawsbiana reading: "why is my mom telling me that this 28 year old girl is obsessed w her at work [crying emoji] she is like 'im 60 why she wanna be my best friend' [crying emoji] mom i have bad news," timestamped 8:16 AM, 8/2/23.</t>
  </si>
  <si>
    <t>"why is my mom telling me that this 28 year old girl is obsessed w her at work [crying emoji] she is like 'im 60 why she wanna be my best friend' [crying emoji] mom i have bad news," timestamped 8:16 AM, 8/2/23.</t>
  </si>
  <si>
    <t>1mcy7yd</t>
  </si>
  <si>
    <t>"Heel to sky, western spy. Slavs squat flatfoot. It doesn't strain your calves as much and means they can stay in squat for hours."</t>
  </si>
  <si>
    <t>The meme criticizes political figures by comparing them to ordinary people to suggest they are no different from everyone else.</t>
  </si>
  <si>
    <t>The image shows several men squatting to demonstrate correct posture and foot placement.</t>
  </si>
  <si>
    <t>1mfr9vy</t>
  </si>
  <si>
    <t>A lot of girls ask when their husbands/boyfriends will be back from hanging out with their friends/running errands or whatever. It’s a normal question but can be frustrating if you have no idea when you’ll be back. This meme is poking fun at that, showing an example of her asking when he’ll be back from something he couldn’t possibly know when it’ll end.</t>
  </si>
  <si>
    <t>Text asks when someone will return from battle. Below is a medieval-style illustration of a woman with long red hair.</t>
  </si>
  <si>
    <t>In the old days, people might have spoken out into open air as if an answer could somehow come back to them. That makes the scene feel strange and slightly ridiculous, because from a modern perspective it seems like she is waiting for the world itself to reply.</t>
  </si>
  <si>
    <t>She has no real alternative, which is what makes the situation funny. Since medieval times had no phones or quick way to reach someone, she is forced to depend on this unusual method and simply hope that someone hears her.</t>
  </si>
  <si>
    <t>1mh20fz</t>
  </si>
  <si>
    <t>There was an episode of the Office where the actor on the left’s character, Jim, pulled a prank on one of his coworkers where he basically replaced himself with the actor on the right. He basically tried to convince his coworker, Dwight, that Jim was actually an asian man and was the entire time. He altered family photos, got the other coworkers to get in on it, and even got his wife, who also worked with them, to greet him with a kiss when she entered. That’s the context i can think of, but i’m not enough of a MCU fan to understand how that links those scenarios.</t>
  </si>
  <si>
    <t>The two actors shown have both played multiple characters on screen in the marvel cinematic universe, which breaks the rule</t>
  </si>
  <si>
    <t>The actor for Iron mann in the MCU has been brought back to play a different character, which doesnt follow marvels usual rules.</t>
  </si>
  <si>
    <t>A meme states that people are upset about Robert Downey Jr. playing two MCU roles, as if this has not happened before. Below the text, two images of the same actor in different roles are shown side by side.</t>
  </si>
  <si>
    <t>1mhtv4z</t>
  </si>
  <si>
    <t>It's from the song "Little piece of Heaven" by Avenged Sevenfold. The song is mainly about a guy who gets super paranoid of his girl not wanting to marry him, so he kills her and... "uses" her body until it gets possessed by a demon and then said demon does to him what he did to his girl.</t>
  </si>
  <si>
    <t>Usually if the queen says no you just get kicked out and take the L</t>
  </si>
  <si>
    <t>A cartoon shows a young man kneeling with a ring in his hand, as if proposing. Text above says, “what a nice young man I wonder what he'll do if she says no.”</t>
  </si>
  <si>
    <t>If the gift is offensive you might actually end up in the moat like bro chose the worst possible present</t>
  </si>
  <si>
    <t>1mj26iu</t>
  </si>
  <si>
    <t>Its because he's a cheater cheater pumpkin eater.</t>
  </si>
  <si>
    <t>bro what does eating pumpkins have to do with lying like where did that even come from</t>
  </si>
  <si>
    <t>rats do have cheater vibes tho ngl, like they already look like they’re plotting something</t>
  </si>
  <si>
    <t>A meme shows a black squirrel covered in snow, looking slightly shocked. The text above says, “when im at the lying competition and i see my opponent eating a pumpkin.”</t>
  </si>
  <si>
    <t>1mk8rnt</t>
  </si>
  <si>
    <t>People have been throwing sex toys on the court in WNBA games.  So this person is going to throw one at a NBA game.</t>
  </si>
  <si>
    <t>A screenshot of a tweet from "not mike bibby" (@spykidsthumb) tagging @wnba, reading "Don't worry @wnba I'm getting your lick back as soon as the nba season starts," with a photo of a green plastic kitchen garlic-press / herb mincer device in clear packaging on a fabric surface.</t>
  </si>
  <si>
    <t>Inter-league rivalry escalated by kitchen gadget metaphor.</t>
  </si>
  <si>
    <t>A garlic press promoted to symbol of professional sports retribution.</t>
  </si>
  <si>
    <t>1mkomql</t>
  </si>
  <si>
    <t>Charlie the Unicorn - An example of Millenial humor. Some would qualify it as weird.</t>
  </si>
  <si>
    <t>millennial humor is not really above gen z humor here, because the unicorns are literally ascending like the joke is some higher-level comedy. it makes it look way more dramatic and deep than it needs to be</t>
  </si>
  <si>
    <t>millennials lowkey have a point though, because who actually decided “6-7” and brainrot edits were peak comedy. like at some point the joke is just noise with confidence</t>
  </si>
  <si>
    <t>The meme says, “Millennials: Gen-Z humor is so weird” followed by “Millennial humor:” Beneath the text, several colorful unicorns are shown in a bright fantasy-style landscape.</t>
  </si>
  <si>
    <t>1mluk7a</t>
  </si>
  <si>
    <t>After WW2 countless people had to plant trees to restock wood with mostly monoculture forests, as ressource for rebuilding the mostly destroyed country. During the war way more wood was taken off the land then replanted.</t>
  </si>
  <si>
    <t xml:space="preserve">Its a joke because of their differing climates amking it an impossible comaprison. </t>
  </si>
  <si>
    <t>Text over a leafy background discusses Germany being "green" compared to Spain. Below the text, a man in a black sweater touches his nose while looking to the side.</t>
  </si>
  <si>
    <t>Because the the vastly different land per capita comparison</t>
  </si>
  <si>
    <t>1mngo9t</t>
  </si>
  <si>
    <t>A screenshot of a post shows a woman wearing a patterned outfit next to a photo of a similarly patterned insect. The caption says that meeting a bug wearing the same outfit sounds bad, and another user says the bug should be killed.</t>
  </si>
  <si>
    <t>The responder doent like lady bugs</t>
  </si>
  <si>
    <t>Her dress matches the bug</t>
  </si>
  <si>
    <t>1moj7hc</t>
  </si>
  <si>
    <t>Anne Boleyn was beheaded.  Telling her to duck is centuries too late.</t>
  </si>
  <si>
    <t>Six-pound waterfowl version of a woman historically separated from her flotation device.</t>
  </si>
  <si>
    <t>A bath toy commemorating the queen who very specifically needed to keep her head above water.</t>
  </si>
  <si>
    <t xml:space="preserve">A screenshot of a tweet from No Context Brits (@NoContextBrits) circled in red reading "Bit late for advice now," above a product listing for an "Anne Boleyn Duck" — a rubber duck dressed as Anne Boleyn in a green Tudor gown and black gable hood — priced at £6.00.
</t>
  </si>
  <si>
    <t>1mpg380</t>
  </si>
  <si>
    <t>Frustration's attack power depends on how low your friendship is.  If Frustration is dealing some big damage, you've got a shitty trainer on your hands Edit:  Also it's a Sylveon, which requires the OPPOSITE of what Frustration demands, so yeah that other trainer has done things to harm this poor creature so much they might have to get banned in-universe Edit 2:  Sylveon evolves from Affection in Gen 6 and 7, IDK why that got nixed in Gen 8 onwards</t>
  </si>
  <si>
    <t>This image shows a digital menu for the Pokémon Sylveon with the moves Frustration, Dazzling Gleam, Hyper Beam, and Focus Energy selected. Below the menu is a two-panel meme featuring Mr. Incredible, with a colorful version labeled "THOSE WHO DON'T KNOW" on the left and a dark, distorted version labeled "THOSE WHO KNOW" on the right.</t>
  </si>
  <si>
    <t xml:space="preserve">On the surface it seems like a cute pink creature but when you read closer frustration is one of its key traits. </t>
  </si>
  <si>
    <t xml:space="preserve">This is a famously difficult game if your loadut is incorrect and this is one of them. </t>
  </si>
  <si>
    <t>1ms7hs4</t>
  </si>
  <si>
    <t>In the show Dexter, the protagonist Dexter Morgan is a forensic blood spatter expert for the police. He also moonlights as a serial killer, focusing primarily on people who deserve" to die. He keeps trophies from each of his kills in the form of a drop of his victim's blood between two glass slides, and stores it in a box like that. During one of the seasons, he hid it inside an air conditioning unit."</t>
  </si>
  <si>
    <t>Literal: A screenshot of a post from r/whatisitcirclejerk by u/Theoretical-Bread reading "I found this stashed in the AC unit of my son's room while he was out doing forensic work. What is this?" with a photo of a wooden box holding a row of microscope slides containing red blood smears, resembling Dexter Morgan's blood slide trophy case from the TV show Dexter.</t>
  </si>
  <si>
    <t>Pop-culture's most infamous serial killer hint, filed under "kids these days."</t>
  </si>
  <si>
    <t xml:space="preserve">A parent describing the most iconic murder-show prop as if it's a stray hobby kit.
</t>
  </si>
  <si>
    <t>1muan3i</t>
  </si>
  <si>
    <t>When you’ve finished work and taken the work keys home by accident</t>
  </si>
  <si>
    <t>The exact moment a closing shift turns into an unintentional crime spree.</t>
  </si>
  <si>
    <t>Service-industry worker realizing they've just committed felony grand theft auto on autopilot.</t>
  </si>
  <si>
    <t>A meme captioned "Driving home from a good shift then realizing you have keys in your pocket" showing a car interior with the gear shifter visible, overlaid with a wide-eyed, horrified bald cartoon man in glasses (the "shocked anime old man" meme) staring at the camera.</t>
  </si>
  <si>
    <t>1mwbbsw</t>
  </si>
  <si>
    <t>No, what is on the shirt is *literal* as in the word "what" has four letters the word "occasionally" has twelve letters  and so on The use of a full stop shows that this is a statement, not a question.</t>
  </si>
  <si>
    <t xml:space="preserve"> A wordplay tee defused by its own listing copy.</t>
  </si>
  <si>
    <t>Seller explains the riddle in the description, defeating the entire shirt.</t>
  </si>
  <si>
    <t>A screenshot of a Depop or similar resale listing for a black Gildan men's medium t-shirt, priced at $15, that reads "WHAT HAS 4 LETTERS, OCCASIONALLY HAS 12 LETTERS, ALWAYS HAS 6 LETTERS, BUT NEVER HAS 5 LETTERS." The seller "irishlionoioi" writes: "Black and white funny shirt. If you don't get it. Don't buy it. But its pretty funny. Get it? Cause the word 'what' has... well, nevermind. Buy my shirt. Or don't... whatever.. #humour #keepscrolling"</t>
  </si>
  <si>
    <t>1mxibps</t>
  </si>
  <si>
    <t>"No idea on house but the good doctor did a bad job of portraying autism, maybe people just think these both are mainstream media representing autism?"</t>
  </si>
  <si>
    <t>The joke is that the shows are not about autism</t>
  </si>
  <si>
    <t>The good doctor and House MD are both based off sherlock holmes who is famous for having autism</t>
  </si>
  <si>
    <t>Both shows are autism awareness shows with different actors</t>
  </si>
  <si>
    <t>1mzfdhh</t>
  </si>
  <si>
    <t>Lotta soldiers (and Marines) dip. A lotta dip. These self-same soldiers (and moreso Marines) manage to, **routinely**, when packing their shit for a week-long field op, fail to bring even so much as a single can of dip. Their fleshlight? They'll bring that. Dip? No, and they will start getting desperate for it about three minutes after they get to the field. That's when my "only spare can" of dip shows up for the low, low price of 40 bucks. I brought two logs, and I don't dip. Per common request for non-Americans: Dip is chewing tobacco; Copenhagen is a popular brand of it. Long cut is a style of dip.  It's all *incredibly* disgusting to me, but if you wanna pay me so you can do gross shit, I'm happy to take your cash.</t>
  </si>
  <si>
    <t>Like, what kind of situation is ever serious enough that you need to call Jesus just to deliver Long Copenhagens? The whole thing feels so unnecessary and random that it becomes ridiculous.</t>
  </si>
  <si>
    <t>It is not actually Jesus, just some random guy who happens to look like him. People keep mistaking him for Jesus and asking for deliveries, which explains why he looks so confused about the whole thing.</t>
  </si>
  <si>
    <t>A drawing of Jesus speaking to a soldier-like character, with dialogue about working and a request phrased informally.</t>
  </si>
  <si>
    <t>1n0my5r</t>
  </si>
  <si>
    <t>Educated guess here, but there is no « good guys » per se, so the implication is that the person identifies with an evil/morally discutable faction and think the are right</t>
  </si>
  <si>
    <t>the actual good guys would probably never call themselves “the good guys” out loud. that’s exactly the kind of thing only the suspicious side says</t>
  </si>
  <si>
    <t>the funny part is that the bad guys are fully calling themselves the good guys like of course they would say that</t>
  </si>
  <si>
    <t>A two-panel reaction meme shows an animated man in a car. In the first panel, the text says, “I love Warhammer 40K,” and in the second panel, his expression changes after the text says, “My favorite faction is the good guys.”</t>
  </si>
  <si>
    <t>1n2ae1w</t>
  </si>
  <si>
    <t>Alright, here is the lowdown on English politics; The Labour Party (left leaning, mild leaning party) is in power in England at the moment and have enforced a new law called the online child safety act, a law meant to protect children from adverse content online. However, just like every “protection” law ever devised, it is more about control than anything else and in practice has lead to the government requiring you to cough up you identification card and give it to your isp and the website your trying to use The symbol is 4 chan, who have been attacked specifically by this law as their entire platform is built on anonymity and has never been one to fold under pressure and has been fighting the UK governments attempts to control  tl/dr: the world is a fucking mess when 4chan is on your side</t>
  </si>
  <si>
    <t>Online privacy versus the unlikeliest tug-of-war roster ever assembled.</t>
  </si>
  <si>
    <t>4chan and Online Privacy on one side, Google and the UK government on the other — nobody saw this matchup coming.</t>
  </si>
  <si>
    <t>A four-panel cartoon showing a person in a yellow "Online Privacy" shirt straining in a tug-of-war. In the second panel, a smug character labeled with the 4chan green clover joins to help pull. In the third panel, a Google logo character and a top-hatted figure holding a Union Jack flag pull from the other side. In the final panel, the "Online Privacy" character looks exhausted and says "WTF is this year?"</t>
  </si>
  <si>
    <t>1n68buk</t>
  </si>
  <si>
    <t>Silksong.</t>
  </si>
  <si>
    <t>Steam infrastructure crumbling under the weight of one long-awaited Australian indie sequel.</t>
  </si>
  <si>
    <t>Hollow Knight: Silksong launch day reduced to a domestic disaster reenactment.</t>
  </si>
  <si>
    <t>A meme captioned "the steam servers on september 4th after a 3 person team in adelaide decide to release an indie game about bugs" showing a man on a couch covered in dirt and debris flailing in panic as flames and explosions erupt around him.</t>
  </si>
  <si>
    <t>1n6ohcl</t>
  </si>
  <si>
    <t>He made rat utopia": unlimited food, unlimited water. Problem.with the experiment was a lack of stuff to do for the rats. They basically had no entertainment and thus just banged most of the time. This led to another observation of the "alpha males" who got all the females because they would fight the weaker rats. The weaker rats lost almost all interest in the female rats some even let themselves be used by the alphas. You can read up on the behavioral sink. But the experiment was flawed as stated, heavily so. Some people nowadays try to tell you: "Look that's why there are so many gay people now. Girls only go for the alphas. Society is collapsing." by referencing this experiment"</t>
  </si>
  <si>
    <t>A meme with the text "Is this why the majority of men today don't want marriage or relationships? Society is collapsing…" above a black-and-white image of John Calhoun standing inside his famous "Universe 25" mouse population enclosure. Below are two Mr. Incredible panels: a normal one labeled "PEOPLE WHO DON'T KNOW" and a dark, uncanny version labeled "PEOPLE WHO KNOW…"</t>
  </si>
  <si>
    <t>A 1960s rodent experiment recruited into modern internet anxiety discourse.</t>
  </si>
  <si>
    <t>Universe 25 invoked to explain dating apps, somehow.</t>
  </si>
  <si>
    <t>1n7s8ht</t>
  </si>
  <si>
    <t>The period between 2019 and now has gone by at lightening speed for a lot of people</t>
  </si>
  <si>
    <t xml:space="preserve">It hows how life goes y so quickly. </t>
  </si>
  <si>
    <t xml:space="preserve">It is a tiktok trend that sys that seotember and 2019 have the same "energy". </t>
  </si>
  <si>
    <t>The second image is divided into three horizontal sections, all featuring the character Dexter Morgan from the television series Dexter. The top panel is a close-up of his face with the text "2019" on the right. The middle panel shows a wider shot of him standing in a dimly lit room with the word "Dissociation" on the right. The bottom panel repeats the close-up shot from the top with the word "September" on the right.</t>
  </si>
  <si>
    <t>1n8xv5g</t>
  </si>
  <si>
    <t>So the guy in your image is actually a black person who has had amazing makeup and wigs and stuff put on him to make him look like a white redneck.   this guy is literally white face</t>
  </si>
  <si>
    <t>Literal: A Reddit screenshot from r/SipsTea showing two photos of a man dressed in an exaggerated "redneck" costume — overalls, fake beard, mullet wig, American-flag cowboy hat, and prosthetic sunburn/tattoo makeup — at what appears to be a NASCAR event. Overlaid is a tweet from Joe Illyes Jr. (@illyesjrgaming) asking "So after this stunt, blackface is ok now?" with a reply from Haroon (@unfilteredamac) saying "He needs to be cancelled for this. This is absolutely awful."</t>
  </si>
  <si>
    <t>Stars-and-stripes cowboy hat sparks the most niche outrage discourse of the week.</t>
  </si>
  <si>
    <t>NASCAR cosplayer accidentally becomes the season's hottest culture-war Rorschach test.</t>
  </si>
  <si>
    <t>1narr2o</t>
  </si>
  <si>
    <t>This doesn't look like bait (the original art, I think the caption might be) but it *is* a lot less obvious than I think it's intended to be.  There are multiple elements that *could* be the focus here -- the open view from the other direction, the genders of the changers and shielders, the fact that each of them is only shielding from one other person, the fact that the shielders are both looking away or at each other, and possibly more. Given none of the interpretations I've considered are obvious or compelling to me, I think the original was trying to make a point that didn't quite land. Maybe there's a cultural gap. Maybe it's just a weak point. Not sure. There's also the fact that there's no pile of clothes for either changer, but I think that's just an oversight on the part of the artist.</t>
  </si>
  <si>
    <t>their partner is literally stressing trying to change fast before anyone sees them, meanwhile the one holding the towel is just standing there checking other people out - priorities are insane</t>
  </si>
  <si>
    <t>the funny part is that the people changing clothes do not even seem to have any actual change of clothing. like they are doing all this towel-covering drama, but there is nothing new to change into anyway</t>
  </si>
  <si>
    <t>A beach cartoon shows people trying to change clothes while holding towels around themselves. A large caption at the top says “5 minutes to understand.”</t>
  </si>
  <si>
    <t>1naurrn</t>
  </si>
  <si>
    <t>She has a point. And probably synaesthesia</t>
  </si>
  <si>
    <t>She seems to be choosing purely based on the vibes that the colors and days give her, as if each combination has its own mood or energy. The humor comes from how confidently she treats those feelings as a real system</t>
  </si>
  <si>
    <t>A young woman with curly hair looks at the camera. Text explains she associates numbers, colors, days, and seasons as the same</t>
  </si>
  <si>
    <t>She believes in numerology and probably has a collection of crystals or stones she touches before deciding what kind of day she is going to have</t>
  </si>
  <si>
    <t>A young woman with curly hair looks at the camera. Text explains she associates numbers, colors, days, and seasons as the same.</t>
  </si>
  <si>
    <t>Partner name</t>
  </si>
  <si>
    <t>Partner: Humor Style</t>
  </si>
  <si>
    <t>Partner: Humor style secondary</t>
  </si>
  <si>
    <t>Partner: Contextual Knowledge</t>
  </si>
  <si>
    <t>Partner: Contextual Knowledge secondary</t>
  </si>
  <si>
    <t>Humor primary match</t>
  </si>
  <si>
    <t>Humor full label-set overlap</t>
  </si>
  <si>
    <t>Context primary match</t>
  </si>
  <si>
    <t>Context full label-set overlap</t>
  </si>
  <si>
    <t>Humor partial overlap</t>
  </si>
  <si>
    <t>Context partial overlap</t>
  </si>
  <si>
    <t>I I think this is a reference to the book House of Leaves. It is a weird horror story. The house is bigger inside than out and keeps changing around. The husband sets up cameras and a lot of the story is told by "found footage". The house starts off fairly normal, but eventually the husband becomes very lost in a giant maze inside the house. this is a reference to the book House of Leaves. It is a weird horror story. The house is bigger inside than out and keeps changing around. The husband sets up cameras and a lot of the story is told by "found footage". The house starts off fairly normal, but eventually the husband becomes very lost in a giant maze inside the house.</t>
  </si>
  <si>
    <t xml:space="preserve"> The show being referenced is the mockumentary Cunk on Earth, where the titular narrator humorously misinterprets history. The Romans left a lot from their history, including pottery fragments (which broke due to the long time period), which Cunk humorously says is caused by their clumsiness.</t>
  </si>
  <si>
    <t>Gennemsnit</t>
  </si>
  <si>
    <t>Assigned</t>
  </si>
  <si>
    <t>Humor (Primary)</t>
  </si>
  <si>
    <t>Count Humor</t>
  </si>
  <si>
    <t>Mangler</t>
  </si>
  <si>
    <t>Mål</t>
  </si>
  <si>
    <t>Context (Primary)</t>
  </si>
  <si>
    <t>Count context</t>
  </si>
  <si>
    <t xml:space="preserve">Mål </t>
  </si>
  <si>
    <t>farvekode</t>
  </si>
  <si>
    <t>Antal billeder for style</t>
  </si>
  <si>
    <t>Antal billeder for context</t>
  </si>
  <si>
    <t>Picture annotations</t>
  </si>
  <si>
    <t>Name</t>
  </si>
  <si>
    <t>status</t>
  </si>
  <si>
    <t>Progress</t>
  </si>
  <si>
    <t>Count Humor primary (PA)</t>
  </si>
  <si>
    <t>Humor primary + secondary count (PA)</t>
  </si>
  <si>
    <t>Context primary count (PA)</t>
  </si>
  <si>
    <t>Context primary + secondary count</t>
  </si>
  <si>
    <t>Not started</t>
  </si>
  <si>
    <t xml:space="preserve"> 0-30% </t>
  </si>
  <si>
    <t>0-21</t>
  </si>
  <si>
    <t>0-16</t>
  </si>
  <si>
    <t>In progress</t>
  </si>
  <si>
    <t>31-74%</t>
  </si>
  <si>
    <t>22-53</t>
  </si>
  <si>
    <t>17-40</t>
  </si>
  <si>
    <t>75%-100%</t>
  </si>
  <si>
    <t>54-72</t>
  </si>
  <si>
    <t>41-56</t>
  </si>
  <si>
    <t>Partner Annotations</t>
  </si>
  <si>
    <t>Secondary tags</t>
  </si>
  <si>
    <t>I alt</t>
  </si>
  <si>
    <t>Secondary humor count</t>
  </si>
  <si>
    <t>secondary context count</t>
  </si>
  <si>
    <t>Fokusområde:</t>
  </si>
  <si>
    <t>Wordplay, Sarcasm and Dark humor</t>
  </si>
  <si>
    <t>meme, politics, historie og hobby</t>
  </si>
  <si>
    <t>AI to use: look for performace gap i disse modeller</t>
  </si>
  <si>
    <t>Duplicates: slettet fra vores annotation ark</t>
  </si>
  <si>
    <t>inden vi analysere med AI</t>
  </si>
  <si>
    <t>Lektie til næste gang</t>
  </si>
  <si>
    <t>Spørgsmål</t>
  </si>
  <si>
    <t>Inddrag i rapport</t>
  </si>
  <si>
    <t>GPT5</t>
  </si>
  <si>
    <t>Når vi har ramt 500 billeder skal vi sørge for alt teksten er ensartet, dvs. enten punktum på alle eller ingen, fjerne indrykning,  fjerne citationstegn, stort  bogstav for alle sætninger etc.</t>
  </si>
  <si>
    <t>Find akademiske kilder 3-4 hver, kilderne skal være nuanceret (artikler, bøger m.m.)</t>
  </si>
  <si>
    <t>skal vi lave en komparativ analyse? Dvs. Skal vi sammenligne Fridas resultater med vores? Fx om vi kan sige om accuracy m.m.</t>
  </si>
  <si>
    <t>til sammenligning med frida er vores muligheder med flere ord, vores literal er meget mere beskrivende</t>
  </si>
  <si>
    <t>Claude 4.6</t>
  </si>
  <si>
    <t>når man omdanner cvs til excel bliver nogle tegn underlige, det skal rettes</t>
  </si>
  <si>
    <t>Lav en kode som gør teksten ren i annotations</t>
  </si>
  <si>
    <t>Gemini 3</t>
  </si>
  <si>
    <t xml:space="preserve">vi skal randomisere rækkefølgen af svarmulighederne </t>
  </si>
  <si>
    <t>En kode der randomisere svarene</t>
  </si>
  <si>
    <t>Open weight models</t>
  </si>
  <si>
    <t>for literal: hvis det er none of the above så lav en ny og ellers så tag den der tættest på</t>
  </si>
  <si>
    <t>Have en klar outline</t>
  </si>
  <si>
    <t>Gemma 4 E4B</t>
  </si>
  <si>
    <t>Skrive analyse delen</t>
  </si>
  <si>
    <t>Qwen 3.5 4B</t>
  </si>
  <si>
    <t>2 other models: mixture (More training capacity)</t>
  </si>
  <si>
    <t>Lav en sekundær tag til billederne</t>
  </si>
  <si>
    <t xml:space="preserve">Naomi: finish csv file and adjust frida code to run experiment </t>
  </si>
  <si>
    <t xml:space="preserve">gemma 4 26B A4B </t>
  </si>
  <si>
    <t>hav styr på hvad en transformer language model er</t>
  </si>
  <si>
    <t>Outline: Naomi (2 related work) Sabrina (3 data)</t>
  </si>
  <si>
    <t>qwen 3.5 35B A3B</t>
  </si>
  <si>
    <t>Hvordan de trænes (modellerne)</t>
  </si>
  <si>
    <t xml:space="preserve">Lav 25 partner annotations til hinandens random </t>
  </si>
  <si>
    <t>- Gemma E4B 
- Qwen 3.5 -4B 
- Gemma 4 -26B -A4B -it 
- Qwen 3.5- 35B A3B</t>
  </si>
  <si>
    <t>Open ai key</t>
  </si>
  <si>
    <t>Skriv til desmond</t>
  </si>
  <si>
    <t>Use</t>
  </si>
  <si>
    <t>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</t>
  </si>
  <si>
    <t>Sabrina: Lav secondary tags til billederne</t>
  </si>
  <si>
    <t>Sabrina: Lav progress for partner annotation</t>
  </si>
  <si>
    <t xml:space="preserve">openrouter.ai </t>
  </si>
  <si>
    <t>do both (with the correct answer)</t>
  </si>
  <si>
    <t>Google collab</t>
  </si>
  <si>
    <t>correlation precentages</t>
  </si>
  <si>
    <r>
      <rPr>
        <rFont val="Georgia"/>
        <b/>
        <color rgb="FF1155CC"/>
        <sz val="12.0"/>
        <u/>
      </rPr>
      <t>openrouter.ai</t>
    </r>
    <r>
      <rPr>
        <rFont val="Georgia"/>
        <b/>
        <sz val="12.0"/>
      </rPr>
      <t xml:space="preserve"> key</t>
    </r>
  </si>
  <si>
    <t>variance and standard deviation</t>
  </si>
  <si>
    <t>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</t>
  </si>
  <si>
    <t xml:space="preserve">Result times: </t>
  </si>
  <si>
    <t xml:space="preserve">Claude: 32 mins </t>
  </si>
  <si>
    <t xml:space="preserve">Gemini: 51 min </t>
  </si>
  <si>
    <t>OpenAI GPT : 1 hr 37 min</t>
  </si>
  <si>
    <t>gemma-4-26b-a4b-it: returning invalid beacuse it is choosing none instead of letters a,b,c,d</t>
  </si>
  <si>
    <t xml:space="preserve">qwen3-vl-30b-a3b-thinking: 19 mins </t>
  </si>
  <si>
    <t xml:space="preserve">qwen3.5-9b: 386 min </t>
  </si>
  <si>
    <t>gemma-4-26b-a4b-it: 175 mins</t>
  </si>
  <si>
    <t xml:space="preserve">gemma-3-4b-it: 1m </t>
  </si>
  <si>
    <t>errors out on google/gemma-4-26b-a4b-it</t>
  </si>
  <si>
    <t>Context definitions</t>
  </si>
  <si>
    <t>How to use them correctly</t>
  </si>
  <si>
    <t xml:space="preserve">Examples </t>
  </si>
  <si>
    <t>Humor style definitions</t>
  </si>
  <si>
    <t>Examples</t>
  </si>
  <si>
    <t>popculture</t>
  </si>
  <si>
    <t>Requires knowledge of widely known media, celebrities, movies, music, or mainstream entertainment.</t>
  </si>
  <si>
    <t>This is me waiting like Harry Potter for my letter</t>
  </si>
  <si>
    <t>Meme</t>
  </si>
  <si>
    <t>Requires familiarity with a specific internet meme format or template.</t>
  </si>
  <si>
    <t>“This is fine.” (dog sitting in a burning room)</t>
  </si>
  <si>
    <t>Requires understanding of social norms, roles, or expected behavior between people.</t>
  </si>
  <si>
    <t>Saying ‘you too’ to the waiter when they say enjoy your meal.</t>
  </si>
  <si>
    <t>Requires specialized or domain-specific knowledge (e.g. programming, science, psychology).</t>
  </si>
  <si>
    <t>Fixing a bug by commenting out the code.</t>
  </si>
  <si>
    <t>Requires insider knowledge of a niche interest or community (e.g. Warhammer, fishing).</t>
  </si>
  <si>
    <t>Only Warhammer players know this pain…</t>
  </si>
  <si>
    <t>Requires understanding of reasoning, logic, or a flawed/absurd conclusion.</t>
  </si>
  <si>
    <t>If tomatoes are fruit, then ketchup is a smoothie.</t>
  </si>
  <si>
    <t>Requires broad, common knowledge about the world that most people are expected to know.</t>
  </si>
  <si>
    <t>Nokia phones never break</t>
  </si>
  <si>
    <t>Politics</t>
  </si>
  <si>
    <t>Requires knowledge of political systems, conflicts, ideologies, or current affairs.</t>
  </si>
  <si>
    <t>Russia taking land like my neighbor taking my parking spot.</t>
  </si>
  <si>
    <t>Requires knowledge of historical events, figures, or mythological stories.</t>
  </si>
  <si>
    <t>Medusa turning men to stone</t>
  </si>
  <si>
    <t>sarcasm/Irony</t>
  </si>
  <si>
    <t>Wordplay/rhymes</t>
  </si>
  <si>
    <t>Social/Cultural Norms.</t>
  </si>
</sst>
</file>

<file path=xl/styles.xml><?xml version="1.0" encoding="utf-8"?>
<styleSheet xmlns="http://schemas.openxmlformats.org/spreadsheetml/2006/main" xmlns:x14ac="http://schemas.microsoft.com/office/spreadsheetml/2009/9/ac" xmlns:mc="http://schemas.openxmlformats.org/markup-compatibility/2006">
  <fonts count="23">
    <font>
      <sz val="11.0"/>
      <color theme="1"/>
      <name val="Calibri"/>
      <scheme val="minor"/>
    </font>
    <font>
      <b/>
      <sz val="11.0"/>
      <color rgb="FF000000"/>
      <name val="Georgia"/>
    </font>
    <font>
      <b/>
      <color rgb="FF000000"/>
      <name val="Georgia"/>
    </font>
    <font>
      <sz val="11.0"/>
      <color rgb="FF000000"/>
      <name val="Georgia"/>
    </font>
    <font>
      <color rgb="FF000000"/>
      <name val="Georgia"/>
    </font>
    <font>
      <color theme="1"/>
      <name val="Georgia"/>
    </font>
    <font>
      <sz val="12.0"/>
      <color rgb="FF000000"/>
      <name val="Georgia"/>
    </font>
    <font>
      <sz val="11.0"/>
      <color theme="1"/>
      <name val="Georgia"/>
    </font>
    <font>
      <sz val="11.0"/>
      <color theme="1"/>
      <name val="Calibri"/>
    </font>
    <font>
      <color theme="1"/>
      <name val="Calibri"/>
      <scheme val="minor"/>
    </font>
    <font>
      <b/>
      <sz val="12.0"/>
      <color theme="1"/>
      <name val="Georgia"/>
    </font>
    <font>
      <b/>
      <sz val="11.0"/>
      <color theme="1"/>
      <name val="Georgia"/>
    </font>
    <font>
      <b/>
      <color theme="1"/>
      <name val="Georgia"/>
    </font>
    <font>
      <sz val="12.0"/>
      <color theme="1"/>
      <name val="Georgia"/>
    </font>
    <font>
      <sz val="13.0"/>
      <color rgb="FF000000"/>
      <name val="Georgia"/>
    </font>
    <font>
      <b/>
      <sz val="13.0"/>
      <color rgb="FF000000"/>
      <name val="Georgia"/>
    </font>
    <font>
      <b/>
      <sz val="13.0"/>
      <color theme="1"/>
      <name val="Georgia"/>
    </font>
    <font>
      <sz val="13.0"/>
      <color theme="1"/>
      <name val="Georgia"/>
    </font>
    <font>
      <b/>
      <sz val="12.0"/>
      <color rgb="FF000000"/>
      <name val="Georgia"/>
    </font>
    <font>
      <sz val="13.0"/>
      <color theme="1"/>
      <name val="Calibri"/>
    </font>
    <font>
      <u/>
      <sz val="12.0"/>
      <color rgb="FF0000FF"/>
      <name val="Georgia"/>
    </font>
    <font>
      <u/>
      <sz val="12.0"/>
      <color rgb="FF0000FF"/>
      <name val="Georgia"/>
    </font>
    <font>
      <sz val="11.0"/>
      <color rgb="FF1F1F1F"/>
      <name val="Monospace"/>
    </font>
  </fonts>
  <fills count="12">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FFFF00"/>
        <bgColor rgb="FFFFFF00"/>
      </patternFill>
    </fill>
    <fill>
      <patternFill patternType="solid">
        <fgColor rgb="FF93C47D"/>
        <bgColor rgb="FF93C47D"/>
      </patternFill>
    </fill>
    <fill>
      <patternFill patternType="solid">
        <fgColor rgb="FFCC0000"/>
        <bgColor rgb="FFCC0000"/>
      </patternFill>
    </fill>
    <fill>
      <patternFill patternType="solid">
        <fgColor rgb="FFF4C7C3"/>
        <bgColor rgb="FFF4C7C3"/>
      </patternFill>
    </fill>
    <fill>
      <patternFill patternType="solid">
        <fgColor theme="6"/>
        <bgColor theme="6"/>
      </patternFill>
    </fill>
    <fill>
      <patternFill patternType="solid">
        <fgColor rgb="FFF1C232"/>
        <bgColor rgb="FFF1C232"/>
      </patternFill>
    </fill>
    <fill>
      <patternFill patternType="solid">
        <fgColor rgb="FF6AA84F"/>
        <bgColor rgb="FF6AA84F"/>
      </patternFill>
    </fill>
    <fill>
      <patternFill patternType="solid">
        <fgColor rgb="FF999999"/>
        <bgColor rgb="FF9999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4" numFmtId="0" xfId="0" applyAlignment="1" applyFont="1">
      <alignment shrinkToFit="0" vertical="center" wrapText="1"/>
    </xf>
    <xf borderId="0" fillId="0" fontId="6" numFmtId="0" xfId="0" applyAlignment="1" applyFont="1">
      <alignment readingOrder="0" shrinkToFit="0" vertical="center" wrapText="1"/>
    </xf>
    <xf borderId="0" fillId="2" fontId="3" numFmtId="0" xfId="0" applyAlignment="1" applyFill="1" applyFont="1">
      <alignment readingOrder="0" shrinkToFit="0" vertical="center" wrapText="1"/>
    </xf>
    <xf borderId="0" fillId="2" fontId="4" numFmtId="0" xfId="0" applyAlignment="1" applyFont="1">
      <alignment readingOrder="0" shrinkToFit="0" vertical="center" wrapText="1"/>
    </xf>
    <xf borderId="0" fillId="2" fontId="4" numFmtId="0" xfId="0" applyAlignment="1" applyFont="1">
      <alignment shrinkToFit="0" vertical="center" wrapText="1"/>
    </xf>
    <xf borderId="1" fillId="0" fontId="3"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0" fontId="7" numFmtId="0" xfId="0" applyAlignment="1" applyBorder="1" applyFont="1">
      <alignment readingOrder="0" shrinkToFit="0" vertical="center" wrapText="1"/>
    </xf>
    <xf borderId="1" fillId="0" fontId="7" numFmtId="0" xfId="0" applyAlignment="1" applyBorder="1" applyFont="1">
      <alignment shrinkToFit="0" vertical="center" wrapText="1"/>
    </xf>
    <xf borderId="0" fillId="0" fontId="7" numFmtId="0" xfId="0" applyAlignment="1" applyFont="1">
      <alignment readingOrder="0" shrinkToFit="0" vertical="center" wrapText="1"/>
    </xf>
    <xf borderId="0" fillId="0" fontId="7" numFmtId="0" xfId="0" applyAlignment="1" applyFont="1">
      <alignment shrinkToFit="0" vertical="center" wrapText="1"/>
    </xf>
    <xf borderId="0" fillId="0" fontId="8" numFmtId="0" xfId="0" applyAlignment="1" applyFont="1">
      <alignment shrinkToFit="0" vertical="center" wrapText="1"/>
    </xf>
    <xf borderId="0" fillId="3" fontId="3" numFmtId="0" xfId="0" applyAlignment="1" applyFill="1" applyFont="1">
      <alignment readingOrder="0" shrinkToFit="0" vertical="center" wrapText="1"/>
    </xf>
    <xf borderId="0" fillId="0" fontId="9" numFmtId="0" xfId="0" applyAlignment="1" applyFont="1">
      <alignment readingOrder="0"/>
    </xf>
    <xf borderId="0" fillId="0" fontId="6" numFmtId="0" xfId="0" applyAlignment="1" applyFont="1">
      <alignment horizontal="left" readingOrder="0" shrinkToFit="0" vertical="center" wrapText="1"/>
    </xf>
    <xf borderId="0" fillId="3" fontId="4" numFmtId="0" xfId="0" applyAlignment="1" applyFont="1">
      <alignment readingOrder="0" shrinkToFit="0" vertical="center" wrapText="1"/>
    </xf>
    <xf borderId="0" fillId="3" fontId="7" numFmtId="0" xfId="0" applyAlignment="1" applyFont="1">
      <alignment shrinkToFit="0" vertical="center" wrapText="1"/>
    </xf>
    <xf borderId="0" fillId="3" fontId="4" numFmtId="0" xfId="0" applyAlignment="1" applyFont="1">
      <alignment shrinkToFit="0" vertical="center" wrapText="1"/>
    </xf>
    <xf borderId="0" fillId="4" fontId="3" numFmtId="0" xfId="0" applyAlignment="1" applyFill="1" applyFont="1">
      <alignment readingOrder="0" shrinkToFit="0" vertical="center" wrapText="1"/>
    </xf>
    <xf borderId="0" fillId="4" fontId="4" numFmtId="0" xfId="0" applyAlignment="1" applyFont="1">
      <alignment readingOrder="0" shrinkToFit="0" vertical="center" wrapText="1"/>
    </xf>
    <xf borderId="0" fillId="4" fontId="4" numFmtId="0" xfId="0" applyAlignment="1" applyFont="1">
      <alignment shrinkToFit="0" vertical="center" wrapText="1"/>
    </xf>
    <xf borderId="0" fillId="2" fontId="3" numFmtId="0" xfId="0" applyAlignment="1" applyFont="1">
      <alignment horizontal="right" readingOrder="0" shrinkToFit="0" vertical="center" wrapText="1"/>
    </xf>
    <xf borderId="1" fillId="2" fontId="3" numFmtId="0" xfId="0" applyAlignment="1" applyBorder="1" applyFont="1">
      <alignment readingOrder="0" shrinkToFit="0" vertical="center" wrapText="1"/>
    </xf>
    <xf borderId="0" fillId="2" fontId="5" numFmtId="0" xfId="0" applyAlignment="1" applyFont="1">
      <alignment readingOrder="0" shrinkToFit="0" vertical="center" wrapText="1"/>
    </xf>
    <xf borderId="1" fillId="3" fontId="3" numFmtId="0" xfId="0" applyAlignment="1" applyBorder="1" applyFont="1">
      <alignment readingOrder="0" shrinkToFit="0" vertical="center" wrapText="1"/>
    </xf>
    <xf borderId="0" fillId="0" fontId="3" numFmtId="0" xfId="0" applyAlignment="1" applyFont="1">
      <alignment horizontal="left" readingOrder="0" shrinkToFit="0" vertical="center" wrapText="1"/>
    </xf>
    <xf borderId="0" fillId="0" fontId="10" numFmtId="0" xfId="0" applyAlignment="1" applyFont="1">
      <alignment readingOrder="0" shrinkToFit="0" vertical="center" wrapText="1"/>
    </xf>
    <xf borderId="0" fillId="0" fontId="11" numFmtId="0" xfId="0" applyAlignment="1" applyFont="1">
      <alignment readingOrder="0" shrinkToFit="0" vertical="center" wrapText="1"/>
    </xf>
    <xf borderId="0" fillId="0" fontId="11" numFmtId="0" xfId="0" applyAlignment="1" applyFont="1">
      <alignment horizontal="center" readingOrder="0" shrinkToFit="0" vertical="center" wrapText="1"/>
    </xf>
    <xf borderId="0" fillId="3" fontId="11" numFmtId="0" xfId="0" applyAlignment="1" applyFont="1">
      <alignment horizontal="center" readingOrder="0" shrinkToFit="0" vertical="center" wrapText="1"/>
    </xf>
    <xf borderId="0" fillId="0" fontId="12" numFmtId="0" xfId="0" applyAlignment="1" applyFont="1">
      <alignment readingOrder="0" shrinkToFit="0" vertical="center" wrapText="1"/>
    </xf>
    <xf borderId="0" fillId="0" fontId="11" numFmtId="0" xfId="0" applyAlignment="1" applyFont="1">
      <alignment horizontal="center" readingOrder="0" shrinkToFit="0" wrapText="1"/>
    </xf>
    <xf borderId="0" fillId="0" fontId="4" numFmtId="0" xfId="0" applyAlignment="1" applyFont="1">
      <alignment readingOrder="0" shrinkToFit="0" vertical="center" wrapText="0"/>
    </xf>
    <xf borderId="0" fillId="0" fontId="13" numFmtId="0" xfId="0" applyAlignment="1" applyFont="1">
      <alignment shrinkToFit="0" vertical="center" wrapText="1"/>
    </xf>
    <xf borderId="0" fillId="0" fontId="13" numFmtId="0" xfId="0" applyAlignment="1" applyFont="1">
      <alignment readingOrder="0" shrinkToFit="0" vertical="center" wrapText="1"/>
    </xf>
    <xf borderId="0" fillId="0" fontId="14" numFmtId="0" xfId="0" applyAlignment="1" applyFont="1">
      <alignment horizontal="center" shrinkToFit="0" vertical="center" wrapText="1"/>
    </xf>
    <xf borderId="0" fillId="3" fontId="14" numFmtId="0" xfId="0" applyAlignment="1" applyFont="1">
      <alignment horizontal="center" shrinkToFit="0" vertical="center" wrapText="1"/>
    </xf>
    <xf borderId="0" fillId="0" fontId="8" numFmtId="0" xfId="0" applyAlignment="1" applyFont="1">
      <alignment horizontal="right" vertical="bottom"/>
    </xf>
    <xf borderId="0" fillId="3" fontId="5" numFmtId="0" xfId="0" applyAlignment="1" applyFont="1">
      <alignment readingOrder="0" shrinkToFit="0" vertical="center" wrapText="1"/>
    </xf>
    <xf borderId="0" fillId="3" fontId="13" numFmtId="0" xfId="0" applyAlignment="1" applyFont="1">
      <alignment shrinkToFit="0" vertical="center" wrapText="1"/>
    </xf>
    <xf borderId="0" fillId="3" fontId="13" numFmtId="0" xfId="0" applyAlignment="1" applyFont="1">
      <alignment readingOrder="0" shrinkToFit="0" vertical="center" wrapText="1"/>
    </xf>
    <xf borderId="0" fillId="3" fontId="7" numFmtId="0" xfId="0" applyAlignment="1" applyFont="1">
      <alignment readingOrder="0" shrinkToFit="0" vertical="center" wrapText="1"/>
    </xf>
    <xf borderId="0" fillId="2" fontId="13" numFmtId="0" xfId="0" applyAlignment="1" applyFont="1">
      <alignment shrinkToFit="0" vertical="center" wrapText="1"/>
    </xf>
    <xf borderId="0" fillId="2" fontId="13" numFmtId="0" xfId="0" applyAlignment="1" applyFont="1">
      <alignment readingOrder="0" shrinkToFit="0" vertical="center" wrapText="1"/>
    </xf>
    <xf borderId="0" fillId="2" fontId="14" numFmtId="0" xfId="0" applyAlignment="1" applyFont="1">
      <alignment horizontal="center" shrinkToFit="0" vertical="center" wrapText="1"/>
    </xf>
    <xf borderId="0" fillId="2" fontId="7" numFmtId="0" xfId="0" applyAlignment="1" applyFont="1">
      <alignment readingOrder="0" shrinkToFit="0" vertical="center" wrapText="1"/>
    </xf>
    <xf borderId="0" fillId="0" fontId="5" numFmtId="0" xfId="0" applyFont="1"/>
    <xf borderId="1" fillId="0" fontId="1" numFmtId="0" xfId="0" applyAlignment="1" applyBorder="1" applyFont="1">
      <alignment readingOrder="0" shrinkToFit="0" vertical="center" wrapText="1"/>
    </xf>
    <xf borderId="1" fillId="0" fontId="13" numFmtId="0" xfId="0" applyAlignment="1" applyBorder="1" applyFont="1">
      <alignment shrinkToFit="0" vertical="center" wrapText="1"/>
    </xf>
    <xf borderId="1" fillId="0" fontId="13" numFmtId="0" xfId="0" applyAlignment="1" applyBorder="1" applyFont="1">
      <alignment readingOrder="0" shrinkToFit="0" vertical="center" wrapText="1"/>
    </xf>
    <xf borderId="1" fillId="0" fontId="15" numFmtId="0" xfId="0" applyAlignment="1" applyBorder="1" applyFont="1">
      <alignment horizontal="center" shrinkToFit="0" vertical="center" wrapText="1"/>
    </xf>
    <xf borderId="1" fillId="3" fontId="15" numFmtId="0" xfId="0" applyAlignment="1" applyBorder="1" applyFont="1">
      <alignment horizontal="center" shrinkToFit="0" vertical="center" wrapText="1"/>
    </xf>
    <xf borderId="0" fillId="0" fontId="16" numFmtId="0" xfId="0" applyAlignment="1" applyFont="1">
      <alignment horizontal="center" shrinkToFit="0" vertical="center" wrapText="1"/>
    </xf>
    <xf borderId="0" fillId="3" fontId="16" numFmtId="0" xfId="0" applyAlignment="1" applyFont="1">
      <alignment horizontal="center" shrinkToFit="0" vertical="center" wrapText="1"/>
    </xf>
    <xf borderId="0" fillId="0" fontId="5" numFmtId="0" xfId="0" applyAlignment="1" applyFont="1">
      <alignment horizontal="center" shrinkToFit="0" vertical="center" wrapText="1"/>
    </xf>
    <xf borderId="0" fillId="3" fontId="5" numFmtId="0" xfId="0" applyAlignment="1" applyFont="1">
      <alignment horizontal="center" shrinkToFit="0" vertical="center" wrapText="1"/>
    </xf>
    <xf borderId="0" fillId="0" fontId="12" numFmtId="0" xfId="0" applyAlignment="1" applyFont="1">
      <alignment horizontal="center" vertical="center"/>
    </xf>
    <xf borderId="0" fillId="0" fontId="12" numFmtId="0" xfId="0" applyAlignment="1" applyFont="1">
      <alignment horizontal="center" readingOrder="0" shrinkToFit="0" vertical="center" wrapText="1"/>
    </xf>
    <xf borderId="0" fillId="0" fontId="12" numFmtId="0" xfId="0" applyAlignment="1" applyFont="1">
      <alignment horizontal="center" readingOrder="0" vertical="center"/>
    </xf>
    <xf borderId="0" fillId="3" fontId="5" numFmtId="0" xfId="0" applyAlignment="1" applyFont="1">
      <alignment horizontal="center" vertical="center"/>
    </xf>
    <xf borderId="0" fillId="0" fontId="12" numFmtId="0" xfId="0" applyAlignment="1" applyFont="1">
      <alignment horizontal="center" readingOrder="0"/>
    </xf>
    <xf borderId="1" fillId="0" fontId="12" numFmtId="0" xfId="0" applyAlignment="1" applyBorder="1" applyFont="1">
      <alignment readingOrder="0"/>
    </xf>
    <xf borderId="1" fillId="0" fontId="12" numFmtId="0" xfId="0" applyAlignment="1" applyBorder="1" applyFont="1">
      <alignment horizontal="center" readingOrder="0" shrinkToFit="0" vertical="center" wrapText="1"/>
    </xf>
    <xf borderId="1" fillId="0" fontId="12" numFmtId="0" xfId="0" applyAlignment="1" applyBorder="1" applyFont="1">
      <alignment horizontal="center" readingOrder="0" vertical="center"/>
    </xf>
    <xf borderId="0" fillId="0" fontId="5" numFmtId="0" xfId="0" applyAlignment="1" applyFont="1">
      <alignment horizontal="center" vertical="center"/>
    </xf>
    <xf borderId="0" fillId="0" fontId="11"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0" fillId="0" fontId="5" numFmtId="0" xfId="0" applyAlignment="1" applyFont="1">
      <alignment horizontal="center" readingOrder="0" vertical="center"/>
    </xf>
    <xf borderId="0" fillId="5" fontId="5" numFmtId="0" xfId="0" applyAlignment="1" applyFill="1" applyFont="1">
      <alignment horizontal="center" readingOrder="0" vertical="center"/>
    </xf>
    <xf borderId="0" fillId="6" fontId="5" numFmtId="0" xfId="0" applyAlignment="1" applyFill="1" applyFont="1">
      <alignment horizontal="center" readingOrder="0" vertical="center"/>
    </xf>
    <xf borderId="0" fillId="0" fontId="5" numFmtId="0" xfId="0" applyAlignment="1" applyFont="1">
      <alignment horizontal="center" readingOrder="0"/>
    </xf>
    <xf borderId="0" fillId="7" fontId="5" numFmtId="0" xfId="0" applyAlignment="1" applyFill="1" applyFont="1">
      <alignment horizontal="center"/>
    </xf>
    <xf borderId="0" fillId="8" fontId="5" numFmtId="0" xfId="0" applyAlignment="1" applyFill="1" applyFont="1">
      <alignment horizontal="center" readingOrder="0" vertical="center"/>
    </xf>
    <xf borderId="1" fillId="0" fontId="17" numFmtId="0" xfId="0" applyAlignment="1" applyBorder="1" applyFont="1">
      <alignment shrinkToFit="0" vertical="bottom" wrapText="0"/>
    </xf>
    <xf borderId="1" fillId="0" fontId="17" numFmtId="0" xfId="0" applyAlignment="1" applyBorder="1" applyFont="1">
      <alignment shrinkToFit="0" vertical="center" wrapText="0"/>
    </xf>
    <xf borderId="1" fillId="3" fontId="17" numFmtId="0" xfId="0" applyAlignment="1" applyBorder="1" applyFont="1">
      <alignment shrinkToFit="0" vertical="center" wrapText="1"/>
    </xf>
    <xf borderId="0" fillId="0" fontId="5" numFmtId="0" xfId="0" applyAlignment="1" applyFont="1">
      <alignment horizontal="center" readingOrder="0" shrinkToFit="0" vertical="center" wrapText="1"/>
    </xf>
    <xf borderId="0" fillId="9" fontId="5" numFmtId="0" xfId="0" applyAlignment="1" applyFill="1" applyFont="1">
      <alignment horizontal="center" readingOrder="0" vertical="center"/>
    </xf>
    <xf borderId="0" fillId="0" fontId="5" numFmtId="0" xfId="0" applyAlignment="1" applyFont="1">
      <alignment horizontal="center"/>
    </xf>
    <xf borderId="0" fillId="10" fontId="5" numFmtId="0" xfId="0" applyAlignment="1" applyFill="1" applyFont="1">
      <alignment horizontal="center" readingOrder="0" vertical="center"/>
    </xf>
    <xf borderId="0" fillId="3" fontId="5" numFmtId="0" xfId="0" applyAlignment="1" applyFont="1">
      <alignment horizontal="center" readingOrder="0" vertical="center"/>
    </xf>
    <xf borderId="0" fillId="3" fontId="5" numFmtId="0" xfId="0" applyAlignment="1" applyFont="1">
      <alignment horizontal="center"/>
    </xf>
    <xf borderId="1" fillId="0" fontId="5" numFmtId="0" xfId="0" applyAlignment="1" applyBorder="1" applyFont="1">
      <alignment horizontal="center" readingOrder="0" vertical="center"/>
    </xf>
    <xf borderId="1" fillId="3" fontId="17" numFmtId="0" xfId="0" applyAlignment="1" applyBorder="1" applyFont="1">
      <alignment shrinkToFit="0" vertical="bottom" wrapText="0"/>
    </xf>
    <xf borderId="1" fillId="0" fontId="17" numFmtId="0" xfId="0" applyAlignment="1" applyBorder="1" applyFont="1">
      <alignment shrinkToFit="0" vertical="center" wrapText="1"/>
    </xf>
    <xf borderId="0" fillId="0" fontId="9" numFmtId="0" xfId="0" applyAlignment="1" applyFont="1">
      <alignment vertical="center"/>
    </xf>
    <xf borderId="1" fillId="0" fontId="10" numFmtId="0" xfId="0" applyAlignment="1" applyBorder="1" applyFont="1">
      <alignment horizontal="center" readingOrder="0" shrinkToFit="0" vertical="center" wrapText="1"/>
    </xf>
    <xf borderId="1" fillId="0" fontId="13" numFmtId="0" xfId="0" applyAlignment="1" applyBorder="1" applyFont="1">
      <alignment horizontal="center" shrinkToFit="0" vertical="center" wrapText="1"/>
    </xf>
    <xf borderId="1" fillId="0" fontId="13" numFmtId="0" xfId="0" applyAlignment="1" applyBorder="1" applyFont="1">
      <alignment horizontal="center" vertical="center"/>
    </xf>
    <xf borderId="1" fillId="0" fontId="18" numFmtId="0" xfId="0" applyAlignment="1" applyBorder="1" applyFont="1">
      <alignment horizontal="center"/>
    </xf>
    <xf borderId="0" fillId="3" fontId="9" numFmtId="0" xfId="0" applyAlignment="1" applyFont="1">
      <alignment vertical="center"/>
    </xf>
    <xf borderId="0" fillId="0" fontId="5" numFmtId="0" xfId="0" applyAlignment="1" applyFont="1">
      <alignment vertical="center"/>
    </xf>
    <xf borderId="0" fillId="0" fontId="12" numFmtId="0" xfId="0" applyAlignment="1" applyFont="1">
      <alignment horizontal="center" shrinkToFit="0" vertical="center" wrapText="1"/>
    </xf>
    <xf borderId="0" fillId="0" fontId="10" numFmtId="0" xfId="0" applyAlignment="1" applyFont="1">
      <alignment horizontal="center" vertical="center"/>
    </xf>
    <xf borderId="0" fillId="3" fontId="10" numFmtId="0" xfId="0" applyAlignment="1" applyFont="1">
      <alignment horizontal="center" vertical="center"/>
    </xf>
    <xf borderId="0" fillId="0" fontId="12" numFmtId="0" xfId="0" applyAlignment="1" applyFont="1">
      <alignment horizontal="left" readingOrder="0" vertical="center"/>
    </xf>
    <xf borderId="1" fillId="0" fontId="19" numFmtId="0" xfId="0" applyAlignment="1" applyBorder="1" applyFont="1">
      <alignment horizontal="center" readingOrder="0" shrinkToFit="0" vertical="bottom" wrapText="0"/>
    </xf>
    <xf borderId="1" fillId="0" fontId="17" numFmtId="0" xfId="0" applyAlignment="1" applyBorder="1" applyFont="1">
      <alignment horizontal="center" shrinkToFit="0" vertical="center" wrapText="0"/>
    </xf>
    <xf borderId="1" fillId="3" fontId="17" numFmtId="0" xfId="0" applyAlignment="1" applyBorder="1" applyFont="1">
      <alignment horizontal="center" readingOrder="0" shrinkToFit="0" vertical="center" wrapText="1"/>
    </xf>
    <xf borderId="0" fillId="0" fontId="13" numFmtId="0" xfId="0" applyAlignment="1" applyFont="1">
      <alignment readingOrder="0" shrinkToFit="0" wrapText="1"/>
    </xf>
    <xf borderId="0" fillId="0" fontId="5" numFmtId="0" xfId="0" applyAlignment="1" applyFont="1">
      <alignment readingOrder="0" shrinkToFit="0" wrapText="1"/>
    </xf>
    <xf borderId="1" fillId="0" fontId="19" numFmtId="0" xfId="0" applyAlignment="1" applyBorder="1" applyFont="1">
      <alignment horizontal="right" shrinkToFit="0" vertical="bottom" wrapText="0"/>
    </xf>
    <xf borderId="0" fillId="0" fontId="10" numFmtId="0" xfId="0" applyAlignment="1" applyFont="1">
      <alignment readingOrder="0" shrinkToFit="0" wrapText="1"/>
    </xf>
    <xf borderId="0" fillId="0" fontId="10" numFmtId="0" xfId="0" applyAlignment="1" applyFont="1">
      <alignment horizontal="left" readingOrder="0" shrinkToFit="0" wrapText="1"/>
    </xf>
    <xf borderId="0" fillId="4" fontId="10" numFmtId="0" xfId="0" applyAlignment="1" applyFont="1">
      <alignment readingOrder="0" shrinkToFit="0" vertical="center" wrapText="1"/>
    </xf>
    <xf borderId="0" fillId="0" fontId="10" numFmtId="0" xfId="0" applyAlignment="1" applyFont="1">
      <alignment readingOrder="0"/>
    </xf>
    <xf borderId="0" fillId="0" fontId="13" numFmtId="0" xfId="0" applyAlignment="1" applyFont="1">
      <alignment shrinkToFit="0" wrapText="1"/>
    </xf>
    <xf borderId="0" fillId="0" fontId="13" numFmtId="0" xfId="0" applyFont="1"/>
    <xf borderId="0" fillId="0" fontId="13" numFmtId="0" xfId="0" applyAlignment="1" applyFont="1">
      <alignment horizontal="center" readingOrder="0" shrinkToFit="0" wrapText="1"/>
    </xf>
    <xf borderId="0" fillId="11" fontId="13" numFmtId="0" xfId="0" applyAlignment="1" applyFill="1" applyFont="1">
      <alignment readingOrder="0" shrinkToFit="0" vertical="center" wrapText="1"/>
    </xf>
    <xf borderId="0" fillId="0" fontId="12" numFmtId="0" xfId="0" applyAlignment="1" applyFont="1">
      <alignment readingOrder="0"/>
    </xf>
    <xf borderId="0" fillId="11" fontId="13" numFmtId="0" xfId="0" applyAlignment="1" applyFont="1">
      <alignment readingOrder="0"/>
    </xf>
    <xf borderId="0" fillId="0" fontId="13" numFmtId="0" xfId="0" applyAlignment="1" applyFont="1">
      <alignment horizontal="center" shrinkToFit="0" wrapText="1"/>
    </xf>
    <xf borderId="0" fillId="0" fontId="13" numFmtId="0" xfId="0" applyAlignment="1" applyFont="1">
      <alignment horizontal="center" shrinkToFit="0" wrapText="1"/>
    </xf>
    <xf borderId="0" fillId="11" fontId="13" numFmtId="0" xfId="0" applyAlignment="1" applyFont="1">
      <alignment horizontal="center" readingOrder="0" shrinkToFit="0" wrapText="1"/>
    </xf>
    <xf borderId="0" fillId="0" fontId="20" numFmtId="0" xfId="0" applyAlignment="1" applyFont="1">
      <alignment readingOrder="0" shrinkToFit="0" wrapText="1"/>
    </xf>
    <xf borderId="0" fillId="0" fontId="21" numFmtId="0" xfId="0" applyAlignment="1" applyFont="1">
      <alignment horizontal="center" readingOrder="0" shrinkToFit="0" wrapText="1"/>
    </xf>
    <xf borderId="0" fillId="3" fontId="22" numFmtId="0" xfId="0" applyAlignment="1" applyFont="1">
      <alignment readingOrder="0"/>
    </xf>
    <xf borderId="0" fillId="0" fontId="5" numFmtId="0" xfId="0" applyAlignment="1" applyFont="1">
      <alignment shrinkToFit="0" vertical="center" wrapText="1"/>
    </xf>
  </cellXfs>
  <cellStyles count="1">
    <cellStyle xfId="0" name="Normal" builtinId="0"/>
  </cellStyles>
  <dxfs count="13">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9BBB59"/>
          <bgColor rgb="FF9BBB59"/>
        </patternFill>
      </fill>
      <border/>
    </dxf>
    <dxf>
      <font/>
      <fill>
        <patternFill patternType="solid">
          <fgColor rgb="FFF1C232"/>
          <bgColor rgb="FFF1C232"/>
        </patternFill>
      </fill>
      <border/>
    </dxf>
    <dxf>
      <font/>
      <fill>
        <patternFill patternType="solid">
          <fgColor rgb="FFCC0000"/>
          <bgColor rgb="FFCC0000"/>
        </patternFill>
      </fill>
      <border/>
    </dxf>
    <dxf>
      <font/>
      <fill>
        <patternFill patternType="solid">
          <fgColor rgb="FF6AA84F"/>
          <bgColor rgb="FF6AA84F"/>
        </patternFill>
      </fill>
      <border/>
    </dxf>
    <dxf>
      <font/>
      <fill>
        <patternFill patternType="solid">
          <fgColor rgb="FFF4C7C3"/>
          <bgColor rgb="FFF4C7C3"/>
        </patternFill>
      </fill>
      <border/>
    </dxf>
    <dxf>
      <font/>
      <fill>
        <patternFill patternType="solid">
          <fgColor rgb="FFFFD966"/>
          <bgColor rgb="FFFFD966"/>
        </patternFill>
      </fill>
      <border/>
    </dxf>
    <dxf>
      <font/>
      <fill>
        <patternFill patternType="solid">
          <fgColor rgb="FF93C47D"/>
          <bgColor rgb="FF93C47D"/>
        </patternFill>
      </fill>
      <border/>
    </dxf>
    <dxf>
      <font/>
      <fill>
        <patternFill patternType="solid">
          <fgColor rgb="FFB7E1CD"/>
          <bgColor rgb="FFB7E1CD"/>
        </patternFill>
      </fill>
      <border/>
    </dxf>
  </dxfs>
  <tableStyles count="2">
    <tableStyle count="4" pivot="0" name="Lists-style">
      <tableStyleElement dxfId="1" type="headerRow"/>
      <tableStyleElement dxfId="2" type="firstRowStripe"/>
      <tableStyleElement dxfId="3" type="secondRowStripe"/>
      <tableStyleElement dxfId="4" size="0" type="wholeTable"/>
    </tableStyle>
    <tableStyle count="4" pivot="0" name="Lists-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                                          Humor Style Distribution</a:t>
            </a:r>
          </a:p>
        </c:rich>
      </c:tx>
      <c:layout>
        <c:manualLayout>
          <c:xMode val="edge"/>
          <c:yMode val="edge"/>
          <c:x val="0.09078947368421053"/>
          <c:y val="0.06658767772511849"/>
        </c:manualLayout>
      </c:layout>
      <c:overlay val="0"/>
    </c:title>
    <c:plotArea>
      <c:layout/>
      <c:barChart>
        <c:barDir val="col"/>
        <c:ser>
          <c:idx val="0"/>
          <c:order val="0"/>
          <c:tx>
            <c:strRef>
              <c:f>Lists!$E$1</c:f>
            </c:strRef>
          </c:tx>
          <c:spPr>
            <a:solidFill>
              <a:schemeClr val="accent1"/>
            </a:solidFill>
            <a:ln cmpd="sng">
              <a:solidFill>
                <a:srgbClr val="000000"/>
              </a:solidFill>
            </a:ln>
          </c:spPr>
          <c:cat>
            <c:strRef>
              <c:f>Lists!$D$2:$D$9</c:f>
            </c:strRef>
          </c:cat>
          <c:val>
            <c:numRef>
              <c:f>Lists!$E$2:$E$9</c:f>
              <c:numCache/>
            </c:numRef>
          </c:val>
        </c:ser>
        <c:axId val="291025557"/>
        <c:axId val="1388712802"/>
      </c:barChart>
      <c:catAx>
        <c:axId val="2910255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Humor</a:t>
                </a:r>
              </a:p>
            </c:rich>
          </c:tx>
          <c:overlay val="0"/>
        </c:title>
        <c:numFmt formatCode="General" sourceLinked="1"/>
        <c:majorTickMark val="none"/>
        <c:minorTickMark val="none"/>
        <c:spPr/>
        <c:txPr>
          <a:bodyPr/>
          <a:lstStyle/>
          <a:p>
            <a:pPr lvl="0">
              <a:defRPr b="0">
                <a:solidFill>
                  <a:srgbClr val="000000"/>
                </a:solidFill>
                <a:latin typeface="+mn-lt"/>
              </a:defRPr>
            </a:pPr>
          </a:p>
        </c:txPr>
        <c:crossAx val="1388712802"/>
      </c:catAx>
      <c:valAx>
        <c:axId val="13887128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9102555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                                Contextual Knowledge Distribution</a:t>
            </a:r>
          </a:p>
        </c:rich>
      </c:tx>
      <c:layout>
        <c:manualLayout>
          <c:xMode val="edge"/>
          <c:yMode val="edge"/>
          <c:x val="0.08989246304880523"/>
          <c:y val="0.05564658090724441"/>
        </c:manualLayout>
      </c:layout>
      <c:overlay val="0"/>
    </c:title>
    <c:plotArea>
      <c:layout/>
      <c:barChart>
        <c:barDir val="col"/>
        <c:ser>
          <c:idx val="0"/>
          <c:order val="0"/>
          <c:tx>
            <c:strRef>
              <c:f>Lists!$J$1</c:f>
            </c:strRef>
          </c:tx>
          <c:spPr>
            <a:solidFill>
              <a:schemeClr val="accent1"/>
            </a:solidFill>
            <a:ln cmpd="sng">
              <a:solidFill>
                <a:srgbClr val="000000"/>
              </a:solidFill>
            </a:ln>
          </c:spPr>
          <c:cat>
            <c:strRef>
              <c:f>Lists!$I$2:$I$10</c:f>
            </c:strRef>
          </c:cat>
          <c:val>
            <c:numRef>
              <c:f>Lists!$J$2:$J$10</c:f>
              <c:numCache/>
            </c:numRef>
          </c:val>
        </c:ser>
        <c:axId val="393457682"/>
        <c:axId val="2034960295"/>
      </c:barChart>
      <c:catAx>
        <c:axId val="3934576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Context</a:t>
                </a:r>
              </a:p>
            </c:rich>
          </c:tx>
          <c:overlay val="0"/>
        </c:title>
        <c:numFmt formatCode="General" sourceLinked="1"/>
        <c:majorTickMark val="none"/>
        <c:minorTickMark val="none"/>
        <c:spPr/>
        <c:txPr>
          <a:bodyPr/>
          <a:lstStyle/>
          <a:p>
            <a:pPr lvl="0">
              <a:defRPr b="0">
                <a:solidFill>
                  <a:srgbClr val="000000"/>
                </a:solidFill>
                <a:latin typeface="+mn-lt"/>
              </a:defRPr>
            </a:pPr>
          </a:p>
        </c:txPr>
        <c:crossAx val="2034960295"/>
      </c:catAx>
      <c:valAx>
        <c:axId val="20349602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93457682"/>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1219200</xdr:colOff>
      <xdr:row>15</xdr:row>
      <xdr:rowOff>28575</xdr:rowOff>
    </xdr:from>
    <xdr:ext cx="6515100" cy="4019550"/>
    <xdr:graphicFrame>
      <xdr:nvGraphicFramePr>
        <xdr:cNvPr id="1" name="Chart 1"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800100</xdr:colOff>
      <xdr:row>15</xdr:row>
      <xdr:rowOff>28575</xdr:rowOff>
    </xdr:from>
    <xdr:ext cx="6457950" cy="4019550"/>
    <xdr:graphicFrame>
      <xdr:nvGraphicFramePr>
        <xdr:cNvPr id="2" name="Chart 2" title="Diagra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X1:AA10" displayName="PAnnotations" name="PAnnotations" id="1">
  <tableColumns count="4">
    <tableColumn name="Count Humor primary (PA)" id="1"/>
    <tableColumn name="Humor primary + secondary count (PA)" id="2"/>
    <tableColumn name="Context primary count (PA)" id="3"/>
    <tableColumn name="Context primary + secondary count" id="4"/>
  </tableColumns>
  <tableStyleInfo name="Lists-style" showColumnStripes="0" showFirstColumn="1" showLastColumn="1" showRowStripes="1"/>
</table>
</file>

<file path=xl/tables/table2.xml><?xml version="1.0" encoding="utf-8"?>
<table xmlns="http://schemas.openxmlformats.org/spreadsheetml/2006/main" ref="X13:AA22" displayName="Secondary_count" name="Secondary_count" id="2">
  <tableColumns count="4">
    <tableColumn name="Secondary humor count" id="1"/>
    <tableColumn name="Humor primary + secondary count (PA)" id="2"/>
    <tableColumn name="secondary context count" id="3"/>
    <tableColumn name="Context primary + secondary count" id="4"/>
  </tableColumns>
  <tableStyleInfo name="List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1.xml"/><Relationship Id="rId5"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hyperlink" Target="http://openrouter.ai/" TargetMode="External"/><Relationship Id="rId2" Type="http://schemas.openxmlformats.org/officeDocument/2006/relationships/hyperlink" Target="http://openrouter.ai/"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71"/>
    <col customWidth="1" min="2" max="2" width="18.43"/>
    <col customWidth="1" min="3" max="3" width="16.14"/>
    <col customWidth="1" min="4" max="4" width="46.57"/>
    <col customWidth="1" min="5" max="5" width="39.14"/>
    <col customWidth="1" min="6" max="6" width="39.43"/>
    <col customWidth="1" min="7" max="7" width="41.14"/>
    <col customWidth="1" min="8" max="8" width="39.14"/>
    <col customWidth="1" min="9" max="9" width="24.14"/>
    <col customWidth="1" min="10" max="12" width="25.71"/>
    <col customWidth="1" min="13" max="13" width="27.29"/>
    <col customWidth="1" min="14" max="26" width="8.71"/>
  </cols>
  <sheetData>
    <row r="1">
      <c r="A1" s="1" t="s">
        <v>0</v>
      </c>
      <c r="B1" s="2" t="s">
        <v>1</v>
      </c>
      <c r="C1" s="2" t="s">
        <v>2</v>
      </c>
      <c r="D1" s="3" t="s">
        <v>3</v>
      </c>
      <c r="E1" s="3" t="s">
        <v>4</v>
      </c>
      <c r="F1" s="3" t="s">
        <v>5</v>
      </c>
      <c r="G1" s="3" t="s">
        <v>6</v>
      </c>
      <c r="H1" s="2" t="s">
        <v>7</v>
      </c>
      <c r="I1" s="3" t="s">
        <v>8</v>
      </c>
      <c r="J1" s="3" t="s">
        <v>9</v>
      </c>
      <c r="K1" s="3" t="s">
        <v>10</v>
      </c>
      <c r="L1" s="3" t="s">
        <v>11</v>
      </c>
      <c r="M1" s="3" t="s">
        <v>12</v>
      </c>
      <c r="N1" s="2"/>
      <c r="O1" s="2"/>
      <c r="P1" s="2"/>
      <c r="Q1" s="2"/>
      <c r="R1" s="2"/>
      <c r="S1" s="2"/>
      <c r="T1" s="2"/>
      <c r="U1" s="2"/>
      <c r="V1" s="2"/>
      <c r="W1" s="2"/>
      <c r="X1" s="2"/>
      <c r="Y1" s="2"/>
      <c r="Z1" s="2"/>
    </row>
    <row r="2" ht="114.75" customHeight="1">
      <c r="A2" s="4" t="s">
        <v>13</v>
      </c>
      <c r="B2" s="5" t="s">
        <v>14</v>
      </c>
      <c r="C2" s="5" t="s">
        <v>15</v>
      </c>
      <c r="D2" s="5" t="s">
        <v>16</v>
      </c>
      <c r="E2" s="6" t="s">
        <v>17</v>
      </c>
      <c r="F2" s="6" t="s">
        <v>18</v>
      </c>
      <c r="G2" s="6" t="s">
        <v>19</v>
      </c>
      <c r="H2" s="6" t="s">
        <v>17</v>
      </c>
      <c r="I2" s="5" t="s">
        <v>20</v>
      </c>
      <c r="J2" s="5" t="s">
        <v>21</v>
      </c>
      <c r="K2" s="5" t="s">
        <v>22</v>
      </c>
      <c r="L2" s="5" t="s">
        <v>23</v>
      </c>
      <c r="M2" s="7" t="str">
        <f t="shared" ref="M2:M39" si="1">IF(COUNTIF($A$2:A2, A2)&gt;1, "Dublet", "OK")</f>
        <v>OK</v>
      </c>
      <c r="N2" s="7"/>
      <c r="O2" s="7"/>
      <c r="P2" s="7"/>
      <c r="Q2" s="7"/>
      <c r="R2" s="7"/>
      <c r="S2" s="7"/>
      <c r="T2" s="7"/>
      <c r="U2" s="7"/>
      <c r="V2" s="7"/>
      <c r="W2" s="7"/>
      <c r="X2" s="7"/>
      <c r="Y2" s="7"/>
      <c r="Z2" s="7"/>
    </row>
    <row r="3">
      <c r="A3" s="4" t="s">
        <v>24</v>
      </c>
      <c r="B3" s="5" t="s">
        <v>25</v>
      </c>
      <c r="C3" s="5" t="s">
        <v>15</v>
      </c>
      <c r="D3" s="5" t="s">
        <v>26</v>
      </c>
      <c r="E3" s="5" t="s">
        <v>27</v>
      </c>
      <c r="F3" s="5" t="s">
        <v>28</v>
      </c>
      <c r="G3" s="5" t="s">
        <v>29</v>
      </c>
      <c r="H3" s="5" t="s">
        <v>27</v>
      </c>
      <c r="I3" s="5" t="s">
        <v>30</v>
      </c>
      <c r="J3" s="5" t="s">
        <v>31</v>
      </c>
      <c r="K3" s="5" t="s">
        <v>23</v>
      </c>
      <c r="L3" s="5" t="s">
        <v>22</v>
      </c>
      <c r="M3" s="7" t="str">
        <f t="shared" si="1"/>
        <v>OK</v>
      </c>
      <c r="N3" s="7"/>
      <c r="O3" s="7"/>
      <c r="P3" s="7"/>
      <c r="Q3" s="7"/>
      <c r="R3" s="7"/>
      <c r="S3" s="7"/>
      <c r="T3" s="7"/>
      <c r="U3" s="7"/>
      <c r="V3" s="7"/>
      <c r="W3" s="7"/>
      <c r="X3" s="7"/>
      <c r="Y3" s="7"/>
      <c r="Z3" s="7"/>
    </row>
    <row r="4">
      <c r="A4" s="4" t="s">
        <v>32</v>
      </c>
      <c r="B4" s="5" t="s">
        <v>25</v>
      </c>
      <c r="C4" s="5" t="s">
        <v>15</v>
      </c>
      <c r="D4" s="5" t="s">
        <v>33</v>
      </c>
      <c r="E4" s="5" t="s">
        <v>34</v>
      </c>
      <c r="F4" s="5" t="s">
        <v>35</v>
      </c>
      <c r="G4" s="5" t="s">
        <v>36</v>
      </c>
      <c r="H4" s="5" t="s">
        <v>35</v>
      </c>
      <c r="I4" s="5" t="s">
        <v>37</v>
      </c>
      <c r="J4" s="5" t="s">
        <v>20</v>
      </c>
      <c r="K4" s="5" t="s">
        <v>38</v>
      </c>
      <c r="L4" s="5" t="s">
        <v>39</v>
      </c>
      <c r="M4" s="7" t="str">
        <f t="shared" si="1"/>
        <v>OK</v>
      </c>
      <c r="N4" s="7"/>
      <c r="O4" s="7"/>
      <c r="P4" s="7"/>
      <c r="Q4" s="7"/>
      <c r="R4" s="7"/>
      <c r="S4" s="7"/>
      <c r="T4" s="7"/>
      <c r="U4" s="7"/>
      <c r="V4" s="7"/>
      <c r="W4" s="7"/>
      <c r="X4" s="7"/>
      <c r="Y4" s="7"/>
      <c r="Z4" s="7"/>
    </row>
    <row r="5">
      <c r="A5" s="4" t="s">
        <v>40</v>
      </c>
      <c r="B5" s="5" t="s">
        <v>25</v>
      </c>
      <c r="C5" s="5" t="s">
        <v>15</v>
      </c>
      <c r="D5" s="5" t="s">
        <v>41</v>
      </c>
      <c r="E5" s="5" t="s">
        <v>42</v>
      </c>
      <c r="F5" s="5" t="s">
        <v>43</v>
      </c>
      <c r="G5" s="5" t="s">
        <v>44</v>
      </c>
      <c r="H5" s="5" t="s">
        <v>43</v>
      </c>
      <c r="I5" s="5" t="s">
        <v>45</v>
      </c>
      <c r="J5" s="5" t="s">
        <v>31</v>
      </c>
      <c r="K5" s="5" t="s">
        <v>46</v>
      </c>
      <c r="L5" s="5" t="s">
        <v>39</v>
      </c>
      <c r="M5" s="7" t="str">
        <f t="shared" si="1"/>
        <v>OK</v>
      </c>
      <c r="N5" s="7"/>
      <c r="O5" s="7"/>
      <c r="P5" s="7"/>
      <c r="Q5" s="7"/>
      <c r="R5" s="7"/>
      <c r="S5" s="7"/>
      <c r="T5" s="7"/>
      <c r="U5" s="7"/>
      <c r="V5" s="7"/>
      <c r="W5" s="7"/>
      <c r="X5" s="7"/>
      <c r="Y5" s="7"/>
      <c r="Z5" s="7"/>
    </row>
    <row r="6">
      <c r="A6" s="4" t="s">
        <v>47</v>
      </c>
      <c r="B6" s="5" t="s">
        <v>25</v>
      </c>
      <c r="C6" s="5" t="s">
        <v>15</v>
      </c>
      <c r="D6" s="5" t="s">
        <v>48</v>
      </c>
      <c r="E6" s="5" t="s">
        <v>49</v>
      </c>
      <c r="F6" s="5" t="s">
        <v>50</v>
      </c>
      <c r="G6" s="5" t="s">
        <v>51</v>
      </c>
      <c r="H6" s="5" t="s">
        <v>49</v>
      </c>
      <c r="I6" s="5" t="s">
        <v>45</v>
      </c>
      <c r="J6" s="5" t="s">
        <v>21</v>
      </c>
      <c r="K6" s="5" t="s">
        <v>46</v>
      </c>
      <c r="L6" s="5" t="s">
        <v>22</v>
      </c>
      <c r="M6" s="7" t="str">
        <f t="shared" si="1"/>
        <v>OK</v>
      </c>
      <c r="N6" s="7"/>
      <c r="O6" s="7"/>
      <c r="P6" s="7"/>
      <c r="Q6" s="7"/>
      <c r="R6" s="7"/>
      <c r="S6" s="7"/>
      <c r="T6" s="7"/>
      <c r="U6" s="7"/>
      <c r="V6" s="7"/>
      <c r="W6" s="7"/>
      <c r="X6" s="7"/>
      <c r="Y6" s="7"/>
      <c r="Z6" s="7"/>
    </row>
    <row r="7">
      <c r="A7" s="4" t="s">
        <v>52</v>
      </c>
      <c r="B7" s="5" t="s">
        <v>25</v>
      </c>
      <c r="C7" s="5" t="s">
        <v>15</v>
      </c>
      <c r="D7" s="5" t="s">
        <v>53</v>
      </c>
      <c r="E7" s="5" t="s">
        <v>54</v>
      </c>
      <c r="F7" s="5" t="s">
        <v>55</v>
      </c>
      <c r="G7" s="5" t="s">
        <v>56</v>
      </c>
      <c r="H7" s="5" t="s">
        <v>55</v>
      </c>
      <c r="I7" s="5" t="s">
        <v>20</v>
      </c>
      <c r="J7" s="5" t="s">
        <v>31</v>
      </c>
      <c r="K7" s="5" t="s">
        <v>57</v>
      </c>
      <c r="L7" s="5" t="s">
        <v>58</v>
      </c>
      <c r="M7" s="7" t="str">
        <f t="shared" si="1"/>
        <v>OK</v>
      </c>
      <c r="N7" s="7"/>
      <c r="O7" s="7"/>
      <c r="P7" s="7"/>
      <c r="Q7" s="7"/>
      <c r="R7" s="7"/>
      <c r="S7" s="7"/>
      <c r="T7" s="7"/>
      <c r="U7" s="7"/>
      <c r="V7" s="7"/>
      <c r="W7" s="7"/>
      <c r="X7" s="7"/>
      <c r="Y7" s="7"/>
      <c r="Z7" s="7"/>
    </row>
    <row r="8">
      <c r="A8" s="4" t="s">
        <v>59</v>
      </c>
      <c r="B8" s="5" t="s">
        <v>25</v>
      </c>
      <c r="C8" s="5" t="s">
        <v>15</v>
      </c>
      <c r="D8" s="5" t="s">
        <v>60</v>
      </c>
      <c r="E8" s="5" t="s">
        <v>61</v>
      </c>
      <c r="F8" s="5" t="s">
        <v>62</v>
      </c>
      <c r="G8" s="5" t="s">
        <v>63</v>
      </c>
      <c r="H8" s="5" t="s">
        <v>62</v>
      </c>
      <c r="I8" s="5" t="s">
        <v>64</v>
      </c>
      <c r="J8" s="5" t="s">
        <v>65</v>
      </c>
      <c r="K8" s="5" t="s">
        <v>66</v>
      </c>
      <c r="L8" s="5" t="s">
        <v>58</v>
      </c>
      <c r="M8" s="7" t="str">
        <f t="shared" si="1"/>
        <v>OK</v>
      </c>
      <c r="N8" s="7"/>
      <c r="O8" s="7"/>
      <c r="P8" s="7"/>
      <c r="Q8" s="7"/>
      <c r="R8" s="7"/>
      <c r="S8" s="7"/>
      <c r="T8" s="7"/>
      <c r="U8" s="7"/>
      <c r="V8" s="7"/>
      <c r="W8" s="7"/>
      <c r="X8" s="7"/>
      <c r="Y8" s="7"/>
      <c r="Z8" s="7"/>
    </row>
    <row r="9">
      <c r="A9" s="4" t="s">
        <v>67</v>
      </c>
      <c r="B9" s="5" t="s">
        <v>25</v>
      </c>
      <c r="C9" s="5" t="s">
        <v>15</v>
      </c>
      <c r="D9" s="5" t="s">
        <v>68</v>
      </c>
      <c r="E9" s="5" t="s">
        <v>69</v>
      </c>
      <c r="F9" s="5" t="s">
        <v>70</v>
      </c>
      <c r="G9" s="5" t="s">
        <v>71</v>
      </c>
      <c r="H9" s="5" t="s">
        <v>71</v>
      </c>
      <c r="I9" s="5" t="s">
        <v>30</v>
      </c>
      <c r="J9" s="5" t="s">
        <v>20</v>
      </c>
      <c r="K9" s="5" t="s">
        <v>38</v>
      </c>
      <c r="L9" s="5" t="s">
        <v>57</v>
      </c>
      <c r="M9" s="7" t="str">
        <f t="shared" si="1"/>
        <v>OK</v>
      </c>
      <c r="N9" s="7"/>
      <c r="O9" s="7"/>
      <c r="P9" s="7"/>
      <c r="Q9" s="7"/>
      <c r="R9" s="7"/>
      <c r="S9" s="7"/>
      <c r="T9" s="7"/>
      <c r="U9" s="7"/>
      <c r="V9" s="7"/>
      <c r="W9" s="7"/>
      <c r="X9" s="7"/>
      <c r="Y9" s="7"/>
      <c r="Z9" s="7"/>
    </row>
    <row r="10">
      <c r="A10" s="4" t="s">
        <v>72</v>
      </c>
      <c r="B10" s="5" t="s">
        <v>14</v>
      </c>
      <c r="C10" s="5" t="s">
        <v>15</v>
      </c>
      <c r="D10" s="5" t="s">
        <v>73</v>
      </c>
      <c r="E10" s="6" t="s">
        <v>74</v>
      </c>
      <c r="F10" s="6" t="s">
        <v>75</v>
      </c>
      <c r="G10" s="6" t="s">
        <v>76</v>
      </c>
      <c r="H10" s="6" t="s">
        <v>76</v>
      </c>
      <c r="I10" s="5" t="s">
        <v>45</v>
      </c>
      <c r="J10" s="5" t="s">
        <v>64</v>
      </c>
      <c r="K10" s="5" t="s">
        <v>22</v>
      </c>
      <c r="L10" s="5" t="s">
        <v>39</v>
      </c>
      <c r="M10" s="7" t="str">
        <f t="shared" si="1"/>
        <v>OK</v>
      </c>
      <c r="N10" s="7"/>
      <c r="O10" s="7"/>
      <c r="P10" s="7"/>
      <c r="Q10" s="7"/>
      <c r="R10" s="7"/>
      <c r="S10" s="7"/>
      <c r="T10" s="7"/>
      <c r="U10" s="7"/>
      <c r="V10" s="7"/>
      <c r="W10" s="7"/>
      <c r="X10" s="7"/>
      <c r="Y10" s="7"/>
      <c r="Z10" s="7"/>
    </row>
    <row r="11">
      <c r="A11" s="4" t="s">
        <v>77</v>
      </c>
      <c r="B11" s="5" t="s">
        <v>25</v>
      </c>
      <c r="C11" s="5" t="s">
        <v>15</v>
      </c>
      <c r="D11" s="5" t="s">
        <v>78</v>
      </c>
      <c r="E11" s="5" t="s">
        <v>79</v>
      </c>
      <c r="F11" s="5" t="s">
        <v>80</v>
      </c>
      <c r="G11" s="5" t="s">
        <v>81</v>
      </c>
      <c r="H11" s="5" t="s">
        <v>81</v>
      </c>
      <c r="I11" s="5" t="s">
        <v>64</v>
      </c>
      <c r="J11" s="5" t="s">
        <v>20</v>
      </c>
      <c r="K11" s="5" t="s">
        <v>38</v>
      </c>
      <c r="L11" s="5" t="s">
        <v>46</v>
      </c>
      <c r="M11" s="7" t="str">
        <f t="shared" si="1"/>
        <v>OK</v>
      </c>
      <c r="N11" s="7"/>
      <c r="O11" s="7"/>
      <c r="P11" s="7"/>
      <c r="Q11" s="7"/>
      <c r="R11" s="7"/>
      <c r="S11" s="7"/>
      <c r="T11" s="7"/>
      <c r="U11" s="7"/>
      <c r="V11" s="7"/>
      <c r="W11" s="7"/>
      <c r="X11" s="7"/>
      <c r="Y11" s="7"/>
      <c r="Z11" s="7"/>
    </row>
    <row r="12">
      <c r="A12" s="4" t="s">
        <v>82</v>
      </c>
      <c r="B12" s="5" t="s">
        <v>25</v>
      </c>
      <c r="C12" s="5" t="s">
        <v>15</v>
      </c>
      <c r="D12" s="5" t="s">
        <v>83</v>
      </c>
      <c r="E12" s="5" t="s">
        <v>84</v>
      </c>
      <c r="F12" s="5" t="s">
        <v>85</v>
      </c>
      <c r="G12" s="5" t="s">
        <v>86</v>
      </c>
      <c r="H12" s="5" t="s">
        <v>85</v>
      </c>
      <c r="I12" s="5" t="s">
        <v>21</v>
      </c>
      <c r="J12" s="5" t="s">
        <v>20</v>
      </c>
      <c r="K12" s="5" t="s">
        <v>58</v>
      </c>
      <c r="L12" s="5" t="s">
        <v>23</v>
      </c>
      <c r="M12" s="7" t="str">
        <f t="shared" si="1"/>
        <v>OK</v>
      </c>
      <c r="N12" s="7"/>
      <c r="O12" s="7"/>
      <c r="P12" s="7"/>
      <c r="Q12" s="7"/>
      <c r="R12" s="7"/>
      <c r="S12" s="7"/>
      <c r="T12" s="7"/>
      <c r="U12" s="7"/>
      <c r="V12" s="7"/>
      <c r="W12" s="7"/>
      <c r="X12" s="7"/>
      <c r="Y12" s="7"/>
      <c r="Z12" s="7"/>
    </row>
    <row r="13">
      <c r="A13" s="4" t="s">
        <v>87</v>
      </c>
      <c r="B13" s="5" t="s">
        <v>25</v>
      </c>
      <c r="C13" s="5" t="s">
        <v>15</v>
      </c>
      <c r="D13" s="5" t="s">
        <v>88</v>
      </c>
      <c r="E13" s="5" t="s">
        <v>89</v>
      </c>
      <c r="F13" s="5" t="s">
        <v>90</v>
      </c>
      <c r="G13" s="5" t="s">
        <v>91</v>
      </c>
      <c r="H13" s="5" t="s">
        <v>89</v>
      </c>
      <c r="I13" s="5" t="s">
        <v>65</v>
      </c>
      <c r="J13" s="5" t="s">
        <v>31</v>
      </c>
      <c r="K13" s="5" t="s">
        <v>22</v>
      </c>
      <c r="L13" s="5" t="s">
        <v>46</v>
      </c>
      <c r="M13" s="7" t="str">
        <f t="shared" si="1"/>
        <v>OK</v>
      </c>
      <c r="N13" s="7"/>
      <c r="O13" s="7"/>
      <c r="P13" s="7"/>
      <c r="Q13" s="7"/>
      <c r="R13" s="7"/>
      <c r="S13" s="7"/>
      <c r="T13" s="7"/>
      <c r="U13" s="7"/>
      <c r="V13" s="7"/>
      <c r="W13" s="7"/>
      <c r="X13" s="7"/>
      <c r="Y13" s="7"/>
      <c r="Z13" s="7"/>
    </row>
    <row r="14">
      <c r="A14" s="4" t="s">
        <v>92</v>
      </c>
      <c r="B14" s="5" t="s">
        <v>14</v>
      </c>
      <c r="C14" s="5" t="s">
        <v>15</v>
      </c>
      <c r="D14" s="5" t="s">
        <v>93</v>
      </c>
      <c r="E14" s="6" t="s">
        <v>94</v>
      </c>
      <c r="F14" s="6" t="s">
        <v>95</v>
      </c>
      <c r="G14" s="6" t="s">
        <v>96</v>
      </c>
      <c r="H14" s="6" t="s">
        <v>94</v>
      </c>
      <c r="I14" s="5" t="s">
        <v>30</v>
      </c>
      <c r="J14" s="5" t="s">
        <v>20</v>
      </c>
      <c r="K14" s="5" t="s">
        <v>46</v>
      </c>
      <c r="L14" s="5" t="s">
        <v>57</v>
      </c>
      <c r="M14" s="7" t="str">
        <f t="shared" si="1"/>
        <v>OK</v>
      </c>
      <c r="N14" s="7"/>
      <c r="O14" s="7"/>
      <c r="P14" s="7"/>
      <c r="Q14" s="7"/>
      <c r="R14" s="7"/>
      <c r="S14" s="7"/>
      <c r="T14" s="7"/>
      <c r="U14" s="7"/>
      <c r="V14" s="7"/>
      <c r="W14" s="7"/>
      <c r="X14" s="7"/>
      <c r="Y14" s="7"/>
      <c r="Z14" s="7"/>
    </row>
    <row r="15">
      <c r="A15" s="4" t="s">
        <v>97</v>
      </c>
      <c r="B15" s="5" t="s">
        <v>25</v>
      </c>
      <c r="C15" s="5" t="s">
        <v>15</v>
      </c>
      <c r="D15" s="5" t="s">
        <v>98</v>
      </c>
      <c r="E15" s="5" t="s">
        <v>99</v>
      </c>
      <c r="F15" s="5" t="s">
        <v>100</v>
      </c>
      <c r="G15" s="5" t="s">
        <v>101</v>
      </c>
      <c r="H15" s="5" t="s">
        <v>99</v>
      </c>
      <c r="I15" s="5" t="s">
        <v>21</v>
      </c>
      <c r="J15" s="5" t="s">
        <v>37</v>
      </c>
      <c r="K15" s="5" t="s">
        <v>58</v>
      </c>
      <c r="L15" s="5" t="s">
        <v>39</v>
      </c>
      <c r="M15" s="7" t="str">
        <f t="shared" si="1"/>
        <v>OK</v>
      </c>
      <c r="N15" s="7"/>
      <c r="O15" s="7"/>
      <c r="P15" s="7"/>
      <c r="Q15" s="7"/>
      <c r="R15" s="7"/>
      <c r="S15" s="7"/>
      <c r="T15" s="7"/>
      <c r="U15" s="7"/>
      <c r="V15" s="7"/>
      <c r="W15" s="7"/>
      <c r="X15" s="7"/>
      <c r="Y15" s="7"/>
      <c r="Z15" s="7"/>
    </row>
    <row r="16">
      <c r="A16" s="4" t="s">
        <v>102</v>
      </c>
      <c r="B16" s="5" t="s">
        <v>25</v>
      </c>
      <c r="C16" s="5" t="s">
        <v>15</v>
      </c>
      <c r="D16" s="5" t="s">
        <v>103</v>
      </c>
      <c r="E16" s="5" t="s">
        <v>104</v>
      </c>
      <c r="F16" s="5" t="s">
        <v>105</v>
      </c>
      <c r="G16" s="5" t="s">
        <v>106</v>
      </c>
      <c r="H16" s="5" t="s">
        <v>104</v>
      </c>
      <c r="I16" s="5" t="s">
        <v>30</v>
      </c>
      <c r="J16" s="5" t="s">
        <v>20</v>
      </c>
      <c r="K16" s="5" t="s">
        <v>38</v>
      </c>
      <c r="L16" s="5" t="s">
        <v>46</v>
      </c>
      <c r="M16" s="7" t="str">
        <f t="shared" si="1"/>
        <v>OK</v>
      </c>
      <c r="N16" s="7"/>
      <c r="O16" s="7"/>
      <c r="P16" s="7"/>
      <c r="Q16" s="7"/>
      <c r="R16" s="7"/>
      <c r="S16" s="7"/>
      <c r="T16" s="7"/>
      <c r="U16" s="7"/>
      <c r="V16" s="7"/>
      <c r="W16" s="7"/>
      <c r="X16" s="7"/>
      <c r="Y16" s="7"/>
      <c r="Z16" s="7"/>
    </row>
    <row r="17">
      <c r="A17" s="4" t="s">
        <v>107</v>
      </c>
      <c r="B17" s="5" t="s">
        <v>25</v>
      </c>
      <c r="C17" s="5" t="s">
        <v>15</v>
      </c>
      <c r="D17" s="5" t="s">
        <v>108</v>
      </c>
      <c r="E17" s="5" t="s">
        <v>109</v>
      </c>
      <c r="F17" s="5" t="s">
        <v>110</v>
      </c>
      <c r="G17" s="5" t="s">
        <v>111</v>
      </c>
      <c r="H17" s="5" t="s">
        <v>110</v>
      </c>
      <c r="I17" s="5" t="s">
        <v>45</v>
      </c>
      <c r="J17" s="5" t="s">
        <v>21</v>
      </c>
      <c r="K17" s="5" t="s">
        <v>39</v>
      </c>
      <c r="L17" s="5" t="s">
        <v>58</v>
      </c>
      <c r="M17" s="7" t="str">
        <f t="shared" si="1"/>
        <v>OK</v>
      </c>
      <c r="N17" s="7"/>
      <c r="O17" s="7"/>
      <c r="P17" s="7"/>
      <c r="Q17" s="7"/>
      <c r="R17" s="7"/>
      <c r="S17" s="7"/>
      <c r="T17" s="7"/>
      <c r="U17" s="7"/>
      <c r="V17" s="7"/>
      <c r="W17" s="7"/>
      <c r="X17" s="7"/>
      <c r="Y17" s="7"/>
      <c r="Z17" s="7"/>
    </row>
    <row r="18">
      <c r="A18" s="4" t="s">
        <v>112</v>
      </c>
      <c r="B18" s="5" t="s">
        <v>25</v>
      </c>
      <c r="C18" s="5" t="s">
        <v>15</v>
      </c>
      <c r="D18" s="5" t="s">
        <v>113</v>
      </c>
      <c r="E18" s="5" t="s">
        <v>114</v>
      </c>
      <c r="F18" s="5" t="s">
        <v>115</v>
      </c>
      <c r="G18" s="5" t="s">
        <v>116</v>
      </c>
      <c r="H18" s="5" t="s">
        <v>116</v>
      </c>
      <c r="I18" s="5" t="s">
        <v>30</v>
      </c>
      <c r="J18" s="5" t="s">
        <v>37</v>
      </c>
      <c r="K18" s="5" t="s">
        <v>57</v>
      </c>
      <c r="L18" s="5" t="s">
        <v>39</v>
      </c>
      <c r="M18" s="7" t="str">
        <f t="shared" si="1"/>
        <v>OK</v>
      </c>
      <c r="N18" s="7"/>
      <c r="O18" s="7"/>
      <c r="P18" s="7"/>
      <c r="Q18" s="7"/>
      <c r="R18" s="7"/>
      <c r="S18" s="7"/>
      <c r="T18" s="7"/>
      <c r="U18" s="7"/>
      <c r="V18" s="7"/>
      <c r="W18" s="7"/>
      <c r="X18" s="7"/>
      <c r="Y18" s="7"/>
      <c r="Z18" s="7"/>
    </row>
    <row r="19">
      <c r="A19" s="4" t="s">
        <v>117</v>
      </c>
      <c r="B19" s="5" t="s">
        <v>25</v>
      </c>
      <c r="C19" s="5" t="s">
        <v>15</v>
      </c>
      <c r="D19" s="5" t="s">
        <v>118</v>
      </c>
      <c r="E19" s="5" t="s">
        <v>119</v>
      </c>
      <c r="F19" s="5" t="s">
        <v>120</v>
      </c>
      <c r="G19" s="5" t="s">
        <v>121</v>
      </c>
      <c r="H19" s="5" t="s">
        <v>120</v>
      </c>
      <c r="I19" s="5" t="s">
        <v>21</v>
      </c>
      <c r="J19" s="5" t="s">
        <v>31</v>
      </c>
      <c r="K19" s="5" t="s">
        <v>66</v>
      </c>
      <c r="L19" s="5" t="s">
        <v>58</v>
      </c>
      <c r="M19" s="7" t="str">
        <f t="shared" si="1"/>
        <v>OK</v>
      </c>
      <c r="N19" s="7"/>
      <c r="O19" s="7"/>
      <c r="P19" s="7"/>
      <c r="Q19" s="7"/>
      <c r="R19" s="7"/>
      <c r="S19" s="7"/>
      <c r="T19" s="7"/>
      <c r="U19" s="7"/>
      <c r="V19" s="7"/>
      <c r="W19" s="7"/>
      <c r="X19" s="7"/>
      <c r="Y19" s="7"/>
      <c r="Z19" s="7"/>
    </row>
    <row r="20">
      <c r="A20" s="4" t="s">
        <v>122</v>
      </c>
      <c r="B20" s="5" t="s">
        <v>25</v>
      </c>
      <c r="C20" s="5" t="s">
        <v>15</v>
      </c>
      <c r="D20" s="5" t="s">
        <v>123</v>
      </c>
      <c r="E20" s="5" t="s">
        <v>124</v>
      </c>
      <c r="F20" s="5" t="s">
        <v>125</v>
      </c>
      <c r="G20" s="5" t="s">
        <v>126</v>
      </c>
      <c r="H20" s="5" t="s">
        <v>126</v>
      </c>
      <c r="I20" s="5" t="s">
        <v>65</v>
      </c>
      <c r="J20" s="5" t="s">
        <v>20</v>
      </c>
      <c r="K20" s="5" t="s">
        <v>58</v>
      </c>
      <c r="L20" s="5" t="s">
        <v>46</v>
      </c>
      <c r="M20" s="7" t="str">
        <f t="shared" si="1"/>
        <v>OK</v>
      </c>
      <c r="N20" s="7"/>
      <c r="O20" s="7"/>
      <c r="P20" s="7"/>
      <c r="Q20" s="7"/>
      <c r="R20" s="7"/>
      <c r="S20" s="7"/>
      <c r="T20" s="7"/>
      <c r="U20" s="7"/>
      <c r="V20" s="7"/>
      <c r="W20" s="7"/>
      <c r="X20" s="7"/>
      <c r="Y20" s="7"/>
      <c r="Z20" s="7"/>
    </row>
    <row r="21" ht="15.75" customHeight="1">
      <c r="A21" s="4" t="s">
        <v>127</v>
      </c>
      <c r="B21" s="5" t="s">
        <v>25</v>
      </c>
      <c r="C21" s="5" t="s">
        <v>15</v>
      </c>
      <c r="D21" s="5" t="s">
        <v>128</v>
      </c>
      <c r="E21" s="5" t="s">
        <v>129</v>
      </c>
      <c r="F21" s="5" t="s">
        <v>130</v>
      </c>
      <c r="G21" s="5" t="s">
        <v>131</v>
      </c>
      <c r="H21" s="5" t="s">
        <v>130</v>
      </c>
      <c r="I21" s="5" t="s">
        <v>64</v>
      </c>
      <c r="J21" s="5" t="s">
        <v>31</v>
      </c>
      <c r="K21" s="5" t="s">
        <v>132</v>
      </c>
      <c r="L21" s="5" t="s">
        <v>22</v>
      </c>
      <c r="M21" s="7" t="str">
        <f t="shared" si="1"/>
        <v>OK</v>
      </c>
      <c r="N21" s="7"/>
      <c r="O21" s="7"/>
      <c r="P21" s="7"/>
      <c r="Q21" s="7"/>
      <c r="R21" s="7"/>
      <c r="S21" s="7"/>
      <c r="T21" s="7"/>
      <c r="U21" s="7"/>
      <c r="V21" s="7"/>
      <c r="W21" s="7"/>
      <c r="X21" s="7"/>
      <c r="Y21" s="7"/>
      <c r="Z21" s="7"/>
    </row>
    <row r="22" ht="15.75" customHeight="1">
      <c r="A22" s="4" t="s">
        <v>133</v>
      </c>
      <c r="B22" s="5" t="s">
        <v>25</v>
      </c>
      <c r="C22" s="5" t="s">
        <v>15</v>
      </c>
      <c r="D22" s="5" t="s">
        <v>134</v>
      </c>
      <c r="E22" s="5" t="s">
        <v>135</v>
      </c>
      <c r="F22" s="5" t="s">
        <v>136</v>
      </c>
      <c r="G22" s="5" t="s">
        <v>137</v>
      </c>
      <c r="H22" s="8" t="s">
        <v>137</v>
      </c>
      <c r="I22" s="5" t="s">
        <v>31</v>
      </c>
      <c r="J22" s="5" t="s">
        <v>37</v>
      </c>
      <c r="K22" s="5" t="s">
        <v>38</v>
      </c>
      <c r="L22" s="5" t="s">
        <v>58</v>
      </c>
      <c r="M22" s="7" t="str">
        <f t="shared" si="1"/>
        <v>OK</v>
      </c>
      <c r="N22" s="7"/>
      <c r="O22" s="7"/>
      <c r="P22" s="7"/>
      <c r="Q22" s="7"/>
      <c r="R22" s="7"/>
      <c r="S22" s="7"/>
      <c r="T22" s="7"/>
      <c r="U22" s="7"/>
      <c r="V22" s="7"/>
      <c r="W22" s="7"/>
      <c r="X22" s="7"/>
      <c r="Y22" s="7"/>
      <c r="Z22" s="7"/>
    </row>
    <row r="23" ht="15.75" customHeight="1">
      <c r="A23" s="4" t="s">
        <v>138</v>
      </c>
      <c r="B23" s="5" t="s">
        <v>25</v>
      </c>
      <c r="C23" s="5" t="s">
        <v>15</v>
      </c>
      <c r="D23" s="5" t="s">
        <v>139</v>
      </c>
      <c r="E23" s="5" t="s">
        <v>140</v>
      </c>
      <c r="F23" s="5" t="s">
        <v>141</v>
      </c>
      <c r="G23" s="5" t="s">
        <v>142</v>
      </c>
      <c r="H23" s="5" t="s">
        <v>140</v>
      </c>
      <c r="I23" s="5" t="s">
        <v>30</v>
      </c>
      <c r="J23" s="5" t="s">
        <v>31</v>
      </c>
      <c r="K23" s="5" t="s">
        <v>46</v>
      </c>
      <c r="L23" s="5" t="s">
        <v>66</v>
      </c>
      <c r="M23" s="7" t="str">
        <f t="shared" si="1"/>
        <v>OK</v>
      </c>
      <c r="N23" s="7"/>
      <c r="O23" s="7"/>
      <c r="P23" s="7"/>
      <c r="Q23" s="7"/>
      <c r="R23" s="7"/>
      <c r="S23" s="7"/>
      <c r="T23" s="7"/>
      <c r="U23" s="7"/>
      <c r="V23" s="7"/>
      <c r="W23" s="7"/>
      <c r="X23" s="7"/>
      <c r="Y23" s="7"/>
      <c r="Z23" s="7"/>
    </row>
    <row r="24" ht="15.75" customHeight="1">
      <c r="A24" s="4" t="s">
        <v>143</v>
      </c>
      <c r="B24" s="5" t="s">
        <v>25</v>
      </c>
      <c r="C24" s="5" t="s">
        <v>15</v>
      </c>
      <c r="D24" s="5" t="s">
        <v>144</v>
      </c>
      <c r="E24" s="5" t="s">
        <v>145</v>
      </c>
      <c r="F24" s="5" t="s">
        <v>146</v>
      </c>
      <c r="G24" s="5" t="s">
        <v>147</v>
      </c>
      <c r="H24" s="5" t="s">
        <v>146</v>
      </c>
      <c r="I24" s="5" t="s">
        <v>64</v>
      </c>
      <c r="J24" s="5" t="s">
        <v>65</v>
      </c>
      <c r="K24" s="5" t="s">
        <v>66</v>
      </c>
      <c r="L24" s="5" t="s">
        <v>58</v>
      </c>
      <c r="M24" s="7" t="str">
        <f t="shared" si="1"/>
        <v>OK</v>
      </c>
      <c r="N24" s="7"/>
      <c r="O24" s="7"/>
      <c r="P24" s="7"/>
      <c r="Q24" s="7"/>
      <c r="R24" s="7"/>
      <c r="S24" s="7"/>
      <c r="T24" s="7"/>
      <c r="U24" s="7"/>
      <c r="V24" s="7"/>
      <c r="W24" s="7"/>
      <c r="X24" s="7"/>
      <c r="Y24" s="7"/>
      <c r="Z24" s="7"/>
    </row>
    <row r="25" ht="15.75" customHeight="1">
      <c r="A25" s="4" t="s">
        <v>148</v>
      </c>
      <c r="B25" s="5" t="s">
        <v>14</v>
      </c>
      <c r="C25" s="5" t="s">
        <v>15</v>
      </c>
      <c r="D25" s="5" t="s">
        <v>149</v>
      </c>
      <c r="E25" s="6" t="s">
        <v>150</v>
      </c>
      <c r="F25" s="5" t="s">
        <v>151</v>
      </c>
      <c r="G25" s="6" t="s">
        <v>152</v>
      </c>
      <c r="H25" s="5" t="s">
        <v>151</v>
      </c>
      <c r="I25" s="5" t="s">
        <v>37</v>
      </c>
      <c r="J25" s="5" t="s">
        <v>21</v>
      </c>
      <c r="K25" s="5" t="s">
        <v>58</v>
      </c>
      <c r="L25" s="5" t="s">
        <v>132</v>
      </c>
      <c r="M25" s="7" t="str">
        <f t="shared" si="1"/>
        <v>OK</v>
      </c>
      <c r="N25" s="7"/>
      <c r="O25" s="7"/>
      <c r="P25" s="7"/>
      <c r="Q25" s="7"/>
      <c r="R25" s="7"/>
      <c r="S25" s="7"/>
      <c r="T25" s="7"/>
      <c r="U25" s="7"/>
      <c r="V25" s="7"/>
      <c r="W25" s="7"/>
      <c r="X25" s="7"/>
      <c r="Y25" s="7"/>
      <c r="Z25" s="7"/>
    </row>
    <row r="26" ht="15.75" customHeight="1">
      <c r="A26" s="4" t="s">
        <v>153</v>
      </c>
      <c r="B26" s="5" t="s">
        <v>25</v>
      </c>
      <c r="C26" s="5" t="s">
        <v>15</v>
      </c>
      <c r="D26" s="5" t="s">
        <v>154</v>
      </c>
      <c r="E26" s="5" t="s">
        <v>155</v>
      </c>
      <c r="F26" s="5" t="s">
        <v>156</v>
      </c>
      <c r="G26" s="5" t="s">
        <v>157</v>
      </c>
      <c r="H26" s="5" t="s">
        <v>155</v>
      </c>
      <c r="I26" s="5" t="s">
        <v>45</v>
      </c>
      <c r="J26" s="5" t="s">
        <v>21</v>
      </c>
      <c r="K26" s="5" t="s">
        <v>38</v>
      </c>
      <c r="L26" s="5" t="s">
        <v>39</v>
      </c>
      <c r="M26" s="7" t="str">
        <f t="shared" si="1"/>
        <v>OK</v>
      </c>
      <c r="N26" s="7"/>
      <c r="O26" s="7"/>
      <c r="P26" s="7"/>
      <c r="Q26" s="7"/>
      <c r="R26" s="7"/>
      <c r="S26" s="7"/>
      <c r="T26" s="7"/>
      <c r="U26" s="7"/>
      <c r="V26" s="7"/>
      <c r="W26" s="7"/>
      <c r="X26" s="7"/>
      <c r="Y26" s="7"/>
      <c r="Z26" s="7"/>
    </row>
    <row r="27" ht="15.75" customHeight="1">
      <c r="A27" s="4" t="s">
        <v>158</v>
      </c>
      <c r="B27" s="5" t="s">
        <v>14</v>
      </c>
      <c r="C27" s="5" t="s">
        <v>15</v>
      </c>
      <c r="D27" s="5" t="s">
        <v>159</v>
      </c>
      <c r="E27" s="6" t="s">
        <v>160</v>
      </c>
      <c r="F27" s="6" t="s">
        <v>161</v>
      </c>
      <c r="G27" s="6" t="s">
        <v>162</v>
      </c>
      <c r="H27" s="6" t="s">
        <v>161</v>
      </c>
      <c r="I27" s="5" t="s">
        <v>20</v>
      </c>
      <c r="J27" s="5" t="s">
        <v>37</v>
      </c>
      <c r="K27" s="5" t="s">
        <v>132</v>
      </c>
      <c r="L27" s="5" t="s">
        <v>58</v>
      </c>
      <c r="M27" s="7" t="str">
        <f t="shared" si="1"/>
        <v>OK</v>
      </c>
      <c r="N27" s="7"/>
      <c r="O27" s="7"/>
      <c r="P27" s="7"/>
      <c r="Q27" s="7"/>
      <c r="R27" s="7"/>
      <c r="S27" s="7"/>
      <c r="T27" s="7"/>
      <c r="U27" s="7"/>
      <c r="V27" s="7"/>
      <c r="W27" s="7"/>
      <c r="X27" s="7"/>
      <c r="Y27" s="7"/>
      <c r="Z27" s="7"/>
    </row>
    <row r="28" ht="15.75" customHeight="1">
      <c r="A28" s="4" t="s">
        <v>163</v>
      </c>
      <c r="B28" s="5" t="s">
        <v>25</v>
      </c>
      <c r="C28" s="5" t="s">
        <v>15</v>
      </c>
      <c r="D28" s="5" t="s">
        <v>164</v>
      </c>
      <c r="E28" s="5" t="s">
        <v>165</v>
      </c>
      <c r="F28" s="5" t="s">
        <v>166</v>
      </c>
      <c r="G28" s="5" t="s">
        <v>167</v>
      </c>
      <c r="H28" s="5" t="s">
        <v>167</v>
      </c>
      <c r="I28" s="5" t="s">
        <v>30</v>
      </c>
      <c r="J28" s="5" t="s">
        <v>45</v>
      </c>
      <c r="K28" s="5" t="s">
        <v>38</v>
      </c>
      <c r="L28" s="5" t="s">
        <v>46</v>
      </c>
      <c r="M28" s="7" t="str">
        <f t="shared" si="1"/>
        <v>OK</v>
      </c>
      <c r="N28" s="7"/>
      <c r="O28" s="7"/>
      <c r="P28" s="7"/>
      <c r="Q28" s="7"/>
      <c r="R28" s="7"/>
      <c r="S28" s="7"/>
      <c r="T28" s="7"/>
      <c r="U28" s="7"/>
      <c r="V28" s="7"/>
      <c r="W28" s="7"/>
      <c r="X28" s="7"/>
      <c r="Y28" s="7"/>
      <c r="Z28" s="7"/>
    </row>
    <row r="29" ht="15.75" customHeight="1">
      <c r="A29" s="4" t="s">
        <v>168</v>
      </c>
      <c r="B29" s="5" t="s">
        <v>25</v>
      </c>
      <c r="C29" s="5" t="s">
        <v>15</v>
      </c>
      <c r="D29" s="5" t="s">
        <v>169</v>
      </c>
      <c r="E29" s="5" t="s">
        <v>170</v>
      </c>
      <c r="F29" s="5" t="s">
        <v>171</v>
      </c>
      <c r="G29" s="5" t="s">
        <v>172</v>
      </c>
      <c r="H29" s="5" t="s">
        <v>170</v>
      </c>
      <c r="I29" s="5" t="s">
        <v>30</v>
      </c>
      <c r="J29" s="5" t="s">
        <v>20</v>
      </c>
      <c r="K29" s="5" t="s">
        <v>46</v>
      </c>
      <c r="L29" s="5" t="s">
        <v>39</v>
      </c>
      <c r="M29" s="7" t="str">
        <f t="shared" si="1"/>
        <v>OK</v>
      </c>
      <c r="N29" s="7"/>
      <c r="O29" s="7"/>
      <c r="P29" s="7"/>
      <c r="Q29" s="7"/>
      <c r="R29" s="7"/>
      <c r="S29" s="7"/>
      <c r="T29" s="7"/>
      <c r="U29" s="7"/>
      <c r="V29" s="7"/>
      <c r="W29" s="7"/>
      <c r="X29" s="7"/>
      <c r="Y29" s="7"/>
      <c r="Z29" s="7"/>
    </row>
    <row r="30" ht="15.75" customHeight="1">
      <c r="A30" s="4" t="s">
        <v>173</v>
      </c>
      <c r="B30" s="5" t="s">
        <v>25</v>
      </c>
      <c r="C30" s="5" t="s">
        <v>15</v>
      </c>
      <c r="D30" s="5" t="s">
        <v>174</v>
      </c>
      <c r="E30" s="5" t="s">
        <v>175</v>
      </c>
      <c r="F30" s="5" t="s">
        <v>176</v>
      </c>
      <c r="G30" s="5" t="s">
        <v>177</v>
      </c>
      <c r="H30" s="5" t="s">
        <v>177</v>
      </c>
      <c r="I30" s="5" t="s">
        <v>30</v>
      </c>
      <c r="J30" s="5" t="s">
        <v>21</v>
      </c>
      <c r="K30" s="5" t="s">
        <v>46</v>
      </c>
      <c r="L30" s="5" t="s">
        <v>22</v>
      </c>
      <c r="M30" s="7" t="str">
        <f t="shared" si="1"/>
        <v>OK</v>
      </c>
      <c r="N30" s="7"/>
      <c r="O30" s="7"/>
      <c r="P30" s="7"/>
      <c r="Q30" s="7"/>
      <c r="R30" s="7"/>
      <c r="S30" s="7"/>
      <c r="T30" s="7"/>
      <c r="U30" s="7"/>
      <c r="V30" s="7"/>
      <c r="W30" s="7"/>
      <c r="X30" s="7"/>
      <c r="Y30" s="7"/>
      <c r="Z30" s="7"/>
    </row>
    <row r="31" ht="15.75" customHeight="1">
      <c r="A31" s="4" t="s">
        <v>178</v>
      </c>
      <c r="B31" s="5" t="s">
        <v>25</v>
      </c>
      <c r="C31" s="5" t="s">
        <v>15</v>
      </c>
      <c r="D31" s="5" t="s">
        <v>179</v>
      </c>
      <c r="E31" s="5" t="s">
        <v>180</v>
      </c>
      <c r="F31" s="5" t="s">
        <v>181</v>
      </c>
      <c r="G31" s="5" t="s">
        <v>182</v>
      </c>
      <c r="H31" s="5" t="s">
        <v>180</v>
      </c>
      <c r="I31" s="5" t="s">
        <v>30</v>
      </c>
      <c r="J31" s="5" t="s">
        <v>31</v>
      </c>
      <c r="K31" s="5" t="s">
        <v>22</v>
      </c>
      <c r="L31" s="5" t="s">
        <v>39</v>
      </c>
      <c r="M31" s="7" t="str">
        <f t="shared" si="1"/>
        <v>OK</v>
      </c>
      <c r="N31" s="7"/>
      <c r="O31" s="7"/>
      <c r="P31" s="7"/>
      <c r="Q31" s="7"/>
      <c r="R31" s="7"/>
      <c r="S31" s="7"/>
      <c r="T31" s="7"/>
      <c r="U31" s="7"/>
      <c r="V31" s="7"/>
      <c r="W31" s="7"/>
      <c r="X31" s="7"/>
      <c r="Y31" s="7"/>
      <c r="Z31" s="7"/>
    </row>
    <row r="32" ht="15.75" customHeight="1">
      <c r="A32" s="4" t="s">
        <v>183</v>
      </c>
      <c r="B32" s="5" t="s">
        <v>14</v>
      </c>
      <c r="C32" s="5" t="s">
        <v>15</v>
      </c>
      <c r="D32" s="5" t="s">
        <v>184</v>
      </c>
      <c r="E32" s="5" t="s">
        <v>185</v>
      </c>
      <c r="F32" s="5" t="s">
        <v>186</v>
      </c>
      <c r="G32" s="5" t="s">
        <v>187</v>
      </c>
      <c r="H32" s="5" t="s">
        <v>187</v>
      </c>
      <c r="I32" s="5" t="s">
        <v>30</v>
      </c>
      <c r="J32" s="5" t="s">
        <v>31</v>
      </c>
      <c r="K32" s="5" t="s">
        <v>132</v>
      </c>
      <c r="L32" s="5" t="s">
        <v>22</v>
      </c>
      <c r="M32" s="7" t="str">
        <f t="shared" si="1"/>
        <v>OK</v>
      </c>
      <c r="N32" s="7"/>
      <c r="O32" s="7"/>
      <c r="P32" s="7"/>
      <c r="Q32" s="7"/>
      <c r="R32" s="7"/>
      <c r="S32" s="7"/>
      <c r="T32" s="7"/>
      <c r="U32" s="7"/>
      <c r="V32" s="7"/>
      <c r="W32" s="7"/>
      <c r="X32" s="7"/>
      <c r="Y32" s="7"/>
      <c r="Z32" s="7"/>
    </row>
    <row r="33" ht="15.75" customHeight="1">
      <c r="A33" s="4" t="s">
        <v>188</v>
      </c>
      <c r="B33" s="5" t="s">
        <v>25</v>
      </c>
      <c r="C33" s="5" t="s">
        <v>15</v>
      </c>
      <c r="D33" s="4" t="s">
        <v>189</v>
      </c>
      <c r="E33" s="4" t="s">
        <v>190</v>
      </c>
      <c r="F33" s="4" t="s">
        <v>191</v>
      </c>
      <c r="G33" s="4" t="s">
        <v>192</v>
      </c>
      <c r="H33" s="5" t="s">
        <v>191</v>
      </c>
      <c r="I33" s="5" t="s">
        <v>37</v>
      </c>
      <c r="J33" s="5" t="s">
        <v>20</v>
      </c>
      <c r="K33" s="5" t="s">
        <v>39</v>
      </c>
      <c r="L33" s="5" t="s">
        <v>46</v>
      </c>
      <c r="M33" s="7" t="str">
        <f t="shared" si="1"/>
        <v>OK</v>
      </c>
      <c r="N33" s="7"/>
      <c r="O33" s="7"/>
      <c r="P33" s="7"/>
      <c r="Q33" s="7"/>
      <c r="R33" s="7"/>
      <c r="S33" s="7"/>
      <c r="T33" s="7"/>
      <c r="U33" s="7"/>
      <c r="V33" s="7"/>
      <c r="W33" s="7"/>
      <c r="X33" s="7"/>
      <c r="Y33" s="7"/>
      <c r="Z33" s="7"/>
    </row>
    <row r="34" ht="15.75" customHeight="1">
      <c r="A34" s="4" t="s">
        <v>193</v>
      </c>
      <c r="B34" s="5" t="s">
        <v>25</v>
      </c>
      <c r="C34" s="5" t="s">
        <v>15</v>
      </c>
      <c r="D34" s="5" t="s">
        <v>194</v>
      </c>
      <c r="E34" s="5" t="s">
        <v>195</v>
      </c>
      <c r="F34" s="5" t="s">
        <v>196</v>
      </c>
      <c r="G34" s="5" t="s">
        <v>197</v>
      </c>
      <c r="H34" s="5" t="s">
        <v>197</v>
      </c>
      <c r="I34" s="5" t="s">
        <v>45</v>
      </c>
      <c r="J34" s="5" t="s">
        <v>31</v>
      </c>
      <c r="K34" s="5" t="s">
        <v>39</v>
      </c>
      <c r="L34" s="5" t="s">
        <v>46</v>
      </c>
      <c r="M34" s="7" t="str">
        <f t="shared" si="1"/>
        <v>OK</v>
      </c>
      <c r="N34" s="7"/>
      <c r="O34" s="7"/>
      <c r="P34" s="7"/>
      <c r="Q34" s="7"/>
      <c r="R34" s="7"/>
      <c r="S34" s="7"/>
      <c r="T34" s="7"/>
      <c r="U34" s="7"/>
      <c r="V34" s="7"/>
      <c r="W34" s="7"/>
      <c r="X34" s="7"/>
      <c r="Y34" s="7"/>
      <c r="Z34" s="7"/>
    </row>
    <row r="35" ht="15.75" customHeight="1">
      <c r="A35" s="4" t="s">
        <v>198</v>
      </c>
      <c r="B35" s="5" t="s">
        <v>25</v>
      </c>
      <c r="C35" s="5" t="s">
        <v>15</v>
      </c>
      <c r="D35" s="5" t="s">
        <v>199</v>
      </c>
      <c r="E35" s="5" t="s">
        <v>200</v>
      </c>
      <c r="F35" s="5" t="s">
        <v>201</v>
      </c>
      <c r="G35" s="5" t="s">
        <v>202</v>
      </c>
      <c r="H35" s="5" t="s">
        <v>202</v>
      </c>
      <c r="I35" s="5" t="s">
        <v>64</v>
      </c>
      <c r="J35" s="5" t="s">
        <v>31</v>
      </c>
      <c r="K35" s="5" t="s">
        <v>39</v>
      </c>
      <c r="L35" s="5" t="s">
        <v>22</v>
      </c>
      <c r="M35" s="7" t="str">
        <f t="shared" si="1"/>
        <v>OK</v>
      </c>
      <c r="N35" s="7"/>
      <c r="O35" s="7"/>
      <c r="P35" s="7"/>
      <c r="Q35" s="7"/>
      <c r="R35" s="7"/>
      <c r="S35" s="7"/>
      <c r="T35" s="7"/>
      <c r="U35" s="7"/>
      <c r="V35" s="7"/>
      <c r="W35" s="7"/>
      <c r="X35" s="7"/>
      <c r="Y35" s="7"/>
      <c r="Z35" s="7"/>
    </row>
    <row r="36" ht="15.75" customHeight="1">
      <c r="A36" s="4" t="s">
        <v>203</v>
      </c>
      <c r="B36" s="5" t="s">
        <v>25</v>
      </c>
      <c r="C36" s="5" t="s">
        <v>15</v>
      </c>
      <c r="D36" s="5" t="s">
        <v>204</v>
      </c>
      <c r="E36" s="5" t="s">
        <v>205</v>
      </c>
      <c r="F36" s="5" t="s">
        <v>206</v>
      </c>
      <c r="G36" s="5" t="s">
        <v>207</v>
      </c>
      <c r="H36" s="5" t="s">
        <v>205</v>
      </c>
      <c r="I36" s="5" t="s">
        <v>65</v>
      </c>
      <c r="J36" s="5" t="s">
        <v>20</v>
      </c>
      <c r="K36" s="5" t="s">
        <v>57</v>
      </c>
      <c r="L36" s="5" t="s">
        <v>46</v>
      </c>
      <c r="M36" s="7" t="str">
        <f t="shared" si="1"/>
        <v>OK</v>
      </c>
      <c r="N36" s="7"/>
      <c r="O36" s="7"/>
      <c r="P36" s="7"/>
      <c r="Q36" s="7"/>
      <c r="R36" s="7"/>
      <c r="S36" s="7"/>
      <c r="T36" s="7"/>
      <c r="U36" s="7"/>
      <c r="V36" s="7"/>
      <c r="W36" s="7"/>
      <c r="X36" s="7"/>
      <c r="Y36" s="7"/>
      <c r="Z36" s="7"/>
    </row>
    <row r="37" ht="15.75" customHeight="1">
      <c r="A37" s="4" t="s">
        <v>208</v>
      </c>
      <c r="B37" s="5" t="s">
        <v>25</v>
      </c>
      <c r="C37" s="5" t="s">
        <v>15</v>
      </c>
      <c r="D37" s="5" t="s">
        <v>209</v>
      </c>
      <c r="E37" s="5" t="s">
        <v>210</v>
      </c>
      <c r="F37" s="5" t="s">
        <v>211</v>
      </c>
      <c r="G37" s="5" t="s">
        <v>212</v>
      </c>
      <c r="H37" s="5" t="s">
        <v>212</v>
      </c>
      <c r="I37" s="5" t="s">
        <v>37</v>
      </c>
      <c r="J37" s="5" t="s">
        <v>31</v>
      </c>
      <c r="K37" s="5" t="s">
        <v>66</v>
      </c>
      <c r="L37" s="5" t="s">
        <v>58</v>
      </c>
      <c r="M37" s="7" t="str">
        <f t="shared" si="1"/>
        <v>OK</v>
      </c>
      <c r="N37" s="7"/>
      <c r="O37" s="7"/>
      <c r="P37" s="7"/>
      <c r="Q37" s="7"/>
      <c r="R37" s="7"/>
      <c r="S37" s="7"/>
      <c r="T37" s="7"/>
      <c r="U37" s="7"/>
      <c r="V37" s="7"/>
      <c r="W37" s="7"/>
      <c r="X37" s="7"/>
      <c r="Y37" s="7"/>
      <c r="Z37" s="7"/>
    </row>
    <row r="38" ht="15.75" customHeight="1">
      <c r="A38" s="4" t="s">
        <v>213</v>
      </c>
      <c r="B38" s="5" t="s">
        <v>25</v>
      </c>
      <c r="C38" s="5" t="s">
        <v>15</v>
      </c>
      <c r="D38" s="5" t="s">
        <v>214</v>
      </c>
      <c r="E38" s="5" t="s">
        <v>215</v>
      </c>
      <c r="F38" s="5" t="s">
        <v>216</v>
      </c>
      <c r="G38" s="5" t="s">
        <v>217</v>
      </c>
      <c r="H38" s="5" t="s">
        <v>216</v>
      </c>
      <c r="I38" s="5" t="s">
        <v>65</v>
      </c>
      <c r="J38" s="5" t="s">
        <v>20</v>
      </c>
      <c r="K38" s="5" t="s">
        <v>66</v>
      </c>
      <c r="L38" s="5" t="s">
        <v>58</v>
      </c>
      <c r="M38" s="7" t="str">
        <f t="shared" si="1"/>
        <v>OK</v>
      </c>
      <c r="N38" s="7"/>
      <c r="O38" s="7"/>
      <c r="P38" s="7"/>
      <c r="Q38" s="7"/>
      <c r="R38" s="7"/>
      <c r="S38" s="7"/>
      <c r="T38" s="7"/>
      <c r="U38" s="7"/>
      <c r="V38" s="7"/>
      <c r="W38" s="7"/>
      <c r="X38" s="7"/>
      <c r="Y38" s="7"/>
      <c r="Z38" s="7"/>
    </row>
    <row r="39" ht="15.75" customHeight="1">
      <c r="A39" s="4" t="s">
        <v>218</v>
      </c>
      <c r="B39" s="5" t="s">
        <v>25</v>
      </c>
      <c r="C39" s="5" t="s">
        <v>15</v>
      </c>
      <c r="D39" s="5" t="s">
        <v>219</v>
      </c>
      <c r="E39" s="5" t="s">
        <v>220</v>
      </c>
      <c r="F39" s="5" t="s">
        <v>221</v>
      </c>
      <c r="G39" s="5" t="s">
        <v>222</v>
      </c>
      <c r="H39" s="5" t="s">
        <v>221</v>
      </c>
      <c r="I39" s="5" t="s">
        <v>30</v>
      </c>
      <c r="J39" s="5" t="s">
        <v>21</v>
      </c>
      <c r="K39" s="5" t="s">
        <v>46</v>
      </c>
      <c r="L39" s="5" t="s">
        <v>22</v>
      </c>
      <c r="M39" s="7" t="str">
        <f t="shared" si="1"/>
        <v>OK</v>
      </c>
      <c r="N39" s="7"/>
      <c r="O39" s="7"/>
      <c r="P39" s="7"/>
      <c r="Q39" s="7"/>
      <c r="R39" s="7"/>
      <c r="S39" s="7"/>
      <c r="T39" s="7"/>
      <c r="U39" s="7"/>
      <c r="V39" s="7"/>
      <c r="W39" s="7"/>
      <c r="X39" s="7"/>
      <c r="Y39" s="7"/>
      <c r="Z39" s="7"/>
    </row>
    <row r="40" ht="15.75" customHeight="1">
      <c r="A40" s="4" t="s">
        <v>223</v>
      </c>
      <c r="B40" s="5" t="s">
        <v>14</v>
      </c>
      <c r="C40" s="5" t="s">
        <v>15</v>
      </c>
      <c r="D40" s="5" t="s">
        <v>224</v>
      </c>
      <c r="E40" s="5" t="s">
        <v>225</v>
      </c>
      <c r="F40" s="5" t="s">
        <v>226</v>
      </c>
      <c r="G40" s="5" t="s">
        <v>227</v>
      </c>
      <c r="H40" s="5" t="s">
        <v>227</v>
      </c>
      <c r="I40" s="5" t="s">
        <v>37</v>
      </c>
      <c r="J40" s="5" t="s">
        <v>45</v>
      </c>
      <c r="K40" s="5" t="s">
        <v>23</v>
      </c>
      <c r="L40" s="5" t="s">
        <v>46</v>
      </c>
      <c r="M40" s="7"/>
      <c r="N40" s="7"/>
      <c r="O40" s="7"/>
      <c r="P40" s="7"/>
      <c r="Q40" s="7"/>
      <c r="R40" s="7"/>
      <c r="S40" s="7"/>
      <c r="T40" s="7"/>
      <c r="U40" s="7"/>
      <c r="V40" s="7"/>
      <c r="W40" s="7"/>
      <c r="X40" s="7"/>
      <c r="Y40" s="7"/>
      <c r="Z40" s="7"/>
    </row>
    <row r="41" ht="15.75" customHeight="1">
      <c r="A41" s="4" t="s">
        <v>228</v>
      </c>
      <c r="B41" s="5" t="s">
        <v>25</v>
      </c>
      <c r="C41" s="5" t="s">
        <v>15</v>
      </c>
      <c r="D41" s="5" t="s">
        <v>229</v>
      </c>
      <c r="E41" s="5" t="s">
        <v>230</v>
      </c>
      <c r="F41" s="5" t="s">
        <v>231</v>
      </c>
      <c r="G41" s="5" t="s">
        <v>232</v>
      </c>
      <c r="H41" s="5" t="s">
        <v>230</v>
      </c>
      <c r="I41" s="5" t="s">
        <v>21</v>
      </c>
      <c r="J41" s="5" t="s">
        <v>37</v>
      </c>
      <c r="K41" s="5" t="s">
        <v>46</v>
      </c>
      <c r="L41" s="5" t="s">
        <v>58</v>
      </c>
      <c r="M41" s="7" t="str">
        <f t="shared" ref="M41:M175" si="2">IF(COUNTIF($A$2:A41, A41)&gt;1, "Dublet", "OK")</f>
        <v>OK</v>
      </c>
      <c r="N41" s="7"/>
      <c r="O41" s="7"/>
      <c r="P41" s="7"/>
      <c r="Q41" s="7"/>
      <c r="R41" s="7"/>
      <c r="S41" s="7"/>
      <c r="T41" s="7"/>
      <c r="U41" s="7"/>
      <c r="V41" s="7"/>
      <c r="W41" s="7"/>
      <c r="X41" s="7"/>
      <c r="Y41" s="7"/>
      <c r="Z41" s="7"/>
    </row>
    <row r="42" ht="15.75" customHeight="1">
      <c r="A42" s="4" t="s">
        <v>233</v>
      </c>
      <c r="B42" s="5" t="s">
        <v>25</v>
      </c>
      <c r="C42" s="5" t="s">
        <v>15</v>
      </c>
      <c r="D42" s="5" t="s">
        <v>234</v>
      </c>
      <c r="E42" s="5" t="s">
        <v>235</v>
      </c>
      <c r="F42" s="5" t="s">
        <v>236</v>
      </c>
      <c r="G42" s="5" t="s">
        <v>237</v>
      </c>
      <c r="H42" s="5" t="s">
        <v>238</v>
      </c>
      <c r="I42" s="5" t="s">
        <v>31</v>
      </c>
      <c r="J42" s="5" t="s">
        <v>20</v>
      </c>
      <c r="K42" s="5" t="s">
        <v>57</v>
      </c>
      <c r="L42" s="5" t="s">
        <v>46</v>
      </c>
      <c r="M42" s="7" t="str">
        <f t="shared" si="2"/>
        <v>OK</v>
      </c>
      <c r="N42" s="7"/>
      <c r="O42" s="7"/>
      <c r="P42" s="7"/>
      <c r="Q42" s="7"/>
      <c r="R42" s="7"/>
      <c r="S42" s="7"/>
      <c r="T42" s="7"/>
      <c r="U42" s="7"/>
      <c r="V42" s="7"/>
      <c r="W42" s="7"/>
      <c r="X42" s="7"/>
      <c r="Y42" s="7"/>
      <c r="Z42" s="7"/>
    </row>
    <row r="43" ht="15.75" customHeight="1">
      <c r="A43" s="4" t="s">
        <v>239</v>
      </c>
      <c r="B43" s="5" t="s">
        <v>25</v>
      </c>
      <c r="C43" s="5" t="s">
        <v>15</v>
      </c>
      <c r="D43" s="5" t="s">
        <v>240</v>
      </c>
      <c r="E43" s="5" t="s">
        <v>241</v>
      </c>
      <c r="F43" s="5" t="s">
        <v>242</v>
      </c>
      <c r="G43" s="5" t="s">
        <v>243</v>
      </c>
      <c r="H43" s="5" t="s">
        <v>243</v>
      </c>
      <c r="I43" s="5" t="s">
        <v>20</v>
      </c>
      <c r="J43" s="5" t="s">
        <v>21</v>
      </c>
      <c r="K43" s="5" t="s">
        <v>22</v>
      </c>
      <c r="L43" s="5" t="s">
        <v>39</v>
      </c>
      <c r="M43" s="7" t="str">
        <f t="shared" si="2"/>
        <v>OK</v>
      </c>
      <c r="N43" s="7"/>
      <c r="O43" s="7"/>
      <c r="P43" s="7"/>
      <c r="Q43" s="7"/>
      <c r="R43" s="7"/>
      <c r="S43" s="7"/>
      <c r="T43" s="7"/>
      <c r="U43" s="7"/>
      <c r="V43" s="7"/>
      <c r="W43" s="7"/>
      <c r="X43" s="7"/>
      <c r="Y43" s="7"/>
      <c r="Z43" s="7"/>
    </row>
    <row r="44" ht="15.75" customHeight="1">
      <c r="A44" s="4" t="s">
        <v>244</v>
      </c>
      <c r="B44" s="5" t="s">
        <v>25</v>
      </c>
      <c r="C44" s="5" t="s">
        <v>15</v>
      </c>
      <c r="D44" s="5" t="s">
        <v>245</v>
      </c>
      <c r="E44" s="5" t="s">
        <v>246</v>
      </c>
      <c r="F44" s="5" t="s">
        <v>247</v>
      </c>
      <c r="G44" s="5" t="s">
        <v>248</v>
      </c>
      <c r="H44" s="5" t="s">
        <v>248</v>
      </c>
      <c r="I44" s="5" t="s">
        <v>31</v>
      </c>
      <c r="J44" s="5" t="s">
        <v>45</v>
      </c>
      <c r="K44" s="5" t="s">
        <v>46</v>
      </c>
      <c r="L44" s="5" t="s">
        <v>23</v>
      </c>
      <c r="M44" s="7" t="str">
        <f t="shared" si="2"/>
        <v>OK</v>
      </c>
      <c r="N44" s="7"/>
      <c r="O44" s="7"/>
      <c r="P44" s="7"/>
      <c r="Q44" s="7"/>
      <c r="R44" s="7"/>
      <c r="S44" s="7"/>
      <c r="T44" s="7"/>
      <c r="U44" s="7"/>
      <c r="V44" s="7"/>
      <c r="W44" s="7"/>
      <c r="X44" s="7"/>
      <c r="Y44" s="7"/>
      <c r="Z44" s="7"/>
    </row>
    <row r="45" ht="15.75" customHeight="1">
      <c r="A45" s="9" t="s">
        <v>249</v>
      </c>
      <c r="B45" s="5" t="s">
        <v>14</v>
      </c>
      <c r="C45" s="5" t="s">
        <v>15</v>
      </c>
      <c r="D45" s="5" t="s">
        <v>250</v>
      </c>
      <c r="E45" s="6" t="s">
        <v>251</v>
      </c>
      <c r="F45" s="6" t="s">
        <v>252</v>
      </c>
      <c r="G45" s="5" t="s">
        <v>253</v>
      </c>
      <c r="H45" s="5" t="s">
        <v>253</v>
      </c>
      <c r="I45" s="5" t="s">
        <v>21</v>
      </c>
      <c r="J45" s="5" t="s">
        <v>65</v>
      </c>
      <c r="K45" s="5" t="s">
        <v>132</v>
      </c>
      <c r="L45" s="5" t="s">
        <v>58</v>
      </c>
      <c r="M45" s="7" t="str">
        <f t="shared" si="2"/>
        <v>OK</v>
      </c>
      <c r="N45" s="7"/>
      <c r="O45" s="7"/>
      <c r="P45" s="7"/>
      <c r="Q45" s="7"/>
      <c r="R45" s="7"/>
      <c r="S45" s="7"/>
      <c r="T45" s="7"/>
      <c r="U45" s="7"/>
      <c r="V45" s="7"/>
      <c r="W45" s="7"/>
      <c r="X45" s="7"/>
      <c r="Y45" s="7"/>
      <c r="Z45" s="7"/>
    </row>
    <row r="46" ht="15.75" customHeight="1">
      <c r="A46" s="4" t="s">
        <v>254</v>
      </c>
      <c r="B46" s="5" t="s">
        <v>25</v>
      </c>
      <c r="C46" s="5" t="s">
        <v>15</v>
      </c>
      <c r="D46" s="5" t="s">
        <v>255</v>
      </c>
      <c r="E46" s="5" t="s">
        <v>256</v>
      </c>
      <c r="F46" s="5" t="s">
        <v>257</v>
      </c>
      <c r="G46" s="5" t="s">
        <v>258</v>
      </c>
      <c r="H46" s="5" t="s">
        <v>257</v>
      </c>
      <c r="I46" s="5" t="s">
        <v>21</v>
      </c>
      <c r="J46" s="5" t="s">
        <v>20</v>
      </c>
      <c r="K46" s="5" t="s">
        <v>57</v>
      </c>
      <c r="L46" s="5" t="s">
        <v>23</v>
      </c>
      <c r="M46" s="7" t="str">
        <f t="shared" si="2"/>
        <v>OK</v>
      </c>
      <c r="N46" s="7"/>
      <c r="O46" s="7"/>
      <c r="P46" s="7"/>
      <c r="Q46" s="7"/>
      <c r="R46" s="7"/>
      <c r="S46" s="7"/>
      <c r="T46" s="7"/>
      <c r="U46" s="7"/>
      <c r="V46" s="7"/>
      <c r="W46" s="7"/>
      <c r="X46" s="7"/>
      <c r="Y46" s="7"/>
      <c r="Z46" s="7"/>
    </row>
    <row r="47" ht="15.75" customHeight="1">
      <c r="A47" s="4" t="s">
        <v>259</v>
      </c>
      <c r="B47" s="5" t="s">
        <v>25</v>
      </c>
      <c r="C47" s="5" t="s">
        <v>15</v>
      </c>
      <c r="D47" s="5" t="s">
        <v>260</v>
      </c>
      <c r="E47" s="5" t="s">
        <v>261</v>
      </c>
      <c r="F47" s="5" t="s">
        <v>262</v>
      </c>
      <c r="G47" s="5" t="s">
        <v>263</v>
      </c>
      <c r="H47" s="5" t="s">
        <v>263</v>
      </c>
      <c r="I47" s="5" t="s">
        <v>30</v>
      </c>
      <c r="J47" s="5" t="s">
        <v>31</v>
      </c>
      <c r="K47" s="5" t="s">
        <v>38</v>
      </c>
      <c r="L47" s="5" t="s">
        <v>132</v>
      </c>
      <c r="M47" s="7" t="str">
        <f t="shared" si="2"/>
        <v>OK</v>
      </c>
      <c r="N47" s="7"/>
      <c r="O47" s="7"/>
      <c r="P47" s="7"/>
      <c r="Q47" s="7"/>
      <c r="R47" s="7"/>
      <c r="S47" s="7"/>
      <c r="T47" s="7"/>
      <c r="U47" s="7"/>
      <c r="V47" s="7"/>
      <c r="W47" s="7"/>
      <c r="X47" s="7"/>
      <c r="Y47" s="7"/>
      <c r="Z47" s="7"/>
    </row>
    <row r="48" ht="15.75" customHeight="1">
      <c r="A48" s="4" t="s">
        <v>264</v>
      </c>
      <c r="B48" s="5" t="s">
        <v>14</v>
      </c>
      <c r="C48" s="5" t="s">
        <v>15</v>
      </c>
      <c r="D48" s="5" t="s">
        <v>265</v>
      </c>
      <c r="E48" s="6" t="s">
        <v>266</v>
      </c>
      <c r="F48" s="6" t="s">
        <v>267</v>
      </c>
      <c r="G48" s="6" t="s">
        <v>268</v>
      </c>
      <c r="H48" s="6" t="s">
        <v>267</v>
      </c>
      <c r="I48" s="5" t="s">
        <v>30</v>
      </c>
      <c r="J48" s="5" t="s">
        <v>21</v>
      </c>
      <c r="K48" s="5" t="s">
        <v>58</v>
      </c>
      <c r="L48" s="5" t="s">
        <v>39</v>
      </c>
      <c r="M48" s="7" t="str">
        <f t="shared" si="2"/>
        <v>OK</v>
      </c>
      <c r="N48" s="7"/>
      <c r="O48" s="7"/>
      <c r="P48" s="7"/>
      <c r="Q48" s="7"/>
      <c r="R48" s="7"/>
      <c r="S48" s="7"/>
      <c r="T48" s="7"/>
      <c r="U48" s="7"/>
      <c r="V48" s="7"/>
      <c r="W48" s="7"/>
      <c r="X48" s="7"/>
      <c r="Y48" s="7"/>
      <c r="Z48" s="7"/>
    </row>
    <row r="49" ht="15.75" customHeight="1">
      <c r="A49" s="4" t="s">
        <v>269</v>
      </c>
      <c r="B49" s="5" t="s">
        <v>14</v>
      </c>
      <c r="C49" s="5" t="s">
        <v>15</v>
      </c>
      <c r="D49" s="5" t="s">
        <v>270</v>
      </c>
      <c r="E49" s="5" t="s">
        <v>271</v>
      </c>
      <c r="F49" s="5" t="s">
        <v>272</v>
      </c>
      <c r="G49" s="5" t="s">
        <v>273</v>
      </c>
      <c r="H49" s="5" t="s">
        <v>273</v>
      </c>
      <c r="I49" s="5" t="s">
        <v>30</v>
      </c>
      <c r="J49" s="5" t="s">
        <v>65</v>
      </c>
      <c r="K49" s="5" t="s">
        <v>57</v>
      </c>
      <c r="L49" s="5" t="s">
        <v>22</v>
      </c>
      <c r="M49" s="7" t="str">
        <f t="shared" si="2"/>
        <v>OK</v>
      </c>
      <c r="N49" s="7"/>
      <c r="O49" s="7"/>
      <c r="P49" s="7"/>
      <c r="Q49" s="7"/>
      <c r="R49" s="7"/>
      <c r="S49" s="7"/>
      <c r="T49" s="7"/>
      <c r="U49" s="7"/>
      <c r="V49" s="7"/>
      <c r="W49" s="7"/>
      <c r="X49" s="7"/>
      <c r="Y49" s="7"/>
      <c r="Z49" s="7"/>
    </row>
    <row r="50" ht="15.75" customHeight="1">
      <c r="A50" s="4" t="s">
        <v>274</v>
      </c>
      <c r="B50" s="5" t="s">
        <v>25</v>
      </c>
      <c r="C50" s="5" t="s">
        <v>15</v>
      </c>
      <c r="D50" s="5" t="s">
        <v>275</v>
      </c>
      <c r="E50" s="5" t="s">
        <v>276</v>
      </c>
      <c r="F50" s="5" t="s">
        <v>277</v>
      </c>
      <c r="G50" s="5" t="s">
        <v>278</v>
      </c>
      <c r="H50" s="5" t="s">
        <v>278</v>
      </c>
      <c r="I50" s="5" t="s">
        <v>30</v>
      </c>
      <c r="J50" s="5" t="s">
        <v>20</v>
      </c>
      <c r="K50" s="5" t="s">
        <v>58</v>
      </c>
      <c r="L50" s="5" t="s">
        <v>132</v>
      </c>
      <c r="M50" s="7" t="str">
        <f t="shared" si="2"/>
        <v>OK</v>
      </c>
      <c r="N50" s="7"/>
      <c r="O50" s="7"/>
      <c r="P50" s="7"/>
      <c r="Q50" s="7"/>
      <c r="R50" s="7"/>
      <c r="S50" s="7"/>
      <c r="T50" s="7"/>
      <c r="U50" s="7"/>
      <c r="V50" s="7"/>
      <c r="W50" s="7"/>
      <c r="X50" s="7"/>
      <c r="Y50" s="7"/>
      <c r="Z50" s="7"/>
    </row>
    <row r="51" ht="38.25" customHeight="1">
      <c r="A51" s="4" t="s">
        <v>279</v>
      </c>
      <c r="B51" s="5" t="s">
        <v>14</v>
      </c>
      <c r="C51" s="5" t="s">
        <v>15</v>
      </c>
      <c r="D51" s="5" t="s">
        <v>280</v>
      </c>
      <c r="E51" s="5" t="s">
        <v>281</v>
      </c>
      <c r="F51" s="5" t="s">
        <v>282</v>
      </c>
      <c r="G51" s="6" t="s">
        <v>283</v>
      </c>
      <c r="H51" s="6" t="s">
        <v>283</v>
      </c>
      <c r="I51" s="5" t="s">
        <v>20</v>
      </c>
      <c r="J51" s="5" t="s">
        <v>37</v>
      </c>
      <c r="K51" s="5" t="s">
        <v>22</v>
      </c>
      <c r="L51" s="5" t="s">
        <v>46</v>
      </c>
      <c r="M51" s="7" t="str">
        <f t="shared" si="2"/>
        <v>OK</v>
      </c>
      <c r="N51" s="7"/>
      <c r="O51" s="7"/>
      <c r="P51" s="7"/>
      <c r="Q51" s="7"/>
      <c r="R51" s="7"/>
      <c r="S51" s="7"/>
      <c r="T51" s="7"/>
      <c r="U51" s="7"/>
      <c r="V51" s="7"/>
      <c r="W51" s="7"/>
      <c r="X51" s="7"/>
      <c r="Y51" s="7"/>
      <c r="Z51" s="7"/>
    </row>
    <row r="52" ht="15.75" customHeight="1">
      <c r="A52" s="4" t="s">
        <v>284</v>
      </c>
      <c r="B52" s="5" t="s">
        <v>14</v>
      </c>
      <c r="C52" s="5" t="s">
        <v>15</v>
      </c>
      <c r="D52" s="5" t="s">
        <v>285</v>
      </c>
      <c r="E52" s="6" t="s">
        <v>286</v>
      </c>
      <c r="F52" s="6" t="s">
        <v>287</v>
      </c>
      <c r="G52" s="6" t="s">
        <v>288</v>
      </c>
      <c r="H52" s="6" t="s">
        <v>287</v>
      </c>
      <c r="I52" s="5" t="s">
        <v>64</v>
      </c>
      <c r="J52" s="5" t="s">
        <v>21</v>
      </c>
      <c r="K52" s="5" t="s">
        <v>46</v>
      </c>
      <c r="L52" s="5" t="s">
        <v>23</v>
      </c>
      <c r="M52" s="7" t="str">
        <f t="shared" si="2"/>
        <v>OK</v>
      </c>
      <c r="N52" s="7"/>
      <c r="O52" s="7"/>
      <c r="P52" s="7"/>
      <c r="Q52" s="7"/>
      <c r="R52" s="7"/>
      <c r="S52" s="7"/>
      <c r="T52" s="7"/>
      <c r="U52" s="7"/>
      <c r="V52" s="7"/>
      <c r="W52" s="7"/>
      <c r="X52" s="7"/>
      <c r="Y52" s="7"/>
      <c r="Z52" s="7"/>
    </row>
    <row r="53" ht="15.75" customHeight="1">
      <c r="A53" s="4" t="s">
        <v>289</v>
      </c>
      <c r="B53" s="5" t="s">
        <v>14</v>
      </c>
      <c r="C53" s="5" t="s">
        <v>15</v>
      </c>
      <c r="D53" s="5" t="s">
        <v>290</v>
      </c>
      <c r="E53" s="6" t="s">
        <v>291</v>
      </c>
      <c r="F53" s="6" t="s">
        <v>292</v>
      </c>
      <c r="G53" s="6" t="s">
        <v>293</v>
      </c>
      <c r="H53" s="6" t="s">
        <v>293</v>
      </c>
      <c r="I53" s="5" t="s">
        <v>20</v>
      </c>
      <c r="J53" s="5" t="s">
        <v>31</v>
      </c>
      <c r="K53" s="5" t="s">
        <v>38</v>
      </c>
      <c r="L53" s="5" t="s">
        <v>46</v>
      </c>
      <c r="M53" s="7" t="str">
        <f t="shared" si="2"/>
        <v>OK</v>
      </c>
      <c r="N53" s="7"/>
      <c r="O53" s="7"/>
      <c r="P53" s="7"/>
      <c r="Q53" s="7"/>
      <c r="R53" s="7"/>
      <c r="S53" s="7"/>
      <c r="T53" s="7"/>
      <c r="U53" s="7"/>
      <c r="V53" s="7"/>
      <c r="W53" s="7"/>
      <c r="X53" s="7"/>
      <c r="Y53" s="7"/>
      <c r="Z53" s="7"/>
    </row>
    <row r="54" ht="15.75" customHeight="1">
      <c r="A54" s="4" t="s">
        <v>294</v>
      </c>
      <c r="B54" s="5" t="s">
        <v>25</v>
      </c>
      <c r="C54" s="5" t="s">
        <v>15</v>
      </c>
      <c r="D54" s="5" t="s">
        <v>295</v>
      </c>
      <c r="E54" s="5" t="s">
        <v>296</v>
      </c>
      <c r="F54" s="5" t="s">
        <v>297</v>
      </c>
      <c r="G54" s="5" t="s">
        <v>298</v>
      </c>
      <c r="H54" s="5" t="s">
        <v>296</v>
      </c>
      <c r="I54" s="5" t="s">
        <v>21</v>
      </c>
      <c r="J54" s="5" t="s">
        <v>20</v>
      </c>
      <c r="K54" s="5" t="s">
        <v>58</v>
      </c>
      <c r="L54" s="5" t="s">
        <v>57</v>
      </c>
      <c r="M54" s="7" t="str">
        <f t="shared" si="2"/>
        <v>OK</v>
      </c>
      <c r="N54" s="7"/>
      <c r="O54" s="7"/>
      <c r="P54" s="7"/>
      <c r="Q54" s="7"/>
      <c r="R54" s="7"/>
      <c r="S54" s="7"/>
      <c r="T54" s="7"/>
      <c r="U54" s="7"/>
      <c r="V54" s="7"/>
      <c r="W54" s="7"/>
      <c r="X54" s="7"/>
      <c r="Y54" s="7"/>
      <c r="Z54" s="7"/>
    </row>
    <row r="55" ht="15.75" customHeight="1">
      <c r="A55" s="4" t="s">
        <v>299</v>
      </c>
      <c r="B55" s="5" t="s">
        <v>25</v>
      </c>
      <c r="C55" s="5" t="s">
        <v>15</v>
      </c>
      <c r="D55" s="5" t="s">
        <v>300</v>
      </c>
      <c r="E55" s="5" t="s">
        <v>301</v>
      </c>
      <c r="F55" s="5" t="s">
        <v>302</v>
      </c>
      <c r="G55" s="5" t="s">
        <v>303</v>
      </c>
      <c r="H55" s="5" t="s">
        <v>301</v>
      </c>
      <c r="I55" s="5" t="s">
        <v>64</v>
      </c>
      <c r="J55" s="5" t="s">
        <v>20</v>
      </c>
      <c r="K55" s="5" t="s">
        <v>46</v>
      </c>
      <c r="L55" s="5" t="s">
        <v>23</v>
      </c>
      <c r="M55" s="7" t="str">
        <f t="shared" si="2"/>
        <v>OK</v>
      </c>
      <c r="N55" s="7"/>
      <c r="O55" s="7"/>
      <c r="P55" s="7"/>
      <c r="Q55" s="7"/>
      <c r="R55" s="7"/>
      <c r="S55" s="7"/>
      <c r="T55" s="7"/>
      <c r="U55" s="7"/>
      <c r="V55" s="7"/>
      <c r="W55" s="7"/>
      <c r="X55" s="7"/>
      <c r="Y55" s="7"/>
      <c r="Z55" s="7"/>
    </row>
    <row r="56" ht="15.75" customHeight="1">
      <c r="A56" s="4" t="s">
        <v>304</v>
      </c>
      <c r="B56" s="5" t="s">
        <v>14</v>
      </c>
      <c r="C56" s="5" t="s">
        <v>15</v>
      </c>
      <c r="D56" s="5" t="s">
        <v>305</v>
      </c>
      <c r="E56" s="6" t="s">
        <v>306</v>
      </c>
      <c r="F56" s="6" t="s">
        <v>307</v>
      </c>
      <c r="G56" s="6" t="s">
        <v>308</v>
      </c>
      <c r="H56" s="6" t="s">
        <v>308</v>
      </c>
      <c r="I56" s="5" t="s">
        <v>20</v>
      </c>
      <c r="J56" s="5" t="s">
        <v>21</v>
      </c>
      <c r="K56" s="5" t="s">
        <v>23</v>
      </c>
      <c r="L56" s="5" t="s">
        <v>46</v>
      </c>
      <c r="M56" s="7" t="str">
        <f t="shared" si="2"/>
        <v>OK</v>
      </c>
      <c r="N56" s="7"/>
      <c r="O56" s="7"/>
      <c r="P56" s="7"/>
      <c r="Q56" s="7"/>
      <c r="R56" s="7"/>
      <c r="S56" s="7"/>
      <c r="T56" s="7"/>
      <c r="U56" s="7"/>
      <c r="V56" s="7"/>
      <c r="W56" s="7"/>
      <c r="X56" s="7"/>
      <c r="Y56" s="7"/>
      <c r="Z56" s="7"/>
    </row>
    <row r="57" ht="15.75" customHeight="1">
      <c r="A57" s="5" t="s">
        <v>309</v>
      </c>
      <c r="B57" s="5" t="s">
        <v>14</v>
      </c>
      <c r="C57" s="5" t="s">
        <v>15</v>
      </c>
      <c r="D57" s="5" t="s">
        <v>310</v>
      </c>
      <c r="E57" s="5" t="s">
        <v>311</v>
      </c>
      <c r="F57" s="5" t="s">
        <v>312</v>
      </c>
      <c r="G57" s="5" t="s">
        <v>313</v>
      </c>
      <c r="H57" s="5" t="s">
        <v>313</v>
      </c>
      <c r="I57" s="5" t="s">
        <v>45</v>
      </c>
      <c r="J57" s="5" t="s">
        <v>31</v>
      </c>
      <c r="K57" s="5" t="s">
        <v>38</v>
      </c>
      <c r="L57" s="5" t="s">
        <v>22</v>
      </c>
      <c r="M57" s="7" t="str">
        <f t="shared" si="2"/>
        <v>OK</v>
      </c>
      <c r="N57" s="7"/>
      <c r="O57" s="7"/>
      <c r="P57" s="7"/>
      <c r="Q57" s="7"/>
      <c r="R57" s="7"/>
      <c r="S57" s="7"/>
      <c r="T57" s="7"/>
      <c r="U57" s="7"/>
      <c r="V57" s="7"/>
      <c r="W57" s="7"/>
      <c r="X57" s="7"/>
      <c r="Y57" s="7"/>
      <c r="Z57" s="7"/>
    </row>
    <row r="58" ht="15.75" customHeight="1">
      <c r="A58" s="4" t="s">
        <v>314</v>
      </c>
      <c r="B58" s="5" t="s">
        <v>14</v>
      </c>
      <c r="C58" s="5" t="s">
        <v>15</v>
      </c>
      <c r="D58" s="5" t="s">
        <v>315</v>
      </c>
      <c r="E58" s="6" t="s">
        <v>316</v>
      </c>
      <c r="F58" s="6" t="s">
        <v>317</v>
      </c>
      <c r="G58" s="6" t="s">
        <v>318</v>
      </c>
      <c r="H58" s="6" t="s">
        <v>318</v>
      </c>
      <c r="I58" s="5" t="s">
        <v>37</v>
      </c>
      <c r="J58" s="5" t="s">
        <v>20</v>
      </c>
      <c r="K58" s="5" t="s">
        <v>58</v>
      </c>
      <c r="L58" s="5" t="s">
        <v>132</v>
      </c>
      <c r="M58" s="7" t="str">
        <f t="shared" si="2"/>
        <v>OK</v>
      </c>
      <c r="N58" s="7"/>
      <c r="O58" s="7"/>
      <c r="P58" s="7"/>
      <c r="Q58" s="7"/>
      <c r="R58" s="7"/>
      <c r="S58" s="7"/>
      <c r="T58" s="7"/>
      <c r="U58" s="7"/>
      <c r="V58" s="7"/>
      <c r="W58" s="7"/>
      <c r="X58" s="7"/>
      <c r="Y58" s="7"/>
      <c r="Z58" s="7"/>
    </row>
    <row r="59" ht="15.75" customHeight="1">
      <c r="A59" s="4" t="s">
        <v>319</v>
      </c>
      <c r="B59" s="5" t="s">
        <v>14</v>
      </c>
      <c r="C59" s="5" t="s">
        <v>15</v>
      </c>
      <c r="D59" s="5" t="s">
        <v>320</v>
      </c>
      <c r="E59" s="5" t="s">
        <v>321</v>
      </c>
      <c r="F59" s="5" t="s">
        <v>322</v>
      </c>
      <c r="G59" s="6" t="s">
        <v>323</v>
      </c>
      <c r="H59" s="6" t="s">
        <v>323</v>
      </c>
      <c r="I59" s="5" t="s">
        <v>21</v>
      </c>
      <c r="J59" s="5" t="s">
        <v>37</v>
      </c>
      <c r="K59" s="5" t="s">
        <v>39</v>
      </c>
      <c r="L59" s="5" t="s">
        <v>22</v>
      </c>
      <c r="M59" s="7" t="str">
        <f t="shared" si="2"/>
        <v>OK</v>
      </c>
      <c r="N59" s="7"/>
      <c r="O59" s="7"/>
      <c r="P59" s="7"/>
      <c r="Q59" s="7"/>
      <c r="R59" s="7"/>
      <c r="S59" s="7"/>
      <c r="T59" s="7"/>
      <c r="U59" s="7"/>
      <c r="V59" s="7"/>
      <c r="W59" s="7"/>
      <c r="X59" s="7"/>
      <c r="Y59" s="7"/>
      <c r="Z59" s="7"/>
    </row>
    <row r="60" ht="15.75" customHeight="1">
      <c r="A60" s="4" t="s">
        <v>324</v>
      </c>
      <c r="B60" s="5" t="s">
        <v>14</v>
      </c>
      <c r="C60" s="5" t="s">
        <v>15</v>
      </c>
      <c r="D60" s="5" t="s">
        <v>325</v>
      </c>
      <c r="E60" s="6" t="s">
        <v>326</v>
      </c>
      <c r="F60" s="6" t="s">
        <v>327</v>
      </c>
      <c r="G60" s="6" t="s">
        <v>328</v>
      </c>
      <c r="H60" s="6" t="s">
        <v>327</v>
      </c>
      <c r="I60" s="5" t="s">
        <v>20</v>
      </c>
      <c r="J60" s="5" t="s">
        <v>37</v>
      </c>
      <c r="K60" s="5" t="s">
        <v>23</v>
      </c>
      <c r="L60" s="5" t="s">
        <v>46</v>
      </c>
      <c r="M60" s="7" t="str">
        <f t="shared" si="2"/>
        <v>OK</v>
      </c>
      <c r="N60" s="7"/>
      <c r="O60" s="7"/>
      <c r="P60" s="7"/>
      <c r="Q60" s="7"/>
      <c r="R60" s="7"/>
      <c r="S60" s="7"/>
      <c r="T60" s="7"/>
      <c r="U60" s="7"/>
      <c r="V60" s="7"/>
      <c r="W60" s="7"/>
      <c r="X60" s="7"/>
      <c r="Y60" s="7"/>
      <c r="Z60" s="7"/>
    </row>
    <row r="61" ht="15.75" customHeight="1">
      <c r="A61" s="4" t="s">
        <v>329</v>
      </c>
      <c r="B61" s="5" t="s">
        <v>14</v>
      </c>
      <c r="C61" s="5" t="s">
        <v>15</v>
      </c>
      <c r="D61" s="5" t="s">
        <v>330</v>
      </c>
      <c r="E61" s="6" t="s">
        <v>331</v>
      </c>
      <c r="F61" s="6" t="s">
        <v>332</v>
      </c>
      <c r="G61" s="6" t="s">
        <v>333</v>
      </c>
      <c r="H61" s="6" t="s">
        <v>333</v>
      </c>
      <c r="I61" s="5" t="s">
        <v>64</v>
      </c>
      <c r="J61" s="5" t="s">
        <v>21</v>
      </c>
      <c r="K61" s="5" t="s">
        <v>23</v>
      </c>
      <c r="L61" s="5" t="s">
        <v>46</v>
      </c>
      <c r="M61" s="7" t="str">
        <f t="shared" si="2"/>
        <v>OK</v>
      </c>
      <c r="N61" s="7"/>
      <c r="O61" s="7"/>
      <c r="P61" s="7"/>
      <c r="Q61" s="7"/>
      <c r="R61" s="7"/>
      <c r="S61" s="7"/>
      <c r="T61" s="7"/>
      <c r="U61" s="7"/>
      <c r="V61" s="7"/>
      <c r="W61" s="7"/>
      <c r="X61" s="7"/>
      <c r="Y61" s="7"/>
      <c r="Z61" s="7"/>
    </row>
    <row r="62" ht="15.75" customHeight="1">
      <c r="A62" s="4" t="s">
        <v>334</v>
      </c>
      <c r="B62" s="5" t="s">
        <v>25</v>
      </c>
      <c r="C62" s="5" t="s">
        <v>15</v>
      </c>
      <c r="D62" s="5" t="s">
        <v>335</v>
      </c>
      <c r="E62" s="5" t="s">
        <v>336</v>
      </c>
      <c r="F62" s="5" t="s">
        <v>337</v>
      </c>
      <c r="G62" s="5" t="s">
        <v>338</v>
      </c>
      <c r="H62" s="5" t="s">
        <v>337</v>
      </c>
      <c r="I62" s="5" t="s">
        <v>45</v>
      </c>
      <c r="J62" s="5" t="s">
        <v>37</v>
      </c>
      <c r="K62" s="5" t="s">
        <v>23</v>
      </c>
      <c r="L62" s="5" t="s">
        <v>39</v>
      </c>
      <c r="M62" s="7" t="str">
        <f t="shared" si="2"/>
        <v>OK</v>
      </c>
      <c r="N62" s="7"/>
      <c r="O62" s="7"/>
      <c r="P62" s="7"/>
      <c r="Q62" s="7"/>
      <c r="R62" s="7"/>
      <c r="S62" s="7"/>
      <c r="T62" s="7"/>
      <c r="U62" s="7"/>
      <c r="V62" s="7"/>
      <c r="W62" s="7"/>
      <c r="X62" s="7"/>
      <c r="Y62" s="7"/>
      <c r="Z62" s="7"/>
    </row>
    <row r="63" ht="15.75" customHeight="1">
      <c r="A63" s="4" t="s">
        <v>339</v>
      </c>
      <c r="B63" s="5" t="s">
        <v>25</v>
      </c>
      <c r="C63" s="5" t="s">
        <v>15</v>
      </c>
      <c r="D63" s="5" t="s">
        <v>340</v>
      </c>
      <c r="E63" s="5" t="s">
        <v>341</v>
      </c>
      <c r="F63" s="5" t="s">
        <v>342</v>
      </c>
      <c r="G63" s="5" t="s">
        <v>343</v>
      </c>
      <c r="H63" s="5" t="s">
        <v>343</v>
      </c>
      <c r="I63" s="5" t="s">
        <v>37</v>
      </c>
      <c r="J63" s="5" t="s">
        <v>20</v>
      </c>
      <c r="K63" s="5" t="s">
        <v>66</v>
      </c>
      <c r="L63" s="5" t="s">
        <v>58</v>
      </c>
      <c r="M63" s="7" t="str">
        <f t="shared" si="2"/>
        <v>OK</v>
      </c>
      <c r="N63" s="7"/>
      <c r="O63" s="7"/>
      <c r="P63" s="7"/>
      <c r="Q63" s="7"/>
      <c r="R63" s="7"/>
      <c r="S63" s="7"/>
      <c r="T63" s="7"/>
      <c r="U63" s="7"/>
      <c r="V63" s="7"/>
      <c r="W63" s="7"/>
      <c r="X63" s="7"/>
      <c r="Y63" s="7"/>
      <c r="Z63" s="7"/>
    </row>
    <row r="64" ht="15.75" customHeight="1">
      <c r="A64" s="4" t="s">
        <v>344</v>
      </c>
      <c r="B64" s="5" t="s">
        <v>14</v>
      </c>
      <c r="C64" s="5" t="s">
        <v>15</v>
      </c>
      <c r="D64" s="5" t="s">
        <v>345</v>
      </c>
      <c r="E64" s="6" t="s">
        <v>346</v>
      </c>
      <c r="F64" s="6" t="s">
        <v>347</v>
      </c>
      <c r="G64" s="6" t="s">
        <v>348</v>
      </c>
      <c r="H64" s="6" t="s">
        <v>348</v>
      </c>
      <c r="I64" s="5" t="s">
        <v>20</v>
      </c>
      <c r="J64" s="5" t="s">
        <v>45</v>
      </c>
      <c r="K64" s="5" t="s">
        <v>57</v>
      </c>
      <c r="L64" s="5" t="s">
        <v>22</v>
      </c>
      <c r="M64" s="7" t="str">
        <f t="shared" si="2"/>
        <v>OK</v>
      </c>
      <c r="N64" s="7"/>
      <c r="O64" s="7"/>
      <c r="P64" s="7"/>
      <c r="Q64" s="7"/>
      <c r="R64" s="7"/>
      <c r="S64" s="7"/>
      <c r="T64" s="7"/>
      <c r="U64" s="7"/>
      <c r="V64" s="7"/>
      <c r="W64" s="7"/>
      <c r="X64" s="7"/>
      <c r="Y64" s="7"/>
      <c r="Z64" s="7"/>
    </row>
    <row r="65" ht="15.75" customHeight="1">
      <c r="A65" s="4" t="s">
        <v>349</v>
      </c>
      <c r="B65" s="5" t="s">
        <v>25</v>
      </c>
      <c r="C65" s="5" t="s">
        <v>15</v>
      </c>
      <c r="D65" s="5" t="s">
        <v>350</v>
      </c>
      <c r="E65" s="5" t="s">
        <v>351</v>
      </c>
      <c r="F65" s="5" t="s">
        <v>352</v>
      </c>
      <c r="G65" s="5" t="s">
        <v>353</v>
      </c>
      <c r="H65" s="5" t="s">
        <v>351</v>
      </c>
      <c r="I65" s="5" t="s">
        <v>30</v>
      </c>
      <c r="J65" s="5" t="s">
        <v>45</v>
      </c>
      <c r="K65" s="5" t="s">
        <v>57</v>
      </c>
      <c r="L65" s="5" t="s">
        <v>46</v>
      </c>
      <c r="M65" s="7" t="str">
        <f t="shared" si="2"/>
        <v>OK</v>
      </c>
      <c r="N65" s="7"/>
      <c r="O65" s="7"/>
      <c r="P65" s="7"/>
      <c r="Q65" s="7"/>
      <c r="R65" s="7"/>
      <c r="S65" s="7"/>
      <c r="T65" s="7"/>
      <c r="U65" s="7"/>
      <c r="V65" s="7"/>
      <c r="W65" s="7"/>
      <c r="X65" s="7"/>
      <c r="Y65" s="7"/>
      <c r="Z65" s="7"/>
    </row>
    <row r="66" ht="15.75" customHeight="1">
      <c r="A66" s="4" t="s">
        <v>354</v>
      </c>
      <c r="B66" s="5" t="s">
        <v>14</v>
      </c>
      <c r="C66" s="5" t="s">
        <v>15</v>
      </c>
      <c r="D66" s="5" t="s">
        <v>355</v>
      </c>
      <c r="E66" s="6" t="s">
        <v>356</v>
      </c>
      <c r="F66" s="6" t="s">
        <v>357</v>
      </c>
      <c r="G66" s="6" t="s">
        <v>358</v>
      </c>
      <c r="H66" s="6" t="s">
        <v>358</v>
      </c>
      <c r="I66" s="5" t="s">
        <v>37</v>
      </c>
      <c r="J66" s="5" t="s">
        <v>45</v>
      </c>
      <c r="K66" s="5" t="s">
        <v>39</v>
      </c>
      <c r="L66" s="5" t="s">
        <v>22</v>
      </c>
      <c r="M66" s="7" t="str">
        <f t="shared" si="2"/>
        <v>OK</v>
      </c>
      <c r="N66" s="7"/>
      <c r="O66" s="7"/>
      <c r="P66" s="7"/>
      <c r="Q66" s="7"/>
      <c r="R66" s="7"/>
      <c r="S66" s="7"/>
      <c r="T66" s="7"/>
      <c r="U66" s="7"/>
      <c r="V66" s="7"/>
      <c r="W66" s="7"/>
      <c r="X66" s="7"/>
      <c r="Y66" s="7"/>
      <c r="Z66" s="7"/>
    </row>
    <row r="67" ht="15.75" customHeight="1">
      <c r="A67" s="4" t="s">
        <v>359</v>
      </c>
      <c r="B67" s="5" t="s">
        <v>14</v>
      </c>
      <c r="C67" s="5" t="s">
        <v>15</v>
      </c>
      <c r="D67" s="5" t="s">
        <v>360</v>
      </c>
      <c r="E67" s="6" t="s">
        <v>361</v>
      </c>
      <c r="F67" s="6" t="s">
        <v>362</v>
      </c>
      <c r="G67" s="6" t="s">
        <v>363</v>
      </c>
      <c r="H67" s="6" t="s">
        <v>363</v>
      </c>
      <c r="I67" s="5" t="s">
        <v>64</v>
      </c>
      <c r="J67" s="5" t="s">
        <v>31</v>
      </c>
      <c r="K67" s="5" t="s">
        <v>58</v>
      </c>
      <c r="L67" s="5" t="s">
        <v>46</v>
      </c>
      <c r="M67" s="7" t="str">
        <f t="shared" si="2"/>
        <v>OK</v>
      </c>
      <c r="N67" s="7"/>
      <c r="O67" s="7"/>
      <c r="P67" s="7"/>
      <c r="Q67" s="7"/>
      <c r="R67" s="7"/>
      <c r="S67" s="7"/>
      <c r="T67" s="7"/>
      <c r="U67" s="7"/>
      <c r="V67" s="7"/>
      <c r="W67" s="7"/>
      <c r="X67" s="7"/>
      <c r="Y67" s="7"/>
      <c r="Z67" s="7"/>
    </row>
    <row r="68" ht="15.75" customHeight="1">
      <c r="A68" s="4" t="s">
        <v>364</v>
      </c>
      <c r="B68" s="5" t="s">
        <v>25</v>
      </c>
      <c r="C68" s="5" t="s">
        <v>15</v>
      </c>
      <c r="D68" s="5" t="s">
        <v>365</v>
      </c>
      <c r="E68" s="5" t="s">
        <v>366</v>
      </c>
      <c r="F68" s="5" t="s">
        <v>367</v>
      </c>
      <c r="G68" s="5" t="s">
        <v>368</v>
      </c>
      <c r="H68" s="5" t="s">
        <v>366</v>
      </c>
      <c r="I68" s="5" t="s">
        <v>45</v>
      </c>
      <c r="J68" s="5" t="s">
        <v>20</v>
      </c>
      <c r="K68" s="5" t="s">
        <v>23</v>
      </c>
      <c r="L68" s="5" t="s">
        <v>46</v>
      </c>
      <c r="M68" s="7" t="str">
        <f t="shared" si="2"/>
        <v>OK</v>
      </c>
      <c r="N68" s="7"/>
      <c r="O68" s="7"/>
      <c r="P68" s="7"/>
      <c r="Q68" s="7"/>
      <c r="R68" s="7"/>
      <c r="S68" s="7"/>
      <c r="T68" s="7"/>
      <c r="U68" s="7"/>
      <c r="V68" s="7"/>
      <c r="W68" s="7"/>
      <c r="X68" s="7"/>
      <c r="Y68" s="7"/>
      <c r="Z68" s="7"/>
    </row>
    <row r="69" ht="15.75" customHeight="1">
      <c r="A69" s="4" t="s">
        <v>369</v>
      </c>
      <c r="B69" s="5" t="s">
        <v>14</v>
      </c>
      <c r="C69" s="5" t="s">
        <v>15</v>
      </c>
      <c r="D69" s="5" t="s">
        <v>370</v>
      </c>
      <c r="E69" s="6" t="s">
        <v>371</v>
      </c>
      <c r="F69" s="6" t="s">
        <v>372</v>
      </c>
      <c r="G69" s="6" t="s">
        <v>373</v>
      </c>
      <c r="H69" s="6" t="s">
        <v>373</v>
      </c>
      <c r="I69" s="5" t="s">
        <v>64</v>
      </c>
      <c r="J69" s="5" t="s">
        <v>65</v>
      </c>
      <c r="K69" s="5" t="s">
        <v>57</v>
      </c>
      <c r="L69" s="5" t="s">
        <v>46</v>
      </c>
      <c r="M69" s="7" t="str">
        <f t="shared" si="2"/>
        <v>OK</v>
      </c>
      <c r="N69" s="7"/>
      <c r="O69" s="7"/>
      <c r="P69" s="7"/>
      <c r="Q69" s="7"/>
      <c r="R69" s="7"/>
      <c r="S69" s="7"/>
      <c r="T69" s="7"/>
      <c r="U69" s="7"/>
      <c r="V69" s="7"/>
      <c r="W69" s="7"/>
      <c r="X69" s="7"/>
      <c r="Y69" s="7"/>
      <c r="Z69" s="7"/>
    </row>
    <row r="70" ht="15.75" customHeight="1">
      <c r="A70" s="4" t="s">
        <v>374</v>
      </c>
      <c r="B70" s="5" t="s">
        <v>14</v>
      </c>
      <c r="C70" s="5" t="s">
        <v>15</v>
      </c>
      <c r="D70" s="5" t="s">
        <v>375</v>
      </c>
      <c r="E70" s="6" t="s">
        <v>376</v>
      </c>
      <c r="F70" s="6" t="s">
        <v>377</v>
      </c>
      <c r="G70" s="6" t="s">
        <v>378</v>
      </c>
      <c r="H70" s="6" t="s">
        <v>376</v>
      </c>
      <c r="I70" s="5" t="s">
        <v>65</v>
      </c>
      <c r="J70" s="5" t="s">
        <v>45</v>
      </c>
      <c r="K70" s="5" t="s">
        <v>23</v>
      </c>
      <c r="L70" s="5" t="s">
        <v>39</v>
      </c>
      <c r="M70" s="7" t="str">
        <f t="shared" si="2"/>
        <v>OK</v>
      </c>
      <c r="N70" s="7"/>
      <c r="O70" s="7"/>
      <c r="P70" s="7"/>
      <c r="Q70" s="7"/>
      <c r="R70" s="7"/>
      <c r="S70" s="7"/>
      <c r="T70" s="7"/>
      <c r="U70" s="7"/>
      <c r="V70" s="7"/>
      <c r="W70" s="7"/>
      <c r="X70" s="7"/>
      <c r="Y70" s="7"/>
      <c r="Z70" s="7"/>
    </row>
    <row r="71" ht="15.75" customHeight="1">
      <c r="A71" s="4" t="s">
        <v>379</v>
      </c>
      <c r="B71" s="5" t="s">
        <v>14</v>
      </c>
      <c r="C71" s="5" t="s">
        <v>15</v>
      </c>
      <c r="D71" s="5" t="s">
        <v>380</v>
      </c>
      <c r="E71" s="6" t="s">
        <v>381</v>
      </c>
      <c r="F71" s="6" t="s">
        <v>382</v>
      </c>
      <c r="G71" s="6" t="s">
        <v>383</v>
      </c>
      <c r="H71" s="6" t="s">
        <v>383</v>
      </c>
      <c r="I71" s="5" t="s">
        <v>65</v>
      </c>
      <c r="J71" s="5" t="s">
        <v>31</v>
      </c>
      <c r="K71" s="5" t="s">
        <v>38</v>
      </c>
      <c r="L71" s="5" t="s">
        <v>132</v>
      </c>
      <c r="M71" s="7" t="str">
        <f t="shared" si="2"/>
        <v>OK</v>
      </c>
      <c r="N71" s="7"/>
      <c r="O71" s="7"/>
      <c r="P71" s="7"/>
      <c r="Q71" s="7"/>
      <c r="R71" s="7"/>
      <c r="S71" s="7"/>
      <c r="T71" s="7"/>
      <c r="U71" s="7"/>
      <c r="V71" s="7"/>
      <c r="W71" s="7"/>
      <c r="X71" s="7"/>
      <c r="Y71" s="7"/>
      <c r="Z71" s="7"/>
    </row>
    <row r="72" ht="15.75" customHeight="1">
      <c r="A72" s="4" t="s">
        <v>384</v>
      </c>
      <c r="B72" s="5" t="s">
        <v>14</v>
      </c>
      <c r="C72" s="5" t="s">
        <v>15</v>
      </c>
      <c r="D72" s="5" t="s">
        <v>385</v>
      </c>
      <c r="E72" s="6" t="s">
        <v>386</v>
      </c>
      <c r="F72" s="6" t="s">
        <v>387</v>
      </c>
      <c r="G72" s="6" t="s">
        <v>388</v>
      </c>
      <c r="H72" s="6" t="s">
        <v>388</v>
      </c>
      <c r="I72" s="5" t="s">
        <v>64</v>
      </c>
      <c r="J72" s="5" t="s">
        <v>21</v>
      </c>
      <c r="K72" s="5" t="s">
        <v>132</v>
      </c>
      <c r="L72" s="5" t="s">
        <v>22</v>
      </c>
      <c r="M72" s="7" t="str">
        <f t="shared" si="2"/>
        <v>OK</v>
      </c>
      <c r="N72" s="7"/>
      <c r="O72" s="7"/>
      <c r="P72" s="7"/>
      <c r="Q72" s="7"/>
      <c r="R72" s="7"/>
      <c r="S72" s="7"/>
      <c r="T72" s="7"/>
      <c r="U72" s="7"/>
      <c r="V72" s="7"/>
      <c r="W72" s="7"/>
      <c r="X72" s="7"/>
      <c r="Y72" s="7"/>
      <c r="Z72" s="7"/>
    </row>
    <row r="73" ht="15.75" customHeight="1">
      <c r="A73" s="4" t="s">
        <v>389</v>
      </c>
      <c r="B73" s="5" t="s">
        <v>25</v>
      </c>
      <c r="C73" s="5" t="s">
        <v>15</v>
      </c>
      <c r="D73" s="5" t="s">
        <v>390</v>
      </c>
      <c r="E73" s="5" t="s">
        <v>391</v>
      </c>
      <c r="F73" s="5" t="s">
        <v>392</v>
      </c>
      <c r="G73" s="5" t="s">
        <v>393</v>
      </c>
      <c r="H73" s="5" t="s">
        <v>391</v>
      </c>
      <c r="I73" s="5" t="s">
        <v>31</v>
      </c>
      <c r="J73" s="5" t="s">
        <v>20</v>
      </c>
      <c r="K73" s="5" t="s">
        <v>58</v>
      </c>
      <c r="L73" s="5" t="s">
        <v>132</v>
      </c>
      <c r="M73" s="7" t="str">
        <f t="shared" si="2"/>
        <v>OK</v>
      </c>
      <c r="N73" s="7"/>
      <c r="O73" s="7"/>
      <c r="P73" s="7"/>
      <c r="Q73" s="7"/>
      <c r="R73" s="7"/>
      <c r="S73" s="7"/>
      <c r="T73" s="7"/>
      <c r="U73" s="7"/>
      <c r="V73" s="7"/>
      <c r="W73" s="7"/>
      <c r="X73" s="7"/>
      <c r="Y73" s="7"/>
      <c r="Z73" s="7"/>
    </row>
    <row r="74" ht="15.75" customHeight="1">
      <c r="A74" s="4" t="s">
        <v>394</v>
      </c>
      <c r="B74" s="5" t="s">
        <v>14</v>
      </c>
      <c r="C74" s="5" t="s">
        <v>15</v>
      </c>
      <c r="D74" s="5" t="s">
        <v>395</v>
      </c>
      <c r="E74" s="6" t="s">
        <v>396</v>
      </c>
      <c r="F74" s="6" t="s">
        <v>397</v>
      </c>
      <c r="G74" s="6" t="s">
        <v>398</v>
      </c>
      <c r="H74" s="6" t="s">
        <v>398</v>
      </c>
      <c r="I74" s="5" t="s">
        <v>64</v>
      </c>
      <c r="J74" s="5" t="s">
        <v>37</v>
      </c>
      <c r="K74" s="5" t="s">
        <v>39</v>
      </c>
      <c r="L74" s="5" t="s">
        <v>39</v>
      </c>
      <c r="M74" s="7" t="str">
        <f t="shared" si="2"/>
        <v>OK</v>
      </c>
      <c r="N74" s="7"/>
      <c r="O74" s="7"/>
      <c r="P74" s="7"/>
      <c r="Q74" s="7"/>
      <c r="R74" s="7"/>
      <c r="S74" s="7"/>
      <c r="T74" s="7"/>
      <c r="U74" s="7"/>
      <c r="V74" s="7"/>
      <c r="W74" s="7"/>
      <c r="X74" s="7"/>
      <c r="Y74" s="7"/>
      <c r="Z74" s="7"/>
    </row>
    <row r="75" ht="15.75" customHeight="1">
      <c r="A75" s="4" t="s">
        <v>399</v>
      </c>
      <c r="B75" s="5" t="s">
        <v>25</v>
      </c>
      <c r="C75" s="5" t="s">
        <v>15</v>
      </c>
      <c r="D75" s="5" t="s">
        <v>400</v>
      </c>
      <c r="E75" s="5" t="s">
        <v>401</v>
      </c>
      <c r="F75" s="5" t="s">
        <v>402</v>
      </c>
      <c r="G75" s="5" t="s">
        <v>403</v>
      </c>
      <c r="H75" s="5" t="s">
        <v>402</v>
      </c>
      <c r="I75" s="5" t="s">
        <v>21</v>
      </c>
      <c r="J75" s="5" t="s">
        <v>20</v>
      </c>
      <c r="K75" s="5" t="s">
        <v>58</v>
      </c>
      <c r="L75" s="5" t="s">
        <v>39</v>
      </c>
      <c r="M75" s="7" t="str">
        <f t="shared" si="2"/>
        <v>OK</v>
      </c>
      <c r="N75" s="7"/>
      <c r="O75" s="7"/>
      <c r="P75" s="7"/>
      <c r="Q75" s="7"/>
      <c r="R75" s="7"/>
      <c r="S75" s="7"/>
      <c r="T75" s="7"/>
      <c r="U75" s="7"/>
      <c r="V75" s="7"/>
      <c r="W75" s="7"/>
      <c r="X75" s="7"/>
      <c r="Y75" s="7"/>
      <c r="Z75" s="7"/>
    </row>
    <row r="76" ht="15.75" customHeight="1">
      <c r="A76" s="4" t="s">
        <v>404</v>
      </c>
      <c r="B76" s="5" t="s">
        <v>25</v>
      </c>
      <c r="C76" s="5" t="s">
        <v>15</v>
      </c>
      <c r="D76" s="5" t="s">
        <v>405</v>
      </c>
      <c r="E76" s="5" t="s">
        <v>406</v>
      </c>
      <c r="F76" s="5" t="s">
        <v>407</v>
      </c>
      <c r="G76" s="5" t="s">
        <v>408</v>
      </c>
      <c r="H76" s="5" t="s">
        <v>408</v>
      </c>
      <c r="I76" s="5" t="s">
        <v>64</v>
      </c>
      <c r="J76" s="5" t="s">
        <v>37</v>
      </c>
      <c r="K76" s="5" t="s">
        <v>39</v>
      </c>
      <c r="L76" s="5" t="s">
        <v>46</v>
      </c>
      <c r="M76" s="7" t="str">
        <f t="shared" si="2"/>
        <v>OK</v>
      </c>
      <c r="N76" s="7"/>
      <c r="O76" s="7"/>
      <c r="P76" s="7"/>
      <c r="Q76" s="7"/>
      <c r="R76" s="7"/>
      <c r="S76" s="7"/>
      <c r="T76" s="7"/>
      <c r="U76" s="7"/>
      <c r="V76" s="7"/>
      <c r="W76" s="7"/>
      <c r="X76" s="7"/>
      <c r="Y76" s="7"/>
      <c r="Z76" s="7"/>
    </row>
    <row r="77" ht="15.75" customHeight="1">
      <c r="A77" s="5" t="s">
        <v>409</v>
      </c>
      <c r="B77" s="5" t="s">
        <v>14</v>
      </c>
      <c r="C77" s="5" t="s">
        <v>15</v>
      </c>
      <c r="D77" s="5" t="s">
        <v>410</v>
      </c>
      <c r="E77" s="5" t="s">
        <v>411</v>
      </c>
      <c r="F77" s="5" t="s">
        <v>412</v>
      </c>
      <c r="G77" s="5" t="s">
        <v>413</v>
      </c>
      <c r="H77" s="5" t="s">
        <v>413</v>
      </c>
      <c r="I77" s="5" t="s">
        <v>30</v>
      </c>
      <c r="J77" s="5" t="s">
        <v>31</v>
      </c>
      <c r="K77" s="5" t="s">
        <v>22</v>
      </c>
      <c r="L77" s="5" t="s">
        <v>46</v>
      </c>
      <c r="M77" s="7" t="str">
        <f t="shared" si="2"/>
        <v>OK</v>
      </c>
      <c r="N77" s="7"/>
      <c r="O77" s="7"/>
      <c r="P77" s="7"/>
      <c r="Q77" s="7"/>
      <c r="R77" s="7"/>
      <c r="S77" s="7"/>
      <c r="T77" s="7"/>
      <c r="U77" s="7"/>
      <c r="V77" s="7"/>
      <c r="W77" s="7"/>
      <c r="X77" s="7"/>
      <c r="Y77" s="7"/>
      <c r="Z77" s="7"/>
    </row>
    <row r="78" ht="15.75" customHeight="1">
      <c r="A78" s="4" t="s">
        <v>414</v>
      </c>
      <c r="B78" s="5" t="s">
        <v>14</v>
      </c>
      <c r="C78" s="5" t="s">
        <v>15</v>
      </c>
      <c r="D78" s="5" t="s">
        <v>415</v>
      </c>
      <c r="E78" s="6" t="s">
        <v>416</v>
      </c>
      <c r="F78" s="6" t="s">
        <v>417</v>
      </c>
      <c r="G78" s="6" t="s">
        <v>418</v>
      </c>
      <c r="H78" s="6" t="s">
        <v>418</v>
      </c>
      <c r="I78" s="5" t="s">
        <v>20</v>
      </c>
      <c r="J78" s="5" t="s">
        <v>37</v>
      </c>
      <c r="K78" s="5" t="s">
        <v>57</v>
      </c>
      <c r="L78" s="5" t="s">
        <v>46</v>
      </c>
      <c r="M78" s="7" t="str">
        <f t="shared" si="2"/>
        <v>OK</v>
      </c>
      <c r="N78" s="7"/>
      <c r="O78" s="7"/>
      <c r="P78" s="7"/>
      <c r="Q78" s="7"/>
      <c r="R78" s="7"/>
      <c r="S78" s="7"/>
      <c r="T78" s="7"/>
      <c r="U78" s="7"/>
      <c r="V78" s="7"/>
      <c r="W78" s="7"/>
      <c r="X78" s="7"/>
      <c r="Y78" s="7"/>
      <c r="Z78" s="7"/>
    </row>
    <row r="79" ht="15.75" customHeight="1">
      <c r="A79" s="4" t="s">
        <v>419</v>
      </c>
      <c r="B79" s="5" t="s">
        <v>25</v>
      </c>
      <c r="C79" s="5" t="s">
        <v>15</v>
      </c>
      <c r="D79" s="5" t="s">
        <v>420</v>
      </c>
      <c r="E79" s="5" t="s">
        <v>421</v>
      </c>
      <c r="F79" s="5" t="s">
        <v>422</v>
      </c>
      <c r="G79" s="5" t="s">
        <v>423</v>
      </c>
      <c r="H79" s="5" t="s">
        <v>422</v>
      </c>
      <c r="I79" s="5" t="s">
        <v>31</v>
      </c>
      <c r="J79" s="5" t="s">
        <v>45</v>
      </c>
      <c r="K79" s="5" t="s">
        <v>58</v>
      </c>
      <c r="L79" s="5" t="s">
        <v>132</v>
      </c>
      <c r="M79" s="7" t="str">
        <f t="shared" si="2"/>
        <v>OK</v>
      </c>
      <c r="N79" s="7"/>
      <c r="O79" s="7"/>
      <c r="P79" s="7"/>
      <c r="Q79" s="7"/>
      <c r="R79" s="7"/>
      <c r="S79" s="7"/>
      <c r="T79" s="7"/>
      <c r="U79" s="7"/>
      <c r="V79" s="7"/>
      <c r="W79" s="7"/>
      <c r="X79" s="7"/>
      <c r="Y79" s="7"/>
      <c r="Z79" s="7"/>
    </row>
    <row r="80" ht="15.75" customHeight="1">
      <c r="A80" s="4" t="s">
        <v>424</v>
      </c>
      <c r="B80" s="5" t="s">
        <v>25</v>
      </c>
      <c r="C80" s="5" t="s">
        <v>15</v>
      </c>
      <c r="D80" s="5" t="s">
        <v>425</v>
      </c>
      <c r="E80" s="5" t="s">
        <v>426</v>
      </c>
      <c r="F80" s="5" t="s">
        <v>427</v>
      </c>
      <c r="G80" s="5" t="s">
        <v>428</v>
      </c>
      <c r="H80" s="5" t="s">
        <v>428</v>
      </c>
      <c r="I80" s="5" t="s">
        <v>65</v>
      </c>
      <c r="J80" s="5" t="s">
        <v>21</v>
      </c>
      <c r="K80" s="5" t="s">
        <v>57</v>
      </c>
      <c r="L80" s="5" t="s">
        <v>46</v>
      </c>
      <c r="M80" s="7" t="str">
        <f t="shared" si="2"/>
        <v>OK</v>
      </c>
      <c r="N80" s="7"/>
      <c r="O80" s="7"/>
      <c r="P80" s="7"/>
      <c r="Q80" s="7"/>
      <c r="R80" s="7"/>
      <c r="S80" s="7"/>
      <c r="T80" s="7"/>
      <c r="U80" s="7"/>
      <c r="V80" s="7"/>
      <c r="W80" s="7"/>
      <c r="X80" s="7"/>
      <c r="Y80" s="7"/>
      <c r="Z80" s="7"/>
    </row>
    <row r="81" ht="15.75" customHeight="1">
      <c r="A81" s="4" t="s">
        <v>429</v>
      </c>
      <c r="B81" s="5" t="s">
        <v>14</v>
      </c>
      <c r="C81" s="5" t="s">
        <v>15</v>
      </c>
      <c r="D81" s="5" t="s">
        <v>430</v>
      </c>
      <c r="E81" s="6" t="s">
        <v>431</v>
      </c>
      <c r="F81" s="6" t="s">
        <v>432</v>
      </c>
      <c r="G81" s="6" t="s">
        <v>433</v>
      </c>
      <c r="H81" s="6" t="s">
        <v>433</v>
      </c>
      <c r="I81" s="5" t="s">
        <v>20</v>
      </c>
      <c r="J81" s="5" t="s">
        <v>45</v>
      </c>
      <c r="K81" s="5" t="s">
        <v>46</v>
      </c>
      <c r="L81" s="5" t="s">
        <v>38</v>
      </c>
      <c r="M81" s="7" t="str">
        <f t="shared" si="2"/>
        <v>OK</v>
      </c>
      <c r="N81" s="7"/>
      <c r="O81" s="7"/>
      <c r="P81" s="7"/>
      <c r="Q81" s="7"/>
      <c r="R81" s="7"/>
      <c r="S81" s="7"/>
      <c r="T81" s="7"/>
      <c r="U81" s="7"/>
      <c r="V81" s="7"/>
      <c r="W81" s="7"/>
      <c r="X81" s="7"/>
      <c r="Y81" s="7"/>
      <c r="Z81" s="7"/>
    </row>
    <row r="82" ht="15.75" customHeight="1">
      <c r="A82" s="4" t="s">
        <v>434</v>
      </c>
      <c r="B82" s="5" t="s">
        <v>14</v>
      </c>
      <c r="C82" s="5" t="s">
        <v>15</v>
      </c>
      <c r="D82" s="5" t="s">
        <v>435</v>
      </c>
      <c r="E82" s="6" t="s">
        <v>436</v>
      </c>
      <c r="F82" s="6" t="s">
        <v>437</v>
      </c>
      <c r="G82" s="5" t="s">
        <v>438</v>
      </c>
      <c r="H82" s="5" t="s">
        <v>438</v>
      </c>
      <c r="I82" s="5" t="s">
        <v>45</v>
      </c>
      <c r="J82" s="5" t="s">
        <v>37</v>
      </c>
      <c r="K82" s="5" t="s">
        <v>23</v>
      </c>
      <c r="L82" s="5" t="s">
        <v>22</v>
      </c>
      <c r="M82" s="7" t="str">
        <f t="shared" si="2"/>
        <v>OK</v>
      </c>
      <c r="N82" s="7"/>
      <c r="O82" s="7"/>
      <c r="P82" s="7"/>
      <c r="Q82" s="7"/>
      <c r="R82" s="7"/>
      <c r="S82" s="7"/>
      <c r="T82" s="7"/>
      <c r="U82" s="7"/>
      <c r="V82" s="7"/>
      <c r="W82" s="7"/>
      <c r="X82" s="7"/>
      <c r="Y82" s="7"/>
      <c r="Z82" s="7"/>
    </row>
    <row r="83" ht="15.75" customHeight="1">
      <c r="A83" s="4" t="s">
        <v>439</v>
      </c>
      <c r="B83" s="5" t="s">
        <v>14</v>
      </c>
      <c r="C83" s="5" t="s">
        <v>15</v>
      </c>
      <c r="D83" s="5" t="s">
        <v>440</v>
      </c>
      <c r="E83" s="6" t="s">
        <v>441</v>
      </c>
      <c r="F83" s="6" t="s">
        <v>442</v>
      </c>
      <c r="G83" s="6" t="s">
        <v>443</v>
      </c>
      <c r="H83" s="6" t="s">
        <v>443</v>
      </c>
      <c r="I83" s="5" t="s">
        <v>21</v>
      </c>
      <c r="J83" s="5" t="s">
        <v>20</v>
      </c>
      <c r="K83" s="5" t="s">
        <v>23</v>
      </c>
      <c r="L83" s="5" t="s">
        <v>46</v>
      </c>
      <c r="M83" s="7" t="str">
        <f t="shared" si="2"/>
        <v>OK</v>
      </c>
      <c r="N83" s="7"/>
      <c r="O83" s="7"/>
      <c r="P83" s="7"/>
      <c r="Q83" s="7"/>
      <c r="R83" s="7"/>
      <c r="S83" s="7"/>
      <c r="T83" s="7"/>
      <c r="U83" s="7"/>
      <c r="V83" s="7"/>
      <c r="W83" s="7"/>
      <c r="X83" s="7"/>
      <c r="Y83" s="7"/>
      <c r="Z83" s="7"/>
    </row>
    <row r="84" ht="15.75" customHeight="1">
      <c r="A84" s="4" t="s">
        <v>444</v>
      </c>
      <c r="B84" s="5" t="s">
        <v>14</v>
      </c>
      <c r="C84" s="5" t="s">
        <v>15</v>
      </c>
      <c r="D84" s="5" t="s">
        <v>445</v>
      </c>
      <c r="E84" s="6" t="s">
        <v>446</v>
      </c>
      <c r="F84" s="6" t="s">
        <v>447</v>
      </c>
      <c r="G84" s="6" t="s">
        <v>448</v>
      </c>
      <c r="H84" s="6" t="s">
        <v>448</v>
      </c>
      <c r="I84" s="5" t="s">
        <v>64</v>
      </c>
      <c r="J84" s="5" t="s">
        <v>21</v>
      </c>
      <c r="K84" s="5" t="s">
        <v>66</v>
      </c>
      <c r="L84" s="5" t="s">
        <v>132</v>
      </c>
      <c r="M84" s="7" t="str">
        <f t="shared" si="2"/>
        <v>OK</v>
      </c>
      <c r="N84" s="7"/>
      <c r="O84" s="7"/>
      <c r="P84" s="7"/>
      <c r="Q84" s="7"/>
      <c r="R84" s="7"/>
      <c r="S84" s="7"/>
      <c r="T84" s="7"/>
      <c r="U84" s="7"/>
      <c r="V84" s="7"/>
      <c r="W84" s="7"/>
      <c r="X84" s="7"/>
      <c r="Y84" s="7"/>
      <c r="Z84" s="7"/>
    </row>
    <row r="85" ht="15.75" customHeight="1">
      <c r="A85" s="4" t="s">
        <v>449</v>
      </c>
      <c r="B85" s="5" t="s">
        <v>14</v>
      </c>
      <c r="C85" s="5" t="s">
        <v>15</v>
      </c>
      <c r="D85" s="5" t="s">
        <v>450</v>
      </c>
      <c r="E85" s="6" t="s">
        <v>451</v>
      </c>
      <c r="F85" s="6" t="s">
        <v>452</v>
      </c>
      <c r="G85" s="6" t="s">
        <v>453</v>
      </c>
      <c r="H85" s="6" t="s">
        <v>453</v>
      </c>
      <c r="I85" s="5" t="s">
        <v>64</v>
      </c>
      <c r="J85" s="5" t="s">
        <v>20</v>
      </c>
      <c r="K85" s="5" t="s">
        <v>58</v>
      </c>
      <c r="L85" s="5" t="s">
        <v>66</v>
      </c>
      <c r="M85" s="7" t="str">
        <f t="shared" si="2"/>
        <v>OK</v>
      </c>
      <c r="N85" s="7"/>
      <c r="O85" s="7"/>
      <c r="P85" s="7"/>
      <c r="Q85" s="7"/>
      <c r="R85" s="7"/>
      <c r="S85" s="7"/>
      <c r="T85" s="7"/>
      <c r="U85" s="7"/>
      <c r="V85" s="7"/>
      <c r="W85" s="7"/>
      <c r="X85" s="7"/>
      <c r="Y85" s="7"/>
      <c r="Z85" s="7"/>
    </row>
    <row r="86" ht="15.75" customHeight="1">
      <c r="A86" s="4" t="s">
        <v>454</v>
      </c>
      <c r="B86" s="5" t="s">
        <v>25</v>
      </c>
      <c r="C86" s="5" t="s">
        <v>15</v>
      </c>
      <c r="D86" s="5" t="s">
        <v>455</v>
      </c>
      <c r="E86" s="5" t="s">
        <v>456</v>
      </c>
      <c r="F86" s="5" t="s">
        <v>457</v>
      </c>
      <c r="G86" s="5" t="s">
        <v>458</v>
      </c>
      <c r="H86" s="5" t="s">
        <v>458</v>
      </c>
      <c r="I86" s="5" t="s">
        <v>37</v>
      </c>
      <c r="J86" s="5" t="s">
        <v>65</v>
      </c>
      <c r="K86" s="5" t="s">
        <v>46</v>
      </c>
      <c r="L86" s="5" t="s">
        <v>22</v>
      </c>
      <c r="M86" s="7" t="str">
        <f t="shared" si="2"/>
        <v>OK</v>
      </c>
      <c r="N86" s="7"/>
      <c r="O86" s="7"/>
      <c r="P86" s="7"/>
      <c r="Q86" s="7"/>
      <c r="R86" s="7"/>
      <c r="S86" s="7"/>
      <c r="T86" s="7"/>
      <c r="U86" s="7"/>
      <c r="V86" s="7"/>
      <c r="W86" s="7"/>
      <c r="X86" s="7"/>
      <c r="Y86" s="7"/>
      <c r="Z86" s="7"/>
    </row>
    <row r="87" ht="15.75" customHeight="1">
      <c r="A87" s="4" t="s">
        <v>459</v>
      </c>
      <c r="B87" s="5" t="s">
        <v>14</v>
      </c>
      <c r="C87" s="5" t="s">
        <v>15</v>
      </c>
      <c r="D87" s="5" t="s">
        <v>460</v>
      </c>
      <c r="E87" s="6" t="s">
        <v>461</v>
      </c>
      <c r="F87" s="6" t="s">
        <v>462</v>
      </c>
      <c r="G87" s="6" t="s">
        <v>463</v>
      </c>
      <c r="H87" s="6" t="s">
        <v>462</v>
      </c>
      <c r="I87" s="5" t="s">
        <v>20</v>
      </c>
      <c r="J87" s="5" t="s">
        <v>64</v>
      </c>
      <c r="K87" s="5" t="s">
        <v>22</v>
      </c>
      <c r="L87" s="5" t="s">
        <v>46</v>
      </c>
      <c r="M87" s="7" t="str">
        <f t="shared" si="2"/>
        <v>OK</v>
      </c>
      <c r="N87" s="7"/>
      <c r="O87" s="7"/>
      <c r="P87" s="7"/>
      <c r="Q87" s="7"/>
      <c r="R87" s="7"/>
      <c r="S87" s="7"/>
      <c r="T87" s="7"/>
      <c r="U87" s="7"/>
      <c r="V87" s="7"/>
      <c r="W87" s="7"/>
      <c r="X87" s="7"/>
      <c r="Y87" s="7"/>
      <c r="Z87" s="7"/>
    </row>
    <row r="88" ht="15.75" customHeight="1">
      <c r="A88" s="4" t="s">
        <v>464</v>
      </c>
      <c r="B88" s="5" t="s">
        <v>25</v>
      </c>
      <c r="C88" s="5" t="s">
        <v>15</v>
      </c>
      <c r="D88" s="5" t="s">
        <v>465</v>
      </c>
      <c r="E88" s="5" t="s">
        <v>466</v>
      </c>
      <c r="F88" s="5" t="s">
        <v>467</v>
      </c>
      <c r="G88" s="5" t="s">
        <v>468</v>
      </c>
      <c r="H88" s="5" t="s">
        <v>468</v>
      </c>
      <c r="I88" s="5" t="s">
        <v>31</v>
      </c>
      <c r="J88" s="5" t="s">
        <v>64</v>
      </c>
      <c r="K88" s="5" t="s">
        <v>132</v>
      </c>
      <c r="L88" s="5" t="s">
        <v>58</v>
      </c>
      <c r="M88" s="7" t="str">
        <f t="shared" si="2"/>
        <v>OK</v>
      </c>
      <c r="N88" s="7"/>
      <c r="O88" s="7"/>
      <c r="P88" s="7"/>
      <c r="Q88" s="7"/>
      <c r="R88" s="7"/>
      <c r="S88" s="7"/>
      <c r="T88" s="7"/>
      <c r="U88" s="7"/>
      <c r="V88" s="7"/>
      <c r="W88" s="7"/>
      <c r="X88" s="7"/>
      <c r="Y88" s="7"/>
      <c r="Z88" s="7"/>
    </row>
    <row r="89" ht="15.75" customHeight="1">
      <c r="A89" s="4" t="s">
        <v>469</v>
      </c>
      <c r="B89" s="5" t="s">
        <v>14</v>
      </c>
      <c r="C89" s="5" t="s">
        <v>15</v>
      </c>
      <c r="D89" s="5" t="s">
        <v>470</v>
      </c>
      <c r="E89" s="5" t="s">
        <v>471</v>
      </c>
      <c r="F89" s="5" t="s">
        <v>472</v>
      </c>
      <c r="G89" s="5" t="s">
        <v>473</v>
      </c>
      <c r="H89" s="5" t="s">
        <v>471</v>
      </c>
      <c r="I89" s="5" t="s">
        <v>45</v>
      </c>
      <c r="J89" s="5" t="s">
        <v>64</v>
      </c>
      <c r="K89" s="5" t="s">
        <v>132</v>
      </c>
      <c r="L89" s="5" t="s">
        <v>23</v>
      </c>
      <c r="M89" s="7" t="str">
        <f t="shared" si="2"/>
        <v>OK</v>
      </c>
      <c r="N89" s="7"/>
      <c r="O89" s="7"/>
      <c r="P89" s="7"/>
      <c r="Q89" s="7"/>
      <c r="R89" s="7"/>
      <c r="S89" s="7"/>
      <c r="T89" s="7"/>
      <c r="U89" s="7"/>
      <c r="V89" s="7"/>
      <c r="W89" s="7"/>
      <c r="X89" s="7"/>
      <c r="Y89" s="7"/>
      <c r="Z89" s="7"/>
    </row>
    <row r="90" ht="15.75" customHeight="1">
      <c r="A90" s="4" t="s">
        <v>474</v>
      </c>
      <c r="B90" s="5" t="s">
        <v>25</v>
      </c>
      <c r="C90" s="5" t="s">
        <v>15</v>
      </c>
      <c r="D90" s="4" t="s">
        <v>475</v>
      </c>
      <c r="E90" s="4" t="s">
        <v>476</v>
      </c>
      <c r="F90" s="4" t="s">
        <v>477</v>
      </c>
      <c r="G90" s="4" t="s">
        <v>478</v>
      </c>
      <c r="H90" s="5" t="s">
        <v>476</v>
      </c>
      <c r="I90" s="5" t="s">
        <v>30</v>
      </c>
      <c r="J90" s="5" t="s">
        <v>31</v>
      </c>
      <c r="K90" s="5" t="s">
        <v>22</v>
      </c>
      <c r="L90" s="5" t="s">
        <v>39</v>
      </c>
      <c r="M90" s="7" t="str">
        <f t="shared" si="2"/>
        <v>OK</v>
      </c>
      <c r="N90" s="7"/>
      <c r="O90" s="7"/>
      <c r="P90" s="7"/>
      <c r="Q90" s="7"/>
      <c r="R90" s="7"/>
      <c r="S90" s="7"/>
      <c r="T90" s="7"/>
      <c r="U90" s="7"/>
      <c r="V90" s="7"/>
      <c r="W90" s="7"/>
      <c r="X90" s="7"/>
      <c r="Y90" s="7"/>
      <c r="Z90" s="7"/>
    </row>
    <row r="91" ht="15.75" customHeight="1">
      <c r="A91" s="4" t="s">
        <v>479</v>
      </c>
      <c r="B91" s="5" t="s">
        <v>14</v>
      </c>
      <c r="C91" s="5" t="s">
        <v>15</v>
      </c>
      <c r="D91" s="5" t="s">
        <v>480</v>
      </c>
      <c r="E91" s="6" t="s">
        <v>481</v>
      </c>
      <c r="F91" s="6" t="s">
        <v>482</v>
      </c>
      <c r="G91" s="6" t="s">
        <v>483</v>
      </c>
      <c r="H91" s="6" t="s">
        <v>483</v>
      </c>
      <c r="I91" s="5" t="s">
        <v>64</v>
      </c>
      <c r="J91" s="5" t="s">
        <v>21</v>
      </c>
      <c r="K91" s="5" t="s">
        <v>58</v>
      </c>
      <c r="L91" s="5" t="s">
        <v>132</v>
      </c>
      <c r="M91" s="7" t="str">
        <f t="shared" si="2"/>
        <v>OK</v>
      </c>
      <c r="N91" s="7"/>
      <c r="O91" s="7"/>
      <c r="P91" s="7"/>
      <c r="Q91" s="7"/>
      <c r="R91" s="7"/>
      <c r="S91" s="7"/>
      <c r="T91" s="7"/>
      <c r="U91" s="7"/>
      <c r="V91" s="7"/>
      <c r="W91" s="7"/>
      <c r="X91" s="7"/>
      <c r="Y91" s="7"/>
      <c r="Z91" s="7"/>
    </row>
    <row r="92" ht="15.75" customHeight="1">
      <c r="A92" s="9" t="s">
        <v>484</v>
      </c>
      <c r="B92" s="10" t="s">
        <v>14</v>
      </c>
      <c r="C92" s="10" t="s">
        <v>15</v>
      </c>
      <c r="D92" s="9" t="s">
        <v>485</v>
      </c>
      <c r="E92" s="9" t="s">
        <v>486</v>
      </c>
      <c r="F92" s="9" t="s">
        <v>487</v>
      </c>
      <c r="G92" s="10" t="s">
        <v>488</v>
      </c>
      <c r="H92" s="10" t="s">
        <v>488</v>
      </c>
      <c r="I92" s="10" t="s">
        <v>45</v>
      </c>
      <c r="J92" s="10" t="s">
        <v>20</v>
      </c>
      <c r="K92" s="10" t="s">
        <v>38</v>
      </c>
      <c r="L92" s="10" t="s">
        <v>46</v>
      </c>
      <c r="M92" s="11" t="str">
        <f t="shared" si="2"/>
        <v>OK</v>
      </c>
      <c r="N92" s="11"/>
      <c r="O92" s="11"/>
      <c r="P92" s="11"/>
      <c r="Q92" s="11"/>
      <c r="R92" s="11"/>
      <c r="S92" s="11"/>
      <c r="T92" s="11"/>
      <c r="U92" s="11"/>
      <c r="V92" s="11"/>
      <c r="W92" s="11"/>
      <c r="X92" s="11"/>
      <c r="Y92" s="11"/>
      <c r="Z92" s="11"/>
    </row>
    <row r="93" ht="15.75" customHeight="1">
      <c r="A93" s="4" t="s">
        <v>489</v>
      </c>
      <c r="B93" s="5" t="s">
        <v>25</v>
      </c>
      <c r="C93" s="5" t="s">
        <v>15</v>
      </c>
      <c r="D93" s="5" t="s">
        <v>490</v>
      </c>
      <c r="E93" s="5" t="s">
        <v>491</v>
      </c>
      <c r="F93" s="5" t="s">
        <v>492</v>
      </c>
      <c r="G93" s="5" t="s">
        <v>493</v>
      </c>
      <c r="H93" s="5" t="s">
        <v>491</v>
      </c>
      <c r="I93" s="5" t="s">
        <v>65</v>
      </c>
      <c r="J93" s="5" t="s">
        <v>45</v>
      </c>
      <c r="K93" s="5" t="s">
        <v>57</v>
      </c>
      <c r="L93" s="5" t="s">
        <v>23</v>
      </c>
      <c r="M93" s="7" t="str">
        <f t="shared" si="2"/>
        <v>OK</v>
      </c>
      <c r="N93" s="7"/>
      <c r="O93" s="7"/>
      <c r="P93" s="7"/>
      <c r="Q93" s="7"/>
      <c r="R93" s="7"/>
      <c r="S93" s="7"/>
      <c r="T93" s="7"/>
      <c r="U93" s="7"/>
      <c r="V93" s="7"/>
      <c r="W93" s="7"/>
      <c r="X93" s="7"/>
      <c r="Y93" s="7"/>
      <c r="Z93" s="7"/>
    </row>
    <row r="94">
      <c r="A94" s="4" t="s">
        <v>494</v>
      </c>
      <c r="B94" s="5" t="s">
        <v>25</v>
      </c>
      <c r="C94" s="5" t="s">
        <v>15</v>
      </c>
      <c r="D94" s="5" t="s">
        <v>495</v>
      </c>
      <c r="E94" s="5" t="s">
        <v>496</v>
      </c>
      <c r="F94" s="5" t="s">
        <v>497</v>
      </c>
      <c r="G94" s="5" t="s">
        <v>498</v>
      </c>
      <c r="H94" s="5" t="s">
        <v>496</v>
      </c>
      <c r="I94" s="5" t="s">
        <v>21</v>
      </c>
      <c r="J94" s="5" t="s">
        <v>20</v>
      </c>
      <c r="K94" s="5" t="s">
        <v>132</v>
      </c>
      <c r="L94" s="5" t="s">
        <v>39</v>
      </c>
      <c r="M94" s="7" t="str">
        <f t="shared" si="2"/>
        <v>OK</v>
      </c>
      <c r="N94" s="7"/>
      <c r="O94" s="7"/>
      <c r="P94" s="7"/>
      <c r="Q94" s="7"/>
      <c r="R94" s="7"/>
      <c r="S94" s="7"/>
      <c r="T94" s="7"/>
      <c r="U94" s="7"/>
      <c r="V94" s="7"/>
      <c r="W94" s="7"/>
      <c r="X94" s="7"/>
      <c r="Y94" s="7"/>
      <c r="Z94" s="7"/>
    </row>
    <row r="95" ht="15.75" customHeight="1">
      <c r="A95" s="4" t="s">
        <v>499</v>
      </c>
      <c r="B95" s="5" t="s">
        <v>25</v>
      </c>
      <c r="C95" s="5" t="s">
        <v>15</v>
      </c>
      <c r="D95" s="5" t="s">
        <v>500</v>
      </c>
      <c r="E95" s="5" t="s">
        <v>501</v>
      </c>
      <c r="F95" s="5" t="s">
        <v>502</v>
      </c>
      <c r="G95" s="5" t="s">
        <v>503</v>
      </c>
      <c r="H95" s="5" t="s">
        <v>503</v>
      </c>
      <c r="I95" s="5" t="s">
        <v>31</v>
      </c>
      <c r="J95" s="5" t="s">
        <v>20</v>
      </c>
      <c r="K95" s="5" t="s">
        <v>132</v>
      </c>
      <c r="L95" s="5" t="s">
        <v>46</v>
      </c>
      <c r="M95" s="7" t="str">
        <f t="shared" si="2"/>
        <v>OK</v>
      </c>
      <c r="N95" s="7"/>
      <c r="O95" s="7"/>
      <c r="P95" s="7"/>
      <c r="Q95" s="7"/>
      <c r="R95" s="7"/>
      <c r="S95" s="7"/>
      <c r="T95" s="7"/>
      <c r="U95" s="7"/>
      <c r="V95" s="7"/>
      <c r="W95" s="7"/>
      <c r="X95" s="7"/>
      <c r="Y95" s="7"/>
      <c r="Z95" s="7"/>
    </row>
    <row r="96" ht="15.75" customHeight="1">
      <c r="A96" s="4" t="s">
        <v>504</v>
      </c>
      <c r="B96" s="5" t="s">
        <v>14</v>
      </c>
      <c r="C96" s="5" t="s">
        <v>15</v>
      </c>
      <c r="D96" s="5" t="s">
        <v>505</v>
      </c>
      <c r="E96" s="6" t="s">
        <v>506</v>
      </c>
      <c r="F96" s="6" t="s">
        <v>507</v>
      </c>
      <c r="G96" s="6" t="s">
        <v>508</v>
      </c>
      <c r="H96" s="6" t="s">
        <v>508</v>
      </c>
      <c r="I96" s="5" t="s">
        <v>21</v>
      </c>
      <c r="J96" s="5" t="s">
        <v>65</v>
      </c>
      <c r="K96" s="5" t="s">
        <v>23</v>
      </c>
      <c r="L96" s="5" t="s">
        <v>66</v>
      </c>
      <c r="M96" s="7" t="str">
        <f t="shared" si="2"/>
        <v>OK</v>
      </c>
      <c r="N96" s="7"/>
      <c r="O96" s="7"/>
      <c r="P96" s="7"/>
      <c r="Q96" s="7"/>
      <c r="R96" s="7"/>
      <c r="S96" s="7"/>
      <c r="T96" s="7"/>
      <c r="U96" s="7"/>
      <c r="V96" s="7"/>
      <c r="W96" s="7"/>
      <c r="X96" s="7"/>
      <c r="Y96" s="7"/>
      <c r="Z96" s="7"/>
    </row>
    <row r="97" ht="15.75" customHeight="1">
      <c r="A97" s="4" t="s">
        <v>509</v>
      </c>
      <c r="B97" s="5" t="s">
        <v>14</v>
      </c>
      <c r="C97" s="5" t="s">
        <v>15</v>
      </c>
      <c r="D97" s="5" t="s">
        <v>510</v>
      </c>
      <c r="E97" s="6" t="s">
        <v>511</v>
      </c>
      <c r="F97" s="6" t="s">
        <v>512</v>
      </c>
      <c r="G97" s="6" t="s">
        <v>513</v>
      </c>
      <c r="H97" s="6" t="s">
        <v>513</v>
      </c>
      <c r="I97" s="5" t="s">
        <v>21</v>
      </c>
      <c r="J97" s="5" t="s">
        <v>20</v>
      </c>
      <c r="K97" s="5" t="s">
        <v>23</v>
      </c>
      <c r="L97" s="5" t="s">
        <v>132</v>
      </c>
      <c r="M97" s="7" t="str">
        <f t="shared" si="2"/>
        <v>OK</v>
      </c>
      <c r="N97" s="7"/>
      <c r="O97" s="7"/>
      <c r="P97" s="7"/>
      <c r="Q97" s="7"/>
      <c r="R97" s="7"/>
      <c r="S97" s="7"/>
      <c r="T97" s="7"/>
      <c r="U97" s="7"/>
      <c r="V97" s="7"/>
      <c r="W97" s="7"/>
      <c r="X97" s="7"/>
      <c r="Y97" s="7"/>
      <c r="Z97" s="7"/>
    </row>
    <row r="98" ht="15.75" customHeight="1">
      <c r="A98" s="4" t="s">
        <v>514</v>
      </c>
      <c r="B98" s="5" t="s">
        <v>25</v>
      </c>
      <c r="C98" s="5" t="s">
        <v>15</v>
      </c>
      <c r="D98" s="5" t="s">
        <v>515</v>
      </c>
      <c r="E98" s="5" t="s">
        <v>516</v>
      </c>
      <c r="F98" s="5" t="s">
        <v>517</v>
      </c>
      <c r="G98" s="5" t="s">
        <v>518</v>
      </c>
      <c r="H98" s="5" t="s">
        <v>517</v>
      </c>
      <c r="I98" s="5" t="s">
        <v>31</v>
      </c>
      <c r="J98" s="5" t="s">
        <v>20</v>
      </c>
      <c r="K98" s="5" t="s">
        <v>58</v>
      </c>
      <c r="L98" s="5" t="s">
        <v>132</v>
      </c>
      <c r="M98" s="7" t="str">
        <f t="shared" si="2"/>
        <v>OK</v>
      </c>
      <c r="N98" s="7"/>
      <c r="O98" s="7"/>
      <c r="P98" s="7"/>
      <c r="Q98" s="7"/>
      <c r="R98" s="7"/>
      <c r="S98" s="7"/>
      <c r="T98" s="7"/>
      <c r="U98" s="7"/>
      <c r="V98" s="7"/>
      <c r="W98" s="7"/>
      <c r="X98" s="7"/>
      <c r="Y98" s="7"/>
      <c r="Z98" s="7"/>
    </row>
    <row r="99" ht="15.75" customHeight="1">
      <c r="A99" s="4" t="s">
        <v>519</v>
      </c>
      <c r="B99" s="5" t="s">
        <v>14</v>
      </c>
      <c r="C99" s="5" t="s">
        <v>15</v>
      </c>
      <c r="D99" s="5" t="s">
        <v>520</v>
      </c>
      <c r="E99" s="6" t="s">
        <v>521</v>
      </c>
      <c r="F99" s="6" t="s">
        <v>522</v>
      </c>
      <c r="G99" s="6" t="s">
        <v>523</v>
      </c>
      <c r="H99" s="6" t="s">
        <v>523</v>
      </c>
      <c r="I99" s="5" t="s">
        <v>21</v>
      </c>
      <c r="J99" s="5" t="s">
        <v>31</v>
      </c>
      <c r="K99" s="5" t="s">
        <v>23</v>
      </c>
      <c r="L99" s="5" t="s">
        <v>22</v>
      </c>
      <c r="M99" s="7" t="str">
        <f t="shared" si="2"/>
        <v>OK</v>
      </c>
      <c r="N99" s="7"/>
      <c r="O99" s="7"/>
      <c r="P99" s="7"/>
      <c r="Q99" s="7"/>
      <c r="R99" s="7"/>
      <c r="S99" s="7"/>
      <c r="T99" s="7"/>
      <c r="U99" s="7"/>
      <c r="V99" s="7"/>
      <c r="W99" s="7"/>
      <c r="X99" s="7"/>
      <c r="Y99" s="7"/>
      <c r="Z99" s="7"/>
    </row>
    <row r="100" ht="15.75" customHeight="1">
      <c r="A100" s="4" t="s">
        <v>524</v>
      </c>
      <c r="B100" s="5" t="s">
        <v>25</v>
      </c>
      <c r="C100" s="5" t="s">
        <v>15</v>
      </c>
      <c r="D100" s="5" t="s">
        <v>525</v>
      </c>
      <c r="E100" s="5" t="s">
        <v>526</v>
      </c>
      <c r="F100" s="5" t="s">
        <v>527</v>
      </c>
      <c r="G100" s="5" t="s">
        <v>528</v>
      </c>
      <c r="H100" s="5" t="s">
        <v>529</v>
      </c>
      <c r="I100" s="5" t="s">
        <v>37</v>
      </c>
      <c r="J100" s="5" t="s">
        <v>21</v>
      </c>
      <c r="K100" s="5" t="s">
        <v>58</v>
      </c>
      <c r="L100" s="5" t="s">
        <v>66</v>
      </c>
      <c r="M100" s="7" t="str">
        <f t="shared" si="2"/>
        <v>OK</v>
      </c>
      <c r="N100" s="7"/>
      <c r="O100" s="7"/>
      <c r="P100" s="7"/>
      <c r="Q100" s="7"/>
      <c r="R100" s="7"/>
      <c r="S100" s="7"/>
      <c r="T100" s="7"/>
      <c r="U100" s="7"/>
      <c r="V100" s="7"/>
      <c r="W100" s="7"/>
      <c r="X100" s="7"/>
      <c r="Y100" s="7"/>
      <c r="Z100" s="7"/>
    </row>
    <row r="101" ht="15.75" customHeight="1">
      <c r="A101" s="4" t="s">
        <v>530</v>
      </c>
      <c r="B101" s="5" t="s">
        <v>25</v>
      </c>
      <c r="C101" s="5" t="s">
        <v>15</v>
      </c>
      <c r="D101" s="5" t="s">
        <v>531</v>
      </c>
      <c r="E101" s="5" t="s">
        <v>532</v>
      </c>
      <c r="F101" s="5" t="s">
        <v>533</v>
      </c>
      <c r="G101" s="5" t="s">
        <v>534</v>
      </c>
      <c r="H101" s="5" t="s">
        <v>533</v>
      </c>
      <c r="I101" s="5" t="s">
        <v>21</v>
      </c>
      <c r="J101" s="5" t="s">
        <v>31</v>
      </c>
      <c r="K101" s="5" t="s">
        <v>57</v>
      </c>
      <c r="L101" s="5" t="s">
        <v>132</v>
      </c>
      <c r="M101" s="7" t="str">
        <f t="shared" si="2"/>
        <v>OK</v>
      </c>
      <c r="N101" s="7"/>
      <c r="O101" s="7"/>
      <c r="P101" s="7"/>
      <c r="Q101" s="7"/>
      <c r="R101" s="7"/>
      <c r="S101" s="7"/>
      <c r="T101" s="7"/>
      <c r="U101" s="7"/>
      <c r="V101" s="7"/>
      <c r="W101" s="7"/>
      <c r="X101" s="7"/>
      <c r="Y101" s="7"/>
      <c r="Z101" s="7"/>
    </row>
    <row r="102" ht="15.75" customHeight="1">
      <c r="A102" s="4" t="s">
        <v>535</v>
      </c>
      <c r="B102" s="5" t="s">
        <v>25</v>
      </c>
      <c r="C102" s="5" t="s">
        <v>15</v>
      </c>
      <c r="D102" s="5" t="s">
        <v>536</v>
      </c>
      <c r="E102" s="5" t="s">
        <v>537</v>
      </c>
      <c r="F102" s="5" t="s">
        <v>538</v>
      </c>
      <c r="G102" s="5" t="s">
        <v>539</v>
      </c>
      <c r="H102" s="5" t="s">
        <v>539</v>
      </c>
      <c r="I102" s="5" t="s">
        <v>30</v>
      </c>
      <c r="J102" s="5" t="s">
        <v>20</v>
      </c>
      <c r="K102" s="5" t="s">
        <v>58</v>
      </c>
      <c r="L102" s="5" t="s">
        <v>132</v>
      </c>
      <c r="M102" s="7" t="str">
        <f t="shared" si="2"/>
        <v>OK</v>
      </c>
      <c r="N102" s="7"/>
      <c r="O102" s="7"/>
      <c r="P102" s="7"/>
      <c r="Q102" s="7"/>
      <c r="R102" s="7"/>
      <c r="S102" s="7"/>
      <c r="T102" s="7"/>
      <c r="U102" s="7"/>
      <c r="V102" s="7"/>
      <c r="W102" s="7"/>
      <c r="X102" s="7"/>
      <c r="Y102" s="7"/>
      <c r="Z102" s="7"/>
    </row>
    <row r="103" ht="15.75" customHeight="1">
      <c r="A103" s="4" t="s">
        <v>540</v>
      </c>
      <c r="B103" s="5" t="s">
        <v>14</v>
      </c>
      <c r="C103" s="5" t="s">
        <v>15</v>
      </c>
      <c r="D103" s="5" t="s">
        <v>541</v>
      </c>
      <c r="E103" s="6" t="s">
        <v>542</v>
      </c>
      <c r="F103" s="6" t="s">
        <v>543</v>
      </c>
      <c r="G103" s="6" t="s">
        <v>544</v>
      </c>
      <c r="H103" s="6" t="s">
        <v>544</v>
      </c>
      <c r="I103" s="5" t="s">
        <v>64</v>
      </c>
      <c r="J103" s="5" t="s">
        <v>37</v>
      </c>
      <c r="K103" s="5" t="s">
        <v>39</v>
      </c>
      <c r="L103" s="5" t="s">
        <v>46</v>
      </c>
      <c r="M103" s="7" t="str">
        <f t="shared" si="2"/>
        <v>OK</v>
      </c>
      <c r="N103" s="7"/>
      <c r="O103" s="7"/>
      <c r="P103" s="7"/>
      <c r="Q103" s="7"/>
      <c r="R103" s="7"/>
      <c r="S103" s="7"/>
      <c r="T103" s="7"/>
      <c r="U103" s="7"/>
      <c r="V103" s="7"/>
      <c r="W103" s="7"/>
      <c r="X103" s="7"/>
      <c r="Y103" s="7"/>
      <c r="Z103" s="7"/>
    </row>
    <row r="104" ht="15.75" customHeight="1">
      <c r="A104" s="4" t="s">
        <v>545</v>
      </c>
      <c r="B104" s="5" t="s">
        <v>25</v>
      </c>
      <c r="C104" s="5" t="s">
        <v>15</v>
      </c>
      <c r="D104" s="5" t="s">
        <v>546</v>
      </c>
      <c r="E104" s="5" t="s">
        <v>547</v>
      </c>
      <c r="F104" s="5" t="s">
        <v>548</v>
      </c>
      <c r="G104" s="5" t="s">
        <v>549</v>
      </c>
      <c r="H104" s="5" t="s">
        <v>549</v>
      </c>
      <c r="I104" s="5" t="s">
        <v>21</v>
      </c>
      <c r="J104" s="5" t="s">
        <v>31</v>
      </c>
      <c r="K104" s="5" t="s">
        <v>38</v>
      </c>
      <c r="L104" s="5" t="s">
        <v>22</v>
      </c>
      <c r="M104" s="7" t="str">
        <f t="shared" si="2"/>
        <v>OK</v>
      </c>
      <c r="N104" s="7"/>
      <c r="O104" s="7"/>
      <c r="P104" s="7"/>
      <c r="Q104" s="7"/>
      <c r="R104" s="7"/>
      <c r="S104" s="7"/>
      <c r="T104" s="7"/>
      <c r="U104" s="7"/>
      <c r="V104" s="7"/>
      <c r="W104" s="7"/>
      <c r="X104" s="7"/>
      <c r="Y104" s="7"/>
      <c r="Z104" s="7"/>
    </row>
    <row r="105" ht="15.75" customHeight="1">
      <c r="A105" s="4" t="s">
        <v>550</v>
      </c>
      <c r="B105" s="5" t="s">
        <v>14</v>
      </c>
      <c r="C105" s="5" t="s">
        <v>15</v>
      </c>
      <c r="D105" s="5" t="s">
        <v>551</v>
      </c>
      <c r="E105" s="6" t="s">
        <v>552</v>
      </c>
      <c r="F105" s="6" t="s">
        <v>553</v>
      </c>
      <c r="G105" s="5" t="s">
        <v>554</v>
      </c>
      <c r="H105" s="5" t="s">
        <v>554</v>
      </c>
      <c r="I105" s="5" t="s">
        <v>21</v>
      </c>
      <c r="J105" s="5" t="s">
        <v>20</v>
      </c>
      <c r="K105" s="5" t="s">
        <v>57</v>
      </c>
      <c r="L105" s="5" t="s">
        <v>38</v>
      </c>
      <c r="M105" s="7" t="str">
        <f t="shared" si="2"/>
        <v>OK</v>
      </c>
      <c r="N105" s="7"/>
      <c r="O105" s="7"/>
      <c r="P105" s="7"/>
      <c r="Q105" s="7"/>
      <c r="R105" s="7"/>
      <c r="S105" s="7"/>
      <c r="T105" s="7"/>
      <c r="U105" s="7"/>
      <c r="V105" s="7"/>
      <c r="W105" s="7"/>
      <c r="X105" s="7"/>
      <c r="Y105" s="7"/>
      <c r="Z105" s="7"/>
    </row>
    <row r="106" ht="15.75" customHeight="1">
      <c r="A106" s="4" t="s">
        <v>555</v>
      </c>
      <c r="B106" s="5" t="s">
        <v>25</v>
      </c>
      <c r="C106" s="5" t="s">
        <v>15</v>
      </c>
      <c r="D106" s="5" t="s">
        <v>556</v>
      </c>
      <c r="E106" s="5" t="s">
        <v>557</v>
      </c>
      <c r="F106" s="5" t="s">
        <v>558</v>
      </c>
      <c r="G106" s="5" t="s">
        <v>559</v>
      </c>
      <c r="H106" s="5" t="s">
        <v>559</v>
      </c>
      <c r="I106" s="5" t="s">
        <v>30</v>
      </c>
      <c r="J106" s="5" t="s">
        <v>45</v>
      </c>
      <c r="K106" s="5" t="s">
        <v>46</v>
      </c>
      <c r="L106" s="5" t="s">
        <v>39</v>
      </c>
      <c r="M106" s="7" t="str">
        <f t="shared" si="2"/>
        <v>OK</v>
      </c>
      <c r="N106" s="7"/>
      <c r="O106" s="7"/>
      <c r="P106" s="7"/>
      <c r="Q106" s="7"/>
      <c r="R106" s="7"/>
      <c r="S106" s="7"/>
      <c r="T106" s="7"/>
      <c r="U106" s="7"/>
      <c r="V106" s="7"/>
      <c r="W106" s="7"/>
      <c r="X106" s="7"/>
      <c r="Y106" s="7"/>
      <c r="Z106" s="7"/>
    </row>
    <row r="107" ht="15.75" customHeight="1">
      <c r="A107" s="4" t="s">
        <v>560</v>
      </c>
      <c r="B107" s="5" t="s">
        <v>25</v>
      </c>
      <c r="C107" s="5" t="s">
        <v>15</v>
      </c>
      <c r="D107" s="5" t="s">
        <v>561</v>
      </c>
      <c r="E107" s="5" t="s">
        <v>562</v>
      </c>
      <c r="F107" s="5" t="s">
        <v>563</v>
      </c>
      <c r="G107" s="5" t="s">
        <v>564</v>
      </c>
      <c r="H107" s="5" t="s">
        <v>565</v>
      </c>
      <c r="I107" s="5" t="s">
        <v>30</v>
      </c>
      <c r="J107" s="5" t="s">
        <v>64</v>
      </c>
      <c r="K107" s="5" t="s">
        <v>58</v>
      </c>
      <c r="L107" s="5" t="s">
        <v>132</v>
      </c>
      <c r="M107" s="7" t="str">
        <f t="shared" si="2"/>
        <v>OK</v>
      </c>
      <c r="N107" s="7"/>
      <c r="O107" s="7"/>
      <c r="P107" s="7"/>
      <c r="Q107" s="7"/>
      <c r="R107" s="7"/>
      <c r="S107" s="7"/>
      <c r="T107" s="7"/>
      <c r="U107" s="7"/>
      <c r="V107" s="7"/>
      <c r="W107" s="7"/>
      <c r="X107" s="7"/>
      <c r="Y107" s="7"/>
      <c r="Z107" s="7"/>
    </row>
    <row r="108" ht="15.75" customHeight="1">
      <c r="A108" s="4" t="s">
        <v>566</v>
      </c>
      <c r="B108" s="5" t="s">
        <v>25</v>
      </c>
      <c r="C108" s="5" t="s">
        <v>15</v>
      </c>
      <c r="D108" s="5" t="s">
        <v>567</v>
      </c>
      <c r="E108" s="5" t="s">
        <v>568</v>
      </c>
      <c r="F108" s="5" t="s">
        <v>569</v>
      </c>
      <c r="G108" s="5" t="s">
        <v>570</v>
      </c>
      <c r="H108" s="5" t="s">
        <v>568</v>
      </c>
      <c r="I108" s="5" t="s">
        <v>64</v>
      </c>
      <c r="J108" s="5" t="s">
        <v>31</v>
      </c>
      <c r="K108" s="5" t="s">
        <v>66</v>
      </c>
      <c r="L108" s="5" t="s">
        <v>39</v>
      </c>
      <c r="M108" s="7" t="str">
        <f t="shared" si="2"/>
        <v>OK</v>
      </c>
      <c r="N108" s="7"/>
      <c r="O108" s="7"/>
      <c r="P108" s="7"/>
      <c r="Q108" s="7"/>
      <c r="R108" s="7"/>
      <c r="S108" s="7"/>
      <c r="T108" s="7"/>
      <c r="U108" s="7"/>
      <c r="V108" s="7"/>
      <c r="W108" s="7"/>
      <c r="X108" s="7"/>
      <c r="Y108" s="7"/>
      <c r="Z108" s="7"/>
    </row>
    <row r="109" ht="15.75" customHeight="1">
      <c r="A109" s="4" t="s">
        <v>571</v>
      </c>
      <c r="B109" s="5" t="s">
        <v>14</v>
      </c>
      <c r="C109" s="5" t="s">
        <v>15</v>
      </c>
      <c r="D109" s="5" t="s">
        <v>572</v>
      </c>
      <c r="E109" s="6" t="s">
        <v>573</v>
      </c>
      <c r="F109" s="6" t="s">
        <v>574</v>
      </c>
      <c r="G109" s="6" t="s">
        <v>575</v>
      </c>
      <c r="H109" s="6" t="s">
        <v>575</v>
      </c>
      <c r="I109" s="5" t="s">
        <v>45</v>
      </c>
      <c r="J109" s="5" t="s">
        <v>64</v>
      </c>
      <c r="K109" s="5" t="s">
        <v>58</v>
      </c>
      <c r="L109" s="5" t="s">
        <v>46</v>
      </c>
      <c r="M109" s="7" t="str">
        <f t="shared" si="2"/>
        <v>OK</v>
      </c>
      <c r="N109" s="7"/>
      <c r="O109" s="7"/>
      <c r="P109" s="7"/>
      <c r="Q109" s="7"/>
      <c r="R109" s="7"/>
      <c r="S109" s="7"/>
      <c r="T109" s="7"/>
      <c r="U109" s="7"/>
      <c r="V109" s="7"/>
      <c r="W109" s="7"/>
      <c r="X109" s="7"/>
      <c r="Y109" s="7"/>
      <c r="Z109" s="7"/>
    </row>
    <row r="110" ht="15.75" customHeight="1">
      <c r="A110" s="4" t="s">
        <v>576</v>
      </c>
      <c r="B110" s="5" t="s">
        <v>14</v>
      </c>
      <c r="C110" s="5" t="s">
        <v>15</v>
      </c>
      <c r="D110" s="5" t="s">
        <v>577</v>
      </c>
      <c r="E110" s="6" t="s">
        <v>578</v>
      </c>
      <c r="F110" s="6" t="s">
        <v>579</v>
      </c>
      <c r="G110" s="6" t="s">
        <v>580</v>
      </c>
      <c r="H110" s="6" t="s">
        <v>580</v>
      </c>
      <c r="I110" s="5" t="s">
        <v>37</v>
      </c>
      <c r="J110" s="5" t="s">
        <v>31</v>
      </c>
      <c r="K110" s="5" t="s">
        <v>58</v>
      </c>
      <c r="L110" s="5" t="s">
        <v>46</v>
      </c>
      <c r="M110" s="7" t="str">
        <f t="shared" si="2"/>
        <v>OK</v>
      </c>
      <c r="N110" s="7"/>
      <c r="O110" s="7"/>
      <c r="P110" s="7"/>
      <c r="Q110" s="7"/>
      <c r="R110" s="7"/>
      <c r="S110" s="7"/>
      <c r="T110" s="7"/>
      <c r="U110" s="7"/>
      <c r="V110" s="7"/>
      <c r="W110" s="7"/>
      <c r="X110" s="7"/>
      <c r="Y110" s="7"/>
      <c r="Z110" s="7"/>
    </row>
    <row r="111" ht="15.75" customHeight="1">
      <c r="A111" s="4" t="s">
        <v>581</v>
      </c>
      <c r="B111" s="5" t="s">
        <v>25</v>
      </c>
      <c r="C111" s="5" t="s">
        <v>15</v>
      </c>
      <c r="D111" s="5" t="s">
        <v>582</v>
      </c>
      <c r="E111" s="5" t="s">
        <v>583</v>
      </c>
      <c r="F111" s="5" t="s">
        <v>584</v>
      </c>
      <c r="G111" s="5" t="s">
        <v>585</v>
      </c>
      <c r="H111" s="5" t="s">
        <v>585</v>
      </c>
      <c r="I111" s="5" t="s">
        <v>21</v>
      </c>
      <c r="J111" s="5" t="s">
        <v>37</v>
      </c>
      <c r="K111" s="5" t="s">
        <v>132</v>
      </c>
      <c r="L111" s="5" t="s">
        <v>58</v>
      </c>
      <c r="M111" s="7" t="str">
        <f t="shared" si="2"/>
        <v>OK</v>
      </c>
      <c r="N111" s="7"/>
      <c r="O111" s="7"/>
      <c r="P111" s="7"/>
      <c r="Q111" s="7"/>
      <c r="R111" s="7"/>
      <c r="S111" s="7"/>
      <c r="T111" s="7"/>
      <c r="U111" s="7"/>
      <c r="V111" s="7"/>
      <c r="W111" s="7"/>
      <c r="X111" s="7"/>
      <c r="Y111" s="7"/>
      <c r="Z111" s="7"/>
    </row>
    <row r="112" ht="15.75" customHeight="1">
      <c r="A112" s="4" t="s">
        <v>586</v>
      </c>
      <c r="B112" s="5" t="s">
        <v>14</v>
      </c>
      <c r="C112" s="5" t="s">
        <v>15</v>
      </c>
      <c r="D112" s="5" t="s">
        <v>587</v>
      </c>
      <c r="E112" s="5" t="s">
        <v>588</v>
      </c>
      <c r="F112" s="5" t="s">
        <v>589</v>
      </c>
      <c r="G112" s="5" t="s">
        <v>590</v>
      </c>
      <c r="H112" s="5" t="s">
        <v>589</v>
      </c>
      <c r="I112" s="5" t="s">
        <v>21</v>
      </c>
      <c r="J112" s="5" t="s">
        <v>20</v>
      </c>
      <c r="K112" s="5" t="s">
        <v>38</v>
      </c>
      <c r="L112" s="5" t="s">
        <v>22</v>
      </c>
      <c r="M112" s="7" t="str">
        <f t="shared" si="2"/>
        <v>OK</v>
      </c>
      <c r="N112" s="7"/>
      <c r="O112" s="7"/>
      <c r="P112" s="7"/>
      <c r="Q112" s="7"/>
      <c r="R112" s="7"/>
      <c r="S112" s="7"/>
      <c r="T112" s="7"/>
      <c r="U112" s="7"/>
      <c r="V112" s="7"/>
      <c r="W112" s="7"/>
      <c r="X112" s="7"/>
      <c r="Y112" s="7"/>
      <c r="Z112" s="7"/>
    </row>
    <row r="113" ht="15.75" customHeight="1">
      <c r="A113" s="4" t="s">
        <v>591</v>
      </c>
      <c r="B113" s="5" t="s">
        <v>25</v>
      </c>
      <c r="C113" s="5" t="s">
        <v>15</v>
      </c>
      <c r="D113" s="5" t="s">
        <v>592</v>
      </c>
      <c r="E113" s="5" t="s">
        <v>593</v>
      </c>
      <c r="F113" s="5" t="s">
        <v>594</v>
      </c>
      <c r="G113" s="5" t="s">
        <v>595</v>
      </c>
      <c r="H113" s="5" t="s">
        <v>593</v>
      </c>
      <c r="I113" s="5" t="s">
        <v>45</v>
      </c>
      <c r="J113" s="5" t="s">
        <v>20</v>
      </c>
      <c r="K113" s="5" t="s">
        <v>58</v>
      </c>
      <c r="L113" s="5" t="s">
        <v>46</v>
      </c>
      <c r="M113" s="7" t="str">
        <f t="shared" si="2"/>
        <v>OK</v>
      </c>
      <c r="N113" s="7"/>
      <c r="O113" s="7"/>
      <c r="P113" s="7"/>
      <c r="Q113" s="7"/>
      <c r="R113" s="7"/>
      <c r="S113" s="7"/>
      <c r="T113" s="7"/>
      <c r="U113" s="7"/>
      <c r="V113" s="7"/>
      <c r="W113" s="7"/>
      <c r="X113" s="7"/>
      <c r="Y113" s="7"/>
      <c r="Z113" s="7"/>
    </row>
    <row r="114" ht="15.75" customHeight="1">
      <c r="A114" s="4" t="s">
        <v>596</v>
      </c>
      <c r="B114" s="5" t="s">
        <v>25</v>
      </c>
      <c r="C114" s="5" t="s">
        <v>15</v>
      </c>
      <c r="D114" s="4" t="s">
        <v>597</v>
      </c>
      <c r="E114" s="4" t="s">
        <v>598</v>
      </c>
      <c r="F114" s="4" t="s">
        <v>599</v>
      </c>
      <c r="G114" s="4" t="s">
        <v>600</v>
      </c>
      <c r="H114" s="5" t="s">
        <v>600</v>
      </c>
      <c r="I114" s="5" t="s">
        <v>64</v>
      </c>
      <c r="J114" s="5" t="s">
        <v>37</v>
      </c>
      <c r="K114" s="5" t="s">
        <v>39</v>
      </c>
      <c r="L114" s="5" t="s">
        <v>46</v>
      </c>
      <c r="M114" s="7" t="str">
        <f t="shared" si="2"/>
        <v>OK</v>
      </c>
      <c r="N114" s="7"/>
      <c r="O114" s="7"/>
      <c r="P114" s="7"/>
      <c r="Q114" s="7"/>
      <c r="R114" s="7"/>
      <c r="S114" s="7"/>
      <c r="T114" s="7"/>
      <c r="U114" s="7"/>
      <c r="V114" s="7"/>
      <c r="W114" s="7"/>
      <c r="X114" s="7"/>
      <c r="Y114" s="7"/>
      <c r="Z114" s="7"/>
    </row>
    <row r="115" ht="15.75" customHeight="1">
      <c r="A115" s="4" t="s">
        <v>601</v>
      </c>
      <c r="B115" s="5" t="s">
        <v>14</v>
      </c>
      <c r="C115" s="5" t="s">
        <v>15</v>
      </c>
      <c r="D115" s="5" t="s">
        <v>602</v>
      </c>
      <c r="E115" s="6" t="s">
        <v>603</v>
      </c>
      <c r="F115" s="6" t="s">
        <v>604</v>
      </c>
      <c r="G115" s="6" t="s">
        <v>605</v>
      </c>
      <c r="H115" s="6" t="s">
        <v>605</v>
      </c>
      <c r="I115" s="5" t="s">
        <v>64</v>
      </c>
      <c r="J115" s="5" t="s">
        <v>21</v>
      </c>
      <c r="K115" s="5" t="s">
        <v>46</v>
      </c>
      <c r="L115" s="5" t="s">
        <v>39</v>
      </c>
      <c r="M115" s="7" t="str">
        <f t="shared" si="2"/>
        <v>OK</v>
      </c>
      <c r="N115" s="7"/>
      <c r="O115" s="7"/>
      <c r="P115" s="7"/>
      <c r="Q115" s="7"/>
      <c r="R115" s="7"/>
      <c r="S115" s="7"/>
      <c r="T115" s="7"/>
      <c r="U115" s="7"/>
      <c r="V115" s="7"/>
      <c r="W115" s="7"/>
      <c r="X115" s="7"/>
      <c r="Y115" s="7"/>
      <c r="Z115" s="7"/>
    </row>
    <row r="116" ht="15.75" customHeight="1">
      <c r="A116" s="4" t="s">
        <v>606</v>
      </c>
      <c r="B116" s="5" t="s">
        <v>25</v>
      </c>
      <c r="C116" s="5" t="s">
        <v>15</v>
      </c>
      <c r="D116" s="4" t="s">
        <v>607</v>
      </c>
      <c r="E116" s="4" t="s">
        <v>608</v>
      </c>
      <c r="F116" s="4" t="s">
        <v>609</v>
      </c>
      <c r="G116" s="4" t="s">
        <v>610</v>
      </c>
      <c r="H116" s="5" t="s">
        <v>609</v>
      </c>
      <c r="I116" s="5" t="s">
        <v>45</v>
      </c>
      <c r="J116" s="5" t="s">
        <v>64</v>
      </c>
      <c r="K116" s="5" t="s">
        <v>66</v>
      </c>
      <c r="L116" s="5" t="s">
        <v>46</v>
      </c>
      <c r="M116" s="7" t="str">
        <f t="shared" si="2"/>
        <v>OK</v>
      </c>
      <c r="N116" s="7"/>
      <c r="O116" s="7"/>
      <c r="P116" s="7"/>
      <c r="Q116" s="7"/>
      <c r="R116" s="7"/>
      <c r="S116" s="7"/>
      <c r="T116" s="7"/>
      <c r="U116" s="7"/>
      <c r="V116" s="7"/>
      <c r="W116" s="7"/>
      <c r="X116" s="7"/>
      <c r="Y116" s="7"/>
      <c r="Z116" s="7"/>
    </row>
    <row r="117" ht="15.75" customHeight="1">
      <c r="A117" s="4" t="s">
        <v>611</v>
      </c>
      <c r="B117" s="5" t="s">
        <v>25</v>
      </c>
      <c r="C117" s="5" t="s">
        <v>15</v>
      </c>
      <c r="D117" s="5" t="s">
        <v>612</v>
      </c>
      <c r="E117" s="5" t="s">
        <v>613</v>
      </c>
      <c r="F117" s="5" t="s">
        <v>614</v>
      </c>
      <c r="G117" s="5" t="s">
        <v>615</v>
      </c>
      <c r="H117" s="5" t="s">
        <v>613</v>
      </c>
      <c r="I117" s="5" t="s">
        <v>30</v>
      </c>
      <c r="J117" s="5" t="s">
        <v>31</v>
      </c>
      <c r="K117" s="5" t="s">
        <v>46</v>
      </c>
      <c r="L117" s="5" t="s">
        <v>39</v>
      </c>
      <c r="M117" s="7" t="str">
        <f t="shared" si="2"/>
        <v>OK</v>
      </c>
      <c r="N117" s="7"/>
      <c r="O117" s="7"/>
      <c r="P117" s="7"/>
      <c r="Q117" s="7"/>
      <c r="R117" s="7"/>
      <c r="S117" s="7"/>
      <c r="T117" s="7"/>
      <c r="U117" s="7"/>
      <c r="V117" s="7"/>
      <c r="W117" s="7"/>
      <c r="X117" s="7"/>
      <c r="Y117" s="7"/>
      <c r="Z117" s="7"/>
    </row>
    <row r="118" ht="15.75" customHeight="1">
      <c r="A118" s="4" t="s">
        <v>616</v>
      </c>
      <c r="B118" s="5" t="s">
        <v>14</v>
      </c>
      <c r="C118" s="5" t="s">
        <v>15</v>
      </c>
      <c r="D118" s="5" t="s">
        <v>617</v>
      </c>
      <c r="E118" s="6" t="s">
        <v>618</v>
      </c>
      <c r="F118" s="6" t="s">
        <v>619</v>
      </c>
      <c r="G118" s="6" t="s">
        <v>620</v>
      </c>
      <c r="H118" s="6" t="s">
        <v>619</v>
      </c>
      <c r="I118" s="5" t="s">
        <v>64</v>
      </c>
      <c r="J118" s="5" t="s">
        <v>37</v>
      </c>
      <c r="K118" s="5" t="s">
        <v>46</v>
      </c>
      <c r="L118" s="5" t="s">
        <v>22</v>
      </c>
      <c r="M118" s="7" t="str">
        <f t="shared" si="2"/>
        <v>OK</v>
      </c>
      <c r="N118" s="7"/>
      <c r="O118" s="7"/>
      <c r="P118" s="7"/>
      <c r="Q118" s="7"/>
      <c r="R118" s="7"/>
      <c r="S118" s="7"/>
      <c r="T118" s="7"/>
      <c r="U118" s="7"/>
      <c r="V118" s="7"/>
      <c r="W118" s="7"/>
      <c r="X118" s="7"/>
      <c r="Y118" s="7"/>
      <c r="Z118" s="7"/>
    </row>
    <row r="119" ht="15.75" customHeight="1">
      <c r="A119" s="4" t="s">
        <v>621</v>
      </c>
      <c r="B119" s="5" t="s">
        <v>14</v>
      </c>
      <c r="C119" s="5" t="s">
        <v>15</v>
      </c>
      <c r="D119" s="5" t="s">
        <v>622</v>
      </c>
      <c r="E119" s="5" t="s">
        <v>623</v>
      </c>
      <c r="F119" s="6" t="s">
        <v>624</v>
      </c>
      <c r="G119" s="6" t="s">
        <v>625</v>
      </c>
      <c r="H119" s="5" t="s">
        <v>623</v>
      </c>
      <c r="I119" s="5" t="s">
        <v>21</v>
      </c>
      <c r="J119" s="5" t="s">
        <v>20</v>
      </c>
      <c r="K119" s="5" t="s">
        <v>23</v>
      </c>
      <c r="L119" s="5" t="s">
        <v>132</v>
      </c>
      <c r="M119" s="7" t="str">
        <f t="shared" si="2"/>
        <v>OK</v>
      </c>
      <c r="N119" s="7"/>
      <c r="O119" s="7"/>
      <c r="P119" s="7"/>
      <c r="Q119" s="7"/>
      <c r="R119" s="7"/>
      <c r="S119" s="7"/>
      <c r="T119" s="7"/>
      <c r="U119" s="7"/>
      <c r="V119" s="7"/>
      <c r="W119" s="7"/>
      <c r="X119" s="7"/>
      <c r="Y119" s="7"/>
      <c r="Z119" s="7"/>
    </row>
    <row r="120" ht="15.75" customHeight="1">
      <c r="A120" s="4" t="s">
        <v>626</v>
      </c>
      <c r="B120" s="5" t="s">
        <v>14</v>
      </c>
      <c r="C120" s="5" t="s">
        <v>15</v>
      </c>
      <c r="D120" s="4" t="s">
        <v>627</v>
      </c>
      <c r="E120" s="4" t="s">
        <v>628</v>
      </c>
      <c r="F120" s="5" t="s">
        <v>629</v>
      </c>
      <c r="G120" s="4" t="s">
        <v>630</v>
      </c>
      <c r="H120" s="5" t="s">
        <v>629</v>
      </c>
      <c r="I120" s="5" t="s">
        <v>31</v>
      </c>
      <c r="J120" s="5" t="s">
        <v>20</v>
      </c>
      <c r="K120" s="5" t="s">
        <v>22</v>
      </c>
      <c r="L120" s="5" t="s">
        <v>39</v>
      </c>
      <c r="M120" s="7" t="str">
        <f t="shared" si="2"/>
        <v>OK</v>
      </c>
      <c r="N120" s="7"/>
      <c r="O120" s="7"/>
      <c r="P120" s="7"/>
      <c r="Q120" s="7"/>
      <c r="R120" s="7"/>
      <c r="S120" s="7"/>
      <c r="T120" s="7"/>
      <c r="U120" s="7"/>
      <c r="V120" s="7"/>
      <c r="W120" s="7"/>
      <c r="X120" s="7"/>
      <c r="Y120" s="7"/>
      <c r="Z120" s="7"/>
    </row>
    <row r="121" ht="15.75" customHeight="1">
      <c r="A121" s="4" t="s">
        <v>631</v>
      </c>
      <c r="B121" s="5" t="s">
        <v>14</v>
      </c>
      <c r="C121" s="5" t="s">
        <v>15</v>
      </c>
      <c r="D121" s="5" t="s">
        <v>632</v>
      </c>
      <c r="E121" s="6" t="s">
        <v>633</v>
      </c>
      <c r="F121" s="6" t="s">
        <v>634</v>
      </c>
      <c r="G121" s="6" t="s">
        <v>635</v>
      </c>
      <c r="H121" s="6" t="s">
        <v>634</v>
      </c>
      <c r="I121" s="5" t="s">
        <v>37</v>
      </c>
      <c r="J121" s="5" t="s">
        <v>31</v>
      </c>
      <c r="K121" s="5" t="s">
        <v>22</v>
      </c>
      <c r="L121" s="5" t="s">
        <v>39</v>
      </c>
      <c r="M121" s="7" t="str">
        <f t="shared" si="2"/>
        <v>OK</v>
      </c>
      <c r="N121" s="7"/>
      <c r="O121" s="7"/>
      <c r="P121" s="7"/>
      <c r="Q121" s="7"/>
      <c r="R121" s="7"/>
      <c r="S121" s="7"/>
      <c r="T121" s="7"/>
      <c r="U121" s="7"/>
      <c r="V121" s="7"/>
      <c r="W121" s="7"/>
      <c r="X121" s="7"/>
      <c r="Y121" s="7"/>
      <c r="Z121" s="7"/>
    </row>
    <row r="122" ht="15.75" customHeight="1">
      <c r="A122" s="4" t="s">
        <v>636</v>
      </c>
      <c r="B122" s="5" t="s">
        <v>14</v>
      </c>
      <c r="C122" s="5" t="s">
        <v>15</v>
      </c>
      <c r="D122" s="5" t="s">
        <v>637</v>
      </c>
      <c r="E122" s="6" t="s">
        <v>638</v>
      </c>
      <c r="F122" s="6" t="s">
        <v>639</v>
      </c>
      <c r="G122" s="6" t="s">
        <v>640</v>
      </c>
      <c r="H122" s="6" t="s">
        <v>638</v>
      </c>
      <c r="I122" s="5" t="s">
        <v>45</v>
      </c>
      <c r="J122" s="5" t="s">
        <v>21</v>
      </c>
      <c r="K122" s="5" t="s">
        <v>23</v>
      </c>
      <c r="L122" s="5" t="s">
        <v>46</v>
      </c>
      <c r="M122" s="7" t="str">
        <f t="shared" si="2"/>
        <v>OK</v>
      </c>
      <c r="N122" s="7"/>
      <c r="O122" s="7"/>
      <c r="P122" s="7"/>
      <c r="Q122" s="7"/>
      <c r="R122" s="7"/>
      <c r="S122" s="7"/>
      <c r="T122" s="7"/>
      <c r="U122" s="7"/>
      <c r="V122" s="7"/>
      <c r="W122" s="7"/>
      <c r="X122" s="7"/>
      <c r="Y122" s="7"/>
      <c r="Z122" s="7"/>
    </row>
    <row r="123" ht="15.75" customHeight="1">
      <c r="A123" s="4" t="s">
        <v>641</v>
      </c>
      <c r="B123" s="5" t="s">
        <v>25</v>
      </c>
      <c r="C123" s="5" t="s">
        <v>15</v>
      </c>
      <c r="D123" s="5" t="s">
        <v>642</v>
      </c>
      <c r="E123" s="5" t="s">
        <v>643</v>
      </c>
      <c r="F123" s="5" t="s">
        <v>644</v>
      </c>
      <c r="G123" s="5" t="s">
        <v>645</v>
      </c>
      <c r="H123" s="5" t="s">
        <v>645</v>
      </c>
      <c r="I123" s="5" t="s">
        <v>20</v>
      </c>
      <c r="J123" s="5" t="s">
        <v>37</v>
      </c>
      <c r="K123" s="5" t="s">
        <v>132</v>
      </c>
      <c r="L123" s="5" t="s">
        <v>39</v>
      </c>
      <c r="M123" s="7" t="str">
        <f t="shared" si="2"/>
        <v>OK</v>
      </c>
      <c r="N123" s="7"/>
      <c r="O123" s="7"/>
      <c r="P123" s="7"/>
      <c r="Q123" s="7"/>
      <c r="R123" s="7"/>
      <c r="S123" s="7"/>
      <c r="T123" s="7"/>
      <c r="U123" s="7"/>
      <c r="V123" s="7"/>
      <c r="W123" s="7"/>
      <c r="X123" s="7"/>
      <c r="Y123" s="7"/>
      <c r="Z123" s="7"/>
    </row>
    <row r="124" ht="15.75" customHeight="1">
      <c r="A124" s="4" t="s">
        <v>646</v>
      </c>
      <c r="B124" s="5" t="s">
        <v>25</v>
      </c>
      <c r="C124" s="5" t="s">
        <v>15</v>
      </c>
      <c r="D124" s="4" t="s">
        <v>647</v>
      </c>
      <c r="E124" s="4" t="s">
        <v>648</v>
      </c>
      <c r="F124" s="4" t="s">
        <v>649</v>
      </c>
      <c r="G124" s="4" t="s">
        <v>650</v>
      </c>
      <c r="H124" s="5" t="s">
        <v>650</v>
      </c>
      <c r="I124" s="5" t="s">
        <v>45</v>
      </c>
      <c r="J124" s="5" t="s">
        <v>31</v>
      </c>
      <c r="K124" s="5" t="s">
        <v>58</v>
      </c>
      <c r="L124" s="5" t="s">
        <v>46</v>
      </c>
      <c r="M124" s="7" t="str">
        <f t="shared" si="2"/>
        <v>OK</v>
      </c>
      <c r="N124" s="7"/>
      <c r="O124" s="7"/>
      <c r="P124" s="7"/>
      <c r="Q124" s="7"/>
      <c r="R124" s="7"/>
      <c r="S124" s="7"/>
      <c r="T124" s="7"/>
      <c r="U124" s="7"/>
      <c r="V124" s="7"/>
      <c r="W124" s="7"/>
      <c r="X124" s="7"/>
      <c r="Y124" s="7"/>
      <c r="Z124" s="7"/>
    </row>
    <row r="125" ht="15.75" customHeight="1">
      <c r="A125" s="4" t="s">
        <v>651</v>
      </c>
      <c r="B125" s="5" t="s">
        <v>14</v>
      </c>
      <c r="C125" s="5" t="s">
        <v>15</v>
      </c>
      <c r="D125" s="5" t="s">
        <v>652</v>
      </c>
      <c r="E125" s="6" t="s">
        <v>653</v>
      </c>
      <c r="F125" s="6" t="s">
        <v>654</v>
      </c>
      <c r="G125" s="6" t="s">
        <v>655</v>
      </c>
      <c r="H125" s="5" t="s">
        <v>653</v>
      </c>
      <c r="I125" s="5" t="s">
        <v>37</v>
      </c>
      <c r="J125" s="5" t="s">
        <v>65</v>
      </c>
      <c r="K125" s="5" t="s">
        <v>22</v>
      </c>
      <c r="L125" s="5" t="s">
        <v>46</v>
      </c>
      <c r="M125" s="7" t="str">
        <f t="shared" si="2"/>
        <v>OK</v>
      </c>
      <c r="N125" s="7"/>
      <c r="O125" s="7"/>
      <c r="P125" s="7"/>
      <c r="Q125" s="7"/>
      <c r="R125" s="7"/>
      <c r="S125" s="7"/>
      <c r="T125" s="7"/>
      <c r="U125" s="7"/>
      <c r="V125" s="7"/>
      <c r="W125" s="7"/>
      <c r="X125" s="7"/>
      <c r="Y125" s="7"/>
      <c r="Z125" s="7"/>
    </row>
    <row r="126" ht="15.75" customHeight="1">
      <c r="A126" s="4" t="s">
        <v>656</v>
      </c>
      <c r="B126" s="5" t="s">
        <v>14</v>
      </c>
      <c r="C126" s="5" t="s">
        <v>15</v>
      </c>
      <c r="D126" s="5" t="s">
        <v>657</v>
      </c>
      <c r="E126" s="5" t="s">
        <v>658</v>
      </c>
      <c r="F126" s="5" t="s">
        <v>659</v>
      </c>
      <c r="G126" s="5" t="s">
        <v>660</v>
      </c>
      <c r="H126" s="5" t="s">
        <v>659</v>
      </c>
      <c r="I126" s="5" t="s">
        <v>45</v>
      </c>
      <c r="J126" s="5" t="s">
        <v>20</v>
      </c>
      <c r="K126" s="5" t="s">
        <v>23</v>
      </c>
      <c r="L126" s="5" t="s">
        <v>57</v>
      </c>
      <c r="M126" s="7" t="str">
        <f t="shared" si="2"/>
        <v>OK</v>
      </c>
      <c r="N126" s="7"/>
      <c r="O126" s="7"/>
      <c r="P126" s="7"/>
      <c r="Q126" s="7"/>
      <c r="R126" s="7"/>
      <c r="S126" s="7"/>
      <c r="T126" s="7"/>
      <c r="U126" s="7"/>
      <c r="V126" s="7"/>
      <c r="W126" s="7"/>
      <c r="X126" s="7"/>
      <c r="Y126" s="7"/>
      <c r="Z126" s="7"/>
    </row>
    <row r="127" ht="15.75" customHeight="1">
      <c r="A127" s="4" t="s">
        <v>661</v>
      </c>
      <c r="B127" s="5" t="s">
        <v>25</v>
      </c>
      <c r="C127" s="5" t="s">
        <v>15</v>
      </c>
      <c r="D127" s="5" t="s">
        <v>662</v>
      </c>
      <c r="E127" s="5" t="s">
        <v>663</v>
      </c>
      <c r="F127" s="5" t="s">
        <v>664</v>
      </c>
      <c r="G127" s="5" t="s">
        <v>665</v>
      </c>
      <c r="H127" s="5" t="s">
        <v>664</v>
      </c>
      <c r="I127" s="5" t="s">
        <v>45</v>
      </c>
      <c r="J127" s="5" t="s">
        <v>20</v>
      </c>
      <c r="K127" s="5" t="s">
        <v>57</v>
      </c>
      <c r="L127" s="5" t="s">
        <v>23</v>
      </c>
      <c r="M127" s="7" t="str">
        <f t="shared" si="2"/>
        <v>OK</v>
      </c>
      <c r="N127" s="7"/>
      <c r="O127" s="7"/>
      <c r="P127" s="7"/>
      <c r="Q127" s="7"/>
      <c r="R127" s="7"/>
      <c r="S127" s="7"/>
      <c r="T127" s="7"/>
      <c r="U127" s="7"/>
      <c r="V127" s="7"/>
      <c r="W127" s="7"/>
      <c r="X127" s="7"/>
      <c r="Y127" s="7"/>
      <c r="Z127" s="7"/>
    </row>
    <row r="128" ht="15.75" customHeight="1">
      <c r="A128" s="4" t="s">
        <v>666</v>
      </c>
      <c r="B128" s="5" t="s">
        <v>14</v>
      </c>
      <c r="C128" s="5" t="s">
        <v>15</v>
      </c>
      <c r="D128" s="5" t="s">
        <v>667</v>
      </c>
      <c r="E128" s="6" t="s">
        <v>668</v>
      </c>
      <c r="F128" s="6" t="s">
        <v>669</v>
      </c>
      <c r="G128" s="6" t="s">
        <v>670</v>
      </c>
      <c r="H128" s="6" t="s">
        <v>668</v>
      </c>
      <c r="I128" s="5" t="s">
        <v>64</v>
      </c>
      <c r="J128" s="5" t="s">
        <v>37</v>
      </c>
      <c r="K128" s="5" t="s">
        <v>132</v>
      </c>
      <c r="L128" s="5" t="s">
        <v>46</v>
      </c>
      <c r="M128" s="7" t="str">
        <f t="shared" si="2"/>
        <v>OK</v>
      </c>
      <c r="N128" s="7"/>
      <c r="O128" s="7"/>
      <c r="P128" s="7"/>
      <c r="Q128" s="7"/>
      <c r="R128" s="7"/>
      <c r="S128" s="7"/>
      <c r="T128" s="7"/>
      <c r="U128" s="7"/>
      <c r="V128" s="7"/>
      <c r="W128" s="7"/>
      <c r="X128" s="7"/>
      <c r="Y128" s="7"/>
      <c r="Z128" s="7"/>
    </row>
    <row r="129" ht="15.75" customHeight="1">
      <c r="A129" s="4" t="s">
        <v>671</v>
      </c>
      <c r="B129" s="5" t="s">
        <v>14</v>
      </c>
      <c r="C129" s="5" t="s">
        <v>15</v>
      </c>
      <c r="D129" s="4" t="s">
        <v>672</v>
      </c>
      <c r="E129" s="5" t="s">
        <v>673</v>
      </c>
      <c r="F129" s="4" t="s">
        <v>674</v>
      </c>
      <c r="G129" s="4" t="s">
        <v>675</v>
      </c>
      <c r="H129" s="5" t="s">
        <v>673</v>
      </c>
      <c r="I129" s="5" t="s">
        <v>20</v>
      </c>
      <c r="J129" s="5" t="s">
        <v>37</v>
      </c>
      <c r="K129" s="5" t="s">
        <v>39</v>
      </c>
      <c r="L129" s="5" t="s">
        <v>57</v>
      </c>
      <c r="M129" s="7" t="str">
        <f t="shared" si="2"/>
        <v>OK</v>
      </c>
      <c r="N129" s="7"/>
      <c r="O129" s="7"/>
      <c r="P129" s="7"/>
      <c r="Q129" s="7"/>
      <c r="R129" s="7"/>
      <c r="S129" s="7"/>
      <c r="T129" s="7"/>
      <c r="U129" s="7"/>
      <c r="V129" s="7"/>
      <c r="W129" s="7"/>
      <c r="X129" s="7"/>
      <c r="Y129" s="7"/>
      <c r="Z129" s="7"/>
    </row>
    <row r="130" ht="15.75" customHeight="1">
      <c r="A130" s="4" t="s">
        <v>676</v>
      </c>
      <c r="B130" s="5" t="s">
        <v>14</v>
      </c>
      <c r="C130" s="5" t="s">
        <v>15</v>
      </c>
      <c r="D130" s="5" t="s">
        <v>677</v>
      </c>
      <c r="E130" s="6" t="s">
        <v>678</v>
      </c>
      <c r="F130" s="5" t="s">
        <v>679</v>
      </c>
      <c r="G130" s="6" t="s">
        <v>680</v>
      </c>
      <c r="H130" s="5" t="s">
        <v>679</v>
      </c>
      <c r="I130" s="5" t="s">
        <v>65</v>
      </c>
      <c r="J130" s="5" t="s">
        <v>20</v>
      </c>
      <c r="K130" s="5" t="s">
        <v>23</v>
      </c>
      <c r="L130" s="5" t="s">
        <v>39</v>
      </c>
      <c r="M130" s="7" t="str">
        <f t="shared" si="2"/>
        <v>OK</v>
      </c>
      <c r="N130" s="7"/>
      <c r="O130" s="7"/>
      <c r="P130" s="7"/>
      <c r="Q130" s="7"/>
      <c r="R130" s="7"/>
      <c r="S130" s="7"/>
      <c r="T130" s="7"/>
      <c r="U130" s="7"/>
      <c r="V130" s="7"/>
      <c r="W130" s="7"/>
      <c r="X130" s="7"/>
      <c r="Y130" s="7"/>
      <c r="Z130" s="7"/>
    </row>
    <row r="131" ht="15.75" customHeight="1">
      <c r="A131" s="4" t="s">
        <v>681</v>
      </c>
      <c r="B131" s="5" t="s">
        <v>25</v>
      </c>
      <c r="C131" s="5" t="s">
        <v>15</v>
      </c>
      <c r="D131" s="4" t="s">
        <v>682</v>
      </c>
      <c r="E131" s="4" t="s">
        <v>683</v>
      </c>
      <c r="F131" s="4" t="s">
        <v>684</v>
      </c>
      <c r="G131" s="4" t="s">
        <v>685</v>
      </c>
      <c r="H131" s="5" t="s">
        <v>684</v>
      </c>
      <c r="I131" s="5" t="s">
        <v>37</v>
      </c>
      <c r="J131" s="5" t="s">
        <v>20</v>
      </c>
      <c r="K131" s="5" t="s">
        <v>58</v>
      </c>
      <c r="L131" s="5" t="s">
        <v>66</v>
      </c>
      <c r="M131" s="7" t="str">
        <f t="shared" si="2"/>
        <v>OK</v>
      </c>
      <c r="N131" s="7"/>
      <c r="O131" s="7"/>
      <c r="P131" s="7"/>
      <c r="Q131" s="7"/>
      <c r="R131" s="7"/>
      <c r="S131" s="7"/>
      <c r="T131" s="7"/>
      <c r="U131" s="7"/>
      <c r="V131" s="7"/>
      <c r="W131" s="7"/>
      <c r="X131" s="7"/>
      <c r="Y131" s="7"/>
      <c r="Z131" s="7"/>
    </row>
    <row r="132" ht="15.75" customHeight="1">
      <c r="A132" s="4" t="s">
        <v>686</v>
      </c>
      <c r="B132" s="5" t="s">
        <v>14</v>
      </c>
      <c r="C132" s="5" t="s">
        <v>15</v>
      </c>
      <c r="D132" s="5" t="s">
        <v>687</v>
      </c>
      <c r="E132" s="6" t="s">
        <v>688</v>
      </c>
      <c r="F132" s="6" t="s">
        <v>689</v>
      </c>
      <c r="G132" s="6" t="s">
        <v>690</v>
      </c>
      <c r="H132" s="6" t="s">
        <v>690</v>
      </c>
      <c r="I132" s="5" t="s">
        <v>21</v>
      </c>
      <c r="J132" s="5" t="s">
        <v>31</v>
      </c>
      <c r="K132" s="5" t="s">
        <v>39</v>
      </c>
      <c r="L132" s="5" t="s">
        <v>23</v>
      </c>
      <c r="M132" s="7" t="str">
        <f t="shared" si="2"/>
        <v>OK</v>
      </c>
      <c r="N132" s="7"/>
      <c r="O132" s="7"/>
      <c r="P132" s="7"/>
      <c r="Q132" s="7"/>
      <c r="R132" s="7"/>
      <c r="S132" s="7"/>
      <c r="T132" s="7"/>
      <c r="U132" s="7"/>
      <c r="V132" s="7"/>
      <c r="W132" s="7"/>
      <c r="X132" s="7"/>
      <c r="Y132" s="7"/>
      <c r="Z132" s="7"/>
    </row>
    <row r="133" ht="15.75" customHeight="1">
      <c r="A133" s="4" t="s">
        <v>691</v>
      </c>
      <c r="B133" s="5" t="s">
        <v>25</v>
      </c>
      <c r="C133" s="5" t="s">
        <v>15</v>
      </c>
      <c r="D133" s="5" t="s">
        <v>692</v>
      </c>
      <c r="E133" s="5" t="s">
        <v>693</v>
      </c>
      <c r="F133" s="5" t="s">
        <v>694</v>
      </c>
      <c r="G133" s="5" t="s">
        <v>695</v>
      </c>
      <c r="H133" s="5" t="s">
        <v>693</v>
      </c>
      <c r="I133" s="5" t="s">
        <v>31</v>
      </c>
      <c r="J133" s="5" t="s">
        <v>65</v>
      </c>
      <c r="K133" s="5" t="s">
        <v>58</v>
      </c>
      <c r="L133" s="5" t="s">
        <v>39</v>
      </c>
      <c r="M133" s="7" t="str">
        <f t="shared" si="2"/>
        <v>OK</v>
      </c>
      <c r="N133" s="7"/>
      <c r="O133" s="7"/>
      <c r="P133" s="7"/>
      <c r="Q133" s="7"/>
      <c r="R133" s="7"/>
      <c r="S133" s="7"/>
      <c r="T133" s="7"/>
      <c r="U133" s="7"/>
      <c r="V133" s="7"/>
      <c r="W133" s="7"/>
      <c r="X133" s="7"/>
      <c r="Y133" s="7"/>
      <c r="Z133" s="7"/>
    </row>
    <row r="134" ht="15.75" customHeight="1">
      <c r="A134" s="4" t="s">
        <v>696</v>
      </c>
      <c r="B134" s="5" t="s">
        <v>14</v>
      </c>
      <c r="C134" s="5" t="s">
        <v>15</v>
      </c>
      <c r="D134" s="5" t="s">
        <v>697</v>
      </c>
      <c r="E134" s="5" t="s">
        <v>698</v>
      </c>
      <c r="F134" s="5" t="s">
        <v>699</v>
      </c>
      <c r="G134" s="6" t="s">
        <v>700</v>
      </c>
      <c r="H134" s="5" t="s">
        <v>700</v>
      </c>
      <c r="I134" s="5" t="s">
        <v>45</v>
      </c>
      <c r="J134" s="5" t="s">
        <v>64</v>
      </c>
      <c r="K134" s="5" t="s">
        <v>58</v>
      </c>
      <c r="L134" s="5" t="s">
        <v>22</v>
      </c>
      <c r="M134" s="7" t="str">
        <f t="shared" si="2"/>
        <v>OK</v>
      </c>
      <c r="N134" s="7"/>
      <c r="O134" s="7"/>
      <c r="P134" s="7"/>
      <c r="Q134" s="7"/>
      <c r="R134" s="7"/>
      <c r="S134" s="7"/>
      <c r="T134" s="7"/>
      <c r="U134" s="7"/>
      <c r="V134" s="7"/>
      <c r="W134" s="7"/>
      <c r="X134" s="7"/>
      <c r="Y134" s="7"/>
      <c r="Z134" s="7"/>
    </row>
    <row r="135" ht="15.75" customHeight="1">
      <c r="A135" s="4" t="s">
        <v>701</v>
      </c>
      <c r="B135" s="5" t="s">
        <v>14</v>
      </c>
      <c r="C135" s="5" t="s">
        <v>15</v>
      </c>
      <c r="D135" s="5" t="s">
        <v>702</v>
      </c>
      <c r="E135" s="6" t="s">
        <v>703</v>
      </c>
      <c r="F135" s="5" t="s">
        <v>704</v>
      </c>
      <c r="G135" s="5" t="s">
        <v>705</v>
      </c>
      <c r="H135" s="5" t="s">
        <v>705</v>
      </c>
      <c r="I135" s="5" t="s">
        <v>20</v>
      </c>
      <c r="J135" s="5" t="s">
        <v>65</v>
      </c>
      <c r="K135" s="5" t="s">
        <v>22</v>
      </c>
      <c r="L135" s="5" t="s">
        <v>46</v>
      </c>
      <c r="M135" s="7" t="str">
        <f t="shared" si="2"/>
        <v>OK</v>
      </c>
      <c r="N135" s="7"/>
      <c r="O135" s="7"/>
      <c r="P135" s="7"/>
      <c r="Q135" s="7"/>
      <c r="R135" s="7"/>
      <c r="S135" s="7"/>
      <c r="T135" s="7"/>
      <c r="U135" s="7"/>
      <c r="V135" s="7"/>
      <c r="W135" s="7"/>
      <c r="X135" s="7"/>
      <c r="Y135" s="7"/>
      <c r="Z135" s="7"/>
    </row>
    <row r="136" ht="15.75" customHeight="1">
      <c r="A136" s="4" t="s">
        <v>706</v>
      </c>
      <c r="B136" s="5" t="s">
        <v>14</v>
      </c>
      <c r="C136" s="5" t="s">
        <v>15</v>
      </c>
      <c r="D136" s="5" t="s">
        <v>707</v>
      </c>
      <c r="E136" s="6" t="s">
        <v>708</v>
      </c>
      <c r="F136" s="6" t="s">
        <v>709</v>
      </c>
      <c r="G136" s="6" t="s">
        <v>710</v>
      </c>
      <c r="H136" s="6" t="s">
        <v>708</v>
      </c>
      <c r="I136" s="5" t="s">
        <v>64</v>
      </c>
      <c r="J136" s="5" t="s">
        <v>21</v>
      </c>
      <c r="K136" s="5" t="s">
        <v>22</v>
      </c>
      <c r="L136" s="5" t="s">
        <v>39</v>
      </c>
      <c r="M136" s="7" t="str">
        <f t="shared" si="2"/>
        <v>OK</v>
      </c>
      <c r="N136" s="7"/>
      <c r="O136" s="7"/>
      <c r="P136" s="7"/>
      <c r="Q136" s="7"/>
      <c r="R136" s="7"/>
      <c r="S136" s="7"/>
      <c r="T136" s="7"/>
      <c r="U136" s="7"/>
      <c r="V136" s="7"/>
      <c r="W136" s="7"/>
      <c r="X136" s="7"/>
      <c r="Y136" s="7"/>
      <c r="Z136" s="7"/>
    </row>
    <row r="137" ht="15.75" customHeight="1">
      <c r="A137" s="4" t="s">
        <v>711</v>
      </c>
      <c r="B137" s="5" t="s">
        <v>14</v>
      </c>
      <c r="C137" s="5" t="s">
        <v>15</v>
      </c>
      <c r="D137" s="5" t="s">
        <v>712</v>
      </c>
      <c r="E137" s="5" t="s">
        <v>713</v>
      </c>
      <c r="F137" s="5" t="s">
        <v>714</v>
      </c>
      <c r="G137" s="5" t="s">
        <v>715</v>
      </c>
      <c r="H137" s="5" t="s">
        <v>714</v>
      </c>
      <c r="I137" s="5" t="s">
        <v>31</v>
      </c>
      <c r="J137" s="5" t="s">
        <v>20</v>
      </c>
      <c r="K137" s="5" t="s">
        <v>58</v>
      </c>
      <c r="L137" s="5" t="s">
        <v>132</v>
      </c>
      <c r="M137" s="7" t="str">
        <f t="shared" si="2"/>
        <v>OK</v>
      </c>
      <c r="N137" s="7"/>
      <c r="O137" s="7"/>
      <c r="P137" s="7"/>
      <c r="Q137" s="7"/>
      <c r="R137" s="7"/>
      <c r="S137" s="7"/>
      <c r="T137" s="7"/>
      <c r="U137" s="7"/>
      <c r="V137" s="7"/>
      <c r="W137" s="7"/>
      <c r="X137" s="7"/>
      <c r="Y137" s="7"/>
      <c r="Z137" s="7"/>
    </row>
    <row r="138" ht="15.75" customHeight="1">
      <c r="A138" s="4" t="s">
        <v>716</v>
      </c>
      <c r="B138" s="5" t="s">
        <v>14</v>
      </c>
      <c r="C138" s="5" t="s">
        <v>15</v>
      </c>
      <c r="D138" s="5" t="s">
        <v>717</v>
      </c>
      <c r="E138" s="5" t="s">
        <v>718</v>
      </c>
      <c r="F138" s="5" t="s">
        <v>719</v>
      </c>
      <c r="G138" s="5" t="s">
        <v>720</v>
      </c>
      <c r="H138" s="5" t="s">
        <v>719</v>
      </c>
      <c r="I138" s="5" t="s">
        <v>31</v>
      </c>
      <c r="J138" s="5" t="s">
        <v>37</v>
      </c>
      <c r="K138" s="5" t="s">
        <v>39</v>
      </c>
      <c r="L138" s="5" t="s">
        <v>38</v>
      </c>
      <c r="M138" s="7" t="str">
        <f t="shared" si="2"/>
        <v>OK</v>
      </c>
      <c r="N138" s="7"/>
      <c r="O138" s="7"/>
      <c r="P138" s="7"/>
      <c r="Q138" s="7"/>
      <c r="R138" s="7"/>
      <c r="S138" s="7"/>
      <c r="T138" s="7"/>
      <c r="U138" s="7"/>
      <c r="V138" s="7"/>
      <c r="W138" s="7"/>
      <c r="X138" s="7"/>
      <c r="Y138" s="7"/>
      <c r="Z138" s="7"/>
    </row>
    <row r="139" ht="15.75" customHeight="1">
      <c r="A139" s="4" t="s">
        <v>721</v>
      </c>
      <c r="B139" s="5" t="s">
        <v>14</v>
      </c>
      <c r="C139" s="5" t="s">
        <v>15</v>
      </c>
      <c r="D139" s="4" t="s">
        <v>722</v>
      </c>
      <c r="E139" s="6" t="s">
        <v>723</v>
      </c>
      <c r="F139" s="5" t="s">
        <v>724</v>
      </c>
      <c r="G139" s="4" t="s">
        <v>725</v>
      </c>
      <c r="H139" s="5" t="s">
        <v>724</v>
      </c>
      <c r="I139" s="5" t="s">
        <v>64</v>
      </c>
      <c r="J139" s="5" t="s">
        <v>64</v>
      </c>
      <c r="K139" s="5" t="s">
        <v>38</v>
      </c>
      <c r="L139" s="5" t="s">
        <v>22</v>
      </c>
      <c r="M139" s="7" t="str">
        <f t="shared" si="2"/>
        <v>OK</v>
      </c>
      <c r="N139" s="7"/>
      <c r="O139" s="7"/>
      <c r="P139" s="7"/>
      <c r="Q139" s="7"/>
      <c r="R139" s="7"/>
      <c r="S139" s="7"/>
      <c r="T139" s="7"/>
      <c r="U139" s="7"/>
      <c r="V139" s="7"/>
      <c r="W139" s="7"/>
      <c r="X139" s="7"/>
      <c r="Y139" s="7"/>
      <c r="Z139" s="7"/>
    </row>
    <row r="140" ht="15.75" customHeight="1">
      <c r="A140" s="9" t="s">
        <v>726</v>
      </c>
      <c r="B140" s="10" t="s">
        <v>14</v>
      </c>
      <c r="C140" s="10" t="s">
        <v>15</v>
      </c>
      <c r="D140" s="10" t="s">
        <v>727</v>
      </c>
      <c r="E140" s="10" t="s">
        <v>728</v>
      </c>
      <c r="F140" s="10" t="s">
        <v>729</v>
      </c>
      <c r="G140" s="10" t="s">
        <v>730</v>
      </c>
      <c r="H140" s="10" t="s">
        <v>729</v>
      </c>
      <c r="I140" s="10" t="s">
        <v>45</v>
      </c>
      <c r="J140" s="10" t="s">
        <v>31</v>
      </c>
      <c r="K140" s="10" t="s">
        <v>23</v>
      </c>
      <c r="L140" s="10" t="s">
        <v>39</v>
      </c>
      <c r="M140" s="11" t="str">
        <f t="shared" si="2"/>
        <v>OK</v>
      </c>
      <c r="N140" s="11"/>
      <c r="O140" s="11"/>
      <c r="P140" s="11"/>
      <c r="Q140" s="11"/>
      <c r="R140" s="11"/>
      <c r="S140" s="11"/>
      <c r="T140" s="11"/>
      <c r="U140" s="11"/>
      <c r="V140" s="11"/>
      <c r="W140" s="11"/>
      <c r="X140" s="11"/>
      <c r="Y140" s="11"/>
      <c r="Z140" s="11"/>
    </row>
    <row r="141" ht="15.75" customHeight="1">
      <c r="A141" s="4" t="s">
        <v>731</v>
      </c>
      <c r="B141" s="5" t="s">
        <v>14</v>
      </c>
      <c r="C141" s="5" t="s">
        <v>15</v>
      </c>
      <c r="D141" s="5" t="s">
        <v>732</v>
      </c>
      <c r="E141" s="5" t="s">
        <v>733</v>
      </c>
      <c r="F141" s="5" t="s">
        <v>734</v>
      </c>
      <c r="G141" s="5" t="s">
        <v>735</v>
      </c>
      <c r="H141" s="5" t="s">
        <v>733</v>
      </c>
      <c r="I141" s="5" t="s">
        <v>45</v>
      </c>
      <c r="J141" s="5" t="s">
        <v>64</v>
      </c>
      <c r="K141" s="5" t="s">
        <v>57</v>
      </c>
      <c r="L141" s="5" t="s">
        <v>46</v>
      </c>
      <c r="M141" s="7" t="str">
        <f t="shared" si="2"/>
        <v>OK</v>
      </c>
      <c r="N141" s="7"/>
      <c r="O141" s="7"/>
      <c r="P141" s="7"/>
      <c r="Q141" s="7"/>
      <c r="R141" s="7"/>
      <c r="S141" s="7"/>
      <c r="T141" s="7"/>
      <c r="U141" s="7"/>
      <c r="V141" s="7"/>
      <c r="W141" s="7"/>
      <c r="X141" s="7"/>
      <c r="Y141" s="7"/>
      <c r="Z141" s="7"/>
    </row>
    <row r="142" ht="15.75" customHeight="1">
      <c r="A142" s="4" t="s">
        <v>736</v>
      </c>
      <c r="B142" s="5" t="s">
        <v>25</v>
      </c>
      <c r="C142" s="5" t="s">
        <v>15</v>
      </c>
      <c r="D142" s="5" t="s">
        <v>737</v>
      </c>
      <c r="E142" s="5" t="s">
        <v>738</v>
      </c>
      <c r="F142" s="5" t="s">
        <v>739</v>
      </c>
      <c r="G142" s="5" t="s">
        <v>740</v>
      </c>
      <c r="H142" s="5" t="s">
        <v>739</v>
      </c>
      <c r="I142" s="5" t="s">
        <v>30</v>
      </c>
      <c r="J142" s="5" t="s">
        <v>45</v>
      </c>
      <c r="K142" s="5" t="s">
        <v>46</v>
      </c>
      <c r="L142" s="5" t="s">
        <v>38</v>
      </c>
      <c r="M142" s="7" t="str">
        <f t="shared" si="2"/>
        <v>OK</v>
      </c>
      <c r="N142" s="7"/>
      <c r="O142" s="7"/>
      <c r="P142" s="7"/>
      <c r="Q142" s="7"/>
      <c r="R142" s="7"/>
      <c r="S142" s="7"/>
      <c r="T142" s="7"/>
      <c r="U142" s="7"/>
      <c r="V142" s="7"/>
      <c r="W142" s="7"/>
      <c r="X142" s="7"/>
      <c r="Y142" s="7"/>
      <c r="Z142" s="7"/>
    </row>
    <row r="143" ht="15.75" customHeight="1">
      <c r="A143" s="4" t="s">
        <v>741</v>
      </c>
      <c r="B143" s="5" t="s">
        <v>14</v>
      </c>
      <c r="C143" s="5" t="s">
        <v>15</v>
      </c>
      <c r="D143" s="5" t="s">
        <v>742</v>
      </c>
      <c r="E143" s="5" t="s">
        <v>743</v>
      </c>
      <c r="F143" s="6" t="s">
        <v>744</v>
      </c>
      <c r="G143" s="5" t="s">
        <v>745</v>
      </c>
      <c r="H143" s="5" t="s">
        <v>743</v>
      </c>
      <c r="I143" s="5" t="s">
        <v>30</v>
      </c>
      <c r="J143" s="5" t="s">
        <v>31</v>
      </c>
      <c r="K143" s="5" t="s">
        <v>38</v>
      </c>
      <c r="L143" s="5" t="s">
        <v>132</v>
      </c>
      <c r="M143" s="7" t="str">
        <f t="shared" si="2"/>
        <v>OK</v>
      </c>
      <c r="N143" s="7"/>
      <c r="O143" s="7"/>
      <c r="P143" s="7"/>
      <c r="Q143" s="7"/>
      <c r="R143" s="7"/>
      <c r="S143" s="7"/>
      <c r="T143" s="7"/>
      <c r="U143" s="7"/>
      <c r="V143" s="7"/>
      <c r="W143" s="7"/>
      <c r="X143" s="7"/>
      <c r="Y143" s="7"/>
      <c r="Z143" s="7"/>
    </row>
    <row r="144" ht="15.75" customHeight="1">
      <c r="A144" s="4" t="s">
        <v>746</v>
      </c>
      <c r="B144" s="5" t="s">
        <v>14</v>
      </c>
      <c r="C144" s="5" t="s">
        <v>15</v>
      </c>
      <c r="D144" s="5" t="s">
        <v>747</v>
      </c>
      <c r="E144" s="5" t="s">
        <v>748</v>
      </c>
      <c r="F144" s="5" t="s">
        <v>749</v>
      </c>
      <c r="G144" s="5" t="s">
        <v>750</v>
      </c>
      <c r="H144" s="5" t="s">
        <v>748</v>
      </c>
      <c r="I144" s="5" t="s">
        <v>37</v>
      </c>
      <c r="J144" s="5" t="s">
        <v>20</v>
      </c>
      <c r="K144" s="5" t="s">
        <v>39</v>
      </c>
      <c r="L144" s="5" t="s">
        <v>58</v>
      </c>
      <c r="M144" s="7" t="str">
        <f t="shared" si="2"/>
        <v>OK</v>
      </c>
      <c r="N144" s="7"/>
      <c r="O144" s="7"/>
      <c r="P144" s="7"/>
      <c r="Q144" s="7"/>
      <c r="R144" s="7"/>
      <c r="S144" s="7"/>
      <c r="T144" s="7"/>
      <c r="U144" s="7"/>
      <c r="V144" s="7"/>
      <c r="W144" s="7"/>
      <c r="X144" s="7"/>
      <c r="Y144" s="7"/>
      <c r="Z144" s="7"/>
    </row>
    <row r="145" ht="15.75" customHeight="1">
      <c r="A145" s="4" t="s">
        <v>751</v>
      </c>
      <c r="B145" s="5" t="s">
        <v>25</v>
      </c>
      <c r="C145" s="5" t="s">
        <v>15</v>
      </c>
      <c r="D145" s="5" t="s">
        <v>752</v>
      </c>
      <c r="E145" s="5" t="s">
        <v>753</v>
      </c>
      <c r="F145" s="5" t="s">
        <v>754</v>
      </c>
      <c r="G145" s="5" t="s">
        <v>755</v>
      </c>
      <c r="H145" s="5" t="s">
        <v>756</v>
      </c>
      <c r="I145" s="5" t="s">
        <v>20</v>
      </c>
      <c r="J145" s="5" t="s">
        <v>31</v>
      </c>
      <c r="K145" s="5" t="s">
        <v>66</v>
      </c>
      <c r="L145" s="5" t="s">
        <v>58</v>
      </c>
      <c r="M145" s="7" t="str">
        <f t="shared" si="2"/>
        <v>OK</v>
      </c>
      <c r="N145" s="7"/>
      <c r="O145" s="7"/>
      <c r="P145" s="7"/>
      <c r="Q145" s="7"/>
      <c r="R145" s="7"/>
      <c r="S145" s="7"/>
      <c r="T145" s="7"/>
      <c r="U145" s="7"/>
      <c r="V145" s="7"/>
      <c r="W145" s="7"/>
      <c r="X145" s="7"/>
      <c r="Y145" s="7"/>
      <c r="Z145" s="7"/>
    </row>
    <row r="146" ht="15.75" customHeight="1">
      <c r="A146" s="4" t="s">
        <v>757</v>
      </c>
      <c r="B146" s="5" t="s">
        <v>14</v>
      </c>
      <c r="C146" s="5" t="s">
        <v>15</v>
      </c>
      <c r="D146" s="5" t="s">
        <v>758</v>
      </c>
      <c r="E146" s="5" t="s">
        <v>759</v>
      </c>
      <c r="F146" s="5" t="s">
        <v>760</v>
      </c>
      <c r="G146" s="5" t="s">
        <v>761</v>
      </c>
      <c r="H146" s="5" t="s">
        <v>759</v>
      </c>
      <c r="I146" s="5" t="s">
        <v>20</v>
      </c>
      <c r="J146" s="5" t="s">
        <v>21</v>
      </c>
      <c r="K146" s="5" t="s">
        <v>58</v>
      </c>
      <c r="L146" s="5" t="s">
        <v>132</v>
      </c>
      <c r="M146" s="7" t="str">
        <f t="shared" si="2"/>
        <v>OK</v>
      </c>
      <c r="N146" s="7"/>
      <c r="O146" s="7"/>
      <c r="P146" s="7"/>
      <c r="Q146" s="7"/>
      <c r="R146" s="7"/>
      <c r="S146" s="7"/>
      <c r="T146" s="7"/>
      <c r="U146" s="7"/>
      <c r="V146" s="7"/>
      <c r="W146" s="7"/>
      <c r="X146" s="7"/>
      <c r="Y146" s="7"/>
      <c r="Z146" s="7"/>
    </row>
    <row r="147" ht="15.75" customHeight="1">
      <c r="A147" s="12" t="s">
        <v>762</v>
      </c>
      <c r="B147" s="5" t="s">
        <v>25</v>
      </c>
      <c r="C147" s="5" t="s">
        <v>15</v>
      </c>
      <c r="D147" s="5" t="s">
        <v>763</v>
      </c>
      <c r="E147" s="5" t="s">
        <v>764</v>
      </c>
      <c r="F147" s="5" t="s">
        <v>765</v>
      </c>
      <c r="G147" s="5" t="s">
        <v>766</v>
      </c>
      <c r="H147" s="5" t="s">
        <v>764</v>
      </c>
      <c r="I147" s="5" t="s">
        <v>45</v>
      </c>
      <c r="J147" s="5" t="s">
        <v>31</v>
      </c>
      <c r="K147" s="5" t="s">
        <v>39</v>
      </c>
      <c r="L147" s="5" t="s">
        <v>46</v>
      </c>
      <c r="M147" s="7" t="str">
        <f t="shared" si="2"/>
        <v>OK</v>
      </c>
      <c r="N147" s="7"/>
      <c r="O147" s="7"/>
      <c r="P147" s="7"/>
      <c r="Q147" s="7"/>
      <c r="R147" s="7"/>
      <c r="S147" s="7"/>
      <c r="T147" s="7"/>
      <c r="U147" s="7"/>
      <c r="V147" s="7"/>
      <c r="W147" s="7"/>
      <c r="X147" s="7"/>
      <c r="Y147" s="7"/>
      <c r="Z147" s="7"/>
    </row>
    <row r="148" ht="15.75" customHeight="1">
      <c r="A148" s="12" t="s">
        <v>767</v>
      </c>
      <c r="B148" s="5" t="s">
        <v>14</v>
      </c>
      <c r="C148" s="5" t="s">
        <v>15</v>
      </c>
      <c r="D148" s="5" t="s">
        <v>768</v>
      </c>
      <c r="E148" s="5" t="s">
        <v>769</v>
      </c>
      <c r="F148" s="5" t="s">
        <v>770</v>
      </c>
      <c r="G148" s="5" t="s">
        <v>771</v>
      </c>
      <c r="H148" s="5" t="s">
        <v>769</v>
      </c>
      <c r="I148" s="5" t="s">
        <v>37</v>
      </c>
      <c r="J148" s="5" t="s">
        <v>21</v>
      </c>
      <c r="K148" s="5" t="s">
        <v>23</v>
      </c>
      <c r="L148" s="5" t="s">
        <v>58</v>
      </c>
      <c r="M148" s="7" t="str">
        <f t="shared" si="2"/>
        <v>OK</v>
      </c>
      <c r="N148" s="7"/>
      <c r="O148" s="7"/>
      <c r="P148" s="7"/>
      <c r="Q148" s="7"/>
      <c r="R148" s="7"/>
      <c r="S148" s="7"/>
      <c r="T148" s="7"/>
      <c r="U148" s="7"/>
      <c r="V148" s="7"/>
      <c r="W148" s="7"/>
      <c r="X148" s="7"/>
      <c r="Y148" s="7"/>
      <c r="Z148" s="7"/>
    </row>
    <row r="149" ht="15.75" customHeight="1">
      <c r="A149" s="12" t="s">
        <v>772</v>
      </c>
      <c r="B149" s="5" t="s">
        <v>25</v>
      </c>
      <c r="C149" s="5" t="s">
        <v>15</v>
      </c>
      <c r="D149" s="5" t="s">
        <v>773</v>
      </c>
      <c r="E149" s="5" t="s">
        <v>774</v>
      </c>
      <c r="F149" s="5" t="s">
        <v>775</v>
      </c>
      <c r="G149" s="5" t="s">
        <v>776</v>
      </c>
      <c r="H149" s="5" t="s">
        <v>776</v>
      </c>
      <c r="I149" s="5" t="s">
        <v>37</v>
      </c>
      <c r="J149" s="5" t="s">
        <v>20</v>
      </c>
      <c r="K149" s="5" t="s">
        <v>132</v>
      </c>
      <c r="L149" s="5" t="s">
        <v>22</v>
      </c>
      <c r="M149" s="7" t="str">
        <f t="shared" si="2"/>
        <v>OK</v>
      </c>
      <c r="N149" s="7"/>
      <c r="O149" s="7"/>
      <c r="P149" s="7"/>
      <c r="Q149" s="7"/>
      <c r="R149" s="7"/>
      <c r="S149" s="7"/>
      <c r="T149" s="7"/>
      <c r="U149" s="7"/>
      <c r="V149" s="7"/>
      <c r="W149" s="7"/>
      <c r="X149" s="7"/>
      <c r="Y149" s="7"/>
      <c r="Z149" s="7"/>
    </row>
    <row r="150" ht="15.75" customHeight="1">
      <c r="A150" s="12" t="s">
        <v>777</v>
      </c>
      <c r="B150" s="5" t="s">
        <v>14</v>
      </c>
      <c r="C150" s="5" t="s">
        <v>15</v>
      </c>
      <c r="D150" s="5" t="s">
        <v>778</v>
      </c>
      <c r="E150" s="5" t="s">
        <v>779</v>
      </c>
      <c r="F150" s="5" t="s">
        <v>780</v>
      </c>
      <c r="G150" s="5" t="s">
        <v>781</v>
      </c>
      <c r="H150" s="5" t="s">
        <v>779</v>
      </c>
      <c r="I150" s="5" t="s">
        <v>21</v>
      </c>
      <c r="J150" s="5" t="s">
        <v>37</v>
      </c>
      <c r="K150" s="5" t="s">
        <v>57</v>
      </c>
      <c r="L150" s="5" t="s">
        <v>22</v>
      </c>
      <c r="M150" s="7" t="str">
        <f t="shared" si="2"/>
        <v>OK</v>
      </c>
      <c r="N150" s="7"/>
      <c r="O150" s="7"/>
      <c r="P150" s="7"/>
      <c r="Q150" s="7"/>
      <c r="R150" s="7"/>
      <c r="S150" s="7"/>
      <c r="T150" s="7"/>
      <c r="U150" s="7"/>
      <c r="V150" s="7"/>
      <c r="W150" s="7"/>
      <c r="X150" s="7"/>
      <c r="Y150" s="7"/>
      <c r="Z150" s="7"/>
    </row>
    <row r="151" ht="15.75" customHeight="1">
      <c r="A151" s="12" t="s">
        <v>782</v>
      </c>
      <c r="B151" s="5" t="s">
        <v>25</v>
      </c>
      <c r="C151" s="5" t="s">
        <v>15</v>
      </c>
      <c r="D151" s="5" t="s">
        <v>783</v>
      </c>
      <c r="E151" s="5" t="s">
        <v>784</v>
      </c>
      <c r="F151" s="5" t="s">
        <v>785</v>
      </c>
      <c r="G151" s="5" t="s">
        <v>786</v>
      </c>
      <c r="H151" s="5" t="s">
        <v>784</v>
      </c>
      <c r="I151" s="5" t="s">
        <v>64</v>
      </c>
      <c r="J151" s="5" t="s">
        <v>20</v>
      </c>
      <c r="K151" s="5" t="s">
        <v>58</v>
      </c>
      <c r="L151" s="5" t="s">
        <v>66</v>
      </c>
      <c r="M151" s="7" t="str">
        <f t="shared" si="2"/>
        <v>OK</v>
      </c>
      <c r="N151" s="7"/>
      <c r="O151" s="7"/>
      <c r="P151" s="7"/>
      <c r="Q151" s="7"/>
      <c r="R151" s="7"/>
      <c r="S151" s="7"/>
      <c r="T151" s="7"/>
      <c r="U151" s="7"/>
      <c r="V151" s="7"/>
      <c r="W151" s="7"/>
      <c r="X151" s="7"/>
      <c r="Y151" s="7"/>
      <c r="Z151" s="7"/>
    </row>
    <row r="152" ht="15.75" customHeight="1">
      <c r="A152" s="12" t="s">
        <v>787</v>
      </c>
      <c r="B152" s="5" t="s">
        <v>25</v>
      </c>
      <c r="C152" s="5" t="s">
        <v>15</v>
      </c>
      <c r="D152" s="5" t="s">
        <v>788</v>
      </c>
      <c r="E152" s="5" t="s">
        <v>789</v>
      </c>
      <c r="F152" s="5" t="s">
        <v>790</v>
      </c>
      <c r="G152" s="5" t="s">
        <v>791</v>
      </c>
      <c r="H152" s="5" t="s">
        <v>791</v>
      </c>
      <c r="I152" s="5" t="s">
        <v>45</v>
      </c>
      <c r="J152" s="5" t="s">
        <v>37</v>
      </c>
      <c r="K152" s="5" t="s">
        <v>57</v>
      </c>
      <c r="L152" s="5" t="s">
        <v>23</v>
      </c>
      <c r="M152" s="7" t="str">
        <f t="shared" si="2"/>
        <v>OK</v>
      </c>
      <c r="N152" s="7"/>
      <c r="O152" s="7"/>
      <c r="P152" s="7"/>
      <c r="Q152" s="7"/>
      <c r="R152" s="7"/>
      <c r="S152" s="7"/>
      <c r="T152" s="7"/>
      <c r="U152" s="7"/>
      <c r="V152" s="7"/>
      <c r="W152" s="7"/>
      <c r="X152" s="7"/>
      <c r="Y152" s="7"/>
      <c r="Z152" s="7"/>
    </row>
    <row r="153" ht="15.75" customHeight="1">
      <c r="A153" s="12" t="s">
        <v>792</v>
      </c>
      <c r="B153" s="5" t="s">
        <v>14</v>
      </c>
      <c r="C153" s="5" t="s">
        <v>15</v>
      </c>
      <c r="D153" s="5" t="s">
        <v>793</v>
      </c>
      <c r="E153" s="5" t="s">
        <v>794</v>
      </c>
      <c r="F153" s="5" t="s">
        <v>795</v>
      </c>
      <c r="G153" s="5" t="s">
        <v>796</v>
      </c>
      <c r="H153" s="5" t="s">
        <v>794</v>
      </c>
      <c r="I153" s="5" t="s">
        <v>20</v>
      </c>
      <c r="J153" s="5" t="s">
        <v>31</v>
      </c>
      <c r="K153" s="5" t="s">
        <v>132</v>
      </c>
      <c r="L153" s="5" t="s">
        <v>23</v>
      </c>
      <c r="M153" s="7" t="str">
        <f t="shared" si="2"/>
        <v>OK</v>
      </c>
      <c r="N153" s="7"/>
      <c r="O153" s="7"/>
      <c r="P153" s="7"/>
      <c r="Q153" s="7"/>
      <c r="R153" s="7"/>
      <c r="S153" s="7"/>
      <c r="T153" s="7"/>
      <c r="U153" s="7"/>
      <c r="V153" s="7"/>
      <c r="W153" s="7"/>
      <c r="X153" s="7"/>
      <c r="Y153" s="7"/>
      <c r="Z153" s="7"/>
    </row>
    <row r="154" ht="15.75" customHeight="1">
      <c r="A154" s="12" t="s">
        <v>797</v>
      </c>
      <c r="B154" s="5" t="s">
        <v>25</v>
      </c>
      <c r="C154" s="5" t="s">
        <v>15</v>
      </c>
      <c r="D154" s="5" t="s">
        <v>798</v>
      </c>
      <c r="E154" s="5" t="s">
        <v>799</v>
      </c>
      <c r="F154" s="5" t="s">
        <v>800</v>
      </c>
      <c r="G154" s="5" t="s">
        <v>801</v>
      </c>
      <c r="H154" s="5" t="s">
        <v>801</v>
      </c>
      <c r="I154" s="5" t="s">
        <v>30</v>
      </c>
      <c r="J154" s="5" t="s">
        <v>31</v>
      </c>
      <c r="K154" s="5" t="s">
        <v>39</v>
      </c>
      <c r="L154" s="5" t="s">
        <v>46</v>
      </c>
      <c r="M154" s="7" t="str">
        <f t="shared" si="2"/>
        <v>OK</v>
      </c>
      <c r="N154" s="7"/>
      <c r="O154" s="7"/>
      <c r="P154" s="7"/>
      <c r="Q154" s="7"/>
      <c r="R154" s="7"/>
      <c r="S154" s="7"/>
      <c r="T154" s="7"/>
      <c r="U154" s="7"/>
      <c r="V154" s="7"/>
      <c r="W154" s="7"/>
      <c r="X154" s="7"/>
      <c r="Y154" s="7"/>
      <c r="Z154" s="7"/>
    </row>
    <row r="155" ht="15.75" customHeight="1">
      <c r="A155" s="12" t="s">
        <v>802</v>
      </c>
      <c r="B155" s="5" t="s">
        <v>25</v>
      </c>
      <c r="C155" s="5" t="s">
        <v>15</v>
      </c>
      <c r="D155" s="5" t="s">
        <v>803</v>
      </c>
      <c r="E155" s="5" t="s">
        <v>804</v>
      </c>
      <c r="F155" s="5" t="s">
        <v>805</v>
      </c>
      <c r="G155" s="5" t="s">
        <v>806</v>
      </c>
      <c r="H155" s="5" t="s">
        <v>806</v>
      </c>
      <c r="I155" s="5" t="s">
        <v>65</v>
      </c>
      <c r="J155" s="5" t="s">
        <v>31</v>
      </c>
      <c r="K155" s="5" t="s">
        <v>38</v>
      </c>
      <c r="L155" s="5" t="s">
        <v>46</v>
      </c>
      <c r="M155" s="7" t="str">
        <f t="shared" si="2"/>
        <v>OK</v>
      </c>
      <c r="N155" s="7"/>
      <c r="O155" s="7"/>
      <c r="P155" s="7"/>
      <c r="Q155" s="7"/>
      <c r="R155" s="7"/>
      <c r="S155" s="7"/>
      <c r="T155" s="7"/>
      <c r="U155" s="7"/>
      <c r="V155" s="7"/>
      <c r="W155" s="7"/>
      <c r="X155" s="7"/>
      <c r="Y155" s="7"/>
      <c r="Z155" s="7"/>
    </row>
    <row r="156" ht="15.75" customHeight="1">
      <c r="A156" s="12" t="s">
        <v>807</v>
      </c>
      <c r="B156" s="5" t="s">
        <v>25</v>
      </c>
      <c r="C156" s="5" t="s">
        <v>15</v>
      </c>
      <c r="D156" s="5" t="s">
        <v>808</v>
      </c>
      <c r="E156" s="5" t="s">
        <v>809</v>
      </c>
      <c r="F156" s="5" t="s">
        <v>810</v>
      </c>
      <c r="G156" s="5" t="s">
        <v>811</v>
      </c>
      <c r="H156" s="5" t="s">
        <v>809</v>
      </c>
      <c r="I156" s="5" t="s">
        <v>64</v>
      </c>
      <c r="J156" s="5" t="s">
        <v>64</v>
      </c>
      <c r="K156" s="5" t="s">
        <v>46</v>
      </c>
      <c r="L156" s="5" t="s">
        <v>39</v>
      </c>
      <c r="M156" s="7" t="str">
        <f t="shared" si="2"/>
        <v>OK</v>
      </c>
      <c r="N156" s="7"/>
      <c r="O156" s="7"/>
      <c r="P156" s="7"/>
      <c r="Q156" s="7"/>
      <c r="R156" s="7"/>
      <c r="S156" s="7"/>
      <c r="T156" s="7"/>
      <c r="U156" s="7"/>
      <c r="V156" s="7"/>
      <c r="W156" s="7"/>
      <c r="X156" s="7"/>
      <c r="Y156" s="7"/>
      <c r="Z156" s="7"/>
    </row>
    <row r="157" ht="15.75" customHeight="1">
      <c r="A157" s="12" t="s">
        <v>812</v>
      </c>
      <c r="B157" s="5" t="s">
        <v>14</v>
      </c>
      <c r="C157" s="5" t="s">
        <v>15</v>
      </c>
      <c r="D157" s="5" t="s">
        <v>813</v>
      </c>
      <c r="E157" s="5" t="s">
        <v>760</v>
      </c>
      <c r="F157" s="5" t="s">
        <v>814</v>
      </c>
      <c r="G157" s="5" t="s">
        <v>815</v>
      </c>
      <c r="H157" s="5" t="s">
        <v>760</v>
      </c>
      <c r="I157" s="5" t="s">
        <v>20</v>
      </c>
      <c r="J157" s="5" t="s">
        <v>37</v>
      </c>
      <c r="K157" s="5" t="s">
        <v>58</v>
      </c>
      <c r="L157" s="5" t="s">
        <v>46</v>
      </c>
      <c r="M157" s="7" t="str">
        <f t="shared" si="2"/>
        <v>OK</v>
      </c>
      <c r="N157" s="7"/>
      <c r="O157" s="7"/>
      <c r="P157" s="7"/>
      <c r="Q157" s="7"/>
      <c r="R157" s="7"/>
      <c r="S157" s="7"/>
      <c r="T157" s="7"/>
      <c r="U157" s="7"/>
      <c r="V157" s="7"/>
      <c r="W157" s="7"/>
      <c r="X157" s="7"/>
      <c r="Y157" s="7"/>
      <c r="Z157" s="7"/>
    </row>
    <row r="158" ht="15.75" customHeight="1">
      <c r="A158" s="12" t="s">
        <v>816</v>
      </c>
      <c r="B158" s="5" t="s">
        <v>14</v>
      </c>
      <c r="C158" s="5" t="s">
        <v>15</v>
      </c>
      <c r="D158" s="5" t="s">
        <v>817</v>
      </c>
      <c r="E158" s="5" t="s">
        <v>818</v>
      </c>
      <c r="F158" s="5" t="s">
        <v>819</v>
      </c>
      <c r="G158" s="5" t="s">
        <v>820</v>
      </c>
      <c r="H158" s="5" t="s">
        <v>820</v>
      </c>
      <c r="I158" s="5" t="s">
        <v>37</v>
      </c>
      <c r="J158" s="5" t="s">
        <v>20</v>
      </c>
      <c r="K158" s="5" t="s">
        <v>22</v>
      </c>
      <c r="L158" s="5" t="s">
        <v>57</v>
      </c>
      <c r="M158" s="7" t="str">
        <f t="shared" si="2"/>
        <v>OK</v>
      </c>
      <c r="N158" s="7"/>
      <c r="O158" s="7"/>
      <c r="P158" s="7"/>
      <c r="Q158" s="7"/>
      <c r="R158" s="7"/>
      <c r="S158" s="7"/>
      <c r="T158" s="7"/>
      <c r="U158" s="7"/>
      <c r="V158" s="7"/>
      <c r="W158" s="7"/>
      <c r="X158" s="7"/>
      <c r="Y158" s="7"/>
      <c r="Z158" s="7"/>
    </row>
    <row r="159" ht="15.75" customHeight="1">
      <c r="A159" s="12" t="s">
        <v>821</v>
      </c>
      <c r="B159" s="5" t="s">
        <v>14</v>
      </c>
      <c r="C159" s="5" t="s">
        <v>15</v>
      </c>
      <c r="D159" s="5" t="s">
        <v>822</v>
      </c>
      <c r="E159" s="5" t="s">
        <v>823</v>
      </c>
      <c r="F159" s="5" t="s">
        <v>824</v>
      </c>
      <c r="G159" s="5" t="s">
        <v>825</v>
      </c>
      <c r="H159" s="5" t="s">
        <v>825</v>
      </c>
      <c r="I159" s="5" t="s">
        <v>37</v>
      </c>
      <c r="J159" s="5" t="s">
        <v>20</v>
      </c>
      <c r="K159" s="5" t="s">
        <v>23</v>
      </c>
      <c r="L159" s="5" t="s">
        <v>46</v>
      </c>
      <c r="M159" s="7" t="str">
        <f t="shared" si="2"/>
        <v>OK</v>
      </c>
      <c r="N159" s="7"/>
      <c r="O159" s="7"/>
      <c r="P159" s="7"/>
      <c r="Q159" s="7"/>
      <c r="R159" s="7"/>
      <c r="S159" s="7"/>
      <c r="T159" s="7"/>
      <c r="U159" s="7"/>
      <c r="V159" s="7"/>
      <c r="W159" s="7"/>
      <c r="X159" s="7"/>
      <c r="Y159" s="7"/>
      <c r="Z159" s="7"/>
    </row>
    <row r="160" ht="15.75" customHeight="1">
      <c r="A160" s="13" t="s">
        <v>826</v>
      </c>
      <c r="B160" s="5" t="s">
        <v>14</v>
      </c>
      <c r="C160" s="5" t="s">
        <v>15</v>
      </c>
      <c r="D160" s="5" t="s">
        <v>827</v>
      </c>
      <c r="E160" s="5" t="s">
        <v>828</v>
      </c>
      <c r="F160" s="5" t="s">
        <v>829</v>
      </c>
      <c r="G160" s="5" t="s">
        <v>830</v>
      </c>
      <c r="H160" s="5" t="s">
        <v>828</v>
      </c>
      <c r="I160" s="5" t="s">
        <v>30</v>
      </c>
      <c r="J160" s="5" t="s">
        <v>45</v>
      </c>
      <c r="K160" s="5" t="s">
        <v>22</v>
      </c>
      <c r="L160" s="5" t="s">
        <v>39</v>
      </c>
      <c r="M160" s="7" t="str">
        <f t="shared" si="2"/>
        <v>OK</v>
      </c>
      <c r="N160" s="7"/>
      <c r="O160" s="7"/>
      <c r="P160" s="7"/>
      <c r="Q160" s="7"/>
      <c r="R160" s="7"/>
      <c r="S160" s="7"/>
      <c r="T160" s="7"/>
      <c r="U160" s="7"/>
      <c r="V160" s="7"/>
      <c r="W160" s="7"/>
      <c r="X160" s="7"/>
      <c r="Y160" s="7"/>
      <c r="Z160" s="7"/>
    </row>
    <row r="161" ht="15.75" customHeight="1">
      <c r="A161" s="12" t="s">
        <v>831</v>
      </c>
      <c r="B161" s="5" t="s">
        <v>14</v>
      </c>
      <c r="C161" s="5" t="s">
        <v>15</v>
      </c>
      <c r="D161" s="5" t="s">
        <v>832</v>
      </c>
      <c r="E161" s="5" t="s">
        <v>833</v>
      </c>
      <c r="F161" s="5" t="s">
        <v>834</v>
      </c>
      <c r="G161" s="5" t="s">
        <v>835</v>
      </c>
      <c r="H161" s="5" t="s">
        <v>835</v>
      </c>
      <c r="I161" s="5" t="s">
        <v>64</v>
      </c>
      <c r="J161" s="5" t="s">
        <v>31</v>
      </c>
      <c r="K161" s="5" t="s">
        <v>22</v>
      </c>
      <c r="L161" s="5" t="s">
        <v>46</v>
      </c>
      <c r="M161" s="7" t="str">
        <f t="shared" si="2"/>
        <v>OK</v>
      </c>
      <c r="N161" s="7"/>
      <c r="O161" s="7"/>
      <c r="P161" s="7"/>
      <c r="Q161" s="7"/>
      <c r="R161" s="7"/>
      <c r="S161" s="7"/>
      <c r="T161" s="7"/>
      <c r="U161" s="7"/>
      <c r="V161" s="7"/>
      <c r="W161" s="7"/>
      <c r="X161" s="7"/>
      <c r="Y161" s="7"/>
      <c r="Z161" s="7"/>
    </row>
    <row r="162" ht="15.75" customHeight="1">
      <c r="A162" s="12" t="s">
        <v>836</v>
      </c>
      <c r="B162" s="5" t="s">
        <v>14</v>
      </c>
      <c r="C162" s="5" t="s">
        <v>15</v>
      </c>
      <c r="D162" s="5" t="s">
        <v>837</v>
      </c>
      <c r="E162" s="5" t="s">
        <v>838</v>
      </c>
      <c r="F162" s="5" t="s">
        <v>839</v>
      </c>
      <c r="G162" s="5" t="s">
        <v>840</v>
      </c>
      <c r="H162" s="5" t="s">
        <v>840</v>
      </c>
      <c r="I162" s="5" t="s">
        <v>37</v>
      </c>
      <c r="J162" s="5" t="s">
        <v>21</v>
      </c>
      <c r="K162" s="5" t="s">
        <v>46</v>
      </c>
      <c r="L162" s="5" t="s">
        <v>22</v>
      </c>
      <c r="M162" s="7" t="str">
        <f t="shared" si="2"/>
        <v>OK</v>
      </c>
      <c r="N162" s="7"/>
      <c r="O162" s="7"/>
      <c r="P162" s="7"/>
      <c r="Q162" s="7"/>
      <c r="R162" s="7"/>
      <c r="S162" s="7"/>
      <c r="T162" s="7"/>
      <c r="U162" s="7"/>
      <c r="V162" s="7"/>
      <c r="W162" s="7"/>
      <c r="X162" s="7"/>
      <c r="Y162" s="7"/>
      <c r="Z162" s="7"/>
    </row>
    <row r="163" ht="15.75" customHeight="1">
      <c r="A163" s="12" t="s">
        <v>841</v>
      </c>
      <c r="B163" s="5" t="s">
        <v>25</v>
      </c>
      <c r="C163" s="5" t="s">
        <v>15</v>
      </c>
      <c r="D163" s="5" t="s">
        <v>842</v>
      </c>
      <c r="E163" s="5" t="s">
        <v>843</v>
      </c>
      <c r="F163" s="5" t="s">
        <v>844</v>
      </c>
      <c r="G163" s="5" t="s">
        <v>845</v>
      </c>
      <c r="H163" s="5" t="s">
        <v>845</v>
      </c>
      <c r="I163" s="5" t="s">
        <v>64</v>
      </c>
      <c r="J163" s="5" t="s">
        <v>37</v>
      </c>
      <c r="K163" s="5" t="s">
        <v>66</v>
      </c>
      <c r="L163" s="5" t="s">
        <v>58</v>
      </c>
      <c r="M163" s="7" t="str">
        <f t="shared" si="2"/>
        <v>OK</v>
      </c>
      <c r="N163" s="7"/>
      <c r="O163" s="7"/>
      <c r="P163" s="7"/>
      <c r="Q163" s="7"/>
      <c r="R163" s="7"/>
      <c r="S163" s="7"/>
      <c r="T163" s="7"/>
      <c r="U163" s="7"/>
      <c r="V163" s="7"/>
      <c r="W163" s="7"/>
      <c r="X163" s="7"/>
      <c r="Y163" s="7"/>
      <c r="Z163" s="7"/>
    </row>
    <row r="164" ht="15.75" customHeight="1">
      <c r="A164" s="12" t="s">
        <v>846</v>
      </c>
      <c r="B164" s="5" t="s">
        <v>14</v>
      </c>
      <c r="C164" s="5" t="s">
        <v>15</v>
      </c>
      <c r="D164" s="5" t="s">
        <v>847</v>
      </c>
      <c r="E164" s="5" t="s">
        <v>848</v>
      </c>
      <c r="F164" s="5" t="s">
        <v>849</v>
      </c>
      <c r="G164" s="5" t="s">
        <v>850</v>
      </c>
      <c r="H164" s="5" t="s">
        <v>850</v>
      </c>
      <c r="I164" s="5" t="s">
        <v>64</v>
      </c>
      <c r="J164" s="5" t="s">
        <v>31</v>
      </c>
      <c r="K164" s="5" t="s">
        <v>46</v>
      </c>
      <c r="L164" s="5" t="s">
        <v>57</v>
      </c>
      <c r="M164" s="7" t="str">
        <f t="shared" si="2"/>
        <v>OK</v>
      </c>
      <c r="N164" s="7"/>
      <c r="O164" s="7"/>
      <c r="P164" s="7"/>
      <c r="Q164" s="7"/>
      <c r="R164" s="7"/>
      <c r="S164" s="7"/>
      <c r="T164" s="7"/>
      <c r="U164" s="7"/>
      <c r="V164" s="7"/>
      <c r="W164" s="7"/>
      <c r="X164" s="7"/>
      <c r="Y164" s="7"/>
      <c r="Z164" s="7"/>
    </row>
    <row r="165" ht="15.75" customHeight="1">
      <c r="A165" s="12" t="s">
        <v>851</v>
      </c>
      <c r="B165" s="5" t="s">
        <v>14</v>
      </c>
      <c r="C165" s="5" t="s">
        <v>15</v>
      </c>
      <c r="D165" s="5" t="s">
        <v>852</v>
      </c>
      <c r="E165" s="5" t="s">
        <v>853</v>
      </c>
      <c r="F165" s="5" t="s">
        <v>854</v>
      </c>
      <c r="G165" s="5" t="s">
        <v>855</v>
      </c>
      <c r="H165" s="5" t="s">
        <v>855</v>
      </c>
      <c r="I165" s="5" t="s">
        <v>31</v>
      </c>
      <c r="J165" s="5" t="s">
        <v>21</v>
      </c>
      <c r="K165" s="5" t="s">
        <v>46</v>
      </c>
      <c r="L165" s="5" t="s">
        <v>58</v>
      </c>
      <c r="M165" s="7" t="str">
        <f t="shared" si="2"/>
        <v>OK</v>
      </c>
      <c r="N165" s="7"/>
      <c r="O165" s="7"/>
      <c r="P165" s="7"/>
      <c r="Q165" s="7"/>
      <c r="R165" s="7"/>
      <c r="S165" s="7"/>
      <c r="T165" s="7"/>
      <c r="U165" s="7"/>
      <c r="V165" s="7"/>
      <c r="W165" s="7"/>
      <c r="X165" s="7"/>
      <c r="Y165" s="7"/>
      <c r="Z165" s="7"/>
    </row>
    <row r="166" ht="15.75" customHeight="1">
      <c r="A166" s="12" t="s">
        <v>856</v>
      </c>
      <c r="B166" s="5" t="s">
        <v>14</v>
      </c>
      <c r="C166" s="5" t="s">
        <v>15</v>
      </c>
      <c r="D166" s="5" t="s">
        <v>857</v>
      </c>
      <c r="E166" s="5" t="s">
        <v>858</v>
      </c>
      <c r="F166" s="5" t="s">
        <v>859</v>
      </c>
      <c r="G166" s="5" t="s">
        <v>860</v>
      </c>
      <c r="H166" s="5" t="s">
        <v>860</v>
      </c>
      <c r="I166" s="5" t="s">
        <v>21</v>
      </c>
      <c r="J166" s="5" t="s">
        <v>64</v>
      </c>
      <c r="K166" s="5" t="s">
        <v>22</v>
      </c>
      <c r="L166" s="5" t="s">
        <v>46</v>
      </c>
      <c r="M166" s="7" t="str">
        <f t="shared" si="2"/>
        <v>OK</v>
      </c>
      <c r="N166" s="7"/>
      <c r="O166" s="7"/>
      <c r="P166" s="7"/>
      <c r="Q166" s="7"/>
      <c r="R166" s="7"/>
      <c r="S166" s="7"/>
      <c r="T166" s="7"/>
      <c r="U166" s="7"/>
      <c r="V166" s="7"/>
      <c r="W166" s="7"/>
      <c r="X166" s="7"/>
      <c r="Y166" s="7"/>
      <c r="Z166" s="7"/>
    </row>
    <row r="167" ht="15.75" customHeight="1">
      <c r="A167" s="12" t="s">
        <v>861</v>
      </c>
      <c r="B167" s="5" t="s">
        <v>14</v>
      </c>
      <c r="C167" s="5" t="s">
        <v>15</v>
      </c>
      <c r="D167" s="5" t="s">
        <v>862</v>
      </c>
      <c r="E167" s="5" t="s">
        <v>863</v>
      </c>
      <c r="F167" s="5" t="s">
        <v>864</v>
      </c>
      <c r="G167" s="5" t="s">
        <v>865</v>
      </c>
      <c r="H167" s="5" t="s">
        <v>865</v>
      </c>
      <c r="I167" s="5" t="s">
        <v>37</v>
      </c>
      <c r="J167" s="5" t="s">
        <v>21</v>
      </c>
      <c r="K167" s="5" t="s">
        <v>132</v>
      </c>
      <c r="L167" s="5" t="s">
        <v>58</v>
      </c>
      <c r="M167" s="7" t="str">
        <f t="shared" si="2"/>
        <v>OK</v>
      </c>
      <c r="N167" s="7"/>
      <c r="O167" s="7"/>
      <c r="P167" s="7"/>
      <c r="Q167" s="7"/>
      <c r="R167" s="7"/>
      <c r="S167" s="7"/>
      <c r="T167" s="7"/>
      <c r="U167" s="7"/>
      <c r="V167" s="7"/>
      <c r="W167" s="7"/>
      <c r="X167" s="7"/>
      <c r="Y167" s="7"/>
      <c r="Z167" s="7"/>
    </row>
    <row r="168" ht="15.75" customHeight="1">
      <c r="A168" s="14" t="s">
        <v>866</v>
      </c>
      <c r="B168" s="5" t="s">
        <v>14</v>
      </c>
      <c r="C168" s="5" t="s">
        <v>15</v>
      </c>
      <c r="D168" s="5" t="s">
        <v>867</v>
      </c>
      <c r="E168" s="5" t="s">
        <v>868</v>
      </c>
      <c r="F168" s="5" t="s">
        <v>869</v>
      </c>
      <c r="G168" s="5" t="s">
        <v>870</v>
      </c>
      <c r="H168" s="5" t="s">
        <v>870</v>
      </c>
      <c r="I168" s="5" t="s">
        <v>20</v>
      </c>
      <c r="J168" s="5" t="s">
        <v>37</v>
      </c>
      <c r="K168" s="5" t="s">
        <v>39</v>
      </c>
      <c r="L168" s="5" t="s">
        <v>22</v>
      </c>
      <c r="M168" s="7" t="str">
        <f t="shared" si="2"/>
        <v>OK</v>
      </c>
      <c r="N168" s="7"/>
      <c r="O168" s="7"/>
      <c r="P168" s="7"/>
      <c r="Q168" s="7"/>
      <c r="R168" s="7"/>
      <c r="S168" s="7"/>
      <c r="T168" s="7"/>
      <c r="U168" s="7"/>
      <c r="V168" s="7"/>
      <c r="W168" s="7"/>
      <c r="X168" s="7"/>
      <c r="Y168" s="7"/>
      <c r="Z168" s="7"/>
    </row>
    <row r="169" ht="15.75" customHeight="1">
      <c r="A169" s="12" t="s">
        <v>871</v>
      </c>
      <c r="B169" s="5" t="s">
        <v>25</v>
      </c>
      <c r="C169" s="5" t="s">
        <v>15</v>
      </c>
      <c r="D169" s="5" t="s">
        <v>872</v>
      </c>
      <c r="E169" s="5" t="s">
        <v>873</v>
      </c>
      <c r="F169" s="5" t="s">
        <v>874</v>
      </c>
      <c r="G169" s="5" t="s">
        <v>875</v>
      </c>
      <c r="H169" s="5" t="s">
        <v>874</v>
      </c>
      <c r="I169" s="5" t="s">
        <v>30</v>
      </c>
      <c r="J169" s="5" t="s">
        <v>20</v>
      </c>
      <c r="K169" s="5" t="s">
        <v>39</v>
      </c>
      <c r="L169" s="5" t="s">
        <v>58</v>
      </c>
      <c r="M169" s="7" t="str">
        <f t="shared" si="2"/>
        <v>OK</v>
      </c>
      <c r="N169" s="7"/>
      <c r="O169" s="7"/>
      <c r="P169" s="7"/>
      <c r="Q169" s="7"/>
      <c r="R169" s="7"/>
      <c r="S169" s="7"/>
      <c r="T169" s="7"/>
      <c r="U169" s="7"/>
      <c r="V169" s="7"/>
      <c r="W169" s="7"/>
      <c r="X169" s="7"/>
      <c r="Y169" s="7"/>
      <c r="Z169" s="7"/>
    </row>
    <row r="170" ht="15.75" customHeight="1">
      <c r="A170" s="12" t="s">
        <v>876</v>
      </c>
      <c r="B170" s="5" t="s">
        <v>14</v>
      </c>
      <c r="C170" s="5" t="s">
        <v>15</v>
      </c>
      <c r="D170" s="5" t="s">
        <v>877</v>
      </c>
      <c r="E170" s="5" t="s">
        <v>878</v>
      </c>
      <c r="F170" s="5" t="s">
        <v>879</v>
      </c>
      <c r="G170" s="5" t="s">
        <v>880</v>
      </c>
      <c r="H170" s="5" t="s">
        <v>880</v>
      </c>
      <c r="I170" s="5" t="s">
        <v>45</v>
      </c>
      <c r="J170" s="5" t="s">
        <v>64</v>
      </c>
      <c r="K170" s="5" t="s">
        <v>23</v>
      </c>
      <c r="L170" s="5" t="s">
        <v>57</v>
      </c>
      <c r="M170" s="7" t="str">
        <f t="shared" si="2"/>
        <v>OK</v>
      </c>
      <c r="N170" s="7"/>
      <c r="O170" s="7"/>
      <c r="P170" s="7"/>
      <c r="Q170" s="7"/>
      <c r="R170" s="7"/>
      <c r="S170" s="7"/>
      <c r="T170" s="7"/>
      <c r="U170" s="7"/>
      <c r="V170" s="7"/>
      <c r="W170" s="7"/>
      <c r="X170" s="7"/>
      <c r="Y170" s="7"/>
      <c r="Z170" s="7"/>
    </row>
    <row r="171" ht="15.75" customHeight="1">
      <c r="A171" s="12" t="s">
        <v>881</v>
      </c>
      <c r="B171" s="5" t="s">
        <v>14</v>
      </c>
      <c r="C171" s="5" t="s">
        <v>15</v>
      </c>
      <c r="D171" s="5" t="s">
        <v>882</v>
      </c>
      <c r="E171" s="5" t="s">
        <v>883</v>
      </c>
      <c r="F171" s="5" t="s">
        <v>884</v>
      </c>
      <c r="G171" s="5" t="s">
        <v>885</v>
      </c>
      <c r="H171" s="5" t="s">
        <v>885</v>
      </c>
      <c r="I171" s="5" t="s">
        <v>37</v>
      </c>
      <c r="J171" s="5" t="s">
        <v>20</v>
      </c>
      <c r="K171" s="5" t="s">
        <v>22</v>
      </c>
      <c r="L171" s="5" t="s">
        <v>46</v>
      </c>
      <c r="M171" s="7" t="str">
        <f t="shared" si="2"/>
        <v>OK</v>
      </c>
      <c r="N171" s="7"/>
      <c r="O171" s="7"/>
      <c r="P171" s="7"/>
      <c r="Q171" s="7"/>
      <c r="R171" s="7"/>
      <c r="S171" s="7"/>
      <c r="T171" s="7"/>
      <c r="U171" s="7"/>
      <c r="V171" s="7"/>
      <c r="W171" s="7"/>
      <c r="X171" s="7"/>
      <c r="Y171" s="7"/>
      <c r="Z171" s="7"/>
    </row>
    <row r="172" ht="15.75" customHeight="1">
      <c r="A172" s="12" t="s">
        <v>886</v>
      </c>
      <c r="B172" s="5" t="s">
        <v>14</v>
      </c>
      <c r="C172" s="5" t="s">
        <v>15</v>
      </c>
      <c r="D172" s="4" t="s">
        <v>887</v>
      </c>
      <c r="E172" s="4" t="s">
        <v>888</v>
      </c>
      <c r="F172" s="4" t="s">
        <v>889</v>
      </c>
      <c r="G172" s="5" t="s">
        <v>890</v>
      </c>
      <c r="H172" s="5" t="s">
        <v>890</v>
      </c>
      <c r="I172" s="5" t="s">
        <v>65</v>
      </c>
      <c r="J172" s="5" t="s">
        <v>64</v>
      </c>
      <c r="K172" s="5" t="s">
        <v>132</v>
      </c>
      <c r="L172" s="5" t="s">
        <v>38</v>
      </c>
      <c r="M172" s="7" t="str">
        <f t="shared" si="2"/>
        <v>OK</v>
      </c>
      <c r="N172" s="7"/>
      <c r="O172" s="7"/>
      <c r="P172" s="7"/>
      <c r="Q172" s="7"/>
      <c r="R172" s="7"/>
      <c r="S172" s="7"/>
      <c r="T172" s="7"/>
      <c r="U172" s="7"/>
      <c r="V172" s="7"/>
      <c r="W172" s="7"/>
      <c r="X172" s="7"/>
      <c r="Y172" s="7"/>
      <c r="Z172" s="7"/>
    </row>
    <row r="173" ht="15.75" customHeight="1">
      <c r="A173" s="12" t="s">
        <v>891</v>
      </c>
      <c r="B173" s="5" t="s">
        <v>25</v>
      </c>
      <c r="C173" s="5" t="s">
        <v>15</v>
      </c>
      <c r="D173" s="5" t="s">
        <v>892</v>
      </c>
      <c r="E173" s="5" t="s">
        <v>893</v>
      </c>
      <c r="F173" s="5" t="s">
        <v>894</v>
      </c>
      <c r="G173" s="5" t="s">
        <v>895</v>
      </c>
      <c r="H173" s="5" t="s">
        <v>893</v>
      </c>
      <c r="I173" s="5" t="s">
        <v>37</v>
      </c>
      <c r="J173" s="5" t="s">
        <v>20</v>
      </c>
      <c r="K173" s="5" t="s">
        <v>58</v>
      </c>
      <c r="L173" s="5" t="s">
        <v>132</v>
      </c>
      <c r="M173" s="7" t="str">
        <f t="shared" si="2"/>
        <v>OK</v>
      </c>
      <c r="N173" s="7"/>
      <c r="O173" s="7"/>
      <c r="P173" s="7"/>
      <c r="Q173" s="7"/>
      <c r="R173" s="7"/>
      <c r="S173" s="7"/>
      <c r="T173" s="7"/>
      <c r="U173" s="7"/>
      <c r="V173" s="7"/>
      <c r="W173" s="7"/>
      <c r="X173" s="7"/>
      <c r="Y173" s="7"/>
      <c r="Z173" s="7"/>
    </row>
    <row r="174" ht="15.75" customHeight="1">
      <c r="A174" s="12" t="s">
        <v>896</v>
      </c>
      <c r="B174" s="5" t="s">
        <v>14</v>
      </c>
      <c r="C174" s="5" t="s">
        <v>15</v>
      </c>
      <c r="D174" s="5" t="s">
        <v>897</v>
      </c>
      <c r="E174" s="5" t="s">
        <v>898</v>
      </c>
      <c r="F174" s="5" t="s">
        <v>899</v>
      </c>
      <c r="G174" s="5" t="s">
        <v>900</v>
      </c>
      <c r="H174" s="5" t="s">
        <v>898</v>
      </c>
      <c r="I174" s="5" t="s">
        <v>45</v>
      </c>
      <c r="J174" s="5" t="s">
        <v>21</v>
      </c>
      <c r="K174" s="5" t="s">
        <v>38</v>
      </c>
      <c r="L174" s="5" t="s">
        <v>46</v>
      </c>
      <c r="M174" s="7" t="str">
        <f t="shared" si="2"/>
        <v>OK</v>
      </c>
      <c r="N174" s="7"/>
      <c r="O174" s="7"/>
      <c r="P174" s="7"/>
      <c r="Q174" s="7"/>
      <c r="R174" s="7"/>
      <c r="S174" s="7"/>
      <c r="T174" s="7"/>
      <c r="U174" s="7"/>
      <c r="V174" s="7"/>
      <c r="W174" s="7"/>
      <c r="X174" s="7"/>
      <c r="Y174" s="7"/>
      <c r="Z174" s="7"/>
    </row>
    <row r="175" ht="15.75" customHeight="1">
      <c r="A175" s="12" t="s">
        <v>901</v>
      </c>
      <c r="B175" s="5" t="s">
        <v>25</v>
      </c>
      <c r="C175" s="5" t="s">
        <v>15</v>
      </c>
      <c r="D175" s="4" t="s">
        <v>902</v>
      </c>
      <c r="E175" s="4" t="s">
        <v>903</v>
      </c>
      <c r="F175" s="4" t="s">
        <v>904</v>
      </c>
      <c r="G175" s="4" t="s">
        <v>905</v>
      </c>
      <c r="H175" s="5" t="s">
        <v>904</v>
      </c>
      <c r="I175" s="5" t="s">
        <v>30</v>
      </c>
      <c r="J175" s="5" t="s">
        <v>31</v>
      </c>
      <c r="K175" s="5" t="s">
        <v>39</v>
      </c>
      <c r="L175" s="5" t="s">
        <v>22</v>
      </c>
      <c r="M175" s="7" t="str">
        <f t="shared" si="2"/>
        <v>OK</v>
      </c>
      <c r="N175" s="7"/>
      <c r="O175" s="7"/>
      <c r="P175" s="7"/>
      <c r="Q175" s="7"/>
      <c r="R175" s="7"/>
      <c r="S175" s="7"/>
      <c r="T175" s="7"/>
      <c r="U175" s="7"/>
      <c r="V175" s="7"/>
      <c r="W175" s="7"/>
      <c r="X175" s="7"/>
      <c r="Y175" s="7"/>
      <c r="Z175" s="7"/>
    </row>
    <row r="176" ht="15.75" customHeight="1">
      <c r="A176" s="12" t="s">
        <v>906</v>
      </c>
      <c r="B176" s="5" t="s">
        <v>14</v>
      </c>
      <c r="C176" s="5" t="s">
        <v>15</v>
      </c>
      <c r="D176" s="5" t="s">
        <v>907</v>
      </c>
      <c r="E176" s="5" t="s">
        <v>908</v>
      </c>
      <c r="F176" s="6" t="s">
        <v>909</v>
      </c>
      <c r="G176" s="6" t="s">
        <v>910</v>
      </c>
      <c r="H176" s="5" t="s">
        <v>908</v>
      </c>
      <c r="I176" s="5" t="s">
        <v>65</v>
      </c>
      <c r="J176" s="5" t="s">
        <v>37</v>
      </c>
      <c r="K176" s="5" t="s">
        <v>57</v>
      </c>
      <c r="L176" s="5" t="s">
        <v>22</v>
      </c>
      <c r="M176" s="7" t="str">
        <f>IF(COUNTIF($A$2:A206, A176)&gt;1, "Dublet", "OK")</f>
        <v>OK</v>
      </c>
      <c r="N176" s="7"/>
      <c r="O176" s="7"/>
      <c r="P176" s="7"/>
      <c r="Q176" s="7"/>
      <c r="R176" s="7"/>
      <c r="S176" s="7"/>
      <c r="T176" s="7"/>
      <c r="U176" s="7"/>
      <c r="V176" s="7"/>
      <c r="W176" s="7"/>
      <c r="X176" s="7"/>
      <c r="Y176" s="7"/>
      <c r="Z176" s="7"/>
    </row>
    <row r="177" ht="15.75" customHeight="1">
      <c r="A177" s="12" t="s">
        <v>911</v>
      </c>
      <c r="B177" s="5" t="s">
        <v>14</v>
      </c>
      <c r="C177" s="5" t="s">
        <v>15</v>
      </c>
      <c r="D177" s="5" t="s">
        <v>912</v>
      </c>
      <c r="E177" s="5" t="s">
        <v>913</v>
      </c>
      <c r="F177" s="5" t="s">
        <v>914</v>
      </c>
      <c r="G177" s="5" t="s">
        <v>915</v>
      </c>
      <c r="H177" s="5" t="s">
        <v>915</v>
      </c>
      <c r="I177" s="5" t="s">
        <v>37</v>
      </c>
      <c r="J177" s="5" t="s">
        <v>31</v>
      </c>
      <c r="K177" s="5" t="s">
        <v>22</v>
      </c>
      <c r="L177" s="5" t="s">
        <v>39</v>
      </c>
      <c r="M177" s="7" t="str">
        <f t="shared" ref="M177:M502" si="3">IF(COUNTIF($A$2:A177, A177)&gt;1, "Dublet", "OK")</f>
        <v>OK</v>
      </c>
      <c r="N177" s="7"/>
      <c r="O177" s="7"/>
      <c r="P177" s="7"/>
      <c r="Q177" s="7"/>
      <c r="R177" s="7"/>
      <c r="S177" s="7"/>
      <c r="T177" s="7"/>
      <c r="U177" s="7"/>
      <c r="V177" s="7"/>
      <c r="W177" s="7"/>
      <c r="X177" s="7"/>
      <c r="Y177" s="7"/>
      <c r="Z177" s="7"/>
    </row>
    <row r="178" ht="15.75" customHeight="1">
      <c r="A178" s="12" t="s">
        <v>916</v>
      </c>
      <c r="B178" s="5" t="s">
        <v>14</v>
      </c>
      <c r="C178" s="5" t="s">
        <v>15</v>
      </c>
      <c r="D178" s="5" t="s">
        <v>917</v>
      </c>
      <c r="E178" s="5" t="s">
        <v>918</v>
      </c>
      <c r="F178" s="5" t="s">
        <v>919</v>
      </c>
      <c r="G178" s="5" t="s">
        <v>920</v>
      </c>
      <c r="H178" s="5" t="s">
        <v>920</v>
      </c>
      <c r="I178" s="5" t="s">
        <v>31</v>
      </c>
      <c r="J178" s="5" t="s">
        <v>21</v>
      </c>
      <c r="K178" s="5" t="s">
        <v>22</v>
      </c>
      <c r="L178" s="5" t="s">
        <v>39</v>
      </c>
      <c r="M178" s="7" t="str">
        <f t="shared" si="3"/>
        <v>OK</v>
      </c>
      <c r="N178" s="7"/>
      <c r="O178" s="7"/>
      <c r="P178" s="7"/>
      <c r="Q178" s="7"/>
      <c r="R178" s="7"/>
      <c r="S178" s="7"/>
      <c r="T178" s="7"/>
      <c r="U178" s="7"/>
      <c r="V178" s="7"/>
      <c r="W178" s="7"/>
      <c r="X178" s="7"/>
      <c r="Y178" s="7"/>
      <c r="Z178" s="7"/>
    </row>
    <row r="179" ht="15.75" customHeight="1">
      <c r="A179" s="12" t="s">
        <v>921</v>
      </c>
      <c r="B179" s="5" t="s">
        <v>25</v>
      </c>
      <c r="C179" s="5" t="s">
        <v>15</v>
      </c>
      <c r="D179" s="5" t="s">
        <v>922</v>
      </c>
      <c r="E179" s="5" t="s">
        <v>923</v>
      </c>
      <c r="F179" s="5" t="s">
        <v>924</v>
      </c>
      <c r="G179" s="5" t="s">
        <v>925</v>
      </c>
      <c r="H179" s="5" t="s">
        <v>923</v>
      </c>
      <c r="I179" s="5" t="s">
        <v>30</v>
      </c>
      <c r="J179" s="5" t="s">
        <v>20</v>
      </c>
      <c r="K179" s="5" t="s">
        <v>22</v>
      </c>
      <c r="L179" s="5" t="s">
        <v>46</v>
      </c>
      <c r="M179" s="7" t="str">
        <f t="shared" si="3"/>
        <v>OK</v>
      </c>
      <c r="N179" s="7"/>
      <c r="O179" s="7"/>
      <c r="P179" s="7"/>
      <c r="Q179" s="7"/>
      <c r="R179" s="7"/>
      <c r="S179" s="7"/>
      <c r="T179" s="7"/>
      <c r="U179" s="7"/>
      <c r="V179" s="7"/>
      <c r="W179" s="7"/>
      <c r="X179" s="7"/>
      <c r="Y179" s="7"/>
      <c r="Z179" s="7"/>
    </row>
    <row r="180" ht="15.75" customHeight="1">
      <c r="A180" s="12" t="s">
        <v>926</v>
      </c>
      <c r="B180" s="5" t="s">
        <v>14</v>
      </c>
      <c r="C180" s="5" t="s">
        <v>15</v>
      </c>
      <c r="D180" s="5" t="s">
        <v>927</v>
      </c>
      <c r="E180" s="5" t="s">
        <v>928</v>
      </c>
      <c r="F180" s="5" t="s">
        <v>929</v>
      </c>
      <c r="G180" s="5" t="s">
        <v>930</v>
      </c>
      <c r="H180" s="5" t="s">
        <v>930</v>
      </c>
      <c r="I180" s="5" t="s">
        <v>20</v>
      </c>
      <c r="J180" s="5" t="s">
        <v>45</v>
      </c>
      <c r="K180" s="5" t="s">
        <v>132</v>
      </c>
      <c r="L180" s="5" t="s">
        <v>22</v>
      </c>
      <c r="M180" s="7" t="str">
        <f t="shared" si="3"/>
        <v>OK</v>
      </c>
      <c r="N180" s="7"/>
      <c r="O180" s="7"/>
      <c r="P180" s="7"/>
      <c r="Q180" s="7"/>
      <c r="R180" s="7"/>
      <c r="S180" s="7"/>
      <c r="T180" s="7"/>
      <c r="U180" s="7"/>
      <c r="V180" s="7"/>
      <c r="W180" s="7"/>
      <c r="X180" s="7"/>
      <c r="Y180" s="7"/>
      <c r="Z180" s="7"/>
    </row>
    <row r="181" ht="15.75" customHeight="1">
      <c r="A181" s="12" t="s">
        <v>931</v>
      </c>
      <c r="B181" s="5" t="s">
        <v>14</v>
      </c>
      <c r="C181" s="5" t="s">
        <v>15</v>
      </c>
      <c r="D181" s="5" t="s">
        <v>932</v>
      </c>
      <c r="E181" s="6" t="s">
        <v>933</v>
      </c>
      <c r="F181" s="6" t="s">
        <v>934</v>
      </c>
      <c r="G181" s="6" t="s">
        <v>935</v>
      </c>
      <c r="H181" s="6" t="s">
        <v>935</v>
      </c>
      <c r="I181" s="5" t="s">
        <v>65</v>
      </c>
      <c r="J181" s="5" t="s">
        <v>37</v>
      </c>
      <c r="K181" s="5" t="s">
        <v>23</v>
      </c>
      <c r="L181" s="5" t="s">
        <v>39</v>
      </c>
      <c r="M181" s="7" t="str">
        <f t="shared" si="3"/>
        <v>OK</v>
      </c>
      <c r="N181" s="7"/>
      <c r="O181" s="7"/>
      <c r="P181" s="7"/>
      <c r="Q181" s="7"/>
      <c r="R181" s="7"/>
      <c r="S181" s="7"/>
      <c r="T181" s="7"/>
      <c r="U181" s="7"/>
      <c r="V181" s="7"/>
      <c r="W181" s="7"/>
      <c r="X181" s="7"/>
      <c r="Y181" s="7"/>
      <c r="Z181" s="7"/>
    </row>
    <row r="182" ht="15.75" customHeight="1">
      <c r="A182" s="12" t="s">
        <v>936</v>
      </c>
      <c r="B182" s="5" t="s">
        <v>25</v>
      </c>
      <c r="C182" s="5" t="s">
        <v>15</v>
      </c>
      <c r="D182" s="5" t="s">
        <v>937</v>
      </c>
      <c r="E182" s="5" t="s">
        <v>938</v>
      </c>
      <c r="F182" s="5" t="s">
        <v>939</v>
      </c>
      <c r="G182" s="5" t="s">
        <v>940</v>
      </c>
      <c r="H182" s="5" t="s">
        <v>941</v>
      </c>
      <c r="I182" s="5" t="s">
        <v>30</v>
      </c>
      <c r="J182" s="5" t="s">
        <v>21</v>
      </c>
      <c r="K182" s="5" t="s">
        <v>22</v>
      </c>
      <c r="L182" s="5" t="s">
        <v>46</v>
      </c>
      <c r="M182" s="7" t="str">
        <f t="shared" si="3"/>
        <v>OK</v>
      </c>
      <c r="N182" s="7"/>
      <c r="O182" s="7"/>
      <c r="P182" s="7"/>
      <c r="Q182" s="7"/>
      <c r="R182" s="7"/>
      <c r="S182" s="7"/>
      <c r="T182" s="7"/>
      <c r="U182" s="7"/>
      <c r="V182" s="7"/>
      <c r="W182" s="7"/>
      <c r="X182" s="7"/>
      <c r="Y182" s="7"/>
      <c r="Z182" s="7"/>
    </row>
    <row r="183" ht="15.75" customHeight="1">
      <c r="A183" s="12" t="s">
        <v>942</v>
      </c>
      <c r="B183" s="5" t="s">
        <v>14</v>
      </c>
      <c r="C183" s="5" t="s">
        <v>15</v>
      </c>
      <c r="D183" s="5" t="s">
        <v>943</v>
      </c>
      <c r="E183" s="5" t="s">
        <v>944</v>
      </c>
      <c r="F183" s="5" t="s">
        <v>945</v>
      </c>
      <c r="G183" s="5" t="s">
        <v>946</v>
      </c>
      <c r="H183" s="5" t="s">
        <v>946</v>
      </c>
      <c r="I183" s="5" t="s">
        <v>20</v>
      </c>
      <c r="J183" s="5" t="s">
        <v>21</v>
      </c>
      <c r="K183" s="5" t="s">
        <v>23</v>
      </c>
      <c r="L183" s="5" t="s">
        <v>22</v>
      </c>
      <c r="M183" s="7" t="str">
        <f t="shared" si="3"/>
        <v>OK</v>
      </c>
      <c r="N183" s="7"/>
      <c r="O183" s="7"/>
      <c r="P183" s="7"/>
      <c r="Q183" s="7"/>
      <c r="R183" s="7"/>
      <c r="S183" s="7"/>
      <c r="T183" s="7"/>
      <c r="U183" s="7"/>
      <c r="V183" s="7"/>
      <c r="W183" s="7"/>
      <c r="X183" s="7"/>
      <c r="Y183" s="7"/>
      <c r="Z183" s="7"/>
    </row>
    <row r="184" ht="15.75" customHeight="1">
      <c r="A184" s="12" t="s">
        <v>947</v>
      </c>
      <c r="B184" s="5" t="s">
        <v>25</v>
      </c>
      <c r="C184" s="5" t="s">
        <v>15</v>
      </c>
      <c r="D184" s="5" t="s">
        <v>948</v>
      </c>
      <c r="E184" s="5" t="s">
        <v>949</v>
      </c>
      <c r="F184" s="5" t="s">
        <v>950</v>
      </c>
      <c r="G184" s="5" t="s">
        <v>951</v>
      </c>
      <c r="H184" s="5" t="s">
        <v>950</v>
      </c>
      <c r="I184" s="5" t="s">
        <v>37</v>
      </c>
      <c r="J184" s="5" t="s">
        <v>20</v>
      </c>
      <c r="K184" s="5" t="s">
        <v>57</v>
      </c>
      <c r="L184" s="5" t="s">
        <v>46</v>
      </c>
      <c r="M184" s="7" t="str">
        <f t="shared" si="3"/>
        <v>OK</v>
      </c>
      <c r="N184" s="7"/>
      <c r="O184" s="7"/>
      <c r="P184" s="7"/>
      <c r="Q184" s="7"/>
      <c r="R184" s="7"/>
      <c r="S184" s="7"/>
      <c r="T184" s="7"/>
      <c r="U184" s="7"/>
      <c r="V184" s="7"/>
      <c r="W184" s="7"/>
      <c r="X184" s="7"/>
      <c r="Y184" s="7"/>
      <c r="Z184" s="7"/>
    </row>
    <row r="185" ht="15.75" customHeight="1">
      <c r="A185" s="15" t="s">
        <v>952</v>
      </c>
      <c r="B185" s="16" t="s">
        <v>14</v>
      </c>
      <c r="C185" s="17" t="s">
        <v>15</v>
      </c>
      <c r="D185" s="17" t="s">
        <v>953</v>
      </c>
      <c r="E185" s="17" t="s">
        <v>954</v>
      </c>
      <c r="F185" s="17" t="s">
        <v>955</v>
      </c>
      <c r="G185" s="16" t="s">
        <v>956</v>
      </c>
      <c r="H185" s="16" t="s">
        <v>956</v>
      </c>
      <c r="I185" s="17" t="s">
        <v>65</v>
      </c>
      <c r="J185" s="16" t="s">
        <v>21</v>
      </c>
      <c r="K185" s="17" t="s">
        <v>22</v>
      </c>
      <c r="L185" s="16" t="s">
        <v>39</v>
      </c>
      <c r="M185" s="17" t="str">
        <f t="shared" si="3"/>
        <v>OK</v>
      </c>
      <c r="N185" s="18"/>
      <c r="O185" s="18"/>
      <c r="P185" s="18"/>
      <c r="Q185" s="18"/>
      <c r="R185" s="18"/>
      <c r="S185" s="18"/>
      <c r="T185" s="18"/>
      <c r="U185" s="18"/>
      <c r="V185" s="18"/>
      <c r="W185" s="18"/>
      <c r="X185" s="18"/>
      <c r="Y185" s="18"/>
      <c r="Z185" s="18"/>
    </row>
    <row r="186" ht="15.75" customHeight="1">
      <c r="A186" s="12" t="s">
        <v>957</v>
      </c>
      <c r="B186" s="5" t="s">
        <v>14</v>
      </c>
      <c r="C186" s="5" t="s">
        <v>15</v>
      </c>
      <c r="D186" s="5" t="s">
        <v>958</v>
      </c>
      <c r="E186" s="5" t="s">
        <v>959</v>
      </c>
      <c r="F186" s="5" t="s">
        <v>960</v>
      </c>
      <c r="G186" s="5" t="s">
        <v>961</v>
      </c>
      <c r="H186" s="5" t="s">
        <v>961</v>
      </c>
      <c r="I186" s="5" t="s">
        <v>64</v>
      </c>
      <c r="J186" s="5" t="s">
        <v>31</v>
      </c>
      <c r="K186" s="5" t="s">
        <v>38</v>
      </c>
      <c r="L186" s="5" t="s">
        <v>132</v>
      </c>
      <c r="M186" s="7" t="str">
        <f t="shared" si="3"/>
        <v>OK</v>
      </c>
      <c r="N186" s="7"/>
      <c r="O186" s="7"/>
      <c r="P186" s="7"/>
      <c r="Q186" s="7"/>
      <c r="R186" s="7"/>
      <c r="S186" s="7"/>
      <c r="T186" s="7"/>
      <c r="U186" s="7"/>
      <c r="V186" s="7"/>
      <c r="W186" s="7"/>
      <c r="X186" s="7"/>
      <c r="Y186" s="7"/>
      <c r="Z186" s="7"/>
    </row>
    <row r="187" ht="15.75" customHeight="1">
      <c r="A187" s="12" t="s">
        <v>962</v>
      </c>
      <c r="B187" s="5" t="s">
        <v>14</v>
      </c>
      <c r="C187" s="5" t="s">
        <v>15</v>
      </c>
      <c r="D187" s="5" t="s">
        <v>963</v>
      </c>
      <c r="E187" s="5" t="s">
        <v>964</v>
      </c>
      <c r="F187" s="5" t="s">
        <v>965</v>
      </c>
      <c r="G187" s="5" t="s">
        <v>966</v>
      </c>
      <c r="H187" s="5" t="s">
        <v>966</v>
      </c>
      <c r="I187" s="5" t="s">
        <v>30</v>
      </c>
      <c r="J187" s="5" t="s">
        <v>65</v>
      </c>
      <c r="K187" s="5" t="s">
        <v>132</v>
      </c>
      <c r="L187" s="5" t="s">
        <v>58</v>
      </c>
      <c r="M187" s="7" t="str">
        <f t="shared" si="3"/>
        <v>OK</v>
      </c>
      <c r="N187" s="7"/>
      <c r="O187" s="7"/>
      <c r="P187" s="7"/>
      <c r="Q187" s="7"/>
      <c r="R187" s="7"/>
      <c r="S187" s="7"/>
      <c r="T187" s="7"/>
      <c r="U187" s="7"/>
      <c r="V187" s="7"/>
      <c r="W187" s="7"/>
      <c r="X187" s="7"/>
      <c r="Y187" s="7"/>
      <c r="Z187" s="7"/>
    </row>
    <row r="188" ht="15.75" customHeight="1">
      <c r="A188" s="4" t="s">
        <v>967</v>
      </c>
      <c r="B188" s="5" t="s">
        <v>25</v>
      </c>
      <c r="C188" s="5" t="s">
        <v>15</v>
      </c>
      <c r="D188" s="4" t="s">
        <v>968</v>
      </c>
      <c r="E188" s="4" t="s">
        <v>969</v>
      </c>
      <c r="F188" s="4" t="s">
        <v>970</v>
      </c>
      <c r="G188" s="4" t="s">
        <v>971</v>
      </c>
      <c r="H188" s="5" t="s">
        <v>969</v>
      </c>
      <c r="I188" s="5" t="s">
        <v>20</v>
      </c>
      <c r="J188" s="5" t="s">
        <v>21</v>
      </c>
      <c r="K188" s="5" t="s">
        <v>57</v>
      </c>
      <c r="L188" s="5" t="s">
        <v>46</v>
      </c>
      <c r="M188" s="7" t="str">
        <f t="shared" si="3"/>
        <v>OK</v>
      </c>
      <c r="N188" s="7"/>
      <c r="O188" s="7"/>
      <c r="P188" s="7"/>
      <c r="Q188" s="7"/>
      <c r="R188" s="7"/>
      <c r="S188" s="7"/>
      <c r="T188" s="7"/>
      <c r="U188" s="7"/>
      <c r="V188" s="7"/>
      <c r="W188" s="7"/>
      <c r="X188" s="7"/>
      <c r="Y188" s="7"/>
      <c r="Z188" s="7"/>
    </row>
    <row r="189" ht="15.75" customHeight="1">
      <c r="A189" s="4" t="s">
        <v>972</v>
      </c>
      <c r="B189" s="5" t="s">
        <v>14</v>
      </c>
      <c r="C189" s="5" t="s">
        <v>15</v>
      </c>
      <c r="D189" s="5" t="s">
        <v>973</v>
      </c>
      <c r="E189" s="6" t="s">
        <v>974</v>
      </c>
      <c r="F189" s="6" t="s">
        <v>975</v>
      </c>
      <c r="G189" s="6" t="s">
        <v>976</v>
      </c>
      <c r="H189" s="6" t="s">
        <v>976</v>
      </c>
      <c r="I189" s="5" t="s">
        <v>45</v>
      </c>
      <c r="J189" s="5" t="s">
        <v>31</v>
      </c>
      <c r="K189" s="5" t="s">
        <v>23</v>
      </c>
      <c r="L189" s="5" t="s">
        <v>39</v>
      </c>
      <c r="M189" s="7" t="str">
        <f t="shared" si="3"/>
        <v>OK</v>
      </c>
      <c r="N189" s="7"/>
      <c r="O189" s="7"/>
      <c r="P189" s="7"/>
      <c r="Q189" s="7"/>
      <c r="R189" s="7"/>
      <c r="S189" s="7"/>
      <c r="T189" s="7"/>
      <c r="U189" s="7"/>
      <c r="V189" s="7"/>
      <c r="W189" s="7"/>
      <c r="X189" s="7"/>
      <c r="Y189" s="7"/>
      <c r="Z189" s="7"/>
    </row>
    <row r="190" ht="15.75" customHeight="1">
      <c r="A190" s="4" t="s">
        <v>977</v>
      </c>
      <c r="B190" s="5" t="s">
        <v>14</v>
      </c>
      <c r="C190" s="5" t="s">
        <v>15</v>
      </c>
      <c r="D190" s="5" t="s">
        <v>978</v>
      </c>
      <c r="E190" s="5" t="s">
        <v>979</v>
      </c>
      <c r="F190" s="5" t="s">
        <v>980</v>
      </c>
      <c r="G190" s="5" t="s">
        <v>981</v>
      </c>
      <c r="H190" s="5" t="s">
        <v>981</v>
      </c>
      <c r="I190" s="5" t="s">
        <v>37</v>
      </c>
      <c r="J190" s="5" t="s">
        <v>20</v>
      </c>
      <c r="K190" s="5" t="s">
        <v>132</v>
      </c>
      <c r="L190" s="5" t="s">
        <v>22</v>
      </c>
      <c r="M190" s="7" t="str">
        <f t="shared" si="3"/>
        <v>OK</v>
      </c>
      <c r="N190" s="7"/>
      <c r="O190" s="7"/>
      <c r="P190" s="7"/>
      <c r="Q190" s="7"/>
      <c r="R190" s="7"/>
      <c r="S190" s="7"/>
      <c r="T190" s="7"/>
      <c r="U190" s="7"/>
      <c r="V190" s="7"/>
      <c r="W190" s="7"/>
      <c r="X190" s="7"/>
      <c r="Y190" s="7"/>
      <c r="Z190" s="7"/>
    </row>
    <row r="191" ht="15.75" customHeight="1">
      <c r="A191" s="4" t="s">
        <v>982</v>
      </c>
      <c r="B191" s="5" t="s">
        <v>14</v>
      </c>
      <c r="C191" s="5" t="s">
        <v>15</v>
      </c>
      <c r="D191" s="5" t="s">
        <v>983</v>
      </c>
      <c r="E191" s="5" t="s">
        <v>984</v>
      </c>
      <c r="F191" s="5" t="s">
        <v>985</v>
      </c>
      <c r="G191" s="5" t="s">
        <v>986</v>
      </c>
      <c r="H191" s="5" t="s">
        <v>986</v>
      </c>
      <c r="I191" s="5" t="s">
        <v>31</v>
      </c>
      <c r="J191" s="5" t="s">
        <v>21</v>
      </c>
      <c r="K191" s="5" t="s">
        <v>23</v>
      </c>
      <c r="L191" s="5" t="s">
        <v>46</v>
      </c>
      <c r="M191" s="7" t="str">
        <f t="shared" si="3"/>
        <v>OK</v>
      </c>
      <c r="N191" s="7"/>
      <c r="O191" s="7"/>
      <c r="P191" s="7"/>
      <c r="Q191" s="7"/>
      <c r="R191" s="7"/>
      <c r="S191" s="7"/>
      <c r="T191" s="7"/>
      <c r="U191" s="7"/>
      <c r="V191" s="7"/>
      <c r="W191" s="7"/>
      <c r="X191" s="7"/>
      <c r="Y191" s="7"/>
      <c r="Z191" s="7"/>
    </row>
    <row r="192" ht="15.75" customHeight="1">
      <c r="A192" s="4" t="s">
        <v>987</v>
      </c>
      <c r="B192" s="5" t="s">
        <v>25</v>
      </c>
      <c r="C192" s="5" t="s">
        <v>15</v>
      </c>
      <c r="D192" s="5" t="s">
        <v>988</v>
      </c>
      <c r="E192" s="5" t="s">
        <v>989</v>
      </c>
      <c r="F192" s="5" t="s">
        <v>990</v>
      </c>
      <c r="G192" s="5" t="s">
        <v>991</v>
      </c>
      <c r="H192" s="5" t="s">
        <v>991</v>
      </c>
      <c r="I192" s="5" t="s">
        <v>31</v>
      </c>
      <c r="J192" s="5" t="s">
        <v>45</v>
      </c>
      <c r="K192" s="5" t="s">
        <v>58</v>
      </c>
      <c r="L192" s="5" t="s">
        <v>132</v>
      </c>
      <c r="M192" s="7" t="str">
        <f t="shared" si="3"/>
        <v>OK</v>
      </c>
      <c r="N192" s="7"/>
      <c r="O192" s="7"/>
      <c r="P192" s="7"/>
      <c r="Q192" s="7"/>
      <c r="R192" s="7"/>
      <c r="S192" s="7"/>
      <c r="T192" s="7"/>
      <c r="U192" s="7"/>
      <c r="V192" s="7"/>
      <c r="W192" s="7"/>
      <c r="X192" s="7"/>
      <c r="Y192" s="7"/>
      <c r="Z192" s="7"/>
    </row>
    <row r="193" ht="15.75" customHeight="1">
      <c r="A193" s="4" t="s">
        <v>992</v>
      </c>
      <c r="B193" s="5" t="s">
        <v>14</v>
      </c>
      <c r="C193" s="5" t="s">
        <v>15</v>
      </c>
      <c r="D193" s="5" t="s">
        <v>993</v>
      </c>
      <c r="E193" s="5" t="s">
        <v>994</v>
      </c>
      <c r="F193" s="5" t="s">
        <v>995</v>
      </c>
      <c r="G193" s="5" t="s">
        <v>996</v>
      </c>
      <c r="H193" s="5" t="s">
        <v>996</v>
      </c>
      <c r="I193" s="5" t="s">
        <v>30</v>
      </c>
      <c r="J193" s="5" t="s">
        <v>21</v>
      </c>
      <c r="K193" s="5" t="s">
        <v>39</v>
      </c>
      <c r="L193" s="5" t="s">
        <v>46</v>
      </c>
      <c r="M193" s="7" t="str">
        <f t="shared" si="3"/>
        <v>OK</v>
      </c>
      <c r="N193" s="7"/>
      <c r="O193" s="7"/>
      <c r="P193" s="7"/>
      <c r="Q193" s="7"/>
      <c r="R193" s="7"/>
      <c r="S193" s="7"/>
      <c r="T193" s="7"/>
      <c r="U193" s="7"/>
      <c r="V193" s="7"/>
      <c r="W193" s="7"/>
      <c r="X193" s="7"/>
      <c r="Y193" s="7"/>
      <c r="Z193" s="7"/>
    </row>
    <row r="194" ht="15.75" customHeight="1">
      <c r="A194" s="4" t="s">
        <v>997</v>
      </c>
      <c r="B194" s="5" t="s">
        <v>14</v>
      </c>
      <c r="C194" s="5" t="s">
        <v>15</v>
      </c>
      <c r="D194" s="4" t="s">
        <v>998</v>
      </c>
      <c r="E194" s="4" t="s">
        <v>999</v>
      </c>
      <c r="F194" s="5" t="s">
        <v>1000</v>
      </c>
      <c r="G194" s="4" t="s">
        <v>1001</v>
      </c>
      <c r="H194" s="5" t="s">
        <v>1000</v>
      </c>
      <c r="I194" s="5" t="s">
        <v>45</v>
      </c>
      <c r="J194" s="5" t="s">
        <v>37</v>
      </c>
      <c r="K194" s="5" t="s">
        <v>46</v>
      </c>
      <c r="L194" s="5" t="s">
        <v>57</v>
      </c>
      <c r="M194" s="7" t="str">
        <f t="shared" si="3"/>
        <v>OK</v>
      </c>
      <c r="N194" s="7"/>
      <c r="O194" s="7"/>
      <c r="P194" s="7"/>
      <c r="Q194" s="7"/>
      <c r="R194" s="7"/>
      <c r="S194" s="7"/>
      <c r="T194" s="7"/>
      <c r="U194" s="7"/>
      <c r="V194" s="7"/>
      <c r="W194" s="7"/>
      <c r="X194" s="7"/>
      <c r="Y194" s="7"/>
      <c r="Z194" s="7"/>
    </row>
    <row r="195" ht="15.75" customHeight="1">
      <c r="A195" s="4" t="s">
        <v>1002</v>
      </c>
      <c r="B195" s="5" t="s">
        <v>25</v>
      </c>
      <c r="C195" s="5" t="s">
        <v>15</v>
      </c>
      <c r="D195" s="5" t="s">
        <v>1003</v>
      </c>
      <c r="E195" s="5" t="s">
        <v>1004</v>
      </c>
      <c r="F195" s="5" t="s">
        <v>1005</v>
      </c>
      <c r="G195" s="5" t="s">
        <v>1006</v>
      </c>
      <c r="H195" s="5" t="s">
        <v>1006</v>
      </c>
      <c r="I195" s="5" t="s">
        <v>31</v>
      </c>
      <c r="J195" s="5" t="s">
        <v>37</v>
      </c>
      <c r="K195" s="5" t="s">
        <v>22</v>
      </c>
      <c r="L195" s="5" t="s">
        <v>39</v>
      </c>
      <c r="M195" s="7" t="str">
        <f t="shared" si="3"/>
        <v>OK</v>
      </c>
      <c r="N195" s="7"/>
      <c r="O195" s="7"/>
      <c r="P195" s="7"/>
      <c r="Q195" s="7"/>
      <c r="R195" s="7"/>
      <c r="S195" s="7"/>
      <c r="T195" s="7"/>
      <c r="U195" s="7"/>
      <c r="V195" s="7"/>
      <c r="W195" s="7"/>
      <c r="X195" s="7"/>
      <c r="Y195" s="7"/>
      <c r="Z195" s="7"/>
    </row>
    <row r="196" ht="15.75" customHeight="1">
      <c r="A196" s="4" t="s">
        <v>1007</v>
      </c>
      <c r="B196" s="5" t="s">
        <v>25</v>
      </c>
      <c r="C196" s="5" t="s">
        <v>15</v>
      </c>
      <c r="D196" s="5" t="s">
        <v>1008</v>
      </c>
      <c r="E196" s="5" t="s">
        <v>1009</v>
      </c>
      <c r="F196" s="5" t="s">
        <v>1010</v>
      </c>
      <c r="G196" s="5" t="s">
        <v>1011</v>
      </c>
      <c r="H196" s="5" t="s">
        <v>1011</v>
      </c>
      <c r="I196" s="5" t="s">
        <v>21</v>
      </c>
      <c r="J196" s="5" t="s">
        <v>20</v>
      </c>
      <c r="K196" s="5" t="s">
        <v>58</v>
      </c>
      <c r="L196" s="5" t="s">
        <v>39</v>
      </c>
      <c r="M196" s="7" t="str">
        <f t="shared" si="3"/>
        <v>OK</v>
      </c>
      <c r="N196" s="7"/>
      <c r="O196" s="7"/>
      <c r="P196" s="7"/>
      <c r="Q196" s="7"/>
      <c r="R196" s="7"/>
      <c r="S196" s="7"/>
      <c r="T196" s="7"/>
      <c r="U196" s="7"/>
      <c r="V196" s="7"/>
      <c r="W196" s="7"/>
      <c r="X196" s="7"/>
      <c r="Y196" s="7"/>
      <c r="Z196" s="7"/>
    </row>
    <row r="197" ht="15.75" customHeight="1">
      <c r="A197" s="4" t="s">
        <v>1012</v>
      </c>
      <c r="B197" s="5" t="s">
        <v>14</v>
      </c>
      <c r="C197" s="5" t="s">
        <v>15</v>
      </c>
      <c r="D197" s="5" t="s">
        <v>1013</v>
      </c>
      <c r="E197" s="5" t="s">
        <v>1014</v>
      </c>
      <c r="F197" s="5" t="s">
        <v>1015</v>
      </c>
      <c r="G197" s="5" t="s">
        <v>1016</v>
      </c>
      <c r="H197" s="5" t="s">
        <v>1016</v>
      </c>
      <c r="I197" s="5" t="s">
        <v>31</v>
      </c>
      <c r="J197" s="5" t="s">
        <v>20</v>
      </c>
      <c r="K197" s="5" t="s">
        <v>57</v>
      </c>
      <c r="L197" s="5" t="s">
        <v>39</v>
      </c>
      <c r="M197" s="7" t="str">
        <f t="shared" si="3"/>
        <v>OK</v>
      </c>
      <c r="N197" s="7"/>
      <c r="O197" s="7"/>
      <c r="P197" s="7"/>
      <c r="Q197" s="7"/>
      <c r="R197" s="7"/>
      <c r="S197" s="7"/>
      <c r="T197" s="7"/>
      <c r="U197" s="7"/>
      <c r="V197" s="7"/>
      <c r="W197" s="7"/>
      <c r="X197" s="7"/>
      <c r="Y197" s="7"/>
      <c r="Z197" s="7"/>
    </row>
    <row r="198" ht="15.75" customHeight="1">
      <c r="A198" s="4" t="s">
        <v>1017</v>
      </c>
      <c r="B198" s="5" t="s">
        <v>25</v>
      </c>
      <c r="C198" s="5" t="s">
        <v>15</v>
      </c>
      <c r="D198" s="5" t="s">
        <v>1018</v>
      </c>
      <c r="E198" s="5" t="s">
        <v>1019</v>
      </c>
      <c r="F198" s="5" t="s">
        <v>1020</v>
      </c>
      <c r="G198" s="5" t="s">
        <v>1018</v>
      </c>
      <c r="H198" s="5" t="s">
        <v>1018</v>
      </c>
      <c r="I198" s="5" t="s">
        <v>20</v>
      </c>
      <c r="J198" s="5" t="s">
        <v>21</v>
      </c>
      <c r="K198" s="5" t="s">
        <v>66</v>
      </c>
      <c r="L198" s="5" t="s">
        <v>39</v>
      </c>
      <c r="M198" s="7" t="str">
        <f t="shared" si="3"/>
        <v>OK</v>
      </c>
      <c r="N198" s="7"/>
      <c r="O198" s="7"/>
      <c r="P198" s="7"/>
      <c r="Q198" s="7"/>
      <c r="R198" s="7"/>
      <c r="S198" s="7"/>
      <c r="T198" s="7"/>
      <c r="U198" s="7"/>
      <c r="V198" s="7"/>
      <c r="W198" s="7"/>
      <c r="X198" s="7"/>
      <c r="Y198" s="7"/>
      <c r="Z198" s="7"/>
    </row>
    <row r="199" ht="15.75" customHeight="1">
      <c r="A199" s="4" t="s">
        <v>1021</v>
      </c>
      <c r="B199" s="5" t="s">
        <v>25</v>
      </c>
      <c r="C199" s="5" t="s">
        <v>15</v>
      </c>
      <c r="D199" s="4" t="s">
        <v>1022</v>
      </c>
      <c r="E199" s="4" t="s">
        <v>1023</v>
      </c>
      <c r="F199" s="4" t="s">
        <v>1024</v>
      </c>
      <c r="G199" s="4" t="s">
        <v>1025</v>
      </c>
      <c r="H199" s="5" t="s">
        <v>1025</v>
      </c>
      <c r="I199" s="5" t="s">
        <v>31</v>
      </c>
      <c r="J199" s="5" t="s">
        <v>20</v>
      </c>
      <c r="K199" s="5" t="s">
        <v>132</v>
      </c>
      <c r="L199" s="5" t="s">
        <v>66</v>
      </c>
      <c r="M199" s="7" t="str">
        <f t="shared" si="3"/>
        <v>OK</v>
      </c>
      <c r="N199" s="7"/>
      <c r="O199" s="7"/>
      <c r="P199" s="7"/>
      <c r="Q199" s="7"/>
      <c r="R199" s="7"/>
      <c r="S199" s="7"/>
      <c r="T199" s="7"/>
      <c r="U199" s="7"/>
      <c r="V199" s="7"/>
      <c r="W199" s="7"/>
      <c r="X199" s="7"/>
      <c r="Y199" s="7"/>
      <c r="Z199" s="7"/>
    </row>
    <row r="200" ht="15.75" customHeight="1">
      <c r="A200" s="4" t="s">
        <v>1026</v>
      </c>
      <c r="B200" s="5" t="s">
        <v>25</v>
      </c>
      <c r="C200" s="5" t="s">
        <v>15</v>
      </c>
      <c r="D200" s="5" t="s">
        <v>1027</v>
      </c>
      <c r="E200" s="5" t="s">
        <v>1028</v>
      </c>
      <c r="F200" s="5" t="s">
        <v>1029</v>
      </c>
      <c r="G200" s="5" t="s">
        <v>1030</v>
      </c>
      <c r="H200" s="5" t="s">
        <v>1030</v>
      </c>
      <c r="I200" s="5" t="s">
        <v>31</v>
      </c>
      <c r="J200" s="5" t="s">
        <v>21</v>
      </c>
      <c r="K200" s="5" t="s">
        <v>57</v>
      </c>
      <c r="L200" s="5" t="s">
        <v>22</v>
      </c>
      <c r="M200" s="7" t="str">
        <f t="shared" si="3"/>
        <v>OK</v>
      </c>
      <c r="N200" s="7"/>
      <c r="O200" s="7"/>
      <c r="P200" s="7"/>
      <c r="Q200" s="7"/>
      <c r="R200" s="7"/>
      <c r="S200" s="7"/>
      <c r="T200" s="7"/>
      <c r="U200" s="7"/>
      <c r="V200" s="7"/>
      <c r="W200" s="7"/>
      <c r="X200" s="7"/>
      <c r="Y200" s="7"/>
      <c r="Z200" s="7"/>
    </row>
    <row r="201" ht="15.75" customHeight="1">
      <c r="A201" s="4" t="s">
        <v>1031</v>
      </c>
      <c r="B201" s="5" t="s">
        <v>25</v>
      </c>
      <c r="C201" s="5" t="s">
        <v>15</v>
      </c>
      <c r="D201" s="5" t="s">
        <v>1032</v>
      </c>
      <c r="E201" s="5" t="s">
        <v>1033</v>
      </c>
      <c r="F201" s="5" t="s">
        <v>1034</v>
      </c>
      <c r="G201" s="5" t="s">
        <v>1035</v>
      </c>
      <c r="H201" s="5" t="s">
        <v>1034</v>
      </c>
      <c r="I201" s="5" t="s">
        <v>31</v>
      </c>
      <c r="J201" s="5" t="s">
        <v>65</v>
      </c>
      <c r="K201" s="5" t="s">
        <v>66</v>
      </c>
      <c r="L201" s="5" t="s">
        <v>57</v>
      </c>
      <c r="M201" s="7" t="str">
        <f t="shared" si="3"/>
        <v>OK</v>
      </c>
      <c r="N201" s="7"/>
      <c r="O201" s="7"/>
      <c r="P201" s="7"/>
      <c r="Q201" s="7"/>
      <c r="R201" s="7"/>
      <c r="S201" s="7"/>
      <c r="T201" s="7"/>
      <c r="U201" s="7"/>
      <c r="V201" s="7"/>
      <c r="W201" s="7"/>
      <c r="X201" s="7"/>
      <c r="Y201" s="7"/>
      <c r="Z201" s="7"/>
    </row>
    <row r="202" ht="15.75" customHeight="1">
      <c r="A202" s="4" t="s">
        <v>1036</v>
      </c>
      <c r="B202" s="5" t="s">
        <v>25</v>
      </c>
      <c r="C202" s="5" t="s">
        <v>15</v>
      </c>
      <c r="D202" s="4" t="s">
        <v>1037</v>
      </c>
      <c r="E202" s="4" t="s">
        <v>1038</v>
      </c>
      <c r="F202" s="4" t="s">
        <v>1039</v>
      </c>
      <c r="G202" s="4" t="s">
        <v>1040</v>
      </c>
      <c r="H202" s="5" t="s">
        <v>1038</v>
      </c>
      <c r="I202" s="5" t="s">
        <v>65</v>
      </c>
      <c r="J202" s="5" t="s">
        <v>20</v>
      </c>
      <c r="K202" s="5" t="s">
        <v>38</v>
      </c>
      <c r="L202" s="5" t="s">
        <v>66</v>
      </c>
      <c r="M202" s="7" t="str">
        <f t="shared" si="3"/>
        <v>OK</v>
      </c>
      <c r="N202" s="7"/>
      <c r="O202" s="7"/>
      <c r="P202" s="7"/>
      <c r="Q202" s="7"/>
      <c r="R202" s="7"/>
      <c r="S202" s="7"/>
      <c r="T202" s="7"/>
      <c r="U202" s="7"/>
      <c r="V202" s="7"/>
      <c r="W202" s="7"/>
      <c r="X202" s="7"/>
      <c r="Y202" s="7"/>
      <c r="Z202" s="7"/>
    </row>
    <row r="203" ht="15.75" customHeight="1">
      <c r="A203" s="4" t="s">
        <v>1041</v>
      </c>
      <c r="B203" s="5" t="s">
        <v>14</v>
      </c>
      <c r="C203" s="5" t="s">
        <v>15</v>
      </c>
      <c r="D203" s="5" t="s">
        <v>1042</v>
      </c>
      <c r="E203" s="6" t="s">
        <v>1043</v>
      </c>
      <c r="F203" s="6" t="s">
        <v>1044</v>
      </c>
      <c r="G203" s="5" t="s">
        <v>1045</v>
      </c>
      <c r="H203" s="5" t="s">
        <v>1045</v>
      </c>
      <c r="I203" s="5" t="s">
        <v>64</v>
      </c>
      <c r="J203" s="5" t="s">
        <v>37</v>
      </c>
      <c r="K203" s="5" t="s">
        <v>57</v>
      </c>
      <c r="L203" s="5" t="s">
        <v>46</v>
      </c>
      <c r="M203" s="7" t="str">
        <f t="shared" si="3"/>
        <v>OK</v>
      </c>
      <c r="N203" s="7"/>
      <c r="O203" s="7"/>
      <c r="P203" s="7"/>
      <c r="Q203" s="7"/>
      <c r="R203" s="7"/>
      <c r="S203" s="7"/>
      <c r="T203" s="7"/>
      <c r="U203" s="7"/>
      <c r="V203" s="7"/>
      <c r="W203" s="7"/>
      <c r="X203" s="7"/>
      <c r="Y203" s="7"/>
      <c r="Z203" s="7"/>
    </row>
    <row r="204" ht="15.75" customHeight="1">
      <c r="A204" s="4" t="s">
        <v>1046</v>
      </c>
      <c r="B204" s="5" t="s">
        <v>14</v>
      </c>
      <c r="C204" s="5" t="s">
        <v>15</v>
      </c>
      <c r="D204" s="5" t="s">
        <v>1047</v>
      </c>
      <c r="E204" s="5" t="s">
        <v>1048</v>
      </c>
      <c r="F204" s="6" t="s">
        <v>1049</v>
      </c>
      <c r="G204" s="6" t="s">
        <v>1050</v>
      </c>
      <c r="H204" s="5" t="s">
        <v>1048</v>
      </c>
      <c r="I204" s="5" t="s">
        <v>37</v>
      </c>
      <c r="J204" s="5" t="s">
        <v>21</v>
      </c>
      <c r="K204" s="5" t="s">
        <v>39</v>
      </c>
      <c r="L204" s="5" t="s">
        <v>58</v>
      </c>
      <c r="M204" s="7" t="str">
        <f t="shared" si="3"/>
        <v>OK</v>
      </c>
      <c r="N204" s="7"/>
      <c r="O204" s="7"/>
      <c r="P204" s="7"/>
      <c r="Q204" s="7"/>
      <c r="R204" s="7"/>
      <c r="S204" s="7"/>
      <c r="T204" s="7"/>
      <c r="U204" s="7"/>
      <c r="V204" s="7"/>
      <c r="W204" s="7"/>
      <c r="X204" s="7"/>
      <c r="Y204" s="7"/>
      <c r="Z204" s="7"/>
    </row>
    <row r="205" ht="15.75" customHeight="1">
      <c r="A205" s="4" t="s">
        <v>1051</v>
      </c>
      <c r="B205" s="5" t="s">
        <v>25</v>
      </c>
      <c r="C205" s="5" t="s">
        <v>15</v>
      </c>
      <c r="D205" s="5" t="s">
        <v>1052</v>
      </c>
      <c r="E205" s="5" t="s">
        <v>1053</v>
      </c>
      <c r="F205" s="5" t="s">
        <v>1054</v>
      </c>
      <c r="G205" s="5" t="s">
        <v>1055</v>
      </c>
      <c r="H205" s="5" t="s">
        <v>1053</v>
      </c>
      <c r="I205" s="5" t="s">
        <v>64</v>
      </c>
      <c r="J205" s="5" t="s">
        <v>65</v>
      </c>
      <c r="K205" s="5" t="s">
        <v>66</v>
      </c>
      <c r="L205" s="5" t="s">
        <v>132</v>
      </c>
      <c r="M205" s="7" t="str">
        <f t="shared" si="3"/>
        <v>OK</v>
      </c>
      <c r="N205" s="7"/>
      <c r="O205" s="7"/>
      <c r="P205" s="7"/>
      <c r="Q205" s="7"/>
      <c r="R205" s="7"/>
      <c r="S205" s="7"/>
      <c r="T205" s="7"/>
      <c r="U205" s="7"/>
      <c r="V205" s="7"/>
      <c r="W205" s="7"/>
      <c r="X205" s="7"/>
      <c r="Y205" s="7"/>
      <c r="Z205" s="7"/>
    </row>
    <row r="206" ht="15.75" customHeight="1">
      <c r="A206" s="4" t="s">
        <v>1056</v>
      </c>
      <c r="B206" s="5" t="s">
        <v>25</v>
      </c>
      <c r="C206" s="5" t="s">
        <v>15</v>
      </c>
      <c r="D206" s="5" t="s">
        <v>1057</v>
      </c>
      <c r="E206" s="5" t="s">
        <v>1058</v>
      </c>
      <c r="F206" s="5" t="s">
        <v>1059</v>
      </c>
      <c r="G206" s="5" t="s">
        <v>1060</v>
      </c>
      <c r="H206" s="5" t="s">
        <v>1060</v>
      </c>
      <c r="I206" s="5" t="s">
        <v>65</v>
      </c>
      <c r="J206" s="5" t="s">
        <v>31</v>
      </c>
      <c r="K206" s="5" t="s">
        <v>38</v>
      </c>
      <c r="L206" s="5" t="s">
        <v>58</v>
      </c>
      <c r="M206" s="7" t="str">
        <f t="shared" si="3"/>
        <v>OK</v>
      </c>
      <c r="N206" s="7"/>
      <c r="O206" s="7"/>
      <c r="P206" s="7"/>
      <c r="Q206" s="7"/>
      <c r="R206" s="7"/>
      <c r="S206" s="7"/>
      <c r="T206" s="7"/>
      <c r="U206" s="7"/>
      <c r="V206" s="7"/>
      <c r="W206" s="7"/>
      <c r="X206" s="7"/>
      <c r="Y206" s="7"/>
      <c r="Z206" s="7"/>
    </row>
    <row r="207" ht="15.75" customHeight="1">
      <c r="A207" s="4" t="s">
        <v>1061</v>
      </c>
      <c r="B207" s="5" t="s">
        <v>14</v>
      </c>
      <c r="C207" s="5" t="s">
        <v>15</v>
      </c>
      <c r="D207" s="5" t="s">
        <v>1062</v>
      </c>
      <c r="E207" s="6" t="s">
        <v>1063</v>
      </c>
      <c r="F207" s="6" t="s">
        <v>1064</v>
      </c>
      <c r="G207" s="5" t="s">
        <v>1065</v>
      </c>
      <c r="H207" s="5" t="s">
        <v>1065</v>
      </c>
      <c r="I207" s="5" t="s">
        <v>45</v>
      </c>
      <c r="J207" s="5" t="s">
        <v>64</v>
      </c>
      <c r="K207" s="5" t="s">
        <v>23</v>
      </c>
      <c r="L207" s="5" t="s">
        <v>46</v>
      </c>
      <c r="M207" s="7" t="str">
        <f t="shared" si="3"/>
        <v>OK</v>
      </c>
      <c r="N207" s="7"/>
      <c r="O207" s="7"/>
      <c r="P207" s="7"/>
      <c r="Q207" s="7"/>
      <c r="R207" s="7"/>
      <c r="S207" s="7"/>
      <c r="T207" s="7"/>
      <c r="U207" s="7"/>
      <c r="V207" s="7"/>
      <c r="W207" s="7"/>
      <c r="X207" s="7"/>
      <c r="Y207" s="7"/>
      <c r="Z207" s="7"/>
    </row>
    <row r="208" ht="15.75" customHeight="1">
      <c r="A208" s="4" t="s">
        <v>1066</v>
      </c>
      <c r="B208" s="5" t="s">
        <v>25</v>
      </c>
      <c r="C208" s="5" t="s">
        <v>15</v>
      </c>
      <c r="D208" s="5" t="s">
        <v>1067</v>
      </c>
      <c r="E208" s="5" t="s">
        <v>1068</v>
      </c>
      <c r="F208" s="5" t="s">
        <v>1069</v>
      </c>
      <c r="G208" s="5" t="s">
        <v>1070</v>
      </c>
      <c r="H208" s="5" t="s">
        <v>1068</v>
      </c>
      <c r="I208" s="5" t="s">
        <v>45</v>
      </c>
      <c r="J208" s="5" t="s">
        <v>31</v>
      </c>
      <c r="K208" s="5" t="s">
        <v>38</v>
      </c>
      <c r="L208" s="5" t="s">
        <v>23</v>
      </c>
      <c r="M208" s="7" t="str">
        <f t="shared" si="3"/>
        <v>OK</v>
      </c>
      <c r="N208" s="7"/>
      <c r="O208" s="7"/>
      <c r="P208" s="7"/>
      <c r="Q208" s="7"/>
      <c r="R208" s="7"/>
      <c r="S208" s="7"/>
      <c r="T208" s="7"/>
      <c r="U208" s="7"/>
      <c r="V208" s="7"/>
      <c r="W208" s="7"/>
      <c r="X208" s="7"/>
      <c r="Y208" s="7"/>
      <c r="Z208" s="7"/>
    </row>
    <row r="209" ht="15.75" customHeight="1">
      <c r="A209" s="4" t="s">
        <v>1071</v>
      </c>
      <c r="B209" s="5" t="s">
        <v>14</v>
      </c>
      <c r="C209" s="5" t="s">
        <v>15</v>
      </c>
      <c r="D209" s="5" t="s">
        <v>1072</v>
      </c>
      <c r="E209" s="6" t="s">
        <v>1073</v>
      </c>
      <c r="F209" s="6" t="s">
        <v>1074</v>
      </c>
      <c r="G209" s="5" t="s">
        <v>1075</v>
      </c>
      <c r="H209" s="5" t="s">
        <v>1075</v>
      </c>
      <c r="I209" s="5" t="s">
        <v>31</v>
      </c>
      <c r="J209" s="5" t="s">
        <v>21</v>
      </c>
      <c r="K209" s="5" t="s">
        <v>38</v>
      </c>
      <c r="L209" s="5" t="s">
        <v>46</v>
      </c>
      <c r="M209" s="7" t="str">
        <f t="shared" si="3"/>
        <v>OK</v>
      </c>
      <c r="N209" s="7"/>
      <c r="O209" s="7"/>
      <c r="P209" s="7"/>
      <c r="Q209" s="7"/>
      <c r="R209" s="7"/>
      <c r="S209" s="7"/>
      <c r="T209" s="7"/>
      <c r="U209" s="7"/>
      <c r="V209" s="7"/>
      <c r="W209" s="7"/>
      <c r="X209" s="7"/>
      <c r="Y209" s="7"/>
      <c r="Z209" s="7"/>
    </row>
    <row r="210" ht="15.75" customHeight="1">
      <c r="A210" s="4" t="s">
        <v>1076</v>
      </c>
      <c r="B210" s="5" t="s">
        <v>25</v>
      </c>
      <c r="C210" s="5" t="s">
        <v>15</v>
      </c>
      <c r="D210" s="5" t="s">
        <v>1077</v>
      </c>
      <c r="E210" s="5" t="s">
        <v>1078</v>
      </c>
      <c r="F210" s="5" t="s">
        <v>1079</v>
      </c>
      <c r="G210" s="5" t="s">
        <v>1080</v>
      </c>
      <c r="H210" s="5" t="s">
        <v>1080</v>
      </c>
      <c r="I210" s="5" t="s">
        <v>37</v>
      </c>
      <c r="J210" s="5" t="s">
        <v>20</v>
      </c>
      <c r="K210" s="5" t="s">
        <v>46</v>
      </c>
      <c r="L210" s="5" t="s">
        <v>22</v>
      </c>
      <c r="M210" s="7" t="str">
        <f t="shared" si="3"/>
        <v>OK</v>
      </c>
      <c r="N210" s="7"/>
      <c r="O210" s="7"/>
      <c r="P210" s="7"/>
      <c r="Q210" s="7"/>
      <c r="R210" s="7"/>
      <c r="S210" s="7"/>
      <c r="T210" s="7"/>
      <c r="U210" s="7"/>
      <c r="V210" s="7"/>
      <c r="W210" s="7"/>
      <c r="X210" s="7"/>
      <c r="Y210" s="7"/>
      <c r="Z210" s="7"/>
    </row>
    <row r="211" ht="15.75" customHeight="1">
      <c r="A211" s="4" t="s">
        <v>1081</v>
      </c>
      <c r="B211" s="5" t="s">
        <v>14</v>
      </c>
      <c r="C211" s="5" t="s">
        <v>15</v>
      </c>
      <c r="D211" s="5" t="s">
        <v>1082</v>
      </c>
      <c r="E211" s="6" t="s">
        <v>1083</v>
      </c>
      <c r="F211" s="6" t="s">
        <v>1084</v>
      </c>
      <c r="G211" s="5" t="s">
        <v>1085</v>
      </c>
      <c r="H211" s="5" t="s">
        <v>1085</v>
      </c>
      <c r="I211" s="5" t="s">
        <v>37</v>
      </c>
      <c r="J211" s="5" t="s">
        <v>31</v>
      </c>
      <c r="K211" s="5" t="s">
        <v>39</v>
      </c>
      <c r="L211" s="5" t="s">
        <v>46</v>
      </c>
      <c r="M211" s="7" t="str">
        <f t="shared" si="3"/>
        <v>OK</v>
      </c>
      <c r="N211" s="7"/>
      <c r="O211" s="7"/>
      <c r="P211" s="7"/>
      <c r="Q211" s="7"/>
      <c r="R211" s="7"/>
      <c r="S211" s="7"/>
      <c r="T211" s="7"/>
      <c r="U211" s="7"/>
      <c r="V211" s="7"/>
      <c r="W211" s="7"/>
      <c r="X211" s="7"/>
      <c r="Y211" s="7"/>
      <c r="Z211" s="7"/>
    </row>
    <row r="212" ht="15.75" customHeight="1">
      <c r="A212" s="4" t="s">
        <v>1086</v>
      </c>
      <c r="B212" s="5" t="s">
        <v>25</v>
      </c>
      <c r="C212" s="5" t="s">
        <v>15</v>
      </c>
      <c r="D212" s="5" t="s">
        <v>1087</v>
      </c>
      <c r="E212" s="5" t="s">
        <v>1088</v>
      </c>
      <c r="F212" s="5" t="s">
        <v>1089</v>
      </c>
      <c r="G212" s="5" t="s">
        <v>1090</v>
      </c>
      <c r="H212" s="5" t="s">
        <v>1090</v>
      </c>
      <c r="I212" s="5" t="s">
        <v>65</v>
      </c>
      <c r="J212" s="5" t="s">
        <v>31</v>
      </c>
      <c r="K212" s="5" t="s">
        <v>66</v>
      </c>
      <c r="L212" s="5" t="s">
        <v>58</v>
      </c>
      <c r="M212" s="7" t="str">
        <f t="shared" si="3"/>
        <v>OK</v>
      </c>
      <c r="N212" s="7"/>
      <c r="O212" s="7"/>
      <c r="P212" s="7"/>
      <c r="Q212" s="7"/>
      <c r="R212" s="7"/>
      <c r="S212" s="7"/>
      <c r="T212" s="7"/>
      <c r="U212" s="7"/>
      <c r="V212" s="7"/>
      <c r="W212" s="7"/>
      <c r="X212" s="7"/>
      <c r="Y212" s="7"/>
      <c r="Z212" s="7"/>
    </row>
    <row r="213" ht="15.75" customHeight="1">
      <c r="A213" s="4" t="s">
        <v>1091</v>
      </c>
      <c r="B213" s="5" t="s">
        <v>14</v>
      </c>
      <c r="C213" s="5" t="s">
        <v>15</v>
      </c>
      <c r="D213" s="4" t="s">
        <v>1092</v>
      </c>
      <c r="E213" s="19" t="s">
        <v>1093</v>
      </c>
      <c r="F213" s="5" t="s">
        <v>1094</v>
      </c>
      <c r="G213" s="4" t="s">
        <v>1095</v>
      </c>
      <c r="H213" s="5" t="s">
        <v>1094</v>
      </c>
      <c r="I213" s="5" t="s">
        <v>37</v>
      </c>
      <c r="J213" s="5" t="s">
        <v>21</v>
      </c>
      <c r="K213" s="5" t="s">
        <v>46</v>
      </c>
      <c r="L213" s="5" t="s">
        <v>39</v>
      </c>
      <c r="M213" s="7" t="str">
        <f t="shared" si="3"/>
        <v>OK</v>
      </c>
      <c r="N213" s="7"/>
      <c r="O213" s="7"/>
      <c r="P213" s="7"/>
      <c r="Q213" s="7"/>
      <c r="R213" s="7"/>
      <c r="S213" s="7"/>
      <c r="T213" s="7"/>
      <c r="U213" s="7"/>
      <c r="V213" s="7"/>
      <c r="W213" s="7"/>
      <c r="X213" s="7"/>
      <c r="Y213" s="7"/>
      <c r="Z213" s="7"/>
    </row>
    <row r="214" ht="15.75" customHeight="1">
      <c r="A214" s="4" t="s">
        <v>1096</v>
      </c>
      <c r="B214" s="5" t="s">
        <v>14</v>
      </c>
      <c r="C214" s="5" t="s">
        <v>15</v>
      </c>
      <c r="D214" s="5" t="s">
        <v>1097</v>
      </c>
      <c r="E214" s="6" t="s">
        <v>1098</v>
      </c>
      <c r="F214" s="6" t="s">
        <v>1099</v>
      </c>
      <c r="G214" s="5" t="s">
        <v>1100</v>
      </c>
      <c r="H214" s="5" t="s">
        <v>1100</v>
      </c>
      <c r="I214" s="5" t="s">
        <v>31</v>
      </c>
      <c r="J214" s="5" t="s">
        <v>37</v>
      </c>
      <c r="K214" s="5" t="s">
        <v>39</v>
      </c>
      <c r="L214" s="5" t="s">
        <v>46</v>
      </c>
      <c r="M214" s="7" t="str">
        <f t="shared" si="3"/>
        <v>OK</v>
      </c>
      <c r="N214" s="7"/>
      <c r="O214" s="7"/>
      <c r="P214" s="7"/>
      <c r="Q214" s="7"/>
      <c r="R214" s="7"/>
      <c r="S214" s="7"/>
      <c r="T214" s="7"/>
      <c r="U214" s="7"/>
      <c r="V214" s="7"/>
      <c r="W214" s="7"/>
      <c r="X214" s="7"/>
      <c r="Y214" s="7"/>
      <c r="Z214" s="7"/>
    </row>
    <row r="215" ht="15.75" customHeight="1">
      <c r="A215" s="4" t="s">
        <v>1101</v>
      </c>
      <c r="B215" s="5" t="s">
        <v>14</v>
      </c>
      <c r="C215" s="5" t="s">
        <v>15</v>
      </c>
      <c r="D215" s="4" t="s">
        <v>1102</v>
      </c>
      <c r="E215" s="5" t="s">
        <v>1103</v>
      </c>
      <c r="F215" s="4" t="s">
        <v>1104</v>
      </c>
      <c r="G215" s="4" t="s">
        <v>1105</v>
      </c>
      <c r="H215" s="5" t="s">
        <v>1103</v>
      </c>
      <c r="I215" s="5" t="s">
        <v>20</v>
      </c>
      <c r="J215" s="5" t="s">
        <v>64</v>
      </c>
      <c r="K215" s="5" t="s">
        <v>39</v>
      </c>
      <c r="L215" s="5" t="s">
        <v>57</v>
      </c>
      <c r="M215" s="7" t="str">
        <f t="shared" si="3"/>
        <v>OK</v>
      </c>
      <c r="N215" s="7"/>
      <c r="O215" s="7"/>
      <c r="P215" s="7"/>
      <c r="Q215" s="7"/>
      <c r="R215" s="7"/>
      <c r="S215" s="7"/>
      <c r="T215" s="7"/>
      <c r="U215" s="7"/>
      <c r="V215" s="7"/>
      <c r="W215" s="7"/>
      <c r="X215" s="7"/>
      <c r="Y215" s="7"/>
      <c r="Z215" s="7"/>
    </row>
    <row r="216" ht="15.75" customHeight="1">
      <c r="A216" s="4" t="s">
        <v>1106</v>
      </c>
      <c r="B216" s="5" t="s">
        <v>14</v>
      </c>
      <c r="C216" s="5" t="s">
        <v>15</v>
      </c>
      <c r="D216" s="5" t="s">
        <v>1107</v>
      </c>
      <c r="E216" s="6" t="s">
        <v>1108</v>
      </c>
      <c r="F216" s="6" t="s">
        <v>1109</v>
      </c>
      <c r="G216" s="5" t="s">
        <v>1110</v>
      </c>
      <c r="H216" s="5" t="s">
        <v>1110</v>
      </c>
      <c r="I216" s="5" t="s">
        <v>31</v>
      </c>
      <c r="J216" s="5" t="s">
        <v>21</v>
      </c>
      <c r="K216" s="5" t="s">
        <v>58</v>
      </c>
      <c r="L216" s="5" t="s">
        <v>39</v>
      </c>
      <c r="M216" s="7" t="str">
        <f t="shared" si="3"/>
        <v>OK</v>
      </c>
      <c r="N216" s="7"/>
      <c r="O216" s="7"/>
      <c r="P216" s="7"/>
      <c r="Q216" s="7"/>
      <c r="R216" s="7"/>
      <c r="S216" s="7"/>
      <c r="T216" s="7"/>
      <c r="U216" s="7"/>
      <c r="V216" s="7"/>
      <c r="W216" s="7"/>
      <c r="X216" s="7"/>
      <c r="Y216" s="7"/>
      <c r="Z216" s="7"/>
    </row>
    <row r="217" ht="15.75" customHeight="1">
      <c r="A217" s="4" t="s">
        <v>1111</v>
      </c>
      <c r="B217" s="5" t="s">
        <v>14</v>
      </c>
      <c r="C217" s="5" t="s">
        <v>15</v>
      </c>
      <c r="D217" s="5" t="s">
        <v>1112</v>
      </c>
      <c r="E217" s="5" t="s">
        <v>1113</v>
      </c>
      <c r="F217" s="5" t="s">
        <v>1114</v>
      </c>
      <c r="G217" s="5" t="s">
        <v>1115</v>
      </c>
      <c r="H217" s="5" t="s">
        <v>1115</v>
      </c>
      <c r="I217" s="5" t="s">
        <v>45</v>
      </c>
      <c r="J217" s="5" t="s">
        <v>31</v>
      </c>
      <c r="K217" s="5" t="s">
        <v>132</v>
      </c>
      <c r="L217" s="5" t="s">
        <v>39</v>
      </c>
      <c r="M217" s="7" t="str">
        <f t="shared" si="3"/>
        <v>OK</v>
      </c>
      <c r="N217" s="7"/>
      <c r="O217" s="7"/>
      <c r="P217" s="7"/>
      <c r="Q217" s="7"/>
      <c r="R217" s="7"/>
      <c r="S217" s="7"/>
      <c r="T217" s="7"/>
      <c r="U217" s="7"/>
      <c r="V217" s="7"/>
      <c r="W217" s="7"/>
      <c r="X217" s="7"/>
      <c r="Y217" s="7"/>
      <c r="Z217" s="7"/>
    </row>
    <row r="218" ht="15.75" customHeight="1">
      <c r="A218" s="4" t="s">
        <v>1116</v>
      </c>
      <c r="B218" s="5" t="s">
        <v>14</v>
      </c>
      <c r="C218" s="5" t="s">
        <v>15</v>
      </c>
      <c r="D218" s="5" t="s">
        <v>1117</v>
      </c>
      <c r="E218" s="5" t="s">
        <v>1118</v>
      </c>
      <c r="F218" s="6" t="s">
        <v>1119</v>
      </c>
      <c r="G218" s="5" t="s">
        <v>1120</v>
      </c>
      <c r="H218" s="5" t="s">
        <v>1120</v>
      </c>
      <c r="I218" s="5" t="s">
        <v>37</v>
      </c>
      <c r="J218" s="5" t="s">
        <v>31</v>
      </c>
      <c r="K218" s="5" t="s">
        <v>39</v>
      </c>
      <c r="L218" s="5" t="s">
        <v>22</v>
      </c>
      <c r="M218" s="7" t="str">
        <f t="shared" si="3"/>
        <v>OK</v>
      </c>
      <c r="N218" s="7"/>
      <c r="O218" s="7"/>
      <c r="P218" s="7"/>
      <c r="Q218" s="7"/>
      <c r="R218" s="7"/>
      <c r="S218" s="7"/>
      <c r="T218" s="7"/>
      <c r="U218" s="7"/>
      <c r="V218" s="7"/>
      <c r="W218" s="7"/>
      <c r="X218" s="7"/>
      <c r="Y218" s="7"/>
      <c r="Z218" s="7"/>
    </row>
    <row r="219" ht="15.75" customHeight="1">
      <c r="A219" s="4" t="s">
        <v>1121</v>
      </c>
      <c r="B219" s="5" t="s">
        <v>25</v>
      </c>
      <c r="C219" s="5" t="s">
        <v>15</v>
      </c>
      <c r="D219" s="5" t="s">
        <v>1122</v>
      </c>
      <c r="E219" s="5" t="s">
        <v>1123</v>
      </c>
      <c r="F219" s="5" t="s">
        <v>1124</v>
      </c>
      <c r="G219" s="5" t="s">
        <v>1125</v>
      </c>
      <c r="H219" s="5" t="s">
        <v>1125</v>
      </c>
      <c r="I219" s="5" t="s">
        <v>30</v>
      </c>
      <c r="J219" s="5" t="s">
        <v>65</v>
      </c>
      <c r="K219" s="5" t="s">
        <v>39</v>
      </c>
      <c r="L219" s="5" t="s">
        <v>58</v>
      </c>
      <c r="M219" s="7" t="str">
        <f t="shared" si="3"/>
        <v>OK</v>
      </c>
      <c r="N219" s="7"/>
      <c r="O219" s="7"/>
      <c r="P219" s="7"/>
      <c r="Q219" s="7"/>
      <c r="R219" s="7"/>
      <c r="S219" s="7"/>
      <c r="T219" s="7"/>
      <c r="U219" s="7"/>
      <c r="V219" s="7"/>
      <c r="W219" s="7"/>
      <c r="X219" s="7"/>
      <c r="Y219" s="7"/>
      <c r="Z219" s="7"/>
    </row>
    <row r="220" ht="15.75" customHeight="1">
      <c r="A220" s="16" t="s">
        <v>1126</v>
      </c>
      <c r="B220" s="5" t="s">
        <v>14</v>
      </c>
      <c r="C220" s="5" t="s">
        <v>15</v>
      </c>
      <c r="D220" s="6" t="s">
        <v>1127</v>
      </c>
      <c r="E220" s="5" t="s">
        <v>1128</v>
      </c>
      <c r="F220" s="6" t="s">
        <v>1129</v>
      </c>
      <c r="G220" s="6" t="s">
        <v>1130</v>
      </c>
      <c r="H220" s="5" t="s">
        <v>1128</v>
      </c>
      <c r="I220" s="5" t="s">
        <v>20</v>
      </c>
      <c r="J220" s="5" t="s">
        <v>21</v>
      </c>
      <c r="K220" s="5" t="s">
        <v>132</v>
      </c>
      <c r="L220" s="5" t="s">
        <v>58</v>
      </c>
      <c r="M220" s="7" t="str">
        <f t="shared" si="3"/>
        <v>OK</v>
      </c>
    </row>
    <row r="221" ht="15.75" customHeight="1">
      <c r="A221" s="4" t="s">
        <v>1131</v>
      </c>
      <c r="B221" s="5" t="s">
        <v>14</v>
      </c>
      <c r="C221" s="5" t="s">
        <v>15</v>
      </c>
      <c r="D221" s="5" t="s">
        <v>1132</v>
      </c>
      <c r="E221" s="6" t="s">
        <v>1133</v>
      </c>
      <c r="F221" s="6" t="s">
        <v>1134</v>
      </c>
      <c r="G221" s="5" t="s">
        <v>1135</v>
      </c>
      <c r="H221" s="5" t="s">
        <v>1135</v>
      </c>
      <c r="I221" s="5" t="s">
        <v>37</v>
      </c>
      <c r="J221" s="5" t="s">
        <v>31</v>
      </c>
      <c r="K221" s="5" t="s">
        <v>57</v>
      </c>
      <c r="L221" s="5" t="s">
        <v>46</v>
      </c>
      <c r="M221" s="7" t="str">
        <f t="shared" si="3"/>
        <v>OK</v>
      </c>
      <c r="N221" s="7"/>
      <c r="O221" s="7"/>
      <c r="P221" s="7"/>
      <c r="Q221" s="7"/>
      <c r="R221" s="7"/>
      <c r="S221" s="7"/>
      <c r="T221" s="7"/>
      <c r="U221" s="7"/>
      <c r="V221" s="7"/>
      <c r="W221" s="7"/>
      <c r="X221" s="7"/>
      <c r="Y221" s="7"/>
      <c r="Z221" s="7"/>
    </row>
    <row r="222" ht="15.75" customHeight="1">
      <c r="A222" s="4" t="s">
        <v>1136</v>
      </c>
      <c r="B222" s="5" t="s">
        <v>14</v>
      </c>
      <c r="C222" s="5" t="s">
        <v>15</v>
      </c>
      <c r="D222" s="5" t="s">
        <v>1137</v>
      </c>
      <c r="E222" s="5" t="s">
        <v>1138</v>
      </c>
      <c r="F222" s="6" t="s">
        <v>1139</v>
      </c>
      <c r="G222" s="6" t="s">
        <v>1140</v>
      </c>
      <c r="H222" s="5" t="s">
        <v>1138</v>
      </c>
      <c r="I222" s="5" t="s">
        <v>20</v>
      </c>
      <c r="J222" s="5" t="s">
        <v>21</v>
      </c>
      <c r="K222" s="5" t="s">
        <v>23</v>
      </c>
      <c r="L222" s="5" t="s">
        <v>132</v>
      </c>
      <c r="M222" s="7" t="str">
        <f t="shared" si="3"/>
        <v>OK</v>
      </c>
      <c r="N222" s="7"/>
      <c r="O222" s="7"/>
      <c r="P222" s="7"/>
      <c r="Q222" s="7"/>
      <c r="R222" s="7"/>
      <c r="S222" s="7"/>
      <c r="T222" s="7"/>
      <c r="U222" s="7"/>
      <c r="V222" s="7"/>
      <c r="W222" s="7"/>
      <c r="X222" s="7"/>
      <c r="Y222" s="7"/>
      <c r="Z222" s="7"/>
    </row>
    <row r="223" ht="15.75" customHeight="1">
      <c r="A223" s="4" t="s">
        <v>1141</v>
      </c>
      <c r="B223" s="5" t="s">
        <v>25</v>
      </c>
      <c r="C223" s="5" t="s">
        <v>15</v>
      </c>
      <c r="D223" s="5" t="s">
        <v>1142</v>
      </c>
      <c r="E223" s="5" t="s">
        <v>1143</v>
      </c>
      <c r="F223" s="5" t="s">
        <v>1144</v>
      </c>
      <c r="G223" s="5" t="s">
        <v>1145</v>
      </c>
      <c r="H223" s="5" t="s">
        <v>1144</v>
      </c>
      <c r="I223" s="5" t="s">
        <v>64</v>
      </c>
      <c r="J223" s="5" t="s">
        <v>65</v>
      </c>
      <c r="K223" s="5" t="s">
        <v>38</v>
      </c>
      <c r="L223" s="5" t="s">
        <v>46</v>
      </c>
      <c r="M223" s="7" t="str">
        <f t="shared" si="3"/>
        <v>OK</v>
      </c>
      <c r="N223" s="7"/>
      <c r="O223" s="7"/>
      <c r="P223" s="7"/>
      <c r="Q223" s="7"/>
      <c r="R223" s="7"/>
      <c r="S223" s="7"/>
      <c r="T223" s="7"/>
      <c r="U223" s="7"/>
      <c r="V223" s="7"/>
      <c r="W223" s="7"/>
      <c r="X223" s="7"/>
      <c r="Y223" s="7"/>
      <c r="Z223" s="7"/>
    </row>
    <row r="224" ht="15.75" customHeight="1">
      <c r="A224" s="4" t="s">
        <v>1146</v>
      </c>
      <c r="B224" s="5" t="s">
        <v>25</v>
      </c>
      <c r="C224" s="5" t="s">
        <v>15</v>
      </c>
      <c r="D224" s="5" t="s">
        <v>1147</v>
      </c>
      <c r="E224" s="5" t="s">
        <v>1148</v>
      </c>
      <c r="F224" s="5" t="s">
        <v>1149</v>
      </c>
      <c r="G224" s="5" t="s">
        <v>1150</v>
      </c>
      <c r="H224" s="5" t="s">
        <v>1148</v>
      </c>
      <c r="I224" s="5" t="s">
        <v>31</v>
      </c>
      <c r="J224" s="5" t="s">
        <v>45</v>
      </c>
      <c r="K224" s="5" t="s">
        <v>38</v>
      </c>
      <c r="L224" s="5" t="s">
        <v>22</v>
      </c>
      <c r="M224" s="7" t="str">
        <f t="shared" si="3"/>
        <v>OK</v>
      </c>
      <c r="N224" s="7"/>
      <c r="O224" s="7"/>
      <c r="P224" s="7"/>
      <c r="Q224" s="7"/>
      <c r="R224" s="7"/>
      <c r="S224" s="7"/>
      <c r="T224" s="7"/>
      <c r="U224" s="7"/>
      <c r="V224" s="7"/>
      <c r="W224" s="7"/>
      <c r="X224" s="7"/>
      <c r="Y224" s="7"/>
      <c r="Z224" s="7"/>
    </row>
    <row r="225" ht="15.75" customHeight="1">
      <c r="A225" s="4" t="s">
        <v>1151</v>
      </c>
      <c r="B225" s="5" t="s">
        <v>14</v>
      </c>
      <c r="C225" s="5" t="s">
        <v>15</v>
      </c>
      <c r="D225" s="5" t="s">
        <v>1152</v>
      </c>
      <c r="E225" s="6" t="s">
        <v>1153</v>
      </c>
      <c r="F225" s="6" t="s">
        <v>1154</v>
      </c>
      <c r="G225" s="5" t="s">
        <v>1155</v>
      </c>
      <c r="H225" s="5" t="s">
        <v>1155</v>
      </c>
      <c r="I225" s="5" t="s">
        <v>20</v>
      </c>
      <c r="J225" s="5" t="s">
        <v>31</v>
      </c>
      <c r="K225" s="5" t="s">
        <v>46</v>
      </c>
      <c r="L225" s="5" t="s">
        <v>38</v>
      </c>
      <c r="M225" s="7" t="str">
        <f t="shared" si="3"/>
        <v>OK</v>
      </c>
      <c r="N225" s="7"/>
      <c r="O225" s="7"/>
      <c r="P225" s="7"/>
      <c r="Q225" s="7"/>
      <c r="R225" s="7"/>
      <c r="S225" s="7"/>
      <c r="T225" s="7"/>
      <c r="U225" s="7"/>
      <c r="V225" s="7"/>
      <c r="W225" s="7"/>
      <c r="X225" s="7"/>
      <c r="Y225" s="7"/>
      <c r="Z225" s="7"/>
    </row>
    <row r="226" ht="15.75" customHeight="1">
      <c r="A226" s="4" t="s">
        <v>1156</v>
      </c>
      <c r="B226" s="5" t="s">
        <v>25</v>
      </c>
      <c r="C226" s="5" t="s">
        <v>15</v>
      </c>
      <c r="D226" s="5" t="s">
        <v>1157</v>
      </c>
      <c r="E226" s="5" t="s">
        <v>1158</v>
      </c>
      <c r="F226" s="5" t="s">
        <v>1159</v>
      </c>
      <c r="G226" s="5" t="s">
        <v>1160</v>
      </c>
      <c r="H226" s="5" t="s">
        <v>1158</v>
      </c>
      <c r="I226" s="5" t="s">
        <v>45</v>
      </c>
      <c r="J226" s="5" t="s">
        <v>31</v>
      </c>
      <c r="K226" s="5" t="s">
        <v>66</v>
      </c>
      <c r="L226" s="5" t="s">
        <v>38</v>
      </c>
      <c r="M226" s="7" t="str">
        <f t="shared" si="3"/>
        <v>OK</v>
      </c>
      <c r="N226" s="7"/>
      <c r="O226" s="7"/>
      <c r="P226" s="7"/>
      <c r="Q226" s="7"/>
      <c r="R226" s="7"/>
      <c r="S226" s="7"/>
      <c r="T226" s="7"/>
      <c r="U226" s="7"/>
      <c r="V226" s="7"/>
      <c r="W226" s="7"/>
      <c r="X226" s="7"/>
      <c r="Y226" s="7"/>
      <c r="Z226" s="7"/>
    </row>
    <row r="227" ht="15.75" customHeight="1">
      <c r="A227" s="4" t="s">
        <v>1161</v>
      </c>
      <c r="B227" s="5" t="s">
        <v>14</v>
      </c>
      <c r="C227" s="5" t="s">
        <v>15</v>
      </c>
      <c r="D227" s="5" t="s">
        <v>1162</v>
      </c>
      <c r="E227" s="6" t="s">
        <v>1163</v>
      </c>
      <c r="F227" s="5" t="s">
        <v>1164</v>
      </c>
      <c r="G227" s="6" t="s">
        <v>1165</v>
      </c>
      <c r="H227" s="5" t="s">
        <v>1164</v>
      </c>
      <c r="I227" s="5" t="s">
        <v>20</v>
      </c>
      <c r="J227" s="5" t="s">
        <v>31</v>
      </c>
      <c r="K227" s="5" t="s">
        <v>58</v>
      </c>
      <c r="L227" s="5" t="s">
        <v>132</v>
      </c>
      <c r="M227" s="7" t="str">
        <f t="shared" si="3"/>
        <v>OK</v>
      </c>
      <c r="N227" s="7"/>
      <c r="O227" s="7"/>
      <c r="P227" s="7"/>
      <c r="Q227" s="7"/>
      <c r="R227" s="7"/>
      <c r="S227" s="7"/>
      <c r="T227" s="7"/>
      <c r="U227" s="7"/>
      <c r="V227" s="7"/>
      <c r="W227" s="7"/>
      <c r="X227" s="7"/>
      <c r="Y227" s="7"/>
      <c r="Z227" s="7"/>
    </row>
    <row r="228">
      <c r="A228" s="4" t="s">
        <v>1166</v>
      </c>
      <c r="B228" s="5" t="s">
        <v>14</v>
      </c>
      <c r="C228" s="5" t="s">
        <v>15</v>
      </c>
      <c r="D228" s="5" t="s">
        <v>1167</v>
      </c>
      <c r="E228" s="5" t="s">
        <v>1168</v>
      </c>
      <c r="F228" s="6" t="s">
        <v>1169</v>
      </c>
      <c r="G228" s="6" t="s">
        <v>1170</v>
      </c>
      <c r="H228" s="5" t="s">
        <v>1168</v>
      </c>
      <c r="I228" s="5" t="s">
        <v>30</v>
      </c>
      <c r="J228" s="5" t="s">
        <v>20</v>
      </c>
      <c r="K228" s="5" t="s">
        <v>132</v>
      </c>
      <c r="L228" s="5" t="s">
        <v>58</v>
      </c>
      <c r="M228" s="7" t="str">
        <f t="shared" si="3"/>
        <v>OK</v>
      </c>
      <c r="N228" s="7"/>
      <c r="O228" s="7"/>
      <c r="P228" s="7"/>
      <c r="Q228" s="7"/>
      <c r="R228" s="7"/>
      <c r="S228" s="7"/>
      <c r="T228" s="7"/>
      <c r="U228" s="7"/>
      <c r="V228" s="7"/>
      <c r="W228" s="7"/>
      <c r="X228" s="7"/>
      <c r="Y228" s="7"/>
      <c r="Z228" s="7"/>
    </row>
    <row r="229">
      <c r="A229" s="4" t="s">
        <v>1171</v>
      </c>
      <c r="B229" s="5" t="s">
        <v>25</v>
      </c>
      <c r="C229" s="5" t="s">
        <v>15</v>
      </c>
      <c r="D229" s="5" t="s">
        <v>1172</v>
      </c>
      <c r="E229" s="5" t="s">
        <v>1173</v>
      </c>
      <c r="F229" s="5" t="s">
        <v>1174</v>
      </c>
      <c r="G229" s="5" t="s">
        <v>1175</v>
      </c>
      <c r="H229" s="5" t="s">
        <v>1173</v>
      </c>
      <c r="I229" s="5" t="s">
        <v>20</v>
      </c>
      <c r="J229" s="5" t="s">
        <v>37</v>
      </c>
      <c r="K229" s="5" t="s">
        <v>58</v>
      </c>
      <c r="L229" s="5" t="s">
        <v>132</v>
      </c>
      <c r="M229" s="7" t="str">
        <f t="shared" si="3"/>
        <v>OK</v>
      </c>
      <c r="N229" s="7"/>
      <c r="O229" s="7"/>
      <c r="P229" s="7"/>
      <c r="Q229" s="7"/>
      <c r="R229" s="7"/>
      <c r="S229" s="7"/>
      <c r="T229" s="7"/>
      <c r="U229" s="7"/>
      <c r="V229" s="7"/>
      <c r="W229" s="7"/>
      <c r="X229" s="7"/>
      <c r="Y229" s="7"/>
      <c r="Z229" s="7"/>
    </row>
    <row r="230">
      <c r="A230" s="4" t="s">
        <v>1176</v>
      </c>
      <c r="B230" s="5" t="s">
        <v>14</v>
      </c>
      <c r="C230" s="5" t="s">
        <v>15</v>
      </c>
      <c r="D230" s="5" t="s">
        <v>1177</v>
      </c>
      <c r="E230" s="6" t="s">
        <v>1178</v>
      </c>
      <c r="F230" s="6" t="s">
        <v>1179</v>
      </c>
      <c r="G230" s="5" t="s">
        <v>1180</v>
      </c>
      <c r="H230" s="5" t="s">
        <v>1180</v>
      </c>
      <c r="I230" s="5" t="s">
        <v>30</v>
      </c>
      <c r="J230" s="5" t="s">
        <v>45</v>
      </c>
      <c r="K230" s="5" t="s">
        <v>22</v>
      </c>
      <c r="L230" s="5" t="s">
        <v>132</v>
      </c>
      <c r="M230" s="7" t="str">
        <f t="shared" si="3"/>
        <v>OK</v>
      </c>
      <c r="N230" s="7"/>
      <c r="O230" s="7"/>
      <c r="P230" s="7"/>
      <c r="Q230" s="7"/>
      <c r="R230" s="7"/>
      <c r="S230" s="7"/>
      <c r="T230" s="7"/>
      <c r="U230" s="7"/>
      <c r="V230" s="7"/>
      <c r="W230" s="7"/>
      <c r="X230" s="7"/>
      <c r="Y230" s="7"/>
      <c r="Z230" s="7"/>
    </row>
    <row r="231">
      <c r="A231" s="4" t="s">
        <v>1181</v>
      </c>
      <c r="B231" s="5" t="s">
        <v>25</v>
      </c>
      <c r="C231" s="5" t="s">
        <v>15</v>
      </c>
      <c r="D231" s="5" t="s">
        <v>1182</v>
      </c>
      <c r="E231" s="5" t="s">
        <v>1183</v>
      </c>
      <c r="F231" s="5" t="s">
        <v>1184</v>
      </c>
      <c r="G231" s="5" t="s">
        <v>1185</v>
      </c>
      <c r="H231" s="5" t="s">
        <v>1184</v>
      </c>
      <c r="I231" s="5" t="s">
        <v>20</v>
      </c>
      <c r="J231" s="5" t="s">
        <v>65</v>
      </c>
      <c r="K231" s="5" t="s">
        <v>58</v>
      </c>
      <c r="L231" s="5" t="s">
        <v>46</v>
      </c>
      <c r="M231" s="7" t="str">
        <f t="shared" si="3"/>
        <v>OK</v>
      </c>
      <c r="N231" s="7"/>
      <c r="O231" s="7"/>
      <c r="P231" s="7"/>
      <c r="Q231" s="7"/>
      <c r="R231" s="7"/>
      <c r="S231" s="7"/>
      <c r="T231" s="7"/>
      <c r="U231" s="7"/>
      <c r="V231" s="7"/>
      <c r="W231" s="7"/>
      <c r="X231" s="7"/>
      <c r="Y231" s="7"/>
      <c r="Z231" s="7"/>
    </row>
    <row r="232">
      <c r="A232" s="4" t="s">
        <v>1186</v>
      </c>
      <c r="B232" s="5" t="s">
        <v>14</v>
      </c>
      <c r="C232" s="5" t="s">
        <v>15</v>
      </c>
      <c r="D232" s="5" t="s">
        <v>1187</v>
      </c>
      <c r="E232" s="6" t="s">
        <v>1188</v>
      </c>
      <c r="F232" s="6" t="s">
        <v>1189</v>
      </c>
      <c r="G232" s="6" t="s">
        <v>1190</v>
      </c>
      <c r="H232" s="6" t="s">
        <v>1190</v>
      </c>
      <c r="I232" s="5" t="s">
        <v>20</v>
      </c>
      <c r="J232" s="5" t="s">
        <v>45</v>
      </c>
      <c r="K232" s="5" t="s">
        <v>132</v>
      </c>
      <c r="L232" s="5" t="s">
        <v>58</v>
      </c>
      <c r="M232" s="7" t="str">
        <f t="shared" si="3"/>
        <v>OK</v>
      </c>
      <c r="N232" s="7"/>
      <c r="O232" s="7"/>
      <c r="P232" s="7"/>
      <c r="Q232" s="7"/>
      <c r="R232" s="7"/>
      <c r="S232" s="7"/>
      <c r="T232" s="7"/>
      <c r="U232" s="7"/>
      <c r="V232" s="7"/>
      <c r="W232" s="7"/>
      <c r="X232" s="7"/>
      <c r="Y232" s="7"/>
      <c r="Z232" s="7"/>
    </row>
    <row r="233">
      <c r="A233" s="4" t="s">
        <v>1191</v>
      </c>
      <c r="B233" s="5" t="s">
        <v>25</v>
      </c>
      <c r="C233" s="5" t="s">
        <v>15</v>
      </c>
      <c r="D233" s="5" t="s">
        <v>1192</v>
      </c>
      <c r="E233" s="5" t="s">
        <v>1193</v>
      </c>
      <c r="F233" s="5" t="s">
        <v>1194</v>
      </c>
      <c r="G233" s="5" t="s">
        <v>1195</v>
      </c>
      <c r="H233" s="5" t="s">
        <v>1194</v>
      </c>
      <c r="I233" s="5" t="s">
        <v>45</v>
      </c>
      <c r="J233" s="5" t="s">
        <v>21</v>
      </c>
      <c r="K233" s="5" t="s">
        <v>46</v>
      </c>
      <c r="L233" s="5" t="s">
        <v>39</v>
      </c>
      <c r="M233" s="7" t="str">
        <f t="shared" si="3"/>
        <v>OK</v>
      </c>
      <c r="N233" s="7"/>
      <c r="O233" s="7"/>
      <c r="P233" s="7"/>
      <c r="Q233" s="7"/>
      <c r="R233" s="7"/>
      <c r="S233" s="7"/>
      <c r="T233" s="7"/>
      <c r="U233" s="7"/>
      <c r="V233" s="7"/>
      <c r="W233" s="7"/>
      <c r="X233" s="7"/>
      <c r="Y233" s="7"/>
      <c r="Z233" s="7"/>
    </row>
    <row r="234">
      <c r="A234" s="4" t="s">
        <v>1196</v>
      </c>
      <c r="B234" s="5" t="s">
        <v>25</v>
      </c>
      <c r="C234" s="5" t="s">
        <v>15</v>
      </c>
      <c r="D234" s="5" t="s">
        <v>1197</v>
      </c>
      <c r="E234" s="5" t="s">
        <v>1198</v>
      </c>
      <c r="F234" s="5" t="s">
        <v>1199</v>
      </c>
      <c r="G234" s="5" t="s">
        <v>1200</v>
      </c>
      <c r="H234" s="5" t="s">
        <v>1198</v>
      </c>
      <c r="I234" s="5" t="s">
        <v>30</v>
      </c>
      <c r="J234" s="5" t="s">
        <v>21</v>
      </c>
      <c r="K234" s="5" t="s">
        <v>46</v>
      </c>
      <c r="L234" s="5" t="s">
        <v>39</v>
      </c>
      <c r="M234" s="7" t="str">
        <f t="shared" si="3"/>
        <v>OK</v>
      </c>
      <c r="N234" s="7"/>
      <c r="O234" s="7"/>
      <c r="P234" s="7"/>
      <c r="Q234" s="7"/>
      <c r="R234" s="7"/>
      <c r="S234" s="7"/>
      <c r="T234" s="7"/>
      <c r="U234" s="7"/>
      <c r="V234" s="7"/>
      <c r="W234" s="7"/>
      <c r="X234" s="7"/>
      <c r="Y234" s="7"/>
      <c r="Z234" s="7"/>
    </row>
    <row r="235">
      <c r="A235" s="4" t="s">
        <v>1201</v>
      </c>
      <c r="B235" s="5" t="s">
        <v>14</v>
      </c>
      <c r="C235" s="5" t="s">
        <v>15</v>
      </c>
      <c r="D235" s="5" t="s">
        <v>1202</v>
      </c>
      <c r="E235" s="6" t="s">
        <v>1203</v>
      </c>
      <c r="F235" s="6" t="s">
        <v>1204</v>
      </c>
      <c r="G235" s="6" t="s">
        <v>1205</v>
      </c>
      <c r="H235" s="6" t="s">
        <v>1203</v>
      </c>
      <c r="I235" s="5" t="s">
        <v>45</v>
      </c>
      <c r="J235" s="5" t="s">
        <v>37</v>
      </c>
      <c r="K235" s="5" t="s">
        <v>23</v>
      </c>
      <c r="L235" s="5" t="s">
        <v>58</v>
      </c>
      <c r="M235" s="7" t="str">
        <f t="shared" si="3"/>
        <v>OK</v>
      </c>
      <c r="N235" s="7"/>
      <c r="O235" s="7"/>
      <c r="P235" s="7"/>
      <c r="Q235" s="7"/>
      <c r="R235" s="7"/>
      <c r="S235" s="7"/>
      <c r="T235" s="7"/>
      <c r="U235" s="7"/>
      <c r="V235" s="7"/>
      <c r="W235" s="7"/>
      <c r="X235" s="7"/>
      <c r="Y235" s="7"/>
      <c r="Z235" s="7"/>
    </row>
    <row r="236">
      <c r="A236" s="4" t="s">
        <v>1206</v>
      </c>
      <c r="B236" s="5" t="s">
        <v>14</v>
      </c>
      <c r="C236" s="5" t="s">
        <v>15</v>
      </c>
      <c r="D236" s="5" t="s">
        <v>1207</v>
      </c>
      <c r="E236" s="6" t="s">
        <v>1208</v>
      </c>
      <c r="F236" s="6" t="s">
        <v>1209</v>
      </c>
      <c r="G236" s="5" t="s">
        <v>1210</v>
      </c>
      <c r="H236" s="5" t="s">
        <v>1210</v>
      </c>
      <c r="I236" s="5" t="s">
        <v>45</v>
      </c>
      <c r="J236" s="5" t="s">
        <v>21</v>
      </c>
      <c r="K236" s="5" t="s">
        <v>23</v>
      </c>
      <c r="L236" s="5" t="s">
        <v>58</v>
      </c>
      <c r="M236" s="7" t="str">
        <f t="shared" si="3"/>
        <v>OK</v>
      </c>
      <c r="N236" s="7"/>
      <c r="O236" s="7"/>
      <c r="P236" s="7"/>
      <c r="Q236" s="7"/>
      <c r="R236" s="7"/>
      <c r="S236" s="7"/>
      <c r="T236" s="7"/>
      <c r="U236" s="7"/>
      <c r="V236" s="7"/>
      <c r="W236" s="7"/>
      <c r="X236" s="7"/>
      <c r="Y236" s="7"/>
      <c r="Z236" s="7"/>
    </row>
    <row r="237" ht="15.75" customHeight="1">
      <c r="A237" s="4" t="s">
        <v>1211</v>
      </c>
      <c r="B237" s="5" t="s">
        <v>14</v>
      </c>
      <c r="C237" s="5" t="s">
        <v>15</v>
      </c>
      <c r="D237" s="5" t="s">
        <v>1212</v>
      </c>
      <c r="E237" s="6" t="s">
        <v>1213</v>
      </c>
      <c r="F237" s="5" t="s">
        <v>1214</v>
      </c>
      <c r="G237" s="6" t="s">
        <v>1215</v>
      </c>
      <c r="H237" s="5" t="s">
        <v>1214</v>
      </c>
      <c r="I237" s="5" t="s">
        <v>31</v>
      </c>
      <c r="J237" s="5" t="s">
        <v>20</v>
      </c>
      <c r="K237" s="5" t="s">
        <v>58</v>
      </c>
      <c r="L237" s="5" t="s">
        <v>132</v>
      </c>
      <c r="M237" s="7" t="str">
        <f t="shared" si="3"/>
        <v>OK</v>
      </c>
      <c r="N237" s="7"/>
      <c r="O237" s="7"/>
      <c r="P237" s="7"/>
      <c r="Q237" s="7"/>
      <c r="R237" s="7"/>
      <c r="S237" s="7"/>
      <c r="T237" s="7"/>
      <c r="U237" s="7"/>
      <c r="V237" s="7"/>
      <c r="W237" s="7"/>
      <c r="X237" s="7"/>
      <c r="Y237" s="7"/>
      <c r="Z237" s="7"/>
    </row>
    <row r="238" ht="15.75" customHeight="1">
      <c r="A238" s="4" t="s">
        <v>1216</v>
      </c>
      <c r="B238" s="5" t="s">
        <v>25</v>
      </c>
      <c r="C238" s="5" t="s">
        <v>15</v>
      </c>
      <c r="D238" s="5" t="s">
        <v>1217</v>
      </c>
      <c r="E238" s="5" t="s">
        <v>1218</v>
      </c>
      <c r="F238" s="5" t="s">
        <v>1219</v>
      </c>
      <c r="G238" s="5" t="s">
        <v>1220</v>
      </c>
      <c r="H238" s="5" t="s">
        <v>1218</v>
      </c>
      <c r="I238" s="5" t="s">
        <v>30</v>
      </c>
      <c r="J238" s="5" t="s">
        <v>31</v>
      </c>
      <c r="K238" s="5" t="s">
        <v>38</v>
      </c>
      <c r="L238" s="5" t="s">
        <v>46</v>
      </c>
      <c r="M238" s="7" t="str">
        <f t="shared" si="3"/>
        <v>OK</v>
      </c>
      <c r="N238" s="7"/>
      <c r="O238" s="7"/>
      <c r="P238" s="7"/>
      <c r="Q238" s="7"/>
      <c r="R238" s="7"/>
      <c r="S238" s="7"/>
      <c r="T238" s="7"/>
      <c r="U238" s="7"/>
      <c r="V238" s="7"/>
      <c r="W238" s="7"/>
      <c r="X238" s="7"/>
      <c r="Y238" s="7"/>
      <c r="Z238" s="7"/>
    </row>
    <row r="239" ht="15.75" customHeight="1">
      <c r="A239" s="4" t="s">
        <v>1221</v>
      </c>
      <c r="B239" s="5" t="s">
        <v>14</v>
      </c>
      <c r="C239" s="5" t="s">
        <v>15</v>
      </c>
      <c r="D239" s="5" t="s">
        <v>1222</v>
      </c>
      <c r="E239" s="6" t="s">
        <v>1223</v>
      </c>
      <c r="F239" s="6" t="s">
        <v>1224</v>
      </c>
      <c r="G239" s="6" t="s">
        <v>1225</v>
      </c>
      <c r="H239" s="6" t="s">
        <v>1225</v>
      </c>
      <c r="I239" s="5" t="s">
        <v>64</v>
      </c>
      <c r="J239" s="5" t="s">
        <v>31</v>
      </c>
      <c r="K239" s="5" t="s">
        <v>66</v>
      </c>
      <c r="L239" s="5" t="s">
        <v>39</v>
      </c>
      <c r="M239" s="7" t="str">
        <f t="shared" si="3"/>
        <v>OK</v>
      </c>
      <c r="N239" s="7"/>
      <c r="O239" s="7"/>
      <c r="P239" s="7"/>
      <c r="Q239" s="7"/>
      <c r="R239" s="7"/>
      <c r="S239" s="7"/>
      <c r="T239" s="7"/>
      <c r="U239" s="7"/>
      <c r="V239" s="7"/>
      <c r="W239" s="7"/>
      <c r="X239" s="7"/>
      <c r="Y239" s="7"/>
      <c r="Z239" s="7"/>
    </row>
    <row r="240" ht="15.75" customHeight="1">
      <c r="A240" s="4" t="s">
        <v>1226</v>
      </c>
      <c r="B240" s="5" t="s">
        <v>25</v>
      </c>
      <c r="C240" s="5" t="s">
        <v>15</v>
      </c>
      <c r="D240" s="4" t="s">
        <v>1227</v>
      </c>
      <c r="E240" s="4" t="s">
        <v>1228</v>
      </c>
      <c r="F240" s="4" t="s">
        <v>1229</v>
      </c>
      <c r="G240" s="4" t="s">
        <v>1230</v>
      </c>
      <c r="H240" s="5" t="s">
        <v>1230</v>
      </c>
      <c r="I240" s="5" t="s">
        <v>65</v>
      </c>
      <c r="J240" s="5" t="s">
        <v>31</v>
      </c>
      <c r="K240" s="5" t="s">
        <v>39</v>
      </c>
      <c r="L240" s="5" t="s">
        <v>46</v>
      </c>
      <c r="M240" s="7" t="str">
        <f t="shared" si="3"/>
        <v>OK</v>
      </c>
      <c r="N240" s="7"/>
      <c r="O240" s="7"/>
      <c r="P240" s="7"/>
      <c r="Q240" s="7"/>
      <c r="R240" s="7"/>
      <c r="S240" s="7"/>
      <c r="T240" s="7"/>
      <c r="U240" s="7"/>
      <c r="V240" s="7"/>
      <c r="W240" s="7"/>
      <c r="X240" s="7"/>
      <c r="Y240" s="7"/>
      <c r="Z240" s="7"/>
    </row>
    <row r="241" ht="15.75" customHeight="1">
      <c r="A241" s="4" t="s">
        <v>1231</v>
      </c>
      <c r="B241" s="5" t="s">
        <v>14</v>
      </c>
      <c r="C241" s="5" t="s">
        <v>15</v>
      </c>
      <c r="D241" s="5" t="s">
        <v>1232</v>
      </c>
      <c r="E241" s="6" t="s">
        <v>1233</v>
      </c>
      <c r="F241" s="5" t="s">
        <v>1234</v>
      </c>
      <c r="G241" s="6" t="s">
        <v>1235</v>
      </c>
      <c r="H241" s="5" t="s">
        <v>1234</v>
      </c>
      <c r="I241" s="5" t="s">
        <v>20</v>
      </c>
      <c r="J241" s="5" t="s">
        <v>31</v>
      </c>
      <c r="K241" s="5" t="s">
        <v>38</v>
      </c>
      <c r="L241" s="5" t="s">
        <v>46</v>
      </c>
      <c r="M241" s="7" t="str">
        <f t="shared" si="3"/>
        <v>OK</v>
      </c>
      <c r="N241" s="7"/>
      <c r="O241" s="7"/>
      <c r="P241" s="7"/>
      <c r="Q241" s="7"/>
      <c r="R241" s="7"/>
      <c r="S241" s="7"/>
      <c r="T241" s="7"/>
      <c r="U241" s="7"/>
      <c r="V241" s="7"/>
      <c r="W241" s="7"/>
      <c r="X241" s="7"/>
      <c r="Y241" s="7"/>
      <c r="Z241" s="7"/>
    </row>
    <row r="242" ht="15.75" customHeight="1">
      <c r="A242" s="4" t="s">
        <v>1236</v>
      </c>
      <c r="B242" s="5" t="s">
        <v>25</v>
      </c>
      <c r="C242" s="5" t="s">
        <v>15</v>
      </c>
      <c r="D242" s="5" t="s">
        <v>1237</v>
      </c>
      <c r="E242" s="5" t="s">
        <v>1238</v>
      </c>
      <c r="F242" s="5" t="s">
        <v>1239</v>
      </c>
      <c r="G242" s="5" t="s">
        <v>1240</v>
      </c>
      <c r="H242" s="5" t="s">
        <v>1238</v>
      </c>
      <c r="I242" s="5" t="s">
        <v>30</v>
      </c>
      <c r="J242" s="5" t="s">
        <v>21</v>
      </c>
      <c r="K242" s="5" t="s">
        <v>46</v>
      </c>
      <c r="L242" s="5" t="s">
        <v>39</v>
      </c>
      <c r="M242" s="7" t="str">
        <f t="shared" si="3"/>
        <v>OK</v>
      </c>
      <c r="N242" s="7"/>
      <c r="O242" s="7"/>
      <c r="P242" s="7"/>
      <c r="Q242" s="7"/>
      <c r="R242" s="7"/>
      <c r="S242" s="7"/>
      <c r="T242" s="7"/>
      <c r="U242" s="7"/>
      <c r="V242" s="7"/>
      <c r="W242" s="7"/>
      <c r="X242" s="7"/>
      <c r="Y242" s="7"/>
      <c r="Z242" s="7"/>
    </row>
    <row r="243" ht="15.75" customHeight="1">
      <c r="A243" s="4" t="s">
        <v>1241</v>
      </c>
      <c r="B243" s="5" t="s">
        <v>14</v>
      </c>
      <c r="C243" s="5" t="s">
        <v>15</v>
      </c>
      <c r="D243" s="4" t="s">
        <v>1242</v>
      </c>
      <c r="E243" s="5" t="s">
        <v>1243</v>
      </c>
      <c r="F243" s="4" t="s">
        <v>1244</v>
      </c>
      <c r="G243" s="4" t="s">
        <v>1245</v>
      </c>
      <c r="H243" s="5" t="s">
        <v>1243</v>
      </c>
      <c r="I243" s="5" t="s">
        <v>20</v>
      </c>
      <c r="J243" s="5" t="s">
        <v>37</v>
      </c>
      <c r="K243" s="5" t="s">
        <v>46</v>
      </c>
      <c r="L243" s="5" t="s">
        <v>22</v>
      </c>
      <c r="M243" s="7" t="str">
        <f t="shared" si="3"/>
        <v>OK</v>
      </c>
      <c r="N243" s="7"/>
      <c r="O243" s="7"/>
      <c r="P243" s="7"/>
      <c r="Q243" s="7"/>
      <c r="R243" s="7"/>
      <c r="S243" s="7"/>
      <c r="T243" s="7"/>
      <c r="U243" s="7"/>
      <c r="V243" s="7"/>
      <c r="W243" s="7"/>
      <c r="X243" s="7"/>
      <c r="Y243" s="7"/>
      <c r="Z243" s="7"/>
    </row>
    <row r="244" ht="15.75" customHeight="1">
      <c r="A244" s="4" t="s">
        <v>1246</v>
      </c>
      <c r="B244" s="5" t="s">
        <v>25</v>
      </c>
      <c r="C244" s="5" t="s">
        <v>15</v>
      </c>
      <c r="D244" s="5" t="s">
        <v>1247</v>
      </c>
      <c r="E244" s="5" t="s">
        <v>1248</v>
      </c>
      <c r="F244" s="5" t="s">
        <v>1249</v>
      </c>
      <c r="G244" s="5" t="s">
        <v>1250</v>
      </c>
      <c r="H244" s="5" t="s">
        <v>1249</v>
      </c>
      <c r="I244" s="5" t="s">
        <v>37</v>
      </c>
      <c r="J244" s="5" t="s">
        <v>20</v>
      </c>
      <c r="K244" s="5" t="s">
        <v>39</v>
      </c>
      <c r="L244" s="5" t="s">
        <v>46</v>
      </c>
      <c r="M244" s="7" t="str">
        <f t="shared" si="3"/>
        <v>OK</v>
      </c>
      <c r="N244" s="7"/>
      <c r="O244" s="7"/>
      <c r="P244" s="7"/>
      <c r="Q244" s="7"/>
      <c r="R244" s="7"/>
      <c r="S244" s="7"/>
      <c r="T244" s="7"/>
      <c r="U244" s="7"/>
      <c r="V244" s="7"/>
      <c r="W244" s="7"/>
      <c r="X244" s="7"/>
      <c r="Y244" s="7"/>
      <c r="Z244" s="7"/>
    </row>
    <row r="245" ht="15.75" customHeight="1">
      <c r="A245" s="4" t="s">
        <v>1251</v>
      </c>
      <c r="B245" s="5" t="s">
        <v>14</v>
      </c>
      <c r="C245" s="5" t="s">
        <v>15</v>
      </c>
      <c r="D245" s="5" t="s">
        <v>1252</v>
      </c>
      <c r="E245" s="6" t="s">
        <v>1253</v>
      </c>
      <c r="F245" s="5" t="s">
        <v>1254</v>
      </c>
      <c r="G245" s="6" t="s">
        <v>1255</v>
      </c>
      <c r="H245" s="5" t="s">
        <v>1254</v>
      </c>
      <c r="I245" s="5" t="s">
        <v>20</v>
      </c>
      <c r="J245" s="5" t="s">
        <v>31</v>
      </c>
      <c r="K245" s="5" t="s">
        <v>38</v>
      </c>
      <c r="L245" s="5" t="s">
        <v>132</v>
      </c>
      <c r="M245" s="7" t="str">
        <f t="shared" si="3"/>
        <v>OK</v>
      </c>
      <c r="N245" s="7"/>
      <c r="O245" s="7"/>
      <c r="P245" s="7"/>
      <c r="Q245" s="7"/>
      <c r="R245" s="7"/>
      <c r="S245" s="7"/>
      <c r="T245" s="7"/>
      <c r="U245" s="7"/>
      <c r="V245" s="7"/>
      <c r="W245" s="7"/>
      <c r="X245" s="7"/>
      <c r="Y245" s="7"/>
      <c r="Z245" s="7"/>
    </row>
    <row r="246" ht="15.75" customHeight="1">
      <c r="A246" s="4" t="s">
        <v>1256</v>
      </c>
      <c r="B246" s="5" t="s">
        <v>25</v>
      </c>
      <c r="C246" s="5" t="s">
        <v>15</v>
      </c>
      <c r="D246" s="5" t="s">
        <v>1257</v>
      </c>
      <c r="E246" s="5" t="s">
        <v>1258</v>
      </c>
      <c r="F246" s="5" t="s">
        <v>1259</v>
      </c>
      <c r="G246" s="5" t="s">
        <v>1260</v>
      </c>
      <c r="H246" s="5" t="s">
        <v>1259</v>
      </c>
      <c r="I246" s="5" t="s">
        <v>64</v>
      </c>
      <c r="J246" s="5" t="s">
        <v>37</v>
      </c>
      <c r="K246" s="5" t="s">
        <v>66</v>
      </c>
      <c r="L246" s="5" t="s">
        <v>39</v>
      </c>
      <c r="M246" s="7" t="str">
        <f t="shared" si="3"/>
        <v>OK</v>
      </c>
      <c r="N246" s="7"/>
      <c r="O246" s="7"/>
      <c r="P246" s="7"/>
      <c r="Q246" s="7"/>
      <c r="R246" s="7"/>
      <c r="S246" s="7"/>
      <c r="T246" s="7"/>
      <c r="U246" s="7"/>
      <c r="V246" s="7"/>
      <c r="W246" s="7"/>
      <c r="X246" s="7"/>
      <c r="Y246" s="7"/>
      <c r="Z246" s="7"/>
    </row>
    <row r="247" ht="15.75" customHeight="1">
      <c r="A247" s="4" t="s">
        <v>1261</v>
      </c>
      <c r="B247" s="5" t="s">
        <v>25</v>
      </c>
      <c r="C247" s="5" t="s">
        <v>15</v>
      </c>
      <c r="D247" s="5" t="s">
        <v>1262</v>
      </c>
      <c r="E247" s="5" t="s">
        <v>1263</v>
      </c>
      <c r="F247" s="5" t="s">
        <v>1264</v>
      </c>
      <c r="G247" s="5" t="s">
        <v>1265</v>
      </c>
      <c r="H247" s="5" t="s">
        <v>1263</v>
      </c>
      <c r="I247" s="5" t="s">
        <v>65</v>
      </c>
      <c r="J247" s="5" t="s">
        <v>45</v>
      </c>
      <c r="K247" s="5" t="s">
        <v>58</v>
      </c>
      <c r="L247" s="5" t="s">
        <v>132</v>
      </c>
      <c r="M247" s="7" t="str">
        <f t="shared" si="3"/>
        <v>OK</v>
      </c>
      <c r="N247" s="7"/>
      <c r="O247" s="7"/>
      <c r="P247" s="7"/>
      <c r="Q247" s="7"/>
      <c r="R247" s="7"/>
      <c r="S247" s="7"/>
      <c r="T247" s="7"/>
      <c r="U247" s="7"/>
      <c r="V247" s="7"/>
      <c r="W247" s="7"/>
      <c r="X247" s="7"/>
      <c r="Y247" s="7"/>
      <c r="Z247" s="7"/>
    </row>
    <row r="248" ht="15.75" customHeight="1">
      <c r="A248" s="4" t="s">
        <v>1266</v>
      </c>
      <c r="B248" s="5" t="s">
        <v>25</v>
      </c>
      <c r="C248" s="5" t="s">
        <v>15</v>
      </c>
      <c r="D248" s="5" t="s">
        <v>1267</v>
      </c>
      <c r="E248" s="5" t="s">
        <v>1268</v>
      </c>
      <c r="F248" s="5" t="s">
        <v>1269</v>
      </c>
      <c r="G248" s="5" t="s">
        <v>1270</v>
      </c>
      <c r="H248" s="5" t="s">
        <v>1269</v>
      </c>
      <c r="I248" s="5" t="s">
        <v>30</v>
      </c>
      <c r="J248" s="5" t="s">
        <v>37</v>
      </c>
      <c r="K248" s="5" t="s">
        <v>46</v>
      </c>
      <c r="L248" s="5" t="s">
        <v>39</v>
      </c>
      <c r="M248" s="7" t="str">
        <f t="shared" si="3"/>
        <v>OK</v>
      </c>
      <c r="N248" s="7"/>
      <c r="O248" s="7"/>
      <c r="P248" s="7"/>
      <c r="Q248" s="7"/>
      <c r="R248" s="7"/>
      <c r="S248" s="7"/>
      <c r="T248" s="7"/>
      <c r="U248" s="7"/>
      <c r="V248" s="7"/>
      <c r="W248" s="7"/>
      <c r="X248" s="7"/>
      <c r="Y248" s="7"/>
      <c r="Z248" s="7"/>
    </row>
    <row r="249" ht="15.75" customHeight="1">
      <c r="A249" s="4" t="s">
        <v>1271</v>
      </c>
      <c r="B249" s="5" t="s">
        <v>14</v>
      </c>
      <c r="C249" s="5" t="s">
        <v>15</v>
      </c>
      <c r="D249" s="5" t="s">
        <v>1272</v>
      </c>
      <c r="E249" s="5" t="s">
        <v>1273</v>
      </c>
      <c r="F249" s="6" t="s">
        <v>1274</v>
      </c>
      <c r="G249" s="6" t="s">
        <v>1275</v>
      </c>
      <c r="H249" s="5" t="s">
        <v>1273</v>
      </c>
      <c r="I249" s="5" t="s">
        <v>30</v>
      </c>
      <c r="J249" s="5" t="s">
        <v>45</v>
      </c>
      <c r="K249" s="5" t="s">
        <v>23</v>
      </c>
      <c r="L249" s="5" t="s">
        <v>39</v>
      </c>
      <c r="M249" s="7" t="str">
        <f t="shared" si="3"/>
        <v>OK</v>
      </c>
      <c r="N249" s="7"/>
      <c r="O249" s="7"/>
      <c r="P249" s="7"/>
      <c r="Q249" s="7"/>
      <c r="R249" s="7"/>
      <c r="S249" s="7"/>
      <c r="T249" s="7"/>
      <c r="U249" s="7"/>
      <c r="V249" s="7"/>
      <c r="W249" s="7"/>
      <c r="X249" s="7"/>
      <c r="Y249" s="7"/>
      <c r="Z249" s="7"/>
    </row>
    <row r="250" ht="15.75" customHeight="1">
      <c r="A250" s="4" t="s">
        <v>1276</v>
      </c>
      <c r="B250" s="5" t="s">
        <v>14</v>
      </c>
      <c r="C250" s="5" t="s">
        <v>15</v>
      </c>
      <c r="D250" s="5" t="s">
        <v>1277</v>
      </c>
      <c r="E250" s="5" t="s">
        <v>1278</v>
      </c>
      <c r="F250" s="5" t="s">
        <v>1279</v>
      </c>
      <c r="G250" s="5" t="s">
        <v>1280</v>
      </c>
      <c r="H250" s="5" t="s">
        <v>1280</v>
      </c>
      <c r="I250" s="5" t="s">
        <v>30</v>
      </c>
      <c r="J250" s="5" t="s">
        <v>64</v>
      </c>
      <c r="K250" s="5" t="s">
        <v>22</v>
      </c>
      <c r="L250" s="5" t="s">
        <v>58</v>
      </c>
      <c r="M250" s="7" t="str">
        <f t="shared" si="3"/>
        <v>OK</v>
      </c>
      <c r="N250" s="7"/>
      <c r="O250" s="7"/>
      <c r="P250" s="7"/>
      <c r="Q250" s="7"/>
      <c r="R250" s="7"/>
      <c r="S250" s="7"/>
      <c r="T250" s="7"/>
      <c r="U250" s="7"/>
      <c r="V250" s="7"/>
      <c r="W250" s="7"/>
      <c r="X250" s="7"/>
      <c r="Y250" s="7"/>
      <c r="Z250" s="7"/>
    </row>
    <row r="251" ht="15.75" customHeight="1">
      <c r="A251" s="4" t="s">
        <v>1281</v>
      </c>
      <c r="B251" s="5" t="s">
        <v>25</v>
      </c>
      <c r="C251" s="5" t="s">
        <v>15</v>
      </c>
      <c r="D251" s="5" t="s">
        <v>1282</v>
      </c>
      <c r="E251" s="20" t="s">
        <v>1283</v>
      </c>
      <c r="F251" s="5" t="s">
        <v>1284</v>
      </c>
      <c r="G251" s="5" t="s">
        <v>1285</v>
      </c>
      <c r="H251" s="5" t="s">
        <v>1284</v>
      </c>
      <c r="I251" s="5" t="s">
        <v>21</v>
      </c>
      <c r="J251" s="5" t="s">
        <v>20</v>
      </c>
      <c r="K251" s="5" t="s">
        <v>132</v>
      </c>
      <c r="L251" s="5" t="s">
        <v>46</v>
      </c>
      <c r="M251" s="7" t="str">
        <f t="shared" si="3"/>
        <v>OK</v>
      </c>
      <c r="N251" s="7"/>
      <c r="O251" s="7"/>
      <c r="P251" s="7"/>
      <c r="Q251" s="7"/>
      <c r="R251" s="7"/>
      <c r="S251" s="7"/>
      <c r="T251" s="7"/>
      <c r="U251" s="7"/>
      <c r="V251" s="7"/>
      <c r="W251" s="7"/>
      <c r="X251" s="7"/>
      <c r="Y251" s="7"/>
      <c r="Z251" s="7"/>
    </row>
    <row r="252" ht="15.75" customHeight="1">
      <c r="A252" s="4" t="s">
        <v>1286</v>
      </c>
      <c r="B252" s="5" t="s">
        <v>14</v>
      </c>
      <c r="C252" s="5" t="s">
        <v>15</v>
      </c>
      <c r="D252" s="5" t="s">
        <v>1287</v>
      </c>
      <c r="E252" s="6" t="s">
        <v>1288</v>
      </c>
      <c r="F252" s="5" t="s">
        <v>1289</v>
      </c>
      <c r="G252" s="6" t="s">
        <v>1290</v>
      </c>
      <c r="H252" s="5" t="s">
        <v>1289</v>
      </c>
      <c r="I252" s="5" t="s">
        <v>64</v>
      </c>
      <c r="J252" s="5" t="s">
        <v>20</v>
      </c>
      <c r="K252" s="5" t="s">
        <v>132</v>
      </c>
      <c r="L252" s="5" t="s">
        <v>46</v>
      </c>
      <c r="M252" s="7" t="str">
        <f t="shared" si="3"/>
        <v>OK</v>
      </c>
      <c r="N252" s="7"/>
      <c r="O252" s="7"/>
      <c r="P252" s="7"/>
      <c r="Q252" s="7"/>
      <c r="R252" s="7"/>
      <c r="S252" s="7"/>
      <c r="T252" s="7"/>
      <c r="U252" s="7"/>
      <c r="V252" s="7"/>
      <c r="W252" s="7"/>
      <c r="X252" s="7"/>
      <c r="Y252" s="7"/>
      <c r="Z252" s="7"/>
    </row>
    <row r="253" ht="15.75" customHeight="1">
      <c r="A253" s="4" t="s">
        <v>1291</v>
      </c>
      <c r="B253" s="5" t="s">
        <v>25</v>
      </c>
      <c r="C253" s="5" t="s">
        <v>15</v>
      </c>
      <c r="D253" s="5" t="s">
        <v>1292</v>
      </c>
      <c r="E253" s="5" t="s">
        <v>1293</v>
      </c>
      <c r="F253" s="5" t="s">
        <v>1294</v>
      </c>
      <c r="G253" s="5" t="s">
        <v>1295</v>
      </c>
      <c r="H253" s="21" t="s">
        <v>1295</v>
      </c>
      <c r="I253" s="5" t="s">
        <v>64</v>
      </c>
      <c r="J253" s="5" t="s">
        <v>31</v>
      </c>
      <c r="K253" s="5" t="s">
        <v>66</v>
      </c>
      <c r="L253" s="5" t="s">
        <v>46</v>
      </c>
      <c r="M253" s="7" t="str">
        <f t="shared" si="3"/>
        <v>OK</v>
      </c>
      <c r="N253" s="7"/>
      <c r="O253" s="7"/>
      <c r="P253" s="7"/>
      <c r="Q253" s="7"/>
      <c r="R253" s="7"/>
      <c r="S253" s="7"/>
      <c r="T253" s="7"/>
      <c r="U253" s="7"/>
      <c r="V253" s="7"/>
      <c r="W253" s="7"/>
      <c r="X253" s="7"/>
      <c r="Y253" s="7"/>
      <c r="Z253" s="7"/>
    </row>
    <row r="254" ht="116.25" customHeight="1">
      <c r="A254" s="4" t="s">
        <v>1296</v>
      </c>
      <c r="B254" s="5" t="s">
        <v>14</v>
      </c>
      <c r="C254" s="5" t="s">
        <v>15</v>
      </c>
      <c r="D254" s="5" t="s">
        <v>1297</v>
      </c>
      <c r="E254" s="5" t="s">
        <v>1298</v>
      </c>
      <c r="F254" s="5" t="s">
        <v>1299</v>
      </c>
      <c r="G254" s="5" t="s">
        <v>1300</v>
      </c>
      <c r="H254" s="5" t="s">
        <v>1300</v>
      </c>
      <c r="I254" s="5" t="s">
        <v>30</v>
      </c>
      <c r="J254" s="5" t="s">
        <v>45</v>
      </c>
      <c r="K254" s="5" t="s">
        <v>22</v>
      </c>
      <c r="L254" s="5" t="s">
        <v>46</v>
      </c>
      <c r="M254" s="7" t="str">
        <f t="shared" si="3"/>
        <v>OK</v>
      </c>
      <c r="N254" s="7"/>
      <c r="O254" s="7"/>
      <c r="P254" s="7"/>
      <c r="Q254" s="7"/>
      <c r="R254" s="7"/>
      <c r="S254" s="7"/>
      <c r="T254" s="7"/>
      <c r="U254" s="7"/>
      <c r="V254" s="7"/>
      <c r="W254" s="7"/>
      <c r="X254" s="7"/>
      <c r="Y254" s="7"/>
      <c r="Z254" s="7"/>
    </row>
    <row r="255" ht="15.75" customHeight="1">
      <c r="A255" s="4" t="s">
        <v>1301</v>
      </c>
      <c r="B255" s="5" t="s">
        <v>25</v>
      </c>
      <c r="C255" s="5" t="s">
        <v>15</v>
      </c>
      <c r="D255" s="5" t="s">
        <v>1302</v>
      </c>
      <c r="E255" s="5" t="s">
        <v>1303</v>
      </c>
      <c r="F255" s="5" t="s">
        <v>1304</v>
      </c>
      <c r="G255" s="5" t="s">
        <v>1305</v>
      </c>
      <c r="H255" s="5" t="s">
        <v>1305</v>
      </c>
      <c r="I255" s="5" t="s">
        <v>45</v>
      </c>
      <c r="J255" s="5" t="s">
        <v>31</v>
      </c>
      <c r="K255" s="5" t="s">
        <v>66</v>
      </c>
      <c r="L255" s="5" t="s">
        <v>38</v>
      </c>
      <c r="M255" s="7" t="str">
        <f t="shared" si="3"/>
        <v>OK</v>
      </c>
      <c r="N255" s="7"/>
      <c r="O255" s="7"/>
      <c r="P255" s="7"/>
      <c r="Q255" s="7"/>
      <c r="R255" s="7"/>
      <c r="S255" s="7"/>
      <c r="T255" s="7"/>
      <c r="U255" s="7"/>
      <c r="V255" s="7"/>
      <c r="W255" s="7"/>
      <c r="X255" s="7"/>
      <c r="Y255" s="7"/>
      <c r="Z255" s="7"/>
    </row>
    <row r="256" ht="15.75" customHeight="1">
      <c r="A256" s="4" t="s">
        <v>1306</v>
      </c>
      <c r="B256" s="5" t="s">
        <v>25</v>
      </c>
      <c r="C256" s="5" t="s">
        <v>15</v>
      </c>
      <c r="D256" s="5" t="s">
        <v>1307</v>
      </c>
      <c r="E256" s="5" t="s">
        <v>1308</v>
      </c>
      <c r="F256" s="5" t="s">
        <v>1309</v>
      </c>
      <c r="G256" s="5" t="s">
        <v>1310</v>
      </c>
      <c r="H256" s="5" t="s">
        <v>1309</v>
      </c>
      <c r="I256" s="5" t="s">
        <v>31</v>
      </c>
      <c r="J256" s="5" t="s">
        <v>20</v>
      </c>
      <c r="K256" s="5" t="s">
        <v>132</v>
      </c>
      <c r="L256" s="5" t="s">
        <v>46</v>
      </c>
      <c r="M256" s="7" t="str">
        <f t="shared" si="3"/>
        <v>OK</v>
      </c>
      <c r="N256" s="7"/>
      <c r="O256" s="7"/>
      <c r="P256" s="7"/>
      <c r="Q256" s="7"/>
      <c r="R256" s="7"/>
      <c r="S256" s="7"/>
      <c r="T256" s="7"/>
      <c r="U256" s="7"/>
      <c r="V256" s="7"/>
      <c r="W256" s="7"/>
      <c r="X256" s="7"/>
      <c r="Y256" s="7"/>
      <c r="Z256" s="7"/>
    </row>
    <row r="257" ht="15.75" customHeight="1">
      <c r="A257" s="5" t="s">
        <v>1311</v>
      </c>
      <c r="B257" s="5" t="s">
        <v>14</v>
      </c>
      <c r="C257" s="5" t="s">
        <v>15</v>
      </c>
      <c r="D257" s="5" t="s">
        <v>1312</v>
      </c>
      <c r="E257" s="5" t="s">
        <v>1313</v>
      </c>
      <c r="F257" s="5" t="s">
        <v>1314</v>
      </c>
      <c r="G257" s="5" t="s">
        <v>1315</v>
      </c>
      <c r="H257" s="5" t="s">
        <v>1315</v>
      </c>
      <c r="I257" s="5" t="s">
        <v>31</v>
      </c>
      <c r="J257" s="5" t="s">
        <v>20</v>
      </c>
      <c r="K257" s="5" t="s">
        <v>132</v>
      </c>
      <c r="L257" s="5" t="s">
        <v>58</v>
      </c>
      <c r="M257" s="7" t="str">
        <f t="shared" si="3"/>
        <v>OK</v>
      </c>
      <c r="N257" s="7"/>
      <c r="O257" s="7"/>
      <c r="P257" s="7"/>
      <c r="Q257" s="7"/>
      <c r="R257" s="7"/>
      <c r="S257" s="7"/>
      <c r="T257" s="7"/>
      <c r="U257" s="7"/>
      <c r="V257" s="7"/>
      <c r="W257" s="7"/>
      <c r="X257" s="7"/>
      <c r="Y257" s="7"/>
      <c r="Z257" s="7"/>
    </row>
    <row r="258" ht="15.75" customHeight="1">
      <c r="A258" s="4" t="s">
        <v>1316</v>
      </c>
      <c r="B258" s="5" t="s">
        <v>14</v>
      </c>
      <c r="C258" s="5" t="s">
        <v>15</v>
      </c>
      <c r="D258" s="4" t="s">
        <v>1317</v>
      </c>
      <c r="E258" s="4" t="s">
        <v>1318</v>
      </c>
      <c r="F258" s="5" t="s">
        <v>1319</v>
      </c>
      <c r="G258" s="4" t="s">
        <v>1320</v>
      </c>
      <c r="H258" s="5" t="s">
        <v>1319</v>
      </c>
      <c r="I258" s="5" t="s">
        <v>31</v>
      </c>
      <c r="J258" s="5" t="s">
        <v>20</v>
      </c>
      <c r="K258" s="5" t="s">
        <v>39</v>
      </c>
      <c r="L258" s="5" t="s">
        <v>46</v>
      </c>
      <c r="M258" s="7" t="str">
        <f t="shared" si="3"/>
        <v>OK</v>
      </c>
      <c r="N258" s="7"/>
      <c r="O258" s="7"/>
      <c r="P258" s="7"/>
      <c r="Q258" s="7"/>
      <c r="R258" s="7"/>
      <c r="S258" s="7"/>
      <c r="T258" s="7"/>
      <c r="U258" s="7"/>
      <c r="V258" s="7"/>
      <c r="W258" s="7"/>
      <c r="X258" s="7"/>
      <c r="Y258" s="7"/>
      <c r="Z258" s="7"/>
    </row>
    <row r="259" ht="15.75" customHeight="1">
      <c r="A259" s="4" t="s">
        <v>1321</v>
      </c>
      <c r="B259" s="5" t="s">
        <v>14</v>
      </c>
      <c r="C259" s="5" t="s">
        <v>15</v>
      </c>
      <c r="D259" s="5" t="s">
        <v>1322</v>
      </c>
      <c r="E259" s="6" t="s">
        <v>1323</v>
      </c>
      <c r="F259" s="6" t="s">
        <v>1324</v>
      </c>
      <c r="G259" s="5" t="s">
        <v>1325</v>
      </c>
      <c r="H259" s="5" t="s">
        <v>1325</v>
      </c>
      <c r="I259" s="5" t="s">
        <v>20</v>
      </c>
      <c r="J259" s="5" t="s">
        <v>45</v>
      </c>
      <c r="K259" s="5" t="s">
        <v>57</v>
      </c>
      <c r="L259" s="5" t="s">
        <v>58</v>
      </c>
      <c r="M259" s="7" t="str">
        <f t="shared" si="3"/>
        <v>OK</v>
      </c>
      <c r="N259" s="7"/>
      <c r="O259" s="7"/>
      <c r="P259" s="7"/>
      <c r="Q259" s="7"/>
      <c r="R259" s="7"/>
      <c r="S259" s="7"/>
      <c r="T259" s="7"/>
      <c r="U259" s="7"/>
      <c r="V259" s="7"/>
      <c r="W259" s="7"/>
      <c r="X259" s="7"/>
      <c r="Y259" s="7"/>
      <c r="Z259" s="7"/>
    </row>
    <row r="260" ht="15.75" customHeight="1">
      <c r="A260" s="4" t="s">
        <v>1326</v>
      </c>
      <c r="B260" s="5" t="s">
        <v>25</v>
      </c>
      <c r="C260" s="5" t="s">
        <v>15</v>
      </c>
      <c r="D260" s="5" t="s">
        <v>1327</v>
      </c>
      <c r="E260" s="5" t="s">
        <v>1328</v>
      </c>
      <c r="F260" s="5" t="s">
        <v>1329</v>
      </c>
      <c r="G260" s="5" t="s">
        <v>1330</v>
      </c>
      <c r="H260" s="5" t="s">
        <v>1330</v>
      </c>
      <c r="I260" s="5" t="s">
        <v>21</v>
      </c>
      <c r="J260" s="5" t="s">
        <v>45</v>
      </c>
      <c r="K260" s="5" t="s">
        <v>66</v>
      </c>
      <c r="L260" s="5" t="s">
        <v>39</v>
      </c>
      <c r="M260" s="7" t="str">
        <f t="shared" si="3"/>
        <v>OK</v>
      </c>
      <c r="N260" s="7"/>
      <c r="O260" s="7"/>
      <c r="P260" s="7"/>
      <c r="Q260" s="7"/>
      <c r="R260" s="7"/>
      <c r="S260" s="7"/>
      <c r="T260" s="7"/>
      <c r="U260" s="7"/>
      <c r="V260" s="7"/>
      <c r="W260" s="7"/>
      <c r="X260" s="7"/>
      <c r="Y260" s="7"/>
      <c r="Z260" s="7"/>
    </row>
    <row r="261" ht="15.75" customHeight="1">
      <c r="A261" s="4" t="s">
        <v>1331</v>
      </c>
      <c r="B261" s="5" t="s">
        <v>25</v>
      </c>
      <c r="C261" s="5" t="s">
        <v>15</v>
      </c>
      <c r="D261" s="5" t="s">
        <v>1332</v>
      </c>
      <c r="E261" s="5" t="s">
        <v>1333</v>
      </c>
      <c r="F261" s="5" t="s">
        <v>1334</v>
      </c>
      <c r="G261" s="5" t="s">
        <v>1335</v>
      </c>
      <c r="H261" s="5" t="s">
        <v>1333</v>
      </c>
      <c r="I261" s="5" t="s">
        <v>21</v>
      </c>
      <c r="J261" s="5" t="s">
        <v>20</v>
      </c>
      <c r="K261" s="5" t="s">
        <v>39</v>
      </c>
      <c r="L261" s="5" t="s">
        <v>66</v>
      </c>
      <c r="M261" s="7" t="str">
        <f t="shared" si="3"/>
        <v>OK</v>
      </c>
      <c r="N261" s="7"/>
      <c r="O261" s="7"/>
      <c r="P261" s="7"/>
      <c r="Q261" s="7"/>
      <c r="R261" s="7"/>
      <c r="S261" s="7"/>
      <c r="T261" s="7"/>
      <c r="U261" s="7"/>
      <c r="V261" s="7"/>
      <c r="W261" s="7"/>
      <c r="X261" s="7"/>
      <c r="Y261" s="7"/>
      <c r="Z261" s="7"/>
    </row>
    <row r="262" ht="15.75" customHeight="1">
      <c r="A262" s="4" t="s">
        <v>1336</v>
      </c>
      <c r="B262" s="5" t="s">
        <v>25</v>
      </c>
      <c r="C262" s="5" t="s">
        <v>15</v>
      </c>
      <c r="D262" s="4" t="s">
        <v>1337</v>
      </c>
      <c r="E262" s="4" t="s">
        <v>1338</v>
      </c>
      <c r="F262" s="4" t="s">
        <v>1339</v>
      </c>
      <c r="G262" s="4" t="s">
        <v>1340</v>
      </c>
      <c r="H262" s="5" t="s">
        <v>1340</v>
      </c>
      <c r="I262" s="5" t="s">
        <v>31</v>
      </c>
      <c r="J262" s="5" t="s">
        <v>45</v>
      </c>
      <c r="K262" s="5" t="s">
        <v>38</v>
      </c>
      <c r="L262" s="5" t="s">
        <v>46</v>
      </c>
      <c r="M262" s="7" t="str">
        <f t="shared" si="3"/>
        <v>OK</v>
      </c>
      <c r="N262" s="7"/>
      <c r="O262" s="7"/>
      <c r="P262" s="7"/>
      <c r="Q262" s="7"/>
      <c r="R262" s="7"/>
      <c r="S262" s="7"/>
      <c r="T262" s="7"/>
      <c r="U262" s="7"/>
      <c r="V262" s="7"/>
      <c r="W262" s="7"/>
      <c r="X262" s="7"/>
      <c r="Y262" s="7"/>
      <c r="Z262" s="7"/>
    </row>
    <row r="263" ht="15.75" customHeight="1">
      <c r="A263" s="4" t="s">
        <v>1341</v>
      </c>
      <c r="B263" s="5" t="s">
        <v>14</v>
      </c>
      <c r="C263" s="5" t="s">
        <v>15</v>
      </c>
      <c r="D263" s="5" t="s">
        <v>1342</v>
      </c>
      <c r="E263" s="5" t="s">
        <v>1343</v>
      </c>
      <c r="F263" s="6" t="s">
        <v>1344</v>
      </c>
      <c r="G263" s="6" t="s">
        <v>1345</v>
      </c>
      <c r="H263" s="5" t="s">
        <v>1343</v>
      </c>
      <c r="I263" s="5" t="s">
        <v>37</v>
      </c>
      <c r="J263" s="5" t="s">
        <v>21</v>
      </c>
      <c r="K263" s="5" t="s">
        <v>38</v>
      </c>
      <c r="L263" s="5" t="s">
        <v>46</v>
      </c>
      <c r="M263" s="7" t="str">
        <f t="shared" si="3"/>
        <v>OK</v>
      </c>
      <c r="N263" s="7"/>
      <c r="O263" s="7"/>
      <c r="P263" s="7"/>
      <c r="Q263" s="7"/>
      <c r="R263" s="7"/>
      <c r="S263" s="7"/>
      <c r="T263" s="7"/>
      <c r="U263" s="7"/>
      <c r="V263" s="7"/>
      <c r="W263" s="7"/>
      <c r="X263" s="7"/>
      <c r="Y263" s="7"/>
      <c r="Z263" s="7"/>
    </row>
    <row r="264" ht="15.75" customHeight="1">
      <c r="A264" s="4" t="s">
        <v>1346</v>
      </c>
      <c r="B264" s="5" t="s">
        <v>25</v>
      </c>
      <c r="C264" s="5" t="s">
        <v>15</v>
      </c>
      <c r="D264" s="5" t="s">
        <v>1347</v>
      </c>
      <c r="E264" s="5" t="s">
        <v>1348</v>
      </c>
      <c r="F264" s="5" t="s">
        <v>1349</v>
      </c>
      <c r="G264" s="5" t="s">
        <v>1350</v>
      </c>
      <c r="H264" s="5" t="s">
        <v>1348</v>
      </c>
      <c r="I264" s="5" t="s">
        <v>37</v>
      </c>
      <c r="J264" s="5" t="s">
        <v>20</v>
      </c>
      <c r="K264" s="5" t="s">
        <v>132</v>
      </c>
      <c r="L264" s="5" t="s">
        <v>58</v>
      </c>
      <c r="M264" s="7" t="str">
        <f t="shared" si="3"/>
        <v>OK</v>
      </c>
      <c r="N264" s="7"/>
      <c r="O264" s="7"/>
      <c r="P264" s="7"/>
      <c r="Q264" s="7"/>
      <c r="R264" s="7"/>
      <c r="S264" s="7"/>
      <c r="T264" s="7"/>
      <c r="U264" s="7"/>
      <c r="V264" s="7"/>
      <c r="W264" s="7"/>
      <c r="X264" s="7"/>
      <c r="Y264" s="7"/>
      <c r="Z264" s="7"/>
    </row>
    <row r="265" ht="15.75" customHeight="1">
      <c r="A265" s="19" t="s">
        <v>1351</v>
      </c>
      <c r="B265" s="22" t="s">
        <v>14</v>
      </c>
      <c r="C265" s="22" t="s">
        <v>15</v>
      </c>
      <c r="D265" s="22" t="s">
        <v>1352</v>
      </c>
      <c r="E265" s="23" t="s">
        <v>1353</v>
      </c>
      <c r="F265" s="23" t="s">
        <v>1354</v>
      </c>
      <c r="G265" s="22" t="s">
        <v>1355</v>
      </c>
      <c r="H265" s="22" t="s">
        <v>1355</v>
      </c>
      <c r="I265" s="22" t="s">
        <v>21</v>
      </c>
      <c r="J265" s="22" t="s">
        <v>20</v>
      </c>
      <c r="K265" s="22" t="s">
        <v>23</v>
      </c>
      <c r="L265" s="22" t="s">
        <v>46</v>
      </c>
      <c r="M265" s="24" t="str">
        <f t="shared" si="3"/>
        <v>OK</v>
      </c>
      <c r="N265" s="24"/>
      <c r="O265" s="24"/>
      <c r="P265" s="24"/>
      <c r="Q265" s="24"/>
      <c r="R265" s="24"/>
      <c r="S265" s="24"/>
      <c r="T265" s="24"/>
      <c r="U265" s="24"/>
      <c r="V265" s="24"/>
      <c r="W265" s="24"/>
      <c r="X265" s="24"/>
      <c r="Y265" s="24"/>
      <c r="Z265" s="24"/>
    </row>
    <row r="266" ht="15.75" customHeight="1">
      <c r="A266" s="4" t="s">
        <v>1356</v>
      </c>
      <c r="B266" s="5" t="s">
        <v>14</v>
      </c>
      <c r="C266" s="5" t="s">
        <v>15</v>
      </c>
      <c r="D266" s="5" t="s">
        <v>1357</v>
      </c>
      <c r="E266" s="5" t="s">
        <v>1358</v>
      </c>
      <c r="F266" s="6" t="s">
        <v>1359</v>
      </c>
      <c r="G266" s="6" t="s">
        <v>1360</v>
      </c>
      <c r="H266" s="5" t="s">
        <v>1358</v>
      </c>
      <c r="I266" s="5" t="s">
        <v>64</v>
      </c>
      <c r="J266" s="5" t="s">
        <v>21</v>
      </c>
      <c r="K266" s="5" t="s">
        <v>38</v>
      </c>
      <c r="L266" s="5" t="s">
        <v>132</v>
      </c>
      <c r="M266" s="7" t="str">
        <f t="shared" si="3"/>
        <v>OK</v>
      </c>
      <c r="N266" s="7"/>
      <c r="O266" s="7"/>
      <c r="P266" s="7"/>
      <c r="Q266" s="7"/>
      <c r="R266" s="7"/>
      <c r="S266" s="7"/>
      <c r="T266" s="7"/>
      <c r="U266" s="7"/>
      <c r="V266" s="7"/>
      <c r="W266" s="7"/>
      <c r="X266" s="7"/>
      <c r="Y266" s="7"/>
      <c r="Z266" s="7"/>
    </row>
    <row r="267" ht="15.75" customHeight="1">
      <c r="A267" s="4" t="s">
        <v>1361</v>
      </c>
      <c r="B267" s="5" t="s">
        <v>25</v>
      </c>
      <c r="C267" s="5" t="s">
        <v>15</v>
      </c>
      <c r="D267" s="5" t="s">
        <v>1362</v>
      </c>
      <c r="E267" s="5" t="s">
        <v>1363</v>
      </c>
      <c r="F267" s="5" t="s">
        <v>1364</v>
      </c>
      <c r="G267" s="5" t="s">
        <v>1365</v>
      </c>
      <c r="H267" s="5" t="s">
        <v>1363</v>
      </c>
      <c r="I267" s="5" t="s">
        <v>65</v>
      </c>
      <c r="J267" s="5" t="s">
        <v>31</v>
      </c>
      <c r="K267" s="5" t="s">
        <v>22</v>
      </c>
      <c r="L267" s="5" t="s">
        <v>46</v>
      </c>
      <c r="M267" s="7" t="str">
        <f t="shared" si="3"/>
        <v>OK</v>
      </c>
      <c r="N267" s="7"/>
      <c r="O267" s="7"/>
      <c r="P267" s="7"/>
      <c r="Q267" s="7"/>
      <c r="R267" s="7"/>
      <c r="S267" s="7"/>
      <c r="T267" s="7"/>
      <c r="U267" s="7"/>
      <c r="V267" s="7"/>
      <c r="W267" s="7"/>
      <c r="X267" s="7"/>
      <c r="Y267" s="7"/>
      <c r="Z267" s="7"/>
    </row>
    <row r="268" ht="15.75" customHeight="1">
      <c r="A268" s="25" t="s">
        <v>1366</v>
      </c>
      <c r="B268" s="26" t="s">
        <v>25</v>
      </c>
      <c r="C268" s="26" t="s">
        <v>15</v>
      </c>
      <c r="D268" s="26" t="s">
        <v>1367</v>
      </c>
      <c r="E268" s="25" t="s">
        <v>1368</v>
      </c>
      <c r="F268" s="25" t="s">
        <v>1369</v>
      </c>
      <c r="G268" s="25" t="s">
        <v>1370</v>
      </c>
      <c r="H268" s="26" t="s">
        <v>1368</v>
      </c>
      <c r="I268" s="26" t="s">
        <v>65</v>
      </c>
      <c r="J268" s="26" t="s">
        <v>45</v>
      </c>
      <c r="K268" s="26" t="s">
        <v>66</v>
      </c>
      <c r="L268" s="26" t="s">
        <v>132</v>
      </c>
      <c r="M268" s="27" t="str">
        <f t="shared" si="3"/>
        <v>OK</v>
      </c>
      <c r="N268" s="26" t="s">
        <v>1371</v>
      </c>
      <c r="O268" s="27"/>
      <c r="P268" s="27"/>
      <c r="Q268" s="27"/>
      <c r="R268" s="27"/>
      <c r="S268" s="27"/>
      <c r="T268" s="27"/>
      <c r="U268" s="27"/>
      <c r="V268" s="27"/>
      <c r="W268" s="27"/>
      <c r="X268" s="27"/>
      <c r="Y268" s="27"/>
      <c r="Z268" s="27"/>
    </row>
    <row r="269" ht="15.75" customHeight="1">
      <c r="A269" s="4" t="s">
        <v>1372</v>
      </c>
      <c r="B269" s="5" t="s">
        <v>14</v>
      </c>
      <c r="C269" s="5" t="s">
        <v>15</v>
      </c>
      <c r="D269" s="5" t="s">
        <v>1373</v>
      </c>
      <c r="E269" s="6" t="s">
        <v>1374</v>
      </c>
      <c r="F269" s="6" t="s">
        <v>1375</v>
      </c>
      <c r="G269" s="6" t="s">
        <v>1376</v>
      </c>
      <c r="H269" s="6" t="s">
        <v>1375</v>
      </c>
      <c r="I269" s="5" t="s">
        <v>30</v>
      </c>
      <c r="J269" s="5" t="s">
        <v>31</v>
      </c>
      <c r="K269" s="5" t="s">
        <v>38</v>
      </c>
      <c r="L269" s="5" t="s">
        <v>39</v>
      </c>
      <c r="M269" s="7" t="str">
        <f t="shared" si="3"/>
        <v>OK</v>
      </c>
      <c r="N269" s="7"/>
      <c r="O269" s="7"/>
      <c r="P269" s="7"/>
      <c r="Q269" s="7"/>
      <c r="R269" s="7"/>
      <c r="S269" s="7"/>
      <c r="T269" s="7"/>
      <c r="U269" s="7"/>
      <c r="V269" s="7"/>
      <c r="W269" s="7"/>
      <c r="X269" s="7"/>
      <c r="Y269" s="7"/>
      <c r="Z269" s="7"/>
    </row>
    <row r="270" ht="15.75" customHeight="1">
      <c r="A270" s="4" t="s">
        <v>1377</v>
      </c>
      <c r="B270" s="5" t="s">
        <v>14</v>
      </c>
      <c r="C270" s="5" t="s">
        <v>15</v>
      </c>
      <c r="D270" s="5" t="s">
        <v>1378</v>
      </c>
      <c r="E270" s="6" t="s">
        <v>1379</v>
      </c>
      <c r="F270" s="6" t="s">
        <v>1380</v>
      </c>
      <c r="G270" s="5" t="s">
        <v>1381</v>
      </c>
      <c r="H270" s="5" t="s">
        <v>1381</v>
      </c>
      <c r="I270" s="5" t="s">
        <v>64</v>
      </c>
      <c r="J270" s="5" t="s">
        <v>21</v>
      </c>
      <c r="K270" s="5" t="s">
        <v>66</v>
      </c>
      <c r="L270" s="5" t="s">
        <v>58</v>
      </c>
      <c r="M270" s="7" t="str">
        <f t="shared" si="3"/>
        <v>OK</v>
      </c>
      <c r="N270" s="7"/>
      <c r="O270" s="7"/>
      <c r="P270" s="7"/>
      <c r="Q270" s="7"/>
      <c r="R270" s="7"/>
      <c r="S270" s="7"/>
      <c r="T270" s="7"/>
      <c r="U270" s="7"/>
      <c r="V270" s="7"/>
      <c r="W270" s="7"/>
      <c r="X270" s="7"/>
      <c r="Y270" s="7"/>
      <c r="Z270" s="7"/>
    </row>
    <row r="271" ht="15.75" customHeight="1">
      <c r="A271" s="4" t="s">
        <v>1382</v>
      </c>
      <c r="B271" s="5" t="s">
        <v>14</v>
      </c>
      <c r="C271" s="5" t="s">
        <v>15</v>
      </c>
      <c r="D271" s="5" t="s">
        <v>1383</v>
      </c>
      <c r="E271" s="5" t="s">
        <v>1384</v>
      </c>
      <c r="F271" s="5" t="s">
        <v>1385</v>
      </c>
      <c r="G271" s="5" t="s">
        <v>1386</v>
      </c>
      <c r="H271" s="5" t="s">
        <v>1386</v>
      </c>
      <c r="I271" s="5" t="s">
        <v>21</v>
      </c>
      <c r="J271" s="5" t="s">
        <v>31</v>
      </c>
      <c r="K271" s="5" t="s">
        <v>22</v>
      </c>
      <c r="L271" s="5" t="s">
        <v>39</v>
      </c>
      <c r="M271" s="7" t="str">
        <f t="shared" si="3"/>
        <v>OK</v>
      </c>
      <c r="N271" s="7"/>
      <c r="O271" s="7"/>
      <c r="P271" s="7"/>
      <c r="Q271" s="7"/>
      <c r="R271" s="7"/>
      <c r="S271" s="7"/>
      <c r="T271" s="7"/>
      <c r="U271" s="7"/>
      <c r="V271" s="7"/>
      <c r="W271" s="7"/>
      <c r="X271" s="7"/>
      <c r="Y271" s="7"/>
      <c r="Z271" s="7"/>
    </row>
    <row r="272" ht="15.75" customHeight="1">
      <c r="A272" s="4" t="s">
        <v>1387</v>
      </c>
      <c r="B272" s="5" t="s">
        <v>25</v>
      </c>
      <c r="C272" s="5" t="s">
        <v>15</v>
      </c>
      <c r="D272" s="5" t="s">
        <v>1388</v>
      </c>
      <c r="E272" s="5" t="s">
        <v>1389</v>
      </c>
      <c r="F272" s="5" t="s">
        <v>1390</v>
      </c>
      <c r="G272" s="5" t="s">
        <v>1391</v>
      </c>
      <c r="H272" s="5" t="s">
        <v>1391</v>
      </c>
      <c r="I272" s="5" t="s">
        <v>45</v>
      </c>
      <c r="J272" s="5" t="s">
        <v>31</v>
      </c>
      <c r="K272" s="5" t="s">
        <v>57</v>
      </c>
      <c r="L272" s="5" t="s">
        <v>46</v>
      </c>
      <c r="M272" s="7" t="str">
        <f t="shared" si="3"/>
        <v>OK</v>
      </c>
      <c r="N272" s="7"/>
      <c r="O272" s="7"/>
      <c r="P272" s="7"/>
      <c r="Q272" s="7"/>
      <c r="R272" s="7"/>
      <c r="S272" s="7"/>
      <c r="T272" s="7"/>
      <c r="U272" s="7"/>
      <c r="V272" s="7"/>
      <c r="W272" s="7"/>
      <c r="X272" s="7"/>
      <c r="Y272" s="7"/>
      <c r="Z272" s="7"/>
    </row>
    <row r="273" ht="15.75" customHeight="1">
      <c r="A273" s="4" t="s">
        <v>1392</v>
      </c>
      <c r="B273" s="5" t="s">
        <v>14</v>
      </c>
      <c r="C273" s="5" t="s">
        <v>15</v>
      </c>
      <c r="D273" s="4" t="s">
        <v>1393</v>
      </c>
      <c r="E273" s="4" t="s">
        <v>1394</v>
      </c>
      <c r="F273" s="4" t="s">
        <v>1395</v>
      </c>
      <c r="G273" s="5" t="s">
        <v>1396</v>
      </c>
      <c r="H273" s="5" t="s">
        <v>1396</v>
      </c>
      <c r="I273" s="5" t="s">
        <v>30</v>
      </c>
      <c r="J273" s="5" t="s">
        <v>21</v>
      </c>
      <c r="K273" s="5" t="s">
        <v>23</v>
      </c>
      <c r="L273" s="5" t="s">
        <v>57</v>
      </c>
      <c r="M273" s="7" t="str">
        <f t="shared" si="3"/>
        <v>OK</v>
      </c>
      <c r="N273" s="7"/>
      <c r="O273" s="7"/>
      <c r="P273" s="7"/>
      <c r="Q273" s="7"/>
      <c r="R273" s="7"/>
      <c r="S273" s="7"/>
      <c r="T273" s="7"/>
      <c r="U273" s="7"/>
      <c r="V273" s="7"/>
      <c r="W273" s="7"/>
      <c r="X273" s="7"/>
      <c r="Y273" s="7"/>
      <c r="Z273" s="7"/>
    </row>
    <row r="274" ht="15.75" customHeight="1">
      <c r="A274" s="4" t="s">
        <v>1397</v>
      </c>
      <c r="B274" s="5" t="s">
        <v>14</v>
      </c>
      <c r="C274" s="5" t="s">
        <v>15</v>
      </c>
      <c r="D274" s="5" t="s">
        <v>1398</v>
      </c>
      <c r="E274" s="5" t="s">
        <v>1399</v>
      </c>
      <c r="F274" s="5" t="s">
        <v>1400</v>
      </c>
      <c r="G274" s="5" t="s">
        <v>1401</v>
      </c>
      <c r="H274" s="5" t="s">
        <v>1401</v>
      </c>
      <c r="I274" s="5" t="s">
        <v>31</v>
      </c>
      <c r="J274" s="5" t="s">
        <v>21</v>
      </c>
      <c r="K274" s="5" t="s">
        <v>23</v>
      </c>
      <c r="L274" s="5" t="s">
        <v>58</v>
      </c>
      <c r="M274" s="7" t="str">
        <f t="shared" si="3"/>
        <v>OK</v>
      </c>
      <c r="N274" s="7"/>
      <c r="O274" s="7"/>
      <c r="P274" s="7"/>
      <c r="Q274" s="7"/>
      <c r="R274" s="7"/>
      <c r="S274" s="7"/>
      <c r="T274" s="7"/>
      <c r="U274" s="7"/>
      <c r="V274" s="7"/>
      <c r="W274" s="7"/>
      <c r="X274" s="7"/>
      <c r="Y274" s="7"/>
      <c r="Z274" s="7"/>
    </row>
    <row r="275" ht="15.75" customHeight="1">
      <c r="A275" s="4" t="s">
        <v>1402</v>
      </c>
      <c r="B275" s="5" t="s">
        <v>25</v>
      </c>
      <c r="C275" s="5" t="s">
        <v>15</v>
      </c>
      <c r="D275" s="5" t="s">
        <v>1403</v>
      </c>
      <c r="E275" s="5" t="s">
        <v>1404</v>
      </c>
      <c r="F275" s="5" t="s">
        <v>1405</v>
      </c>
      <c r="G275" s="5" t="s">
        <v>1406</v>
      </c>
      <c r="H275" s="5" t="s">
        <v>1404</v>
      </c>
      <c r="I275" s="5" t="s">
        <v>30</v>
      </c>
      <c r="J275" s="5" t="s">
        <v>31</v>
      </c>
      <c r="K275" s="5" t="s">
        <v>46</v>
      </c>
      <c r="L275" s="5" t="s">
        <v>66</v>
      </c>
      <c r="M275" s="7" t="str">
        <f t="shared" si="3"/>
        <v>OK</v>
      </c>
      <c r="N275" s="7"/>
      <c r="O275" s="7"/>
      <c r="P275" s="7"/>
      <c r="Q275" s="7"/>
      <c r="R275" s="7"/>
      <c r="S275" s="7"/>
      <c r="T275" s="7"/>
      <c r="U275" s="7"/>
      <c r="V275" s="7"/>
      <c r="W275" s="7"/>
      <c r="X275" s="7"/>
      <c r="Y275" s="7"/>
      <c r="Z275" s="7"/>
    </row>
    <row r="276" ht="15.75" customHeight="1">
      <c r="A276" s="9" t="s">
        <v>1407</v>
      </c>
      <c r="B276" s="10" t="s">
        <v>14</v>
      </c>
      <c r="C276" s="10" t="s">
        <v>15</v>
      </c>
      <c r="D276" s="9" t="s">
        <v>1408</v>
      </c>
      <c r="E276" s="10" t="s">
        <v>1409</v>
      </c>
      <c r="F276" s="28" t="s">
        <v>1410</v>
      </c>
      <c r="G276" s="9" t="s">
        <v>1411</v>
      </c>
      <c r="H276" s="10" t="s">
        <v>1409</v>
      </c>
      <c r="I276" s="10" t="s">
        <v>21</v>
      </c>
      <c r="J276" s="10" t="s">
        <v>64</v>
      </c>
      <c r="K276" s="10" t="s">
        <v>39</v>
      </c>
      <c r="L276" s="10" t="s">
        <v>58</v>
      </c>
      <c r="M276" s="11" t="str">
        <f t="shared" si="3"/>
        <v>OK</v>
      </c>
      <c r="N276" s="11"/>
      <c r="O276" s="11"/>
      <c r="P276" s="11"/>
      <c r="Q276" s="11"/>
      <c r="R276" s="11"/>
      <c r="S276" s="11"/>
      <c r="T276" s="11"/>
      <c r="U276" s="11"/>
      <c r="V276" s="11"/>
      <c r="W276" s="11"/>
      <c r="X276" s="11"/>
      <c r="Y276" s="11"/>
      <c r="Z276" s="11"/>
    </row>
    <row r="277" ht="15.75" customHeight="1">
      <c r="A277" s="4" t="s">
        <v>1412</v>
      </c>
      <c r="B277" s="5" t="s">
        <v>25</v>
      </c>
      <c r="C277" s="5" t="s">
        <v>15</v>
      </c>
      <c r="D277" s="5" t="s">
        <v>1413</v>
      </c>
      <c r="E277" s="5" t="s">
        <v>1414</v>
      </c>
      <c r="F277" s="5" t="s">
        <v>1415</v>
      </c>
      <c r="G277" s="5" t="s">
        <v>1416</v>
      </c>
      <c r="H277" s="5" t="s">
        <v>1416</v>
      </c>
      <c r="I277" s="5" t="s">
        <v>21</v>
      </c>
      <c r="J277" s="5" t="s">
        <v>31</v>
      </c>
      <c r="K277" s="5" t="s">
        <v>39</v>
      </c>
      <c r="L277" s="5" t="s">
        <v>46</v>
      </c>
      <c r="M277" s="7" t="str">
        <f t="shared" si="3"/>
        <v>OK</v>
      </c>
      <c r="N277" s="7"/>
      <c r="O277" s="7"/>
      <c r="P277" s="7"/>
      <c r="Q277" s="7"/>
      <c r="R277" s="7"/>
      <c r="S277" s="7"/>
      <c r="T277" s="7"/>
      <c r="U277" s="7"/>
      <c r="V277" s="7"/>
      <c r="W277" s="7"/>
      <c r="X277" s="7"/>
      <c r="Y277" s="7"/>
      <c r="Z277" s="7"/>
    </row>
    <row r="278" ht="15.75" customHeight="1">
      <c r="A278" s="4" t="s">
        <v>1417</v>
      </c>
      <c r="B278" s="5" t="s">
        <v>14</v>
      </c>
      <c r="C278" s="5" t="s">
        <v>15</v>
      </c>
      <c r="D278" s="5" t="s">
        <v>1418</v>
      </c>
      <c r="E278" s="6" t="s">
        <v>1419</v>
      </c>
      <c r="F278" s="5" t="s">
        <v>1420</v>
      </c>
      <c r="G278" s="6" t="s">
        <v>1421</v>
      </c>
      <c r="H278" s="5" t="s">
        <v>1420</v>
      </c>
      <c r="I278" s="5" t="s">
        <v>20</v>
      </c>
      <c r="J278" s="5" t="s">
        <v>21</v>
      </c>
      <c r="K278" s="5" t="s">
        <v>66</v>
      </c>
      <c r="L278" s="5" t="s">
        <v>22</v>
      </c>
      <c r="M278" s="7" t="str">
        <f t="shared" si="3"/>
        <v>OK</v>
      </c>
      <c r="N278" s="7"/>
      <c r="O278" s="7"/>
      <c r="P278" s="7"/>
      <c r="Q278" s="7"/>
      <c r="R278" s="7"/>
      <c r="S278" s="7"/>
      <c r="T278" s="7"/>
      <c r="U278" s="7"/>
      <c r="V278" s="7"/>
      <c r="W278" s="7"/>
      <c r="X278" s="7"/>
      <c r="Y278" s="7"/>
      <c r="Z278" s="7"/>
    </row>
    <row r="279" ht="15.75" customHeight="1">
      <c r="A279" s="4" t="s">
        <v>1422</v>
      </c>
      <c r="B279" s="5" t="s">
        <v>25</v>
      </c>
      <c r="C279" s="5" t="s">
        <v>15</v>
      </c>
      <c r="D279" s="5" t="s">
        <v>1423</v>
      </c>
      <c r="E279" s="5" t="s">
        <v>1424</v>
      </c>
      <c r="F279" s="5" t="s">
        <v>1425</v>
      </c>
      <c r="G279" s="5" t="s">
        <v>1426</v>
      </c>
      <c r="H279" s="5" t="s">
        <v>1424</v>
      </c>
      <c r="I279" s="5" t="s">
        <v>37</v>
      </c>
      <c r="J279" s="5" t="s">
        <v>20</v>
      </c>
      <c r="K279" s="5" t="s">
        <v>132</v>
      </c>
      <c r="L279" s="5" t="s">
        <v>66</v>
      </c>
      <c r="M279" s="7" t="str">
        <f t="shared" si="3"/>
        <v>OK</v>
      </c>
      <c r="N279" s="7"/>
      <c r="O279" s="7"/>
      <c r="P279" s="7"/>
      <c r="Q279" s="7"/>
      <c r="R279" s="7"/>
      <c r="S279" s="7"/>
      <c r="T279" s="7"/>
      <c r="U279" s="7"/>
      <c r="V279" s="7"/>
      <c r="W279" s="7"/>
      <c r="X279" s="7"/>
      <c r="Y279" s="7"/>
      <c r="Z279" s="7"/>
    </row>
    <row r="280" ht="15.75" customHeight="1">
      <c r="A280" s="4" t="s">
        <v>1427</v>
      </c>
      <c r="B280" s="5" t="s">
        <v>25</v>
      </c>
      <c r="C280" s="5" t="s">
        <v>15</v>
      </c>
      <c r="D280" s="5" t="s">
        <v>1428</v>
      </c>
      <c r="E280" s="5" t="s">
        <v>1429</v>
      </c>
      <c r="F280" s="5" t="s">
        <v>1430</v>
      </c>
      <c r="G280" s="5" t="s">
        <v>1431</v>
      </c>
      <c r="H280" s="5" t="s">
        <v>1430</v>
      </c>
      <c r="I280" s="5" t="s">
        <v>31</v>
      </c>
      <c r="J280" s="5" t="s">
        <v>37</v>
      </c>
      <c r="K280" s="5" t="s">
        <v>46</v>
      </c>
      <c r="L280" s="5" t="s">
        <v>39</v>
      </c>
      <c r="M280" s="7" t="str">
        <f t="shared" si="3"/>
        <v>OK</v>
      </c>
      <c r="N280" s="7"/>
      <c r="O280" s="7"/>
      <c r="P280" s="7"/>
      <c r="Q280" s="7"/>
      <c r="R280" s="7"/>
      <c r="S280" s="7"/>
      <c r="T280" s="7"/>
      <c r="U280" s="7"/>
      <c r="V280" s="7"/>
      <c r="W280" s="7"/>
      <c r="X280" s="7"/>
      <c r="Y280" s="7"/>
      <c r="Z280" s="7"/>
    </row>
    <row r="281" ht="15.75" customHeight="1">
      <c r="A281" s="4" t="s">
        <v>1432</v>
      </c>
      <c r="B281" s="5" t="s">
        <v>14</v>
      </c>
      <c r="C281" s="5" t="s">
        <v>15</v>
      </c>
      <c r="D281" s="5" t="s">
        <v>1433</v>
      </c>
      <c r="E281" s="6" t="s">
        <v>1434</v>
      </c>
      <c r="F281" s="6" t="s">
        <v>1435</v>
      </c>
      <c r="G281" s="6" t="s">
        <v>1436</v>
      </c>
      <c r="H281" s="6" t="s">
        <v>1434</v>
      </c>
      <c r="I281" s="5" t="s">
        <v>37</v>
      </c>
      <c r="J281" s="5" t="s">
        <v>45</v>
      </c>
      <c r="K281" s="5" t="s">
        <v>132</v>
      </c>
      <c r="L281" s="5" t="s">
        <v>39</v>
      </c>
      <c r="M281" s="7" t="str">
        <f t="shared" si="3"/>
        <v>OK</v>
      </c>
      <c r="N281" s="7"/>
      <c r="O281" s="7"/>
      <c r="P281" s="7"/>
      <c r="Q281" s="7"/>
      <c r="R281" s="7"/>
      <c r="S281" s="7"/>
      <c r="T281" s="7"/>
      <c r="U281" s="7"/>
      <c r="V281" s="7"/>
      <c r="W281" s="7"/>
      <c r="X281" s="7"/>
      <c r="Y281" s="7"/>
      <c r="Z281" s="7"/>
    </row>
    <row r="282" ht="15.75" customHeight="1">
      <c r="A282" s="4" t="s">
        <v>1437</v>
      </c>
      <c r="B282" s="5" t="s">
        <v>25</v>
      </c>
      <c r="C282" s="5" t="s">
        <v>15</v>
      </c>
      <c r="D282" s="4" t="s">
        <v>1438</v>
      </c>
      <c r="E282" s="4" t="s">
        <v>1439</v>
      </c>
      <c r="F282" s="4" t="s">
        <v>1440</v>
      </c>
      <c r="G282" s="4" t="s">
        <v>684</v>
      </c>
      <c r="H282" s="5" t="s">
        <v>1440</v>
      </c>
      <c r="I282" s="5" t="s">
        <v>31</v>
      </c>
      <c r="J282" s="5" t="s">
        <v>20</v>
      </c>
      <c r="K282" s="5" t="s">
        <v>66</v>
      </c>
      <c r="L282" s="5" t="s">
        <v>23</v>
      </c>
      <c r="M282" s="7" t="str">
        <f t="shared" si="3"/>
        <v>OK</v>
      </c>
      <c r="N282" s="7"/>
      <c r="O282" s="7"/>
      <c r="P282" s="7"/>
      <c r="Q282" s="7"/>
      <c r="R282" s="7"/>
      <c r="S282" s="7"/>
      <c r="T282" s="7"/>
      <c r="U282" s="7"/>
      <c r="V282" s="7"/>
      <c r="W282" s="7"/>
      <c r="X282" s="7"/>
      <c r="Y282" s="7"/>
      <c r="Z282" s="7"/>
    </row>
    <row r="283" ht="15.75" customHeight="1">
      <c r="A283" s="4" t="s">
        <v>1441</v>
      </c>
      <c r="B283" s="5" t="s">
        <v>14</v>
      </c>
      <c r="C283" s="5" t="s">
        <v>15</v>
      </c>
      <c r="D283" s="5" t="s">
        <v>1442</v>
      </c>
      <c r="E283" s="6" t="s">
        <v>1443</v>
      </c>
      <c r="F283" s="6" t="s">
        <v>1444</v>
      </c>
      <c r="G283" s="5" t="s">
        <v>1445</v>
      </c>
      <c r="H283" s="5" t="s">
        <v>1445</v>
      </c>
      <c r="I283" s="5" t="s">
        <v>65</v>
      </c>
      <c r="J283" s="5" t="s">
        <v>31</v>
      </c>
      <c r="K283" s="5" t="s">
        <v>39</v>
      </c>
      <c r="L283" s="5" t="s">
        <v>22</v>
      </c>
      <c r="M283" s="7" t="str">
        <f t="shared" si="3"/>
        <v>OK</v>
      </c>
      <c r="N283" s="7"/>
      <c r="O283" s="7"/>
      <c r="P283" s="7"/>
      <c r="Q283" s="7"/>
      <c r="R283" s="7"/>
      <c r="S283" s="7"/>
      <c r="T283" s="7"/>
      <c r="U283" s="7"/>
      <c r="V283" s="7"/>
      <c r="W283" s="7"/>
      <c r="X283" s="7"/>
      <c r="Y283" s="7"/>
      <c r="Z283" s="7"/>
    </row>
    <row r="284" ht="15.75" customHeight="1">
      <c r="A284" s="4" t="s">
        <v>1446</v>
      </c>
      <c r="B284" s="5" t="s">
        <v>14</v>
      </c>
      <c r="C284" s="5" t="s">
        <v>15</v>
      </c>
      <c r="D284" s="5" t="s">
        <v>1447</v>
      </c>
      <c r="E284" s="6" t="s">
        <v>1448</v>
      </c>
      <c r="F284" s="6" t="s">
        <v>1449</v>
      </c>
      <c r="G284" s="6" t="s">
        <v>1450</v>
      </c>
      <c r="H284" s="6" t="s">
        <v>1449</v>
      </c>
      <c r="I284" s="5" t="s">
        <v>45</v>
      </c>
      <c r="J284" s="5" t="s">
        <v>31</v>
      </c>
      <c r="K284" s="5" t="s">
        <v>57</v>
      </c>
      <c r="L284" s="5" t="s">
        <v>23</v>
      </c>
      <c r="M284" s="7" t="str">
        <f t="shared" si="3"/>
        <v>OK</v>
      </c>
      <c r="N284" s="7"/>
      <c r="O284" s="7"/>
      <c r="P284" s="7"/>
      <c r="Q284" s="7"/>
      <c r="R284" s="7"/>
      <c r="S284" s="7"/>
      <c r="T284" s="7"/>
      <c r="U284" s="7"/>
      <c r="V284" s="7"/>
      <c r="W284" s="7"/>
      <c r="X284" s="7"/>
      <c r="Y284" s="7"/>
      <c r="Z284" s="7"/>
    </row>
    <row r="285" ht="15.75" customHeight="1">
      <c r="A285" s="4" t="s">
        <v>1451</v>
      </c>
      <c r="B285" s="5" t="s">
        <v>25</v>
      </c>
      <c r="C285" s="5" t="s">
        <v>15</v>
      </c>
      <c r="D285" s="5" t="s">
        <v>1452</v>
      </c>
      <c r="E285" s="5" t="s">
        <v>1453</v>
      </c>
      <c r="F285" s="5" t="s">
        <v>1454</v>
      </c>
      <c r="G285" s="5" t="s">
        <v>1455</v>
      </c>
      <c r="H285" s="5" t="s">
        <v>1453</v>
      </c>
      <c r="I285" s="5" t="s">
        <v>30</v>
      </c>
      <c r="J285" s="5" t="s">
        <v>45</v>
      </c>
      <c r="K285" s="5" t="s">
        <v>57</v>
      </c>
      <c r="L285" s="5" t="s">
        <v>23</v>
      </c>
      <c r="M285" s="7" t="str">
        <f t="shared" si="3"/>
        <v>OK</v>
      </c>
      <c r="N285" s="7"/>
      <c r="O285" s="7"/>
      <c r="P285" s="7"/>
      <c r="Q285" s="7"/>
      <c r="R285" s="7"/>
      <c r="S285" s="7"/>
      <c r="T285" s="7"/>
      <c r="U285" s="7"/>
      <c r="V285" s="7"/>
      <c r="W285" s="7"/>
      <c r="X285" s="7"/>
      <c r="Y285" s="7"/>
      <c r="Z285" s="7"/>
    </row>
    <row r="286" ht="15.75" customHeight="1">
      <c r="A286" s="4" t="s">
        <v>1456</v>
      </c>
      <c r="B286" s="5" t="s">
        <v>25</v>
      </c>
      <c r="C286" s="5" t="s">
        <v>15</v>
      </c>
      <c r="D286" s="5" t="s">
        <v>1457</v>
      </c>
      <c r="E286" s="5" t="s">
        <v>1458</v>
      </c>
      <c r="F286" s="5" t="s">
        <v>1459</v>
      </c>
      <c r="G286" s="5" t="s">
        <v>1460</v>
      </c>
      <c r="H286" s="5" t="s">
        <v>1459</v>
      </c>
      <c r="I286" s="5" t="s">
        <v>30</v>
      </c>
      <c r="J286" s="5" t="s">
        <v>31</v>
      </c>
      <c r="K286" s="5" t="s">
        <v>46</v>
      </c>
      <c r="L286" s="5" t="s">
        <v>132</v>
      </c>
      <c r="M286" s="7" t="str">
        <f t="shared" si="3"/>
        <v>OK</v>
      </c>
      <c r="N286" s="7"/>
      <c r="O286" s="7"/>
      <c r="P286" s="7"/>
      <c r="Q286" s="7"/>
      <c r="R286" s="7"/>
      <c r="S286" s="7"/>
      <c r="T286" s="7"/>
      <c r="U286" s="7"/>
      <c r="V286" s="7"/>
      <c r="W286" s="7"/>
      <c r="X286" s="7"/>
      <c r="Y286" s="7"/>
      <c r="Z286" s="7"/>
    </row>
    <row r="287" ht="15.75" customHeight="1">
      <c r="A287" s="4" t="s">
        <v>1461</v>
      </c>
      <c r="B287" s="5" t="s">
        <v>25</v>
      </c>
      <c r="C287" s="5" t="s">
        <v>15</v>
      </c>
      <c r="D287" s="5" t="s">
        <v>1462</v>
      </c>
      <c r="E287" s="5" t="s">
        <v>1463</v>
      </c>
      <c r="F287" s="5" t="s">
        <v>1464</v>
      </c>
      <c r="G287" s="5" t="s">
        <v>1465</v>
      </c>
      <c r="H287" s="5" t="s">
        <v>1463</v>
      </c>
      <c r="I287" s="5" t="s">
        <v>30</v>
      </c>
      <c r="J287" s="5" t="s">
        <v>64</v>
      </c>
      <c r="K287" s="5" t="s">
        <v>38</v>
      </c>
      <c r="L287" s="5" t="s">
        <v>22</v>
      </c>
      <c r="M287" s="7" t="str">
        <f t="shared" si="3"/>
        <v>OK</v>
      </c>
      <c r="N287" s="7"/>
      <c r="O287" s="7"/>
      <c r="P287" s="7"/>
      <c r="Q287" s="7"/>
      <c r="R287" s="7"/>
      <c r="S287" s="7"/>
      <c r="T287" s="7"/>
      <c r="U287" s="7"/>
      <c r="V287" s="7"/>
      <c r="W287" s="7"/>
      <c r="X287" s="7"/>
      <c r="Y287" s="7"/>
      <c r="Z287" s="7"/>
    </row>
    <row r="288" ht="15.75" customHeight="1">
      <c r="A288" s="4" t="s">
        <v>1466</v>
      </c>
      <c r="B288" s="5" t="s">
        <v>25</v>
      </c>
      <c r="C288" s="5" t="s">
        <v>15</v>
      </c>
      <c r="D288" s="4" t="s">
        <v>1467</v>
      </c>
      <c r="E288" s="4" t="s">
        <v>1468</v>
      </c>
      <c r="F288" s="4" t="s">
        <v>1469</v>
      </c>
      <c r="G288" s="4" t="s">
        <v>1470</v>
      </c>
      <c r="H288" s="5" t="s">
        <v>1470</v>
      </c>
      <c r="I288" s="5" t="s">
        <v>31</v>
      </c>
      <c r="J288" s="5" t="s">
        <v>45</v>
      </c>
      <c r="K288" s="5" t="s">
        <v>38</v>
      </c>
      <c r="L288" s="5" t="s">
        <v>46</v>
      </c>
      <c r="M288" s="7" t="str">
        <f t="shared" si="3"/>
        <v>OK</v>
      </c>
      <c r="N288" s="7"/>
      <c r="O288" s="7"/>
      <c r="P288" s="7"/>
      <c r="Q288" s="7"/>
      <c r="R288" s="7"/>
      <c r="S288" s="7"/>
      <c r="T288" s="7"/>
      <c r="U288" s="7"/>
      <c r="V288" s="7"/>
      <c r="W288" s="7"/>
      <c r="X288" s="7"/>
      <c r="Y288" s="7"/>
      <c r="Z288" s="7"/>
    </row>
    <row r="289" ht="15.75" customHeight="1">
      <c r="A289" s="4" t="s">
        <v>1471</v>
      </c>
      <c r="B289" s="5" t="s">
        <v>25</v>
      </c>
      <c r="C289" s="5" t="s">
        <v>15</v>
      </c>
      <c r="D289" s="4" t="s">
        <v>1472</v>
      </c>
      <c r="E289" s="4" t="s">
        <v>1473</v>
      </c>
      <c r="F289" s="4" t="s">
        <v>1474</v>
      </c>
      <c r="G289" s="4" t="s">
        <v>1475</v>
      </c>
      <c r="H289" s="5" t="s">
        <v>1475</v>
      </c>
      <c r="I289" s="5" t="s">
        <v>31</v>
      </c>
      <c r="J289" s="5" t="s">
        <v>45</v>
      </c>
      <c r="K289" s="5" t="s">
        <v>38</v>
      </c>
      <c r="L289" s="5" t="s">
        <v>23</v>
      </c>
      <c r="M289" s="7" t="str">
        <f t="shared" si="3"/>
        <v>OK</v>
      </c>
      <c r="N289" s="7"/>
      <c r="O289" s="7"/>
      <c r="P289" s="7"/>
      <c r="Q289" s="7"/>
      <c r="R289" s="7"/>
      <c r="S289" s="7"/>
      <c r="T289" s="7"/>
      <c r="U289" s="7"/>
      <c r="V289" s="7"/>
      <c r="W289" s="7"/>
      <c r="X289" s="7"/>
      <c r="Y289" s="7"/>
      <c r="Z289" s="7"/>
    </row>
    <row r="290" ht="15.75" customHeight="1">
      <c r="A290" s="19" t="s">
        <v>1476</v>
      </c>
      <c r="B290" s="22" t="s">
        <v>14</v>
      </c>
      <c r="C290" s="22" t="s">
        <v>15</v>
      </c>
      <c r="D290" s="22" t="s">
        <v>1477</v>
      </c>
      <c r="E290" s="22" t="s">
        <v>1478</v>
      </c>
      <c r="F290" s="22" t="s">
        <v>1479</v>
      </c>
      <c r="G290" s="22" t="s">
        <v>1480</v>
      </c>
      <c r="H290" s="22" t="s">
        <v>1480</v>
      </c>
      <c r="I290" s="22" t="s">
        <v>21</v>
      </c>
      <c r="J290" s="22" t="s">
        <v>45</v>
      </c>
      <c r="K290" s="22" t="s">
        <v>57</v>
      </c>
      <c r="L290" s="22" t="s">
        <v>22</v>
      </c>
      <c r="M290" s="24" t="str">
        <f t="shared" si="3"/>
        <v>OK</v>
      </c>
      <c r="N290" s="24"/>
      <c r="O290" s="24"/>
      <c r="P290" s="24"/>
      <c r="Q290" s="24"/>
      <c r="R290" s="24"/>
      <c r="S290" s="24"/>
      <c r="T290" s="24"/>
      <c r="U290" s="24"/>
      <c r="V290" s="24"/>
      <c r="W290" s="24"/>
      <c r="X290" s="24"/>
      <c r="Y290" s="24"/>
      <c r="Z290" s="24"/>
    </row>
    <row r="291" ht="15.75" customHeight="1">
      <c r="A291" s="4" t="s">
        <v>1481</v>
      </c>
      <c r="B291" s="5" t="s">
        <v>14</v>
      </c>
      <c r="C291" s="5" t="s">
        <v>15</v>
      </c>
      <c r="D291" s="4" t="s">
        <v>1482</v>
      </c>
      <c r="E291" s="4" t="s">
        <v>1483</v>
      </c>
      <c r="F291" s="4" t="s">
        <v>1484</v>
      </c>
      <c r="G291" s="5" t="s">
        <v>1485</v>
      </c>
      <c r="H291" s="5" t="s">
        <v>1485</v>
      </c>
      <c r="I291" s="5" t="s">
        <v>31</v>
      </c>
      <c r="J291" s="5" t="s">
        <v>65</v>
      </c>
      <c r="K291" s="5" t="s">
        <v>132</v>
      </c>
      <c r="L291" s="5" t="s">
        <v>22</v>
      </c>
      <c r="M291" s="7" t="str">
        <f t="shared" si="3"/>
        <v>OK</v>
      </c>
      <c r="N291" s="7"/>
      <c r="O291" s="7"/>
      <c r="P291" s="7"/>
      <c r="Q291" s="7"/>
      <c r="R291" s="7"/>
      <c r="S291" s="7"/>
      <c r="T291" s="7"/>
      <c r="U291" s="7"/>
      <c r="V291" s="7"/>
      <c r="W291" s="7"/>
      <c r="X291" s="7"/>
      <c r="Y291" s="7"/>
      <c r="Z291" s="7"/>
    </row>
    <row r="292" ht="15.75" customHeight="1">
      <c r="A292" s="4" t="s">
        <v>1486</v>
      </c>
      <c r="B292" s="5" t="s">
        <v>25</v>
      </c>
      <c r="C292" s="5" t="s">
        <v>15</v>
      </c>
      <c r="D292" s="5" t="s">
        <v>1487</v>
      </c>
      <c r="E292" s="5" t="s">
        <v>1488</v>
      </c>
      <c r="F292" s="5" t="s">
        <v>1489</v>
      </c>
      <c r="G292" s="5" t="s">
        <v>1490</v>
      </c>
      <c r="H292" s="5" t="s">
        <v>1489</v>
      </c>
      <c r="I292" s="5" t="s">
        <v>45</v>
      </c>
      <c r="J292" s="5" t="s">
        <v>65</v>
      </c>
      <c r="K292" s="5" t="s">
        <v>66</v>
      </c>
      <c r="L292" s="5" t="s">
        <v>46</v>
      </c>
      <c r="M292" s="7" t="str">
        <f t="shared" si="3"/>
        <v>OK</v>
      </c>
      <c r="N292" s="7"/>
      <c r="O292" s="7"/>
      <c r="P292" s="7"/>
      <c r="Q292" s="7"/>
      <c r="R292" s="7"/>
      <c r="S292" s="7"/>
      <c r="T292" s="7"/>
      <c r="U292" s="7"/>
      <c r="V292" s="7"/>
      <c r="W292" s="7"/>
      <c r="X292" s="7"/>
      <c r="Y292" s="7"/>
      <c r="Z292" s="7"/>
    </row>
    <row r="293" ht="15.75" customHeight="1">
      <c r="A293" s="4" t="s">
        <v>1491</v>
      </c>
      <c r="B293" s="5" t="s">
        <v>25</v>
      </c>
      <c r="C293" s="5" t="s">
        <v>15</v>
      </c>
      <c r="D293" s="5" t="s">
        <v>1492</v>
      </c>
      <c r="E293" s="5" t="s">
        <v>1493</v>
      </c>
      <c r="F293" s="5" t="s">
        <v>1494</v>
      </c>
      <c r="G293" s="5" t="s">
        <v>1495</v>
      </c>
      <c r="H293" s="5" t="s">
        <v>1493</v>
      </c>
      <c r="I293" s="5" t="s">
        <v>64</v>
      </c>
      <c r="J293" s="5" t="s">
        <v>20</v>
      </c>
      <c r="K293" s="5" t="s">
        <v>132</v>
      </c>
      <c r="L293" s="5" t="s">
        <v>46</v>
      </c>
      <c r="M293" s="7" t="str">
        <f t="shared" si="3"/>
        <v>OK</v>
      </c>
      <c r="N293" s="7"/>
      <c r="O293" s="7"/>
      <c r="P293" s="7"/>
      <c r="Q293" s="7"/>
      <c r="R293" s="7"/>
      <c r="S293" s="7"/>
      <c r="T293" s="7"/>
      <c r="U293" s="7"/>
      <c r="V293" s="7"/>
      <c r="W293" s="7"/>
      <c r="X293" s="7"/>
      <c r="Y293" s="7"/>
      <c r="Z293" s="7"/>
    </row>
    <row r="294" ht="15.75" customHeight="1">
      <c r="A294" s="4" t="s">
        <v>1496</v>
      </c>
      <c r="B294" s="5" t="s">
        <v>14</v>
      </c>
      <c r="C294" s="5" t="s">
        <v>15</v>
      </c>
      <c r="D294" s="5" t="s">
        <v>1497</v>
      </c>
      <c r="E294" s="5" t="s">
        <v>1498</v>
      </c>
      <c r="F294" s="6" t="s">
        <v>1499</v>
      </c>
      <c r="G294" s="6" t="s">
        <v>1500</v>
      </c>
      <c r="H294" s="5" t="s">
        <v>1498</v>
      </c>
      <c r="I294" s="5" t="s">
        <v>31</v>
      </c>
      <c r="J294" s="5" t="s">
        <v>65</v>
      </c>
      <c r="K294" s="5" t="s">
        <v>22</v>
      </c>
      <c r="L294" s="5" t="s">
        <v>46</v>
      </c>
      <c r="M294" s="7" t="str">
        <f t="shared" si="3"/>
        <v>OK</v>
      </c>
      <c r="N294" s="7"/>
      <c r="O294" s="7"/>
      <c r="P294" s="7"/>
      <c r="Q294" s="7"/>
      <c r="R294" s="7"/>
      <c r="S294" s="7"/>
      <c r="T294" s="7"/>
      <c r="U294" s="7"/>
      <c r="V294" s="7"/>
      <c r="W294" s="7"/>
      <c r="X294" s="7"/>
      <c r="Y294" s="7"/>
      <c r="Z294" s="7"/>
    </row>
    <row r="295" ht="15.75" customHeight="1">
      <c r="A295" s="4" t="s">
        <v>1501</v>
      </c>
      <c r="B295" s="5" t="s">
        <v>14</v>
      </c>
      <c r="C295" s="5" t="s">
        <v>15</v>
      </c>
      <c r="D295" s="4" t="s">
        <v>1502</v>
      </c>
      <c r="E295" s="4" t="s">
        <v>1503</v>
      </c>
      <c r="F295" s="4" t="s">
        <v>1504</v>
      </c>
      <c r="G295" s="4" t="s">
        <v>1505</v>
      </c>
      <c r="H295" s="5" t="s">
        <v>1506</v>
      </c>
      <c r="I295" s="5" t="s">
        <v>20</v>
      </c>
      <c r="J295" s="5" t="s">
        <v>37</v>
      </c>
      <c r="K295" s="5" t="s">
        <v>58</v>
      </c>
      <c r="L295" s="5" t="s">
        <v>39</v>
      </c>
      <c r="M295" s="7" t="str">
        <f t="shared" si="3"/>
        <v>OK</v>
      </c>
      <c r="N295" s="7"/>
      <c r="O295" s="7"/>
      <c r="P295" s="7"/>
      <c r="Q295" s="7"/>
      <c r="R295" s="7"/>
      <c r="S295" s="7"/>
      <c r="T295" s="7"/>
      <c r="U295" s="7"/>
      <c r="V295" s="7"/>
      <c r="W295" s="7"/>
      <c r="X295" s="7"/>
      <c r="Y295" s="7"/>
      <c r="Z295" s="7"/>
    </row>
    <row r="296" ht="15.75" customHeight="1">
      <c r="A296" s="4" t="s">
        <v>1507</v>
      </c>
      <c r="B296" s="5" t="s">
        <v>25</v>
      </c>
      <c r="C296" s="5" t="s">
        <v>15</v>
      </c>
      <c r="D296" s="5" t="s">
        <v>1508</v>
      </c>
      <c r="E296" s="5" t="s">
        <v>1509</v>
      </c>
      <c r="F296" s="5" t="s">
        <v>1510</v>
      </c>
      <c r="G296" s="5" t="s">
        <v>1511</v>
      </c>
      <c r="H296" s="5" t="s">
        <v>1510</v>
      </c>
      <c r="I296" s="5" t="s">
        <v>37</v>
      </c>
      <c r="J296" s="5" t="s">
        <v>20</v>
      </c>
      <c r="K296" s="5" t="s">
        <v>58</v>
      </c>
      <c r="L296" s="5" t="s">
        <v>23</v>
      </c>
      <c r="M296" s="7" t="str">
        <f t="shared" si="3"/>
        <v>OK</v>
      </c>
      <c r="N296" s="7"/>
      <c r="O296" s="7"/>
      <c r="P296" s="7"/>
      <c r="Q296" s="7"/>
      <c r="R296" s="7"/>
      <c r="S296" s="7"/>
      <c r="T296" s="7"/>
      <c r="U296" s="7"/>
      <c r="V296" s="7"/>
      <c r="W296" s="7"/>
      <c r="X296" s="7"/>
      <c r="Y296" s="7"/>
      <c r="Z296" s="7"/>
    </row>
    <row r="297" ht="15.75" customHeight="1">
      <c r="A297" s="4" t="s">
        <v>1512</v>
      </c>
      <c r="B297" s="5" t="s">
        <v>25</v>
      </c>
      <c r="C297" s="5" t="s">
        <v>15</v>
      </c>
      <c r="D297" s="5" t="s">
        <v>1513</v>
      </c>
      <c r="E297" s="5" t="s">
        <v>1514</v>
      </c>
      <c r="F297" s="5" t="s">
        <v>1515</v>
      </c>
      <c r="G297" s="5" t="s">
        <v>1516</v>
      </c>
      <c r="H297" s="5" t="s">
        <v>1514</v>
      </c>
      <c r="I297" s="5" t="s">
        <v>65</v>
      </c>
      <c r="J297" s="5" t="s">
        <v>21</v>
      </c>
      <c r="K297" s="5" t="s">
        <v>39</v>
      </c>
      <c r="L297" s="5" t="s">
        <v>46</v>
      </c>
      <c r="M297" s="7" t="str">
        <f t="shared" si="3"/>
        <v>OK</v>
      </c>
      <c r="N297" s="7"/>
      <c r="O297" s="7"/>
      <c r="P297" s="7"/>
      <c r="Q297" s="7"/>
      <c r="R297" s="7"/>
      <c r="S297" s="7"/>
      <c r="T297" s="7"/>
      <c r="U297" s="7"/>
      <c r="V297" s="7"/>
      <c r="W297" s="7"/>
      <c r="X297" s="7"/>
      <c r="Y297" s="7"/>
      <c r="Z297" s="7"/>
    </row>
    <row r="298" ht="15.75" customHeight="1">
      <c r="A298" s="4" t="s">
        <v>1517</v>
      </c>
      <c r="B298" s="5" t="s">
        <v>14</v>
      </c>
      <c r="C298" s="5" t="s">
        <v>15</v>
      </c>
      <c r="D298" s="4" t="s">
        <v>1518</v>
      </c>
      <c r="E298" s="4" t="s">
        <v>1519</v>
      </c>
      <c r="F298" s="4" t="s">
        <v>1520</v>
      </c>
      <c r="G298" s="5" t="s">
        <v>1521</v>
      </c>
      <c r="H298" s="5" t="s">
        <v>1521</v>
      </c>
      <c r="I298" s="5" t="s">
        <v>45</v>
      </c>
      <c r="J298" s="5" t="s">
        <v>31</v>
      </c>
      <c r="K298" s="5" t="s">
        <v>23</v>
      </c>
      <c r="L298" s="5" t="s">
        <v>38</v>
      </c>
      <c r="M298" s="7" t="str">
        <f t="shared" si="3"/>
        <v>OK</v>
      </c>
      <c r="N298" s="7"/>
      <c r="O298" s="7"/>
      <c r="P298" s="7"/>
      <c r="Q298" s="7"/>
      <c r="R298" s="7"/>
      <c r="S298" s="7"/>
      <c r="T298" s="7"/>
      <c r="U298" s="7"/>
      <c r="V298" s="7"/>
      <c r="W298" s="7"/>
      <c r="X298" s="7"/>
      <c r="Y298" s="7"/>
      <c r="Z298" s="7"/>
    </row>
    <row r="299" ht="15.75" customHeight="1">
      <c r="A299" s="4" t="s">
        <v>1522</v>
      </c>
      <c r="B299" s="5" t="s">
        <v>14</v>
      </c>
      <c r="C299" s="5" t="s">
        <v>15</v>
      </c>
      <c r="D299" s="5" t="s">
        <v>1523</v>
      </c>
      <c r="E299" s="6" t="s">
        <v>1524</v>
      </c>
      <c r="F299" s="6" t="s">
        <v>1525</v>
      </c>
      <c r="G299" s="5" t="s">
        <v>1526</v>
      </c>
      <c r="H299" s="5" t="s">
        <v>1526</v>
      </c>
      <c r="I299" s="5" t="s">
        <v>64</v>
      </c>
      <c r="J299" s="5" t="s">
        <v>45</v>
      </c>
      <c r="K299" s="5" t="s">
        <v>23</v>
      </c>
      <c r="L299" s="5" t="s">
        <v>46</v>
      </c>
      <c r="M299" s="7" t="str">
        <f t="shared" si="3"/>
        <v>OK</v>
      </c>
      <c r="N299" s="7"/>
      <c r="O299" s="7"/>
      <c r="P299" s="7"/>
      <c r="Q299" s="7"/>
      <c r="R299" s="7"/>
      <c r="S299" s="7"/>
      <c r="T299" s="7"/>
      <c r="U299" s="7"/>
      <c r="V299" s="7"/>
      <c r="W299" s="7"/>
      <c r="X299" s="7"/>
      <c r="Y299" s="7"/>
      <c r="Z299" s="7"/>
    </row>
    <row r="300" ht="15.75" customHeight="1">
      <c r="A300" s="4" t="s">
        <v>1527</v>
      </c>
      <c r="B300" s="5" t="s">
        <v>25</v>
      </c>
      <c r="C300" s="5" t="s">
        <v>15</v>
      </c>
      <c r="D300" s="4" t="s">
        <v>1528</v>
      </c>
      <c r="E300" s="4" t="s">
        <v>1529</v>
      </c>
      <c r="F300" s="4" t="s">
        <v>1530</v>
      </c>
      <c r="G300" s="4" t="s">
        <v>1531</v>
      </c>
      <c r="H300" s="5" t="s">
        <v>1531</v>
      </c>
      <c r="I300" s="5" t="s">
        <v>30</v>
      </c>
      <c r="J300" s="5" t="s">
        <v>20</v>
      </c>
      <c r="K300" s="5" t="s">
        <v>38</v>
      </c>
      <c r="L300" s="5" t="s">
        <v>46</v>
      </c>
      <c r="M300" s="7" t="str">
        <f t="shared" si="3"/>
        <v>OK</v>
      </c>
      <c r="N300" s="7"/>
      <c r="O300" s="7"/>
      <c r="P300" s="7"/>
      <c r="Q300" s="7"/>
      <c r="R300" s="7"/>
      <c r="S300" s="7"/>
      <c r="T300" s="7"/>
      <c r="U300" s="7"/>
      <c r="V300" s="7"/>
      <c r="W300" s="7"/>
      <c r="X300" s="7"/>
      <c r="Y300" s="7"/>
      <c r="Z300" s="7"/>
    </row>
    <row r="301" ht="15.75" customHeight="1">
      <c r="A301" s="4" t="s">
        <v>1532</v>
      </c>
      <c r="B301" s="5" t="s">
        <v>14</v>
      </c>
      <c r="C301" s="5" t="s">
        <v>15</v>
      </c>
      <c r="D301" s="5" t="s">
        <v>1533</v>
      </c>
      <c r="E301" s="6" t="s">
        <v>1534</v>
      </c>
      <c r="F301" s="5" t="s">
        <v>1535</v>
      </c>
      <c r="G301" s="6" t="s">
        <v>1536</v>
      </c>
      <c r="H301" s="5" t="s">
        <v>1535</v>
      </c>
      <c r="I301" s="5" t="s">
        <v>65</v>
      </c>
      <c r="J301" s="5" t="s">
        <v>21</v>
      </c>
      <c r="K301" s="5" t="s">
        <v>23</v>
      </c>
      <c r="L301" s="5" t="s">
        <v>66</v>
      </c>
      <c r="M301" s="7" t="str">
        <f t="shared" si="3"/>
        <v>OK</v>
      </c>
      <c r="N301" s="7"/>
      <c r="O301" s="7"/>
      <c r="P301" s="7"/>
      <c r="Q301" s="7"/>
      <c r="R301" s="7"/>
      <c r="S301" s="7"/>
      <c r="T301" s="7"/>
      <c r="U301" s="7"/>
      <c r="V301" s="7"/>
      <c r="W301" s="7"/>
      <c r="X301" s="7"/>
      <c r="Y301" s="7"/>
      <c r="Z301" s="7"/>
    </row>
    <row r="302" ht="15.75" customHeight="1">
      <c r="A302" s="4" t="s">
        <v>1537</v>
      </c>
      <c r="B302" s="5" t="s">
        <v>14</v>
      </c>
      <c r="C302" s="5" t="s">
        <v>15</v>
      </c>
      <c r="D302" s="5" t="s">
        <v>1538</v>
      </c>
      <c r="E302" s="6" t="s">
        <v>1539</v>
      </c>
      <c r="F302" s="6" t="s">
        <v>1540</v>
      </c>
      <c r="G302" s="6" t="s">
        <v>1541</v>
      </c>
      <c r="H302" s="6" t="s">
        <v>1541</v>
      </c>
      <c r="I302" s="5" t="s">
        <v>20</v>
      </c>
      <c r="J302" s="5" t="s">
        <v>21</v>
      </c>
      <c r="K302" s="5" t="s">
        <v>66</v>
      </c>
      <c r="L302" s="5" t="s">
        <v>58</v>
      </c>
      <c r="M302" s="7" t="str">
        <f t="shared" si="3"/>
        <v>OK</v>
      </c>
      <c r="N302" s="7"/>
      <c r="O302" s="7"/>
      <c r="P302" s="7"/>
      <c r="Q302" s="7"/>
      <c r="R302" s="7"/>
      <c r="S302" s="7"/>
      <c r="T302" s="7"/>
      <c r="U302" s="7"/>
      <c r="V302" s="7"/>
      <c r="W302" s="7"/>
      <c r="X302" s="7"/>
      <c r="Y302" s="7"/>
      <c r="Z302" s="7"/>
    </row>
    <row r="303" ht="15.75" customHeight="1">
      <c r="A303" s="4" t="s">
        <v>1542</v>
      </c>
      <c r="B303" s="5" t="s">
        <v>14</v>
      </c>
      <c r="C303" s="5" t="s">
        <v>15</v>
      </c>
      <c r="D303" s="5" t="s">
        <v>1543</v>
      </c>
      <c r="E303" s="5" t="s">
        <v>1544</v>
      </c>
      <c r="F303" s="5" t="s">
        <v>1545</v>
      </c>
      <c r="G303" s="5" t="s">
        <v>1546</v>
      </c>
      <c r="H303" s="5" t="s">
        <v>1546</v>
      </c>
      <c r="I303" s="5" t="s">
        <v>65</v>
      </c>
      <c r="J303" s="5" t="s">
        <v>31</v>
      </c>
      <c r="K303" s="5" t="s">
        <v>132</v>
      </c>
      <c r="L303" s="5" t="s">
        <v>22</v>
      </c>
      <c r="M303" s="7" t="str">
        <f t="shared" si="3"/>
        <v>OK</v>
      </c>
      <c r="N303" s="7"/>
      <c r="O303" s="7"/>
      <c r="P303" s="7"/>
      <c r="Q303" s="7"/>
      <c r="R303" s="7"/>
      <c r="S303" s="7"/>
      <c r="T303" s="7"/>
      <c r="U303" s="7"/>
      <c r="V303" s="7"/>
      <c r="W303" s="7"/>
      <c r="X303" s="7"/>
      <c r="Y303" s="7"/>
      <c r="Z303" s="7"/>
    </row>
    <row r="304" ht="15.75" customHeight="1">
      <c r="A304" s="4" t="s">
        <v>1547</v>
      </c>
      <c r="B304" s="5" t="s">
        <v>25</v>
      </c>
      <c r="C304" s="5" t="s">
        <v>15</v>
      </c>
      <c r="D304" s="4" t="s">
        <v>1548</v>
      </c>
      <c r="E304" s="4" t="s">
        <v>1549</v>
      </c>
      <c r="F304" s="4" t="s">
        <v>1550</v>
      </c>
      <c r="G304" s="4" t="s">
        <v>1551</v>
      </c>
      <c r="H304" s="5" t="s">
        <v>1551</v>
      </c>
      <c r="I304" s="5" t="s">
        <v>30</v>
      </c>
      <c r="J304" s="5" t="s">
        <v>20</v>
      </c>
      <c r="K304" s="5" t="s">
        <v>66</v>
      </c>
      <c r="L304" s="5" t="s">
        <v>58</v>
      </c>
      <c r="M304" s="7" t="str">
        <f t="shared" si="3"/>
        <v>OK</v>
      </c>
      <c r="N304" s="7"/>
      <c r="O304" s="7"/>
      <c r="P304" s="7"/>
      <c r="Q304" s="7"/>
      <c r="R304" s="7"/>
      <c r="S304" s="7"/>
      <c r="T304" s="7"/>
      <c r="U304" s="7"/>
      <c r="V304" s="7"/>
      <c r="W304" s="7"/>
      <c r="X304" s="7"/>
      <c r="Y304" s="7"/>
      <c r="Z304" s="7"/>
    </row>
    <row r="305" ht="15.75" customHeight="1">
      <c r="A305" s="4" t="s">
        <v>1552</v>
      </c>
      <c r="B305" s="5" t="s">
        <v>25</v>
      </c>
      <c r="C305" s="5" t="s">
        <v>15</v>
      </c>
      <c r="D305" s="5" t="s">
        <v>1553</v>
      </c>
      <c r="E305" s="5" t="s">
        <v>1554</v>
      </c>
      <c r="F305" s="5" t="s">
        <v>1555</v>
      </c>
      <c r="G305" s="5" t="s">
        <v>1556</v>
      </c>
      <c r="H305" s="5" t="s">
        <v>1556</v>
      </c>
      <c r="I305" s="5" t="s">
        <v>64</v>
      </c>
      <c r="J305" s="5" t="s">
        <v>30</v>
      </c>
      <c r="K305" s="5" t="s">
        <v>46</v>
      </c>
      <c r="L305" s="5" t="s">
        <v>22</v>
      </c>
      <c r="M305" s="7" t="str">
        <f t="shared" si="3"/>
        <v>OK</v>
      </c>
      <c r="N305" s="7"/>
      <c r="O305" s="7"/>
      <c r="P305" s="7"/>
      <c r="Q305" s="7"/>
      <c r="R305" s="7"/>
      <c r="S305" s="7"/>
      <c r="T305" s="7"/>
      <c r="U305" s="7"/>
      <c r="V305" s="7"/>
      <c r="W305" s="7"/>
      <c r="X305" s="7"/>
      <c r="Y305" s="7"/>
      <c r="Z305" s="7"/>
    </row>
    <row r="306" ht="15.75" customHeight="1">
      <c r="A306" s="4" t="s">
        <v>1557</v>
      </c>
      <c r="B306" s="5" t="s">
        <v>25</v>
      </c>
      <c r="C306" s="5" t="s">
        <v>15</v>
      </c>
      <c r="D306" s="5" t="s">
        <v>1558</v>
      </c>
      <c r="E306" s="5" t="s">
        <v>1559</v>
      </c>
      <c r="F306" s="5" t="s">
        <v>1560</v>
      </c>
      <c r="G306" s="5" t="s">
        <v>1561</v>
      </c>
      <c r="H306" s="5" t="s">
        <v>1559</v>
      </c>
      <c r="I306" s="5" t="s">
        <v>45</v>
      </c>
      <c r="J306" s="5" t="s">
        <v>31</v>
      </c>
      <c r="K306" s="5" t="s">
        <v>46</v>
      </c>
      <c r="L306" s="5" t="s">
        <v>38</v>
      </c>
      <c r="M306" s="7" t="str">
        <f t="shared" si="3"/>
        <v>OK</v>
      </c>
      <c r="N306" s="7"/>
      <c r="O306" s="7"/>
      <c r="P306" s="7"/>
      <c r="Q306" s="7"/>
      <c r="R306" s="7"/>
      <c r="S306" s="7"/>
      <c r="T306" s="7"/>
      <c r="U306" s="7"/>
      <c r="V306" s="7"/>
      <c r="W306" s="7"/>
      <c r="X306" s="7"/>
      <c r="Y306" s="7"/>
      <c r="Z306" s="7"/>
    </row>
    <row r="307" ht="15.75" customHeight="1">
      <c r="A307" s="4" t="s">
        <v>1562</v>
      </c>
      <c r="B307" s="5" t="s">
        <v>14</v>
      </c>
      <c r="C307" s="5" t="s">
        <v>15</v>
      </c>
      <c r="D307" s="5" t="s">
        <v>1563</v>
      </c>
      <c r="E307" s="6" t="s">
        <v>1564</v>
      </c>
      <c r="F307" s="5" t="s">
        <v>1565</v>
      </c>
      <c r="G307" s="5" t="s">
        <v>1566</v>
      </c>
      <c r="H307" s="5" t="s">
        <v>1566</v>
      </c>
      <c r="I307" s="5" t="s">
        <v>21</v>
      </c>
      <c r="J307" s="5" t="s">
        <v>20</v>
      </c>
      <c r="K307" s="5" t="s">
        <v>23</v>
      </c>
      <c r="L307" s="5" t="s">
        <v>57</v>
      </c>
      <c r="M307" s="7" t="str">
        <f t="shared" si="3"/>
        <v>OK</v>
      </c>
      <c r="N307" s="7"/>
      <c r="O307" s="7"/>
      <c r="P307" s="7"/>
      <c r="Q307" s="7"/>
      <c r="R307" s="7"/>
      <c r="S307" s="7"/>
      <c r="T307" s="7"/>
      <c r="U307" s="7"/>
      <c r="V307" s="7"/>
      <c r="W307" s="7"/>
      <c r="X307" s="7"/>
      <c r="Y307" s="7"/>
      <c r="Z307" s="7"/>
    </row>
    <row r="308" ht="15.75" customHeight="1">
      <c r="A308" s="4" t="s">
        <v>1567</v>
      </c>
      <c r="B308" s="5" t="s">
        <v>25</v>
      </c>
      <c r="C308" s="5" t="s">
        <v>15</v>
      </c>
      <c r="D308" s="5" t="s">
        <v>1568</v>
      </c>
      <c r="E308" s="5" t="s">
        <v>1569</v>
      </c>
      <c r="F308" s="5" t="s">
        <v>1570</v>
      </c>
      <c r="G308" s="5" t="s">
        <v>1571</v>
      </c>
      <c r="H308" s="5" t="s">
        <v>1569</v>
      </c>
      <c r="I308" s="5" t="s">
        <v>64</v>
      </c>
      <c r="J308" s="5" t="s">
        <v>37</v>
      </c>
      <c r="K308" s="5" t="s">
        <v>66</v>
      </c>
      <c r="L308" s="5" t="s">
        <v>132</v>
      </c>
      <c r="M308" s="7" t="str">
        <f t="shared" si="3"/>
        <v>OK</v>
      </c>
      <c r="N308" s="7"/>
      <c r="O308" s="7"/>
      <c r="P308" s="7"/>
      <c r="Q308" s="7"/>
      <c r="R308" s="7"/>
      <c r="S308" s="7"/>
      <c r="T308" s="7"/>
      <c r="U308" s="7"/>
      <c r="V308" s="7"/>
      <c r="W308" s="7"/>
      <c r="X308" s="7"/>
      <c r="Y308" s="7"/>
      <c r="Z308" s="7"/>
    </row>
    <row r="309" ht="15.75" customHeight="1">
      <c r="A309" s="4" t="s">
        <v>1572</v>
      </c>
      <c r="B309" s="5" t="s">
        <v>14</v>
      </c>
      <c r="C309" s="5" t="s">
        <v>15</v>
      </c>
      <c r="D309" s="4" t="s">
        <v>1573</v>
      </c>
      <c r="E309" s="4" t="s">
        <v>1574</v>
      </c>
      <c r="F309" s="4" t="s">
        <v>1575</v>
      </c>
      <c r="G309" s="5" t="s">
        <v>1576</v>
      </c>
      <c r="H309" s="5" t="s">
        <v>1576</v>
      </c>
      <c r="I309" s="5" t="s">
        <v>20</v>
      </c>
      <c r="J309" s="5" t="s">
        <v>37</v>
      </c>
      <c r="K309" s="5" t="s">
        <v>132</v>
      </c>
      <c r="L309" s="5" t="s">
        <v>58</v>
      </c>
      <c r="M309" s="7" t="str">
        <f t="shared" si="3"/>
        <v>OK</v>
      </c>
      <c r="N309" s="7"/>
      <c r="O309" s="7"/>
      <c r="P309" s="7"/>
      <c r="Q309" s="7"/>
      <c r="R309" s="7"/>
      <c r="S309" s="7"/>
      <c r="T309" s="7"/>
      <c r="U309" s="7"/>
      <c r="V309" s="7"/>
      <c r="W309" s="7"/>
      <c r="X309" s="7"/>
      <c r="Y309" s="7"/>
      <c r="Z309" s="7"/>
    </row>
    <row r="310" ht="15.75" customHeight="1">
      <c r="A310" s="4" t="s">
        <v>1577</v>
      </c>
      <c r="B310" s="5" t="s">
        <v>25</v>
      </c>
      <c r="C310" s="5" t="s">
        <v>15</v>
      </c>
      <c r="D310" s="5" t="s">
        <v>1578</v>
      </c>
      <c r="E310" s="5" t="s">
        <v>1579</v>
      </c>
      <c r="F310" s="5" t="s">
        <v>1580</v>
      </c>
      <c r="G310" s="5" t="s">
        <v>1581</v>
      </c>
      <c r="H310" s="5" t="s">
        <v>1580</v>
      </c>
      <c r="I310" s="5" t="s">
        <v>64</v>
      </c>
      <c r="J310" s="5" t="s">
        <v>21</v>
      </c>
      <c r="K310" s="5" t="s">
        <v>39</v>
      </c>
      <c r="L310" s="5" t="s">
        <v>46</v>
      </c>
      <c r="M310" s="7" t="str">
        <f t="shared" si="3"/>
        <v>OK</v>
      </c>
      <c r="N310" s="7"/>
      <c r="O310" s="7"/>
      <c r="P310" s="7"/>
      <c r="Q310" s="7"/>
      <c r="R310" s="7"/>
      <c r="S310" s="7"/>
      <c r="T310" s="7"/>
      <c r="U310" s="7"/>
      <c r="V310" s="7"/>
      <c r="W310" s="7"/>
      <c r="X310" s="7"/>
      <c r="Y310" s="7"/>
      <c r="Z310" s="7"/>
    </row>
    <row r="311" ht="15.75" customHeight="1">
      <c r="A311" s="4" t="s">
        <v>1582</v>
      </c>
      <c r="B311" s="5" t="s">
        <v>25</v>
      </c>
      <c r="C311" s="5" t="s">
        <v>15</v>
      </c>
      <c r="D311" s="4" t="s">
        <v>1583</v>
      </c>
      <c r="E311" s="4" t="s">
        <v>1584</v>
      </c>
      <c r="F311" s="4" t="s">
        <v>1585</v>
      </c>
      <c r="G311" s="4" t="s">
        <v>1586</v>
      </c>
      <c r="H311" s="5" t="s">
        <v>1586</v>
      </c>
      <c r="I311" s="5" t="s">
        <v>31</v>
      </c>
      <c r="J311" s="5" t="s">
        <v>45</v>
      </c>
      <c r="K311" s="5" t="s">
        <v>38</v>
      </c>
      <c r="L311" s="5" t="s">
        <v>46</v>
      </c>
      <c r="M311" s="7" t="str">
        <f t="shared" si="3"/>
        <v>OK</v>
      </c>
      <c r="N311" s="7"/>
      <c r="O311" s="7"/>
      <c r="P311" s="7"/>
      <c r="Q311" s="7"/>
      <c r="R311" s="7"/>
      <c r="S311" s="7"/>
      <c r="T311" s="7"/>
      <c r="U311" s="7"/>
      <c r="V311" s="7"/>
      <c r="W311" s="7"/>
      <c r="X311" s="7"/>
      <c r="Y311" s="7"/>
      <c r="Z311" s="7"/>
    </row>
    <row r="312" ht="15.75" customHeight="1">
      <c r="A312" s="4" t="s">
        <v>1587</v>
      </c>
      <c r="B312" s="5" t="s">
        <v>14</v>
      </c>
      <c r="C312" s="5" t="s">
        <v>15</v>
      </c>
      <c r="D312" s="4" t="s">
        <v>1588</v>
      </c>
      <c r="E312" s="5" t="s">
        <v>1589</v>
      </c>
      <c r="F312" s="4" t="s">
        <v>1590</v>
      </c>
      <c r="G312" s="4" t="s">
        <v>1591</v>
      </c>
      <c r="H312" s="5" t="s">
        <v>1589</v>
      </c>
      <c r="I312" s="5" t="s">
        <v>20</v>
      </c>
      <c r="J312" s="5" t="s">
        <v>45</v>
      </c>
      <c r="K312" s="5" t="s">
        <v>22</v>
      </c>
      <c r="L312" s="5" t="s">
        <v>46</v>
      </c>
      <c r="M312" s="7" t="str">
        <f t="shared" si="3"/>
        <v>OK</v>
      </c>
      <c r="N312" s="7"/>
      <c r="O312" s="7"/>
      <c r="P312" s="7"/>
      <c r="Q312" s="7"/>
      <c r="R312" s="7"/>
      <c r="S312" s="7"/>
      <c r="T312" s="7"/>
      <c r="U312" s="7"/>
      <c r="V312" s="7"/>
      <c r="W312" s="7"/>
      <c r="X312" s="7"/>
      <c r="Y312" s="7"/>
      <c r="Z312" s="7"/>
    </row>
    <row r="313" ht="15.75" customHeight="1">
      <c r="A313" s="4" t="s">
        <v>1592</v>
      </c>
      <c r="B313" s="5" t="s">
        <v>25</v>
      </c>
      <c r="C313" s="5" t="s">
        <v>15</v>
      </c>
      <c r="D313" s="5" t="s">
        <v>1593</v>
      </c>
      <c r="E313" s="5" t="s">
        <v>1594</v>
      </c>
      <c r="F313" s="5" t="s">
        <v>1595</v>
      </c>
      <c r="G313" s="5" t="s">
        <v>1596</v>
      </c>
      <c r="H313" s="5" t="s">
        <v>1594</v>
      </c>
      <c r="I313" s="5" t="s">
        <v>45</v>
      </c>
      <c r="J313" s="5" t="s">
        <v>20</v>
      </c>
      <c r="K313" s="5" t="s">
        <v>57</v>
      </c>
      <c r="L313" s="5" t="s">
        <v>23</v>
      </c>
      <c r="M313" s="7" t="str">
        <f t="shared" si="3"/>
        <v>OK</v>
      </c>
      <c r="N313" s="7"/>
      <c r="O313" s="7"/>
      <c r="P313" s="7"/>
      <c r="Q313" s="7"/>
      <c r="R313" s="7"/>
      <c r="S313" s="7"/>
      <c r="T313" s="7"/>
      <c r="U313" s="7"/>
      <c r="V313" s="7"/>
      <c r="W313" s="7"/>
      <c r="X313" s="7"/>
      <c r="Y313" s="7"/>
      <c r="Z313" s="7"/>
    </row>
    <row r="314" ht="15.75" customHeight="1">
      <c r="A314" s="4" t="s">
        <v>1597</v>
      </c>
      <c r="B314" s="5" t="s">
        <v>14</v>
      </c>
      <c r="C314" s="5" t="s">
        <v>15</v>
      </c>
      <c r="D314" s="4" t="s">
        <v>1598</v>
      </c>
      <c r="E314" s="4" t="s">
        <v>1599</v>
      </c>
      <c r="F314" s="4" t="s">
        <v>1600</v>
      </c>
      <c r="G314" s="5" t="s">
        <v>1601</v>
      </c>
      <c r="H314" s="5" t="s">
        <v>1601</v>
      </c>
      <c r="I314" s="5" t="s">
        <v>37</v>
      </c>
      <c r="J314" s="5" t="s">
        <v>20</v>
      </c>
      <c r="K314" s="5" t="s">
        <v>46</v>
      </c>
      <c r="L314" s="5" t="s">
        <v>22</v>
      </c>
      <c r="M314" s="7" t="str">
        <f t="shared" si="3"/>
        <v>OK</v>
      </c>
      <c r="N314" s="7"/>
      <c r="O314" s="7"/>
      <c r="P314" s="7"/>
      <c r="Q314" s="7"/>
      <c r="R314" s="7"/>
      <c r="S314" s="7"/>
      <c r="T314" s="7"/>
      <c r="U314" s="7"/>
      <c r="V314" s="7"/>
      <c r="W314" s="7"/>
      <c r="X314" s="7"/>
      <c r="Y314" s="7"/>
      <c r="Z314" s="7"/>
    </row>
    <row r="315" ht="15.75" customHeight="1">
      <c r="A315" s="4" t="s">
        <v>1602</v>
      </c>
      <c r="B315" s="5" t="s">
        <v>14</v>
      </c>
      <c r="C315" s="5" t="s">
        <v>15</v>
      </c>
      <c r="D315" s="5" t="s">
        <v>1603</v>
      </c>
      <c r="E315" s="6" t="s">
        <v>1604</v>
      </c>
      <c r="F315" s="6" t="s">
        <v>1605</v>
      </c>
      <c r="G315" s="5" t="s">
        <v>1606</v>
      </c>
      <c r="H315" s="5" t="s">
        <v>1606</v>
      </c>
      <c r="I315" s="5" t="s">
        <v>20</v>
      </c>
      <c r="J315" s="5" t="s">
        <v>45</v>
      </c>
      <c r="K315" s="5" t="s">
        <v>39</v>
      </c>
      <c r="L315" s="5" t="s">
        <v>46</v>
      </c>
      <c r="M315" s="7" t="str">
        <f t="shared" si="3"/>
        <v>OK</v>
      </c>
      <c r="N315" s="7"/>
      <c r="O315" s="7"/>
      <c r="P315" s="7"/>
      <c r="Q315" s="7"/>
      <c r="R315" s="7"/>
      <c r="S315" s="7"/>
      <c r="T315" s="7"/>
      <c r="U315" s="7"/>
      <c r="V315" s="7"/>
      <c r="W315" s="7"/>
      <c r="X315" s="7"/>
      <c r="Y315" s="7"/>
      <c r="Z315" s="7"/>
    </row>
    <row r="316" ht="15.75" customHeight="1">
      <c r="A316" s="4" t="s">
        <v>1607</v>
      </c>
      <c r="B316" s="5" t="s">
        <v>14</v>
      </c>
      <c r="C316" s="5" t="s">
        <v>15</v>
      </c>
      <c r="D316" s="5" t="s">
        <v>1608</v>
      </c>
      <c r="E316" s="5" t="s">
        <v>1609</v>
      </c>
      <c r="F316" s="5" t="s">
        <v>1610</v>
      </c>
      <c r="G316" s="5" t="s">
        <v>1611</v>
      </c>
      <c r="H316" s="5" t="s">
        <v>1611</v>
      </c>
      <c r="I316" s="5" t="s">
        <v>45</v>
      </c>
      <c r="J316" s="5" t="s">
        <v>31</v>
      </c>
      <c r="K316" s="5" t="s">
        <v>57</v>
      </c>
      <c r="L316" s="5" t="s">
        <v>46</v>
      </c>
      <c r="M316" s="7" t="str">
        <f t="shared" si="3"/>
        <v>OK</v>
      </c>
      <c r="N316" s="7"/>
      <c r="O316" s="7"/>
      <c r="P316" s="7"/>
      <c r="Q316" s="7"/>
      <c r="R316" s="7"/>
      <c r="S316" s="7"/>
      <c r="T316" s="7"/>
      <c r="U316" s="7"/>
      <c r="V316" s="7"/>
      <c r="W316" s="7"/>
      <c r="X316" s="7"/>
      <c r="Y316" s="7"/>
      <c r="Z316" s="7"/>
    </row>
    <row r="317" ht="15.75" customHeight="1">
      <c r="A317" s="4" t="s">
        <v>1612</v>
      </c>
      <c r="B317" s="5" t="s">
        <v>25</v>
      </c>
      <c r="C317" s="5" t="s">
        <v>15</v>
      </c>
      <c r="D317" s="5" t="s">
        <v>1613</v>
      </c>
      <c r="E317" s="5" t="s">
        <v>1614</v>
      </c>
      <c r="F317" s="5" t="s">
        <v>1615</v>
      </c>
      <c r="G317" s="5" t="s">
        <v>1616</v>
      </c>
      <c r="H317" s="5" t="s">
        <v>1617</v>
      </c>
      <c r="I317" s="5" t="s">
        <v>65</v>
      </c>
      <c r="J317" s="5" t="s">
        <v>45</v>
      </c>
      <c r="K317" s="5" t="s">
        <v>38</v>
      </c>
      <c r="L317" s="5" t="s">
        <v>46</v>
      </c>
      <c r="M317" s="7" t="str">
        <f t="shared" si="3"/>
        <v>OK</v>
      </c>
      <c r="N317" s="7"/>
      <c r="O317" s="7"/>
      <c r="P317" s="7"/>
      <c r="Q317" s="7"/>
      <c r="R317" s="7"/>
      <c r="S317" s="7"/>
      <c r="T317" s="7"/>
      <c r="U317" s="7"/>
      <c r="V317" s="7"/>
      <c r="W317" s="7"/>
      <c r="X317" s="7"/>
      <c r="Y317" s="7"/>
      <c r="Z317" s="7"/>
    </row>
    <row r="318" ht="69.75" customHeight="1">
      <c r="A318" s="4" t="s">
        <v>1618</v>
      </c>
      <c r="B318" s="5" t="s">
        <v>14</v>
      </c>
      <c r="C318" s="5" t="s">
        <v>15</v>
      </c>
      <c r="D318" s="5" t="s">
        <v>1619</v>
      </c>
      <c r="E318" s="6" t="s">
        <v>1620</v>
      </c>
      <c r="F318" s="6" t="s">
        <v>1621</v>
      </c>
      <c r="G318" s="6" t="s">
        <v>1622</v>
      </c>
      <c r="H318" s="6" t="s">
        <v>1622</v>
      </c>
      <c r="I318" s="5" t="s">
        <v>64</v>
      </c>
      <c r="J318" s="5" t="s">
        <v>20</v>
      </c>
      <c r="K318" s="5" t="s">
        <v>132</v>
      </c>
      <c r="L318" s="5" t="s">
        <v>58</v>
      </c>
      <c r="M318" s="7" t="str">
        <f t="shared" si="3"/>
        <v>OK</v>
      </c>
      <c r="N318" s="7"/>
      <c r="O318" s="7"/>
      <c r="P318" s="7"/>
      <c r="Q318" s="7"/>
      <c r="R318" s="7"/>
      <c r="S318" s="7"/>
      <c r="T318" s="7"/>
      <c r="U318" s="7"/>
      <c r="V318" s="7"/>
      <c r="W318" s="7"/>
      <c r="X318" s="7"/>
      <c r="Y318" s="7"/>
      <c r="Z318" s="7"/>
    </row>
    <row r="319" ht="108.75" customHeight="1">
      <c r="A319" s="12" t="s">
        <v>1623</v>
      </c>
      <c r="B319" s="5" t="s">
        <v>25</v>
      </c>
      <c r="C319" s="5" t="s">
        <v>15</v>
      </c>
      <c r="D319" s="4" t="s">
        <v>1624</v>
      </c>
      <c r="E319" s="4" t="s">
        <v>1625</v>
      </c>
      <c r="F319" s="4" t="s">
        <v>1626</v>
      </c>
      <c r="G319" s="4" t="s">
        <v>1627</v>
      </c>
      <c r="H319" s="5" t="s">
        <v>1625</v>
      </c>
      <c r="I319" s="5" t="s">
        <v>31</v>
      </c>
      <c r="J319" s="5" t="s">
        <v>20</v>
      </c>
      <c r="K319" s="5" t="s">
        <v>132</v>
      </c>
      <c r="L319" s="5" t="s">
        <v>46</v>
      </c>
      <c r="M319" s="7" t="str">
        <f t="shared" si="3"/>
        <v>OK</v>
      </c>
      <c r="N319" s="7"/>
      <c r="O319" s="7"/>
      <c r="P319" s="7"/>
      <c r="Q319" s="7"/>
      <c r="R319" s="7"/>
      <c r="S319" s="7"/>
      <c r="T319" s="7"/>
      <c r="U319" s="7"/>
      <c r="V319" s="7"/>
      <c r="W319" s="7"/>
      <c r="X319" s="7"/>
      <c r="Y319" s="7"/>
      <c r="Z319" s="7"/>
    </row>
    <row r="320" ht="15.75" customHeight="1">
      <c r="A320" s="4" t="s">
        <v>1628</v>
      </c>
      <c r="B320" s="5" t="s">
        <v>25</v>
      </c>
      <c r="C320" s="5" t="s">
        <v>15</v>
      </c>
      <c r="D320" s="5" t="s">
        <v>1629</v>
      </c>
      <c r="E320" s="5" t="s">
        <v>1630</v>
      </c>
      <c r="F320" s="5" t="s">
        <v>1631</v>
      </c>
      <c r="G320" s="5" t="s">
        <v>1632</v>
      </c>
      <c r="H320" s="5" t="s">
        <v>1633</v>
      </c>
      <c r="I320" s="5" t="s">
        <v>45</v>
      </c>
      <c r="J320" s="5" t="s">
        <v>37</v>
      </c>
      <c r="K320" s="5" t="s">
        <v>46</v>
      </c>
      <c r="L320" s="5" t="s">
        <v>39</v>
      </c>
      <c r="M320" s="7" t="str">
        <f t="shared" si="3"/>
        <v>OK</v>
      </c>
      <c r="N320" s="7"/>
      <c r="O320" s="7"/>
      <c r="P320" s="7"/>
      <c r="Q320" s="7"/>
      <c r="R320" s="7"/>
      <c r="S320" s="7"/>
      <c r="T320" s="7"/>
      <c r="U320" s="7"/>
      <c r="V320" s="7"/>
      <c r="W320" s="7"/>
      <c r="X320" s="7"/>
      <c r="Y320" s="7"/>
      <c r="Z320" s="7"/>
    </row>
    <row r="321" ht="15.75" customHeight="1">
      <c r="A321" s="12" t="s">
        <v>1634</v>
      </c>
      <c r="B321" s="5" t="s">
        <v>25</v>
      </c>
      <c r="C321" s="5" t="s">
        <v>15</v>
      </c>
      <c r="D321" s="5" t="s">
        <v>1635</v>
      </c>
      <c r="E321" s="5" t="s">
        <v>1636</v>
      </c>
      <c r="F321" s="5" t="s">
        <v>1637</v>
      </c>
      <c r="G321" s="5" t="s">
        <v>1638</v>
      </c>
      <c r="H321" s="5" t="s">
        <v>1636</v>
      </c>
      <c r="I321" s="5" t="s">
        <v>21</v>
      </c>
      <c r="J321" s="5" t="s">
        <v>20</v>
      </c>
      <c r="K321" s="5" t="s">
        <v>132</v>
      </c>
      <c r="L321" s="5" t="s">
        <v>66</v>
      </c>
      <c r="M321" s="7" t="str">
        <f t="shared" si="3"/>
        <v>OK</v>
      </c>
      <c r="N321" s="7"/>
      <c r="O321" s="7"/>
      <c r="P321" s="7"/>
      <c r="Q321" s="7"/>
      <c r="R321" s="7"/>
      <c r="S321" s="7"/>
      <c r="T321" s="7"/>
      <c r="U321" s="7"/>
      <c r="V321" s="7"/>
      <c r="W321" s="7"/>
      <c r="X321" s="7"/>
      <c r="Y321" s="7"/>
      <c r="Z321" s="7"/>
    </row>
    <row r="322" ht="15.75" customHeight="1">
      <c r="A322" s="12" t="s">
        <v>1639</v>
      </c>
      <c r="B322" s="5" t="s">
        <v>25</v>
      </c>
      <c r="C322" s="5" t="s">
        <v>15</v>
      </c>
      <c r="D322" s="5" t="s">
        <v>1640</v>
      </c>
      <c r="E322" s="5" t="s">
        <v>1641</v>
      </c>
      <c r="F322" s="5" t="s">
        <v>1642</v>
      </c>
      <c r="G322" s="5" t="s">
        <v>1643</v>
      </c>
      <c r="H322" s="5" t="s">
        <v>1641</v>
      </c>
      <c r="I322" s="5" t="s">
        <v>21</v>
      </c>
      <c r="J322" s="5" t="s">
        <v>37</v>
      </c>
      <c r="K322" s="5" t="s">
        <v>132</v>
      </c>
      <c r="L322" s="5" t="s">
        <v>46</v>
      </c>
      <c r="M322" s="7" t="str">
        <f t="shared" si="3"/>
        <v>OK</v>
      </c>
      <c r="N322" s="7"/>
      <c r="O322" s="7"/>
      <c r="P322" s="7"/>
      <c r="Q322" s="7"/>
      <c r="R322" s="7"/>
      <c r="S322" s="7"/>
      <c r="T322" s="7"/>
      <c r="U322" s="7"/>
      <c r="V322" s="7"/>
      <c r="W322" s="7"/>
      <c r="X322" s="7"/>
      <c r="Y322" s="7"/>
      <c r="Z322" s="7"/>
    </row>
    <row r="323" ht="15.75" customHeight="1">
      <c r="A323" s="12" t="s">
        <v>1644</v>
      </c>
      <c r="B323" s="5" t="s">
        <v>25</v>
      </c>
      <c r="C323" s="5" t="s">
        <v>15</v>
      </c>
      <c r="D323" s="5" t="s">
        <v>1645</v>
      </c>
      <c r="E323" s="5" t="s">
        <v>1646</v>
      </c>
      <c r="F323" s="5" t="s">
        <v>1647</v>
      </c>
      <c r="G323" s="5" t="s">
        <v>1648</v>
      </c>
      <c r="H323" s="5" t="s">
        <v>1649</v>
      </c>
      <c r="I323" s="5" t="s">
        <v>30</v>
      </c>
      <c r="J323" s="5" t="s">
        <v>20</v>
      </c>
      <c r="K323" s="5" t="s">
        <v>39</v>
      </c>
      <c r="L323" s="5" t="s">
        <v>46</v>
      </c>
      <c r="M323" s="7" t="str">
        <f t="shared" si="3"/>
        <v>OK</v>
      </c>
      <c r="N323" s="7"/>
      <c r="O323" s="7"/>
      <c r="P323" s="7"/>
      <c r="Q323" s="7"/>
      <c r="R323" s="7"/>
      <c r="S323" s="7"/>
      <c r="T323" s="7"/>
      <c r="U323" s="7"/>
      <c r="V323" s="7"/>
      <c r="W323" s="7"/>
      <c r="X323" s="7"/>
      <c r="Y323" s="7"/>
      <c r="Z323" s="7"/>
    </row>
    <row r="324" ht="15.75" customHeight="1">
      <c r="A324" s="12" t="s">
        <v>1650</v>
      </c>
      <c r="B324" s="5" t="s">
        <v>14</v>
      </c>
      <c r="C324" s="5" t="s">
        <v>15</v>
      </c>
      <c r="D324" s="4" t="s">
        <v>1651</v>
      </c>
      <c r="E324" s="4" t="s">
        <v>1652</v>
      </c>
      <c r="F324" s="5" t="s">
        <v>1653</v>
      </c>
      <c r="G324" s="4" t="s">
        <v>1654</v>
      </c>
      <c r="H324" s="5" t="s">
        <v>1653</v>
      </c>
      <c r="I324" s="5" t="s">
        <v>65</v>
      </c>
      <c r="J324" s="5" t="s">
        <v>31</v>
      </c>
      <c r="K324" s="5" t="s">
        <v>58</v>
      </c>
      <c r="L324" s="5" t="s">
        <v>132</v>
      </c>
      <c r="M324" s="7" t="str">
        <f t="shared" si="3"/>
        <v>OK</v>
      </c>
      <c r="N324" s="7"/>
      <c r="O324" s="7"/>
      <c r="P324" s="7"/>
      <c r="Q324" s="7"/>
      <c r="R324" s="7"/>
      <c r="S324" s="7"/>
      <c r="T324" s="7"/>
      <c r="U324" s="7"/>
      <c r="V324" s="7"/>
      <c r="W324" s="7"/>
      <c r="X324" s="7"/>
      <c r="Y324" s="7"/>
      <c r="Z324" s="7"/>
    </row>
    <row r="325" ht="15.75" customHeight="1">
      <c r="A325" s="12" t="s">
        <v>1655</v>
      </c>
      <c r="B325" s="5" t="s">
        <v>14</v>
      </c>
      <c r="C325" s="5" t="s">
        <v>15</v>
      </c>
      <c r="D325" s="4" t="s">
        <v>1656</v>
      </c>
      <c r="E325" s="6" t="s">
        <v>1657</v>
      </c>
      <c r="F325" s="4" t="s">
        <v>1658</v>
      </c>
      <c r="G325" s="4" t="s">
        <v>1659</v>
      </c>
      <c r="H325" s="6" t="s">
        <v>1657</v>
      </c>
      <c r="I325" s="5" t="s">
        <v>45</v>
      </c>
      <c r="J325" s="5" t="s">
        <v>21</v>
      </c>
      <c r="K325" s="5" t="s">
        <v>39</v>
      </c>
      <c r="L325" s="5" t="s">
        <v>22</v>
      </c>
      <c r="M325" s="7" t="str">
        <f t="shared" si="3"/>
        <v>OK</v>
      </c>
      <c r="N325" s="7"/>
      <c r="O325" s="7"/>
      <c r="P325" s="7"/>
      <c r="Q325" s="7"/>
      <c r="R325" s="7"/>
      <c r="S325" s="7"/>
      <c r="T325" s="7"/>
      <c r="U325" s="7"/>
      <c r="V325" s="7"/>
      <c r="W325" s="7"/>
      <c r="X325" s="7"/>
      <c r="Y325" s="7"/>
      <c r="Z325" s="7"/>
    </row>
    <row r="326" ht="15.75" customHeight="1">
      <c r="A326" s="12" t="s">
        <v>1660</v>
      </c>
      <c r="B326" s="5" t="s">
        <v>25</v>
      </c>
      <c r="C326" s="5" t="s">
        <v>15</v>
      </c>
      <c r="D326" s="5" t="s">
        <v>1661</v>
      </c>
      <c r="E326" s="5" t="s">
        <v>1662</v>
      </c>
      <c r="F326" s="5" t="s">
        <v>1663</v>
      </c>
      <c r="G326" s="5" t="s">
        <v>1664</v>
      </c>
      <c r="H326" s="5" t="s">
        <v>1663</v>
      </c>
      <c r="I326" s="5" t="s">
        <v>30</v>
      </c>
      <c r="J326" s="5" t="s">
        <v>31</v>
      </c>
      <c r="K326" s="5" t="s">
        <v>58</v>
      </c>
      <c r="L326" s="5" t="s">
        <v>132</v>
      </c>
      <c r="M326" s="7" t="str">
        <f t="shared" si="3"/>
        <v>OK</v>
      </c>
      <c r="N326" s="7"/>
      <c r="O326" s="7"/>
      <c r="P326" s="7"/>
      <c r="Q326" s="7"/>
      <c r="R326" s="7"/>
      <c r="S326" s="7"/>
      <c r="T326" s="7"/>
      <c r="U326" s="7"/>
      <c r="V326" s="7"/>
      <c r="W326" s="7"/>
      <c r="X326" s="7"/>
      <c r="Y326" s="7"/>
      <c r="Z326" s="7"/>
    </row>
    <row r="327" ht="15.75" customHeight="1">
      <c r="A327" s="12" t="s">
        <v>1665</v>
      </c>
      <c r="B327" s="5" t="s">
        <v>25</v>
      </c>
      <c r="C327" s="5" t="s">
        <v>15</v>
      </c>
      <c r="D327" s="5" t="s">
        <v>1666</v>
      </c>
      <c r="E327" s="5" t="s">
        <v>1667</v>
      </c>
      <c r="F327" s="5" t="s">
        <v>1668</v>
      </c>
      <c r="G327" s="5" t="s">
        <v>1669</v>
      </c>
      <c r="H327" s="5" t="s">
        <v>1669</v>
      </c>
      <c r="I327" s="5" t="s">
        <v>64</v>
      </c>
      <c r="J327" s="5" t="s">
        <v>45</v>
      </c>
      <c r="K327" s="5" t="s">
        <v>58</v>
      </c>
      <c r="L327" s="5" t="s">
        <v>132</v>
      </c>
      <c r="M327" s="7" t="str">
        <f t="shared" si="3"/>
        <v>OK</v>
      </c>
      <c r="N327" s="7"/>
      <c r="O327" s="7"/>
      <c r="P327" s="7"/>
      <c r="Q327" s="7"/>
      <c r="R327" s="7"/>
      <c r="S327" s="7"/>
      <c r="T327" s="7"/>
      <c r="U327" s="7"/>
      <c r="V327" s="7"/>
      <c r="W327" s="7"/>
      <c r="X327" s="7"/>
      <c r="Y327" s="7"/>
      <c r="Z327" s="7"/>
    </row>
    <row r="328" ht="15.75" customHeight="1">
      <c r="A328" s="12" t="s">
        <v>1670</v>
      </c>
      <c r="B328" s="5" t="s">
        <v>14</v>
      </c>
      <c r="C328" s="5" t="s">
        <v>15</v>
      </c>
      <c r="D328" s="4" t="s">
        <v>1671</v>
      </c>
      <c r="E328" s="4" t="s">
        <v>1672</v>
      </c>
      <c r="F328" s="5" t="s">
        <v>1673</v>
      </c>
      <c r="G328" s="4" t="s">
        <v>1674</v>
      </c>
      <c r="H328" s="5" t="s">
        <v>1673</v>
      </c>
      <c r="I328" s="5" t="s">
        <v>64</v>
      </c>
      <c r="J328" s="5" t="s">
        <v>21</v>
      </c>
      <c r="K328" s="5" t="s">
        <v>57</v>
      </c>
      <c r="L328" s="5" t="s">
        <v>22</v>
      </c>
      <c r="M328" s="7" t="str">
        <f t="shared" si="3"/>
        <v>OK</v>
      </c>
      <c r="N328" s="7"/>
      <c r="O328" s="7"/>
      <c r="P328" s="7"/>
      <c r="Q328" s="7"/>
      <c r="R328" s="7"/>
      <c r="S328" s="7"/>
      <c r="T328" s="7"/>
      <c r="U328" s="7"/>
      <c r="V328" s="7"/>
      <c r="W328" s="7"/>
      <c r="X328" s="7"/>
      <c r="Y328" s="7"/>
      <c r="Z328" s="7"/>
    </row>
    <row r="329" ht="15.75" customHeight="1">
      <c r="A329" s="12" t="s">
        <v>1675</v>
      </c>
      <c r="B329" s="5" t="s">
        <v>14</v>
      </c>
      <c r="C329" s="5" t="s">
        <v>15</v>
      </c>
      <c r="D329" s="5" t="s">
        <v>1676</v>
      </c>
      <c r="E329" s="6" t="s">
        <v>1677</v>
      </c>
      <c r="F329" s="6" t="s">
        <v>1678</v>
      </c>
      <c r="G329" s="5" t="s">
        <v>1679</v>
      </c>
      <c r="H329" s="5" t="s">
        <v>1679</v>
      </c>
      <c r="I329" s="5" t="s">
        <v>37</v>
      </c>
      <c r="J329" s="5" t="s">
        <v>21</v>
      </c>
      <c r="K329" s="5" t="s">
        <v>39</v>
      </c>
      <c r="L329" s="5" t="s">
        <v>46</v>
      </c>
      <c r="M329" s="7" t="str">
        <f t="shared" si="3"/>
        <v>OK</v>
      </c>
      <c r="N329" s="7"/>
      <c r="O329" s="7"/>
      <c r="P329" s="7"/>
      <c r="Q329" s="7"/>
      <c r="R329" s="7"/>
      <c r="S329" s="7"/>
      <c r="T329" s="7"/>
      <c r="U329" s="7"/>
      <c r="V329" s="7"/>
      <c r="W329" s="7"/>
      <c r="X329" s="7"/>
      <c r="Y329" s="7"/>
      <c r="Z329" s="7"/>
    </row>
    <row r="330" ht="15.75" customHeight="1">
      <c r="A330" s="12" t="s">
        <v>1680</v>
      </c>
      <c r="B330" s="5" t="s">
        <v>25</v>
      </c>
      <c r="C330" s="5" t="s">
        <v>15</v>
      </c>
      <c r="D330" s="5" t="s">
        <v>1681</v>
      </c>
      <c r="E330" s="5" t="s">
        <v>1682</v>
      </c>
      <c r="F330" s="5" t="s">
        <v>1683</v>
      </c>
      <c r="G330" s="5" t="s">
        <v>1684</v>
      </c>
      <c r="H330" s="5" t="s">
        <v>1682</v>
      </c>
      <c r="I330" s="5" t="s">
        <v>64</v>
      </c>
      <c r="J330" s="5" t="s">
        <v>37</v>
      </c>
      <c r="K330" s="5" t="s">
        <v>132</v>
      </c>
      <c r="L330" s="5" t="s">
        <v>22</v>
      </c>
      <c r="M330" s="7" t="str">
        <f t="shared" si="3"/>
        <v>OK</v>
      </c>
      <c r="N330" s="7"/>
      <c r="O330" s="7"/>
      <c r="P330" s="7"/>
      <c r="Q330" s="7"/>
      <c r="R330" s="7"/>
      <c r="S330" s="7"/>
      <c r="T330" s="7"/>
      <c r="U330" s="7"/>
      <c r="V330" s="7"/>
      <c r="W330" s="7"/>
      <c r="X330" s="7"/>
      <c r="Y330" s="7"/>
      <c r="Z330" s="7"/>
    </row>
    <row r="331" ht="15.75" customHeight="1">
      <c r="A331" s="12" t="s">
        <v>1685</v>
      </c>
      <c r="B331" s="5" t="s">
        <v>25</v>
      </c>
      <c r="C331" s="5" t="s">
        <v>15</v>
      </c>
      <c r="D331" s="5" t="s">
        <v>1686</v>
      </c>
      <c r="E331" s="5" t="s">
        <v>1687</v>
      </c>
      <c r="F331" s="5" t="s">
        <v>1688</v>
      </c>
      <c r="G331" s="5" t="s">
        <v>1689</v>
      </c>
      <c r="H331" s="5" t="s">
        <v>1689</v>
      </c>
      <c r="I331" s="5" t="s">
        <v>37</v>
      </c>
      <c r="J331" s="5" t="s">
        <v>31</v>
      </c>
      <c r="K331" s="5" t="s">
        <v>46</v>
      </c>
      <c r="L331" s="5" t="s">
        <v>39</v>
      </c>
      <c r="M331" s="7" t="str">
        <f t="shared" si="3"/>
        <v>OK</v>
      </c>
      <c r="N331" s="7"/>
      <c r="O331" s="7"/>
      <c r="P331" s="7"/>
      <c r="Q331" s="7"/>
      <c r="R331" s="7"/>
      <c r="S331" s="7"/>
      <c r="T331" s="7"/>
      <c r="U331" s="7"/>
      <c r="V331" s="7"/>
      <c r="W331" s="7"/>
      <c r="X331" s="7"/>
      <c r="Y331" s="7"/>
      <c r="Z331" s="7"/>
    </row>
    <row r="332" ht="15.75" customHeight="1">
      <c r="A332" s="12" t="s">
        <v>1690</v>
      </c>
      <c r="B332" s="5" t="s">
        <v>25</v>
      </c>
      <c r="C332" s="5" t="s">
        <v>15</v>
      </c>
      <c r="D332" s="4" t="s">
        <v>1691</v>
      </c>
      <c r="E332" s="4" t="s">
        <v>1692</v>
      </c>
      <c r="F332" s="4" t="s">
        <v>1693</v>
      </c>
      <c r="G332" s="4" t="s">
        <v>1694</v>
      </c>
      <c r="H332" s="5" t="s">
        <v>1694</v>
      </c>
      <c r="I332" s="5" t="s">
        <v>65</v>
      </c>
      <c r="J332" s="5" t="s">
        <v>31</v>
      </c>
      <c r="K332" s="5" t="s">
        <v>132</v>
      </c>
      <c r="L332" s="5" t="s">
        <v>22</v>
      </c>
      <c r="M332" s="7" t="str">
        <f t="shared" si="3"/>
        <v>OK</v>
      </c>
      <c r="N332" s="7"/>
      <c r="O332" s="7"/>
      <c r="P332" s="7"/>
      <c r="Q332" s="7"/>
      <c r="R332" s="7"/>
      <c r="S332" s="7"/>
      <c r="T332" s="7"/>
      <c r="U332" s="7"/>
      <c r="V332" s="7"/>
      <c r="W332" s="7"/>
      <c r="X332" s="7"/>
      <c r="Y332" s="7"/>
      <c r="Z332" s="7"/>
    </row>
    <row r="333" ht="15.75" customHeight="1">
      <c r="A333" s="12" t="s">
        <v>1695</v>
      </c>
      <c r="B333" s="5" t="s">
        <v>25</v>
      </c>
      <c r="C333" s="5" t="s">
        <v>15</v>
      </c>
      <c r="D333" s="5" t="s">
        <v>1696</v>
      </c>
      <c r="E333" s="5" t="s">
        <v>1697</v>
      </c>
      <c r="F333" s="5" t="s">
        <v>1698</v>
      </c>
      <c r="G333" s="5" t="s">
        <v>1699</v>
      </c>
      <c r="H333" s="5" t="s">
        <v>1698</v>
      </c>
      <c r="I333" s="5" t="s">
        <v>45</v>
      </c>
      <c r="J333" s="5" t="s">
        <v>45</v>
      </c>
      <c r="K333" s="5" t="s">
        <v>46</v>
      </c>
      <c r="L333" s="5" t="s">
        <v>39</v>
      </c>
      <c r="M333" s="7" t="str">
        <f t="shared" si="3"/>
        <v>OK</v>
      </c>
      <c r="N333" s="7"/>
      <c r="O333" s="7"/>
      <c r="P333" s="7"/>
      <c r="Q333" s="7"/>
      <c r="R333" s="7"/>
      <c r="S333" s="7"/>
      <c r="T333" s="7"/>
      <c r="U333" s="7"/>
      <c r="V333" s="7"/>
      <c r="W333" s="7"/>
      <c r="X333" s="7"/>
      <c r="Y333" s="7"/>
      <c r="Z333" s="7"/>
    </row>
    <row r="334" ht="15.75" customHeight="1">
      <c r="A334" s="12" t="s">
        <v>1700</v>
      </c>
      <c r="B334" s="5" t="s">
        <v>14</v>
      </c>
      <c r="C334" s="5" t="s">
        <v>15</v>
      </c>
      <c r="D334" s="5" t="s">
        <v>1701</v>
      </c>
      <c r="E334" s="6" t="s">
        <v>1702</v>
      </c>
      <c r="F334" s="6" t="s">
        <v>1703</v>
      </c>
      <c r="G334" s="5" t="s">
        <v>1704</v>
      </c>
      <c r="H334" s="5" t="s">
        <v>1704</v>
      </c>
      <c r="I334" s="5" t="s">
        <v>21</v>
      </c>
      <c r="J334" s="5" t="s">
        <v>37</v>
      </c>
      <c r="K334" s="5" t="s">
        <v>39</v>
      </c>
      <c r="L334" s="5" t="s">
        <v>22</v>
      </c>
      <c r="M334" s="7" t="str">
        <f t="shared" si="3"/>
        <v>OK</v>
      </c>
      <c r="N334" s="7"/>
      <c r="O334" s="7"/>
      <c r="P334" s="7"/>
      <c r="Q334" s="7"/>
      <c r="R334" s="7"/>
      <c r="S334" s="7"/>
      <c r="T334" s="7"/>
      <c r="U334" s="7"/>
      <c r="V334" s="7"/>
      <c r="W334" s="7"/>
      <c r="X334" s="7"/>
      <c r="Y334" s="7"/>
      <c r="Z334" s="7"/>
    </row>
    <row r="335" ht="15.75" customHeight="1">
      <c r="A335" s="12" t="s">
        <v>1705</v>
      </c>
      <c r="B335" s="5" t="s">
        <v>25</v>
      </c>
      <c r="C335" s="5" t="s">
        <v>15</v>
      </c>
      <c r="D335" s="5" t="s">
        <v>1706</v>
      </c>
      <c r="E335" s="5" t="s">
        <v>1707</v>
      </c>
      <c r="F335" s="5" t="s">
        <v>1708</v>
      </c>
      <c r="G335" s="5" t="s">
        <v>62</v>
      </c>
      <c r="H335" s="5" t="s">
        <v>62</v>
      </c>
      <c r="I335" s="5" t="s">
        <v>64</v>
      </c>
      <c r="J335" s="5" t="s">
        <v>21</v>
      </c>
      <c r="K335" s="5" t="s">
        <v>66</v>
      </c>
      <c r="L335" s="5" t="s">
        <v>58</v>
      </c>
      <c r="M335" s="7" t="str">
        <f t="shared" si="3"/>
        <v>OK</v>
      </c>
      <c r="N335" s="7"/>
      <c r="O335" s="7"/>
      <c r="P335" s="7"/>
      <c r="Q335" s="7"/>
      <c r="R335" s="7"/>
      <c r="S335" s="7"/>
      <c r="T335" s="7"/>
      <c r="U335" s="7"/>
      <c r="V335" s="7"/>
      <c r="W335" s="7"/>
      <c r="X335" s="7"/>
      <c r="Y335" s="7"/>
      <c r="Z335" s="7"/>
    </row>
    <row r="336" ht="15.75" customHeight="1">
      <c r="A336" s="12" t="s">
        <v>1709</v>
      </c>
      <c r="B336" s="5" t="s">
        <v>25</v>
      </c>
      <c r="C336" s="5" t="s">
        <v>15</v>
      </c>
      <c r="D336" s="5" t="s">
        <v>1710</v>
      </c>
      <c r="E336" s="5" t="s">
        <v>1711</v>
      </c>
      <c r="F336" s="5" t="s">
        <v>1712</v>
      </c>
      <c r="G336" s="5" t="s">
        <v>1713</v>
      </c>
      <c r="H336" s="5" t="s">
        <v>1711</v>
      </c>
      <c r="I336" s="5" t="s">
        <v>21</v>
      </c>
      <c r="J336" s="5" t="s">
        <v>20</v>
      </c>
      <c r="K336" s="5" t="s">
        <v>57</v>
      </c>
      <c r="L336" s="5" t="s">
        <v>38</v>
      </c>
      <c r="M336" s="7" t="str">
        <f t="shared" si="3"/>
        <v>OK</v>
      </c>
      <c r="N336" s="7"/>
      <c r="O336" s="7"/>
      <c r="P336" s="7"/>
      <c r="Q336" s="7"/>
      <c r="R336" s="7"/>
      <c r="S336" s="7"/>
      <c r="T336" s="7"/>
      <c r="U336" s="7"/>
      <c r="V336" s="7"/>
      <c r="W336" s="7"/>
      <c r="X336" s="7"/>
      <c r="Y336" s="7"/>
      <c r="Z336" s="7"/>
    </row>
    <row r="337" ht="15.75" customHeight="1">
      <c r="A337" s="12" t="s">
        <v>1714</v>
      </c>
      <c r="B337" s="5" t="s">
        <v>25</v>
      </c>
      <c r="C337" s="5" t="s">
        <v>15</v>
      </c>
      <c r="D337" s="4" t="s">
        <v>1715</v>
      </c>
      <c r="E337" s="4" t="s">
        <v>1716</v>
      </c>
      <c r="F337" s="4" t="s">
        <v>1717</v>
      </c>
      <c r="G337" s="4" t="s">
        <v>1718</v>
      </c>
      <c r="H337" s="5" t="s">
        <v>1717</v>
      </c>
      <c r="I337" s="5" t="s">
        <v>21</v>
      </c>
      <c r="J337" s="5" t="s">
        <v>31</v>
      </c>
      <c r="K337" s="5" t="s">
        <v>66</v>
      </c>
      <c r="L337" s="5" t="s">
        <v>39</v>
      </c>
      <c r="M337" s="7" t="str">
        <f t="shared" si="3"/>
        <v>OK</v>
      </c>
      <c r="N337" s="7"/>
      <c r="O337" s="7"/>
      <c r="P337" s="7"/>
      <c r="Q337" s="7"/>
      <c r="R337" s="7"/>
      <c r="S337" s="7"/>
      <c r="T337" s="7"/>
      <c r="U337" s="7"/>
      <c r="V337" s="7"/>
      <c r="W337" s="7"/>
      <c r="X337" s="7"/>
      <c r="Y337" s="7"/>
      <c r="Z337" s="7"/>
    </row>
    <row r="338" ht="15.75" customHeight="1">
      <c r="A338" s="12" t="s">
        <v>1719</v>
      </c>
      <c r="B338" s="5" t="s">
        <v>25</v>
      </c>
      <c r="C338" s="5" t="s">
        <v>15</v>
      </c>
      <c r="D338" s="4" t="s">
        <v>1720</v>
      </c>
      <c r="E338" s="4" t="s">
        <v>1721</v>
      </c>
      <c r="F338" s="4" t="s">
        <v>1337</v>
      </c>
      <c r="G338" s="4" t="s">
        <v>650</v>
      </c>
      <c r="H338" s="5" t="s">
        <v>650</v>
      </c>
      <c r="I338" s="5" t="s">
        <v>37</v>
      </c>
      <c r="J338" s="5" t="s">
        <v>20</v>
      </c>
      <c r="K338" s="5" t="s">
        <v>39</v>
      </c>
      <c r="L338" s="5" t="s">
        <v>46</v>
      </c>
      <c r="M338" s="7" t="str">
        <f t="shared" si="3"/>
        <v>OK</v>
      </c>
      <c r="N338" s="7"/>
      <c r="O338" s="7"/>
      <c r="P338" s="7"/>
      <c r="Q338" s="7"/>
      <c r="R338" s="7"/>
      <c r="S338" s="7"/>
      <c r="T338" s="7"/>
      <c r="U338" s="7"/>
      <c r="V338" s="7"/>
      <c r="W338" s="7"/>
      <c r="X338" s="7"/>
      <c r="Y338" s="7"/>
      <c r="Z338" s="7"/>
    </row>
    <row r="339" ht="15.75" customHeight="1">
      <c r="A339" s="12" t="s">
        <v>1722</v>
      </c>
      <c r="B339" s="5" t="s">
        <v>25</v>
      </c>
      <c r="C339" s="5" t="s">
        <v>15</v>
      </c>
      <c r="D339" s="5" t="s">
        <v>1723</v>
      </c>
      <c r="E339" s="5" t="s">
        <v>1724</v>
      </c>
      <c r="F339" s="5" t="s">
        <v>1725</v>
      </c>
      <c r="G339" s="5" t="s">
        <v>1726</v>
      </c>
      <c r="H339" s="5" t="s">
        <v>1726</v>
      </c>
      <c r="I339" s="5" t="s">
        <v>20</v>
      </c>
      <c r="J339" s="5" t="s">
        <v>37</v>
      </c>
      <c r="K339" s="5" t="s">
        <v>46</v>
      </c>
      <c r="L339" s="5" t="s">
        <v>39</v>
      </c>
      <c r="M339" s="7" t="str">
        <f t="shared" si="3"/>
        <v>OK</v>
      </c>
      <c r="N339" s="7"/>
      <c r="O339" s="7"/>
      <c r="P339" s="7"/>
      <c r="Q339" s="7"/>
      <c r="R339" s="7"/>
      <c r="S339" s="7"/>
      <c r="T339" s="7"/>
      <c r="U339" s="7"/>
      <c r="V339" s="7"/>
      <c r="W339" s="7"/>
      <c r="X339" s="7"/>
      <c r="Y339" s="7"/>
      <c r="Z339" s="7"/>
    </row>
    <row r="340" ht="15.75" customHeight="1">
      <c r="A340" s="12" t="s">
        <v>1727</v>
      </c>
      <c r="B340" s="5" t="s">
        <v>14</v>
      </c>
      <c r="C340" s="5" t="s">
        <v>15</v>
      </c>
      <c r="D340" s="5" t="s">
        <v>1728</v>
      </c>
      <c r="E340" s="5" t="s">
        <v>1729</v>
      </c>
      <c r="F340" s="5" t="s">
        <v>1730</v>
      </c>
      <c r="G340" s="5" t="s">
        <v>1731</v>
      </c>
      <c r="H340" s="5" t="s">
        <v>1731</v>
      </c>
      <c r="I340" s="5" t="s">
        <v>21</v>
      </c>
      <c r="J340" s="5" t="s">
        <v>20</v>
      </c>
      <c r="K340" s="5" t="s">
        <v>23</v>
      </c>
      <c r="L340" s="5" t="s">
        <v>58</v>
      </c>
      <c r="M340" s="7" t="str">
        <f t="shared" si="3"/>
        <v>OK</v>
      </c>
      <c r="N340" s="7"/>
      <c r="O340" s="7"/>
      <c r="P340" s="7"/>
      <c r="Q340" s="7"/>
      <c r="R340" s="7"/>
      <c r="S340" s="7"/>
      <c r="T340" s="7"/>
      <c r="U340" s="7"/>
      <c r="V340" s="7"/>
      <c r="W340" s="7"/>
      <c r="X340" s="7"/>
      <c r="Y340" s="7"/>
      <c r="Z340" s="7"/>
    </row>
    <row r="341" ht="15.75" customHeight="1">
      <c r="A341" s="12" t="s">
        <v>1732</v>
      </c>
      <c r="B341" s="5" t="s">
        <v>14</v>
      </c>
      <c r="C341" s="5" t="s">
        <v>15</v>
      </c>
      <c r="D341" s="4" t="s">
        <v>1733</v>
      </c>
      <c r="E341" s="4" t="s">
        <v>1734</v>
      </c>
      <c r="F341" s="5" t="s">
        <v>1735</v>
      </c>
      <c r="G341" s="4" t="s">
        <v>1736</v>
      </c>
      <c r="H341" s="5" t="s">
        <v>1735</v>
      </c>
      <c r="I341" s="5" t="s">
        <v>21</v>
      </c>
      <c r="J341" s="5" t="s">
        <v>37</v>
      </c>
      <c r="K341" s="5" t="s">
        <v>66</v>
      </c>
      <c r="L341" s="5" t="s">
        <v>58</v>
      </c>
      <c r="M341" s="7" t="str">
        <f t="shared" si="3"/>
        <v>OK</v>
      </c>
      <c r="N341" s="7"/>
      <c r="O341" s="7"/>
      <c r="P341" s="7"/>
      <c r="Q341" s="7"/>
      <c r="R341" s="7"/>
      <c r="S341" s="7"/>
      <c r="T341" s="7"/>
      <c r="U341" s="7"/>
      <c r="V341" s="7"/>
      <c r="W341" s="7"/>
      <c r="X341" s="7"/>
      <c r="Y341" s="7"/>
      <c r="Z341" s="7"/>
    </row>
    <row r="342" ht="15.75" customHeight="1">
      <c r="A342" s="12" t="s">
        <v>1737</v>
      </c>
      <c r="B342" s="5" t="s">
        <v>14</v>
      </c>
      <c r="C342" s="5" t="s">
        <v>15</v>
      </c>
      <c r="D342" s="5" t="s">
        <v>1738</v>
      </c>
      <c r="E342" s="5" t="s">
        <v>1739</v>
      </c>
      <c r="F342" s="6" t="s">
        <v>1740</v>
      </c>
      <c r="G342" s="5" t="s">
        <v>1741</v>
      </c>
      <c r="H342" s="6" t="s">
        <v>1740</v>
      </c>
      <c r="I342" s="5" t="s">
        <v>21</v>
      </c>
      <c r="J342" s="5" t="s">
        <v>20</v>
      </c>
      <c r="K342" s="5" t="s">
        <v>22</v>
      </c>
      <c r="L342" s="5" t="s">
        <v>23</v>
      </c>
      <c r="M342" s="7" t="str">
        <f t="shared" si="3"/>
        <v>OK</v>
      </c>
      <c r="N342" s="7"/>
      <c r="O342" s="7"/>
      <c r="P342" s="7"/>
      <c r="Q342" s="7"/>
      <c r="R342" s="7"/>
      <c r="S342" s="7"/>
      <c r="T342" s="7"/>
      <c r="U342" s="7"/>
      <c r="V342" s="7"/>
      <c r="W342" s="7"/>
      <c r="X342" s="7"/>
      <c r="Y342" s="7"/>
      <c r="Z342" s="7"/>
    </row>
    <row r="343" ht="15.75" customHeight="1">
      <c r="A343" s="12" t="s">
        <v>1742</v>
      </c>
      <c r="B343" s="5" t="s">
        <v>25</v>
      </c>
      <c r="C343" s="5" t="s">
        <v>15</v>
      </c>
      <c r="D343" s="5" t="s">
        <v>1743</v>
      </c>
      <c r="E343" s="5" t="s">
        <v>1744</v>
      </c>
      <c r="F343" s="5" t="s">
        <v>1745</v>
      </c>
      <c r="G343" s="5" t="s">
        <v>1746</v>
      </c>
      <c r="H343" s="5" t="s">
        <v>1746</v>
      </c>
      <c r="I343" s="5" t="s">
        <v>65</v>
      </c>
      <c r="J343" s="5" t="s">
        <v>31</v>
      </c>
      <c r="K343" s="5" t="s">
        <v>38</v>
      </c>
      <c r="L343" s="5" t="s">
        <v>46</v>
      </c>
      <c r="M343" s="7" t="str">
        <f t="shared" si="3"/>
        <v>OK</v>
      </c>
      <c r="N343" s="7"/>
      <c r="O343" s="7"/>
      <c r="P343" s="7"/>
      <c r="Q343" s="7"/>
      <c r="R343" s="7"/>
      <c r="S343" s="7"/>
      <c r="T343" s="7"/>
      <c r="U343" s="7"/>
      <c r="V343" s="7"/>
      <c r="W343" s="7"/>
      <c r="X343" s="7"/>
      <c r="Y343" s="7"/>
      <c r="Z343" s="7"/>
    </row>
    <row r="344" ht="15.75" customHeight="1">
      <c r="A344" s="12" t="s">
        <v>1747</v>
      </c>
      <c r="B344" s="5" t="s">
        <v>14</v>
      </c>
      <c r="C344" s="5" t="s">
        <v>15</v>
      </c>
      <c r="D344" s="5" t="s">
        <v>1748</v>
      </c>
      <c r="E344" s="5" t="s">
        <v>1749</v>
      </c>
      <c r="F344" s="6" t="s">
        <v>1750</v>
      </c>
      <c r="G344" s="6" t="s">
        <v>1751</v>
      </c>
      <c r="H344" s="6" t="s">
        <v>1751</v>
      </c>
      <c r="I344" s="5" t="s">
        <v>30</v>
      </c>
      <c r="J344" s="5" t="s">
        <v>37</v>
      </c>
      <c r="K344" s="5" t="s">
        <v>23</v>
      </c>
      <c r="L344" s="5" t="s">
        <v>22</v>
      </c>
      <c r="M344" s="7" t="str">
        <f t="shared" si="3"/>
        <v>OK</v>
      </c>
      <c r="N344" s="7"/>
      <c r="O344" s="7"/>
      <c r="P344" s="7"/>
      <c r="Q344" s="7"/>
      <c r="R344" s="7"/>
      <c r="S344" s="7"/>
      <c r="T344" s="7"/>
      <c r="U344" s="7"/>
      <c r="V344" s="7"/>
      <c r="W344" s="7"/>
      <c r="X344" s="7"/>
      <c r="Y344" s="7"/>
      <c r="Z344" s="7"/>
    </row>
    <row r="345" ht="15.75" customHeight="1">
      <c r="A345" s="12" t="s">
        <v>1752</v>
      </c>
      <c r="B345" s="5" t="s">
        <v>14</v>
      </c>
      <c r="C345" s="5" t="s">
        <v>15</v>
      </c>
      <c r="D345" s="4" t="s">
        <v>1753</v>
      </c>
      <c r="E345" s="5" t="s">
        <v>1754</v>
      </c>
      <c r="F345" s="4" t="s">
        <v>1755</v>
      </c>
      <c r="G345" s="4" t="s">
        <v>1756</v>
      </c>
      <c r="H345" s="5" t="s">
        <v>1754</v>
      </c>
      <c r="I345" s="5" t="s">
        <v>45</v>
      </c>
      <c r="J345" s="5" t="s">
        <v>31</v>
      </c>
      <c r="K345" s="5" t="s">
        <v>57</v>
      </c>
      <c r="L345" s="5" t="s">
        <v>46</v>
      </c>
      <c r="M345" s="7" t="str">
        <f t="shared" si="3"/>
        <v>OK</v>
      </c>
      <c r="N345" s="7"/>
      <c r="O345" s="7"/>
      <c r="P345" s="7"/>
      <c r="Q345" s="7"/>
      <c r="R345" s="7"/>
      <c r="S345" s="7"/>
      <c r="T345" s="7"/>
      <c r="U345" s="7"/>
      <c r="V345" s="7"/>
      <c r="W345" s="7"/>
      <c r="X345" s="7"/>
      <c r="Y345" s="7"/>
      <c r="Z345" s="7"/>
    </row>
    <row r="346" ht="15.75" customHeight="1">
      <c r="A346" s="12" t="s">
        <v>1757</v>
      </c>
      <c r="B346" s="5" t="s">
        <v>25</v>
      </c>
      <c r="C346" s="5" t="s">
        <v>15</v>
      </c>
      <c r="D346" s="4" t="s">
        <v>1758</v>
      </c>
      <c r="E346" s="4" t="s">
        <v>1759</v>
      </c>
      <c r="F346" s="4" t="s">
        <v>1760</v>
      </c>
      <c r="G346" s="4" t="s">
        <v>1761</v>
      </c>
      <c r="H346" s="5" t="s">
        <v>1761</v>
      </c>
      <c r="I346" s="5" t="s">
        <v>31</v>
      </c>
      <c r="J346" s="5" t="s">
        <v>65</v>
      </c>
      <c r="K346" s="5" t="s">
        <v>39</v>
      </c>
      <c r="L346" s="5" t="s">
        <v>46</v>
      </c>
      <c r="M346" s="7" t="str">
        <f t="shared" si="3"/>
        <v>OK</v>
      </c>
      <c r="N346" s="7"/>
      <c r="O346" s="7"/>
      <c r="P346" s="7"/>
      <c r="Q346" s="7"/>
      <c r="R346" s="7"/>
      <c r="S346" s="7"/>
      <c r="T346" s="7"/>
      <c r="U346" s="7"/>
      <c r="V346" s="7"/>
      <c r="W346" s="7"/>
      <c r="X346" s="7"/>
      <c r="Y346" s="7"/>
      <c r="Z346" s="7"/>
    </row>
    <row r="347" ht="15.75" customHeight="1">
      <c r="A347" s="12" t="s">
        <v>1762</v>
      </c>
      <c r="B347" s="5" t="s">
        <v>14</v>
      </c>
      <c r="C347" s="5" t="s">
        <v>15</v>
      </c>
      <c r="D347" s="5" t="s">
        <v>1763</v>
      </c>
      <c r="E347" s="6" t="s">
        <v>1764</v>
      </c>
      <c r="F347" s="6" t="s">
        <v>1765</v>
      </c>
      <c r="G347" s="6" t="s">
        <v>1766</v>
      </c>
      <c r="H347" s="6" t="s">
        <v>1766</v>
      </c>
      <c r="I347" s="5" t="s">
        <v>20</v>
      </c>
      <c r="J347" s="5" t="s">
        <v>37</v>
      </c>
      <c r="K347" s="5" t="s">
        <v>38</v>
      </c>
      <c r="L347" s="5" t="s">
        <v>58</v>
      </c>
      <c r="M347" s="7" t="str">
        <f t="shared" si="3"/>
        <v>OK</v>
      </c>
      <c r="N347" s="7"/>
      <c r="O347" s="7"/>
      <c r="P347" s="7"/>
      <c r="Q347" s="7"/>
      <c r="R347" s="7"/>
      <c r="S347" s="7"/>
      <c r="T347" s="7"/>
      <c r="U347" s="7"/>
      <c r="V347" s="7"/>
      <c r="W347" s="7"/>
      <c r="X347" s="7"/>
      <c r="Y347" s="7"/>
      <c r="Z347" s="7"/>
    </row>
    <row r="348" ht="15.75" customHeight="1">
      <c r="A348" s="12" t="s">
        <v>1767</v>
      </c>
      <c r="B348" s="5" t="s">
        <v>25</v>
      </c>
      <c r="C348" s="5" t="s">
        <v>15</v>
      </c>
      <c r="D348" s="4" t="s">
        <v>1768</v>
      </c>
      <c r="E348" s="4" t="s">
        <v>1769</v>
      </c>
      <c r="F348" s="4" t="s">
        <v>1770</v>
      </c>
      <c r="G348" s="4" t="s">
        <v>1771</v>
      </c>
      <c r="H348" s="5" t="s">
        <v>1769</v>
      </c>
      <c r="I348" s="5" t="s">
        <v>30</v>
      </c>
      <c r="J348" s="5" t="s">
        <v>31</v>
      </c>
      <c r="K348" s="5" t="s">
        <v>46</v>
      </c>
      <c r="L348" s="5" t="s">
        <v>66</v>
      </c>
      <c r="M348" s="7" t="str">
        <f t="shared" si="3"/>
        <v>OK</v>
      </c>
      <c r="N348" s="7"/>
      <c r="O348" s="7"/>
      <c r="P348" s="7"/>
      <c r="Q348" s="7"/>
      <c r="R348" s="7"/>
      <c r="S348" s="7"/>
      <c r="T348" s="7"/>
      <c r="U348" s="7"/>
      <c r="V348" s="7"/>
      <c r="W348" s="7"/>
      <c r="X348" s="7"/>
      <c r="Y348" s="7"/>
      <c r="Z348" s="7"/>
    </row>
    <row r="349" ht="15.75" customHeight="1">
      <c r="A349" s="29" t="s">
        <v>1772</v>
      </c>
      <c r="B349" s="10" t="s">
        <v>14</v>
      </c>
      <c r="C349" s="10" t="s">
        <v>15</v>
      </c>
      <c r="D349" s="10" t="s">
        <v>1773</v>
      </c>
      <c r="E349" s="30" t="s">
        <v>1774</v>
      </c>
      <c r="F349" s="6" t="s">
        <v>1775</v>
      </c>
      <c r="G349" s="6" t="s">
        <v>1776</v>
      </c>
      <c r="H349" s="30" t="s">
        <v>1774</v>
      </c>
      <c r="I349" s="10" t="s">
        <v>45</v>
      </c>
      <c r="J349" s="10" t="s">
        <v>37</v>
      </c>
      <c r="K349" s="10" t="s">
        <v>23</v>
      </c>
      <c r="L349" s="10" t="s">
        <v>39</v>
      </c>
      <c r="M349" s="11" t="str">
        <f t="shared" si="3"/>
        <v>OK</v>
      </c>
      <c r="N349" s="11"/>
      <c r="O349" s="11"/>
      <c r="P349" s="11"/>
      <c r="Q349" s="11"/>
      <c r="R349" s="11"/>
      <c r="S349" s="11"/>
      <c r="T349" s="11"/>
      <c r="U349" s="11"/>
      <c r="V349" s="11"/>
      <c r="W349" s="11"/>
      <c r="X349" s="11"/>
      <c r="Y349" s="11"/>
      <c r="Z349" s="11"/>
    </row>
    <row r="350" ht="15.75" customHeight="1">
      <c r="A350" s="12" t="s">
        <v>1777</v>
      </c>
      <c r="B350" s="5" t="s">
        <v>25</v>
      </c>
      <c r="C350" s="5" t="s">
        <v>15</v>
      </c>
      <c r="D350" s="5" t="s">
        <v>1778</v>
      </c>
      <c r="E350" s="5" t="s">
        <v>1779</v>
      </c>
      <c r="F350" s="5" t="s">
        <v>1780</v>
      </c>
      <c r="G350" s="5" t="s">
        <v>1781</v>
      </c>
      <c r="H350" s="5" t="s">
        <v>1779</v>
      </c>
      <c r="I350" s="5" t="s">
        <v>45</v>
      </c>
      <c r="J350" s="5" t="s">
        <v>30</v>
      </c>
      <c r="K350" s="5" t="s">
        <v>23</v>
      </c>
      <c r="L350" s="5" t="s">
        <v>46</v>
      </c>
      <c r="M350" s="7" t="str">
        <f t="shared" si="3"/>
        <v>OK</v>
      </c>
      <c r="N350" s="7"/>
      <c r="O350" s="7"/>
      <c r="P350" s="7"/>
      <c r="Q350" s="7"/>
      <c r="R350" s="7"/>
      <c r="S350" s="7"/>
      <c r="T350" s="7"/>
      <c r="U350" s="7"/>
      <c r="V350" s="7"/>
      <c r="W350" s="7"/>
      <c r="X350" s="7"/>
      <c r="Y350" s="7"/>
      <c r="Z350" s="7"/>
    </row>
    <row r="351" ht="15.75" customHeight="1">
      <c r="A351" s="12" t="s">
        <v>1782</v>
      </c>
      <c r="B351" s="5" t="s">
        <v>25</v>
      </c>
      <c r="C351" s="5" t="s">
        <v>15</v>
      </c>
      <c r="D351" s="5" t="s">
        <v>1783</v>
      </c>
      <c r="E351" s="5" t="s">
        <v>1784</v>
      </c>
      <c r="F351" s="5" t="s">
        <v>1785</v>
      </c>
      <c r="G351" s="5" t="s">
        <v>1786</v>
      </c>
      <c r="H351" s="5" t="s">
        <v>1786</v>
      </c>
      <c r="I351" s="5" t="s">
        <v>37</v>
      </c>
      <c r="J351" s="5" t="s">
        <v>31</v>
      </c>
      <c r="K351" s="5" t="s">
        <v>38</v>
      </c>
      <c r="L351" s="5" t="s">
        <v>46</v>
      </c>
      <c r="M351" s="7" t="str">
        <f t="shared" si="3"/>
        <v>OK</v>
      </c>
      <c r="N351" s="7"/>
      <c r="O351" s="7"/>
      <c r="P351" s="7"/>
      <c r="Q351" s="7"/>
      <c r="R351" s="7"/>
      <c r="S351" s="7"/>
      <c r="T351" s="7"/>
      <c r="U351" s="7"/>
      <c r="V351" s="7"/>
      <c r="W351" s="7"/>
      <c r="X351" s="7"/>
      <c r="Y351" s="7"/>
      <c r="Z351" s="7"/>
    </row>
    <row r="352" ht="15.75" customHeight="1">
      <c r="A352" s="12" t="s">
        <v>1787</v>
      </c>
      <c r="B352" s="5" t="s">
        <v>14</v>
      </c>
      <c r="C352" s="5" t="s">
        <v>15</v>
      </c>
      <c r="D352" s="4" t="s">
        <v>1788</v>
      </c>
      <c r="E352" s="5" t="s">
        <v>1789</v>
      </c>
      <c r="F352" s="4" t="s">
        <v>1790</v>
      </c>
      <c r="G352" s="4" t="s">
        <v>1791</v>
      </c>
      <c r="H352" s="5" t="s">
        <v>1789</v>
      </c>
      <c r="I352" s="5" t="s">
        <v>65</v>
      </c>
      <c r="J352" s="5" t="s">
        <v>31</v>
      </c>
      <c r="K352" s="5" t="s">
        <v>66</v>
      </c>
      <c r="L352" s="5" t="s">
        <v>58</v>
      </c>
      <c r="M352" s="7" t="str">
        <f t="shared" si="3"/>
        <v>OK</v>
      </c>
      <c r="N352" s="7"/>
      <c r="O352" s="7"/>
      <c r="P352" s="7"/>
      <c r="Q352" s="7"/>
      <c r="R352" s="7"/>
      <c r="S352" s="7"/>
      <c r="T352" s="7"/>
      <c r="U352" s="7"/>
      <c r="V352" s="7"/>
      <c r="W352" s="7"/>
      <c r="X352" s="7"/>
      <c r="Y352" s="7"/>
      <c r="Z352" s="7"/>
    </row>
    <row r="353" ht="91.5" customHeight="1">
      <c r="A353" s="12" t="s">
        <v>1792</v>
      </c>
      <c r="B353" s="5" t="s">
        <v>14</v>
      </c>
      <c r="C353" s="5" t="s">
        <v>15</v>
      </c>
      <c r="D353" s="5" t="s">
        <v>1793</v>
      </c>
      <c r="E353" s="5" t="s">
        <v>1794</v>
      </c>
      <c r="F353" s="5" t="s">
        <v>1795</v>
      </c>
      <c r="G353" s="5" t="s">
        <v>1796</v>
      </c>
      <c r="H353" s="5" t="s">
        <v>1795</v>
      </c>
      <c r="I353" s="5" t="s">
        <v>20</v>
      </c>
      <c r="J353" s="5" t="s">
        <v>31</v>
      </c>
      <c r="K353" s="5" t="s">
        <v>132</v>
      </c>
      <c r="L353" s="5" t="s">
        <v>38</v>
      </c>
      <c r="M353" s="7" t="str">
        <f t="shared" si="3"/>
        <v>OK</v>
      </c>
      <c r="N353" s="7"/>
      <c r="O353" s="7"/>
      <c r="P353" s="7"/>
      <c r="Q353" s="7"/>
      <c r="R353" s="7"/>
      <c r="S353" s="7"/>
      <c r="T353" s="7"/>
      <c r="U353" s="7"/>
      <c r="V353" s="7"/>
      <c r="W353" s="7"/>
      <c r="X353" s="7"/>
      <c r="Y353" s="7"/>
      <c r="Z353" s="7"/>
    </row>
    <row r="354" ht="15.75" customHeight="1">
      <c r="A354" s="12" t="s">
        <v>1797</v>
      </c>
      <c r="B354" s="5" t="s">
        <v>14</v>
      </c>
      <c r="C354" s="5" t="s">
        <v>15</v>
      </c>
      <c r="D354" s="5" t="s">
        <v>1798</v>
      </c>
      <c r="E354" s="5" t="s">
        <v>1799</v>
      </c>
      <c r="F354" s="5" t="s">
        <v>1800</v>
      </c>
      <c r="G354" s="5" t="s">
        <v>1801</v>
      </c>
      <c r="H354" s="5" t="s">
        <v>1801</v>
      </c>
      <c r="I354" s="5" t="s">
        <v>45</v>
      </c>
      <c r="J354" s="5" t="s">
        <v>20</v>
      </c>
      <c r="K354" s="5" t="s">
        <v>57</v>
      </c>
      <c r="L354" s="5" t="s">
        <v>39</v>
      </c>
      <c r="M354" s="7" t="str">
        <f t="shared" si="3"/>
        <v>OK</v>
      </c>
      <c r="N354" s="7"/>
      <c r="O354" s="7"/>
      <c r="P354" s="7"/>
      <c r="Q354" s="7"/>
      <c r="R354" s="7"/>
      <c r="S354" s="7"/>
      <c r="T354" s="7"/>
      <c r="U354" s="7"/>
      <c r="V354" s="7"/>
      <c r="W354" s="7"/>
      <c r="X354" s="7"/>
      <c r="Y354" s="7"/>
      <c r="Z354" s="7"/>
    </row>
    <row r="355" ht="15.75" customHeight="1">
      <c r="A355" s="31" t="s">
        <v>1802</v>
      </c>
      <c r="B355" s="22" t="s">
        <v>14</v>
      </c>
      <c r="C355" s="22" t="s">
        <v>15</v>
      </c>
      <c r="D355" s="19" t="s">
        <v>1803</v>
      </c>
      <c r="E355" s="19" t="s">
        <v>1804</v>
      </c>
      <c r="F355" s="19" t="s">
        <v>1805</v>
      </c>
      <c r="G355" s="22" t="s">
        <v>1806</v>
      </c>
      <c r="H355" s="22" t="s">
        <v>1806</v>
      </c>
      <c r="I355" s="22" t="s">
        <v>31</v>
      </c>
      <c r="J355" s="22" t="s">
        <v>37</v>
      </c>
      <c r="K355" s="22" t="s">
        <v>22</v>
      </c>
      <c r="L355" s="22" t="s">
        <v>39</v>
      </c>
      <c r="M355" s="24" t="str">
        <f t="shared" si="3"/>
        <v>OK</v>
      </c>
      <c r="N355" s="24"/>
      <c r="O355" s="24"/>
      <c r="P355" s="24"/>
      <c r="Q355" s="24"/>
      <c r="R355" s="24"/>
      <c r="S355" s="24"/>
      <c r="T355" s="24"/>
      <c r="U355" s="24"/>
      <c r="V355" s="24"/>
      <c r="W355" s="24"/>
      <c r="X355" s="24"/>
      <c r="Y355" s="24"/>
      <c r="Z355" s="24"/>
    </row>
    <row r="356" ht="15.75" customHeight="1">
      <c r="A356" s="12" t="s">
        <v>1807</v>
      </c>
      <c r="B356" s="5" t="s">
        <v>25</v>
      </c>
      <c r="C356" s="5" t="s">
        <v>15</v>
      </c>
      <c r="D356" s="5" t="s">
        <v>1808</v>
      </c>
      <c r="E356" s="5" t="s">
        <v>1809</v>
      </c>
      <c r="F356" s="5" t="s">
        <v>1810</v>
      </c>
      <c r="G356" s="5" t="s">
        <v>1811</v>
      </c>
      <c r="H356" s="5" t="s">
        <v>1810</v>
      </c>
      <c r="I356" s="5" t="s">
        <v>21</v>
      </c>
      <c r="J356" s="5" t="s">
        <v>20</v>
      </c>
      <c r="K356" s="5" t="s">
        <v>38</v>
      </c>
      <c r="L356" s="5" t="s">
        <v>58</v>
      </c>
      <c r="M356" s="7" t="str">
        <f t="shared" si="3"/>
        <v>OK</v>
      </c>
      <c r="N356" s="7"/>
      <c r="O356" s="7"/>
      <c r="P356" s="7"/>
      <c r="Q356" s="7"/>
      <c r="R356" s="7"/>
      <c r="S356" s="7"/>
      <c r="T356" s="7"/>
      <c r="U356" s="7"/>
      <c r="V356" s="7"/>
      <c r="W356" s="7"/>
      <c r="X356" s="7"/>
      <c r="Y356" s="7"/>
      <c r="Z356" s="7"/>
    </row>
    <row r="357" ht="15.75" customHeight="1">
      <c r="A357" s="12" t="s">
        <v>1812</v>
      </c>
      <c r="B357" s="5" t="s">
        <v>25</v>
      </c>
      <c r="C357" s="5" t="s">
        <v>15</v>
      </c>
      <c r="D357" s="5" t="s">
        <v>1813</v>
      </c>
      <c r="E357" s="5" t="s">
        <v>1814</v>
      </c>
      <c r="F357" s="5" t="s">
        <v>1815</v>
      </c>
      <c r="G357" s="5" t="s">
        <v>1816</v>
      </c>
      <c r="H357" s="5" t="s">
        <v>1814</v>
      </c>
      <c r="I357" s="5" t="s">
        <v>30</v>
      </c>
      <c r="J357" s="5" t="s">
        <v>37</v>
      </c>
      <c r="K357" s="5" t="s">
        <v>46</v>
      </c>
      <c r="L357" s="5" t="s">
        <v>66</v>
      </c>
      <c r="M357" s="7" t="str">
        <f t="shared" si="3"/>
        <v>OK</v>
      </c>
      <c r="N357" s="7"/>
      <c r="O357" s="7"/>
      <c r="P357" s="7"/>
      <c r="Q357" s="7"/>
      <c r="R357" s="7"/>
      <c r="S357" s="7"/>
      <c r="T357" s="7"/>
      <c r="U357" s="7"/>
      <c r="V357" s="7"/>
      <c r="W357" s="7"/>
      <c r="X357" s="7"/>
      <c r="Y357" s="7"/>
      <c r="Z357" s="7"/>
    </row>
    <row r="358" ht="15.75" customHeight="1">
      <c r="A358" s="12" t="s">
        <v>1817</v>
      </c>
      <c r="B358" s="5" t="s">
        <v>25</v>
      </c>
      <c r="C358" s="5" t="s">
        <v>15</v>
      </c>
      <c r="D358" s="5" t="s">
        <v>1818</v>
      </c>
      <c r="E358" s="5" t="s">
        <v>1819</v>
      </c>
      <c r="F358" s="5" t="s">
        <v>1820</v>
      </c>
      <c r="G358" s="5" t="s">
        <v>1821</v>
      </c>
      <c r="H358" s="5" t="s">
        <v>1820</v>
      </c>
      <c r="I358" s="5" t="s">
        <v>21</v>
      </c>
      <c r="J358" s="5" t="s">
        <v>37</v>
      </c>
      <c r="K358" s="5" t="s">
        <v>46</v>
      </c>
      <c r="L358" s="5" t="s">
        <v>22</v>
      </c>
      <c r="M358" s="7" t="str">
        <f t="shared" si="3"/>
        <v>OK</v>
      </c>
      <c r="N358" s="7"/>
      <c r="O358" s="7"/>
      <c r="P358" s="7"/>
      <c r="Q358" s="7"/>
      <c r="R358" s="7"/>
      <c r="S358" s="7"/>
      <c r="T358" s="7"/>
      <c r="U358" s="7"/>
      <c r="V358" s="7"/>
      <c r="W358" s="7"/>
      <c r="X358" s="7"/>
      <c r="Y358" s="7"/>
      <c r="Z358" s="7"/>
    </row>
    <row r="359" ht="15.75" customHeight="1">
      <c r="A359" s="12" t="s">
        <v>1822</v>
      </c>
      <c r="B359" s="5" t="s">
        <v>25</v>
      </c>
      <c r="C359" s="5" t="s">
        <v>15</v>
      </c>
      <c r="D359" s="4" t="s">
        <v>1823</v>
      </c>
      <c r="E359" s="4" t="s">
        <v>1824</v>
      </c>
      <c r="F359" s="4" t="s">
        <v>1825</v>
      </c>
      <c r="G359" s="4" t="s">
        <v>1826</v>
      </c>
      <c r="H359" s="5" t="s">
        <v>1825</v>
      </c>
      <c r="I359" s="5" t="s">
        <v>31</v>
      </c>
      <c r="J359" s="5" t="s">
        <v>21</v>
      </c>
      <c r="K359" s="5" t="s">
        <v>58</v>
      </c>
      <c r="L359" s="5" t="s">
        <v>46</v>
      </c>
      <c r="M359" s="7" t="str">
        <f t="shared" si="3"/>
        <v>OK</v>
      </c>
      <c r="N359" s="7"/>
      <c r="O359" s="7"/>
      <c r="P359" s="7"/>
      <c r="Q359" s="7"/>
      <c r="R359" s="7"/>
      <c r="S359" s="7"/>
      <c r="T359" s="7"/>
      <c r="U359" s="7"/>
      <c r="V359" s="7"/>
      <c r="W359" s="7"/>
      <c r="X359" s="7"/>
      <c r="Y359" s="7"/>
      <c r="Z359" s="7"/>
    </row>
    <row r="360" ht="15.75" customHeight="1">
      <c r="A360" s="12" t="s">
        <v>1827</v>
      </c>
      <c r="B360" s="5" t="s">
        <v>25</v>
      </c>
      <c r="C360" s="5" t="s">
        <v>15</v>
      </c>
      <c r="D360" s="5" t="s">
        <v>1828</v>
      </c>
      <c r="E360" s="5" t="s">
        <v>1829</v>
      </c>
      <c r="F360" s="5" t="s">
        <v>1830</v>
      </c>
      <c r="G360" s="5" t="s">
        <v>1831</v>
      </c>
      <c r="H360" s="5" t="s">
        <v>1829</v>
      </c>
      <c r="I360" s="5" t="s">
        <v>65</v>
      </c>
      <c r="J360" s="5" t="s">
        <v>21</v>
      </c>
      <c r="K360" s="5" t="s">
        <v>38</v>
      </c>
      <c r="L360" s="5" t="s">
        <v>46</v>
      </c>
      <c r="M360" s="7" t="str">
        <f t="shared" si="3"/>
        <v>OK</v>
      </c>
      <c r="N360" s="7"/>
      <c r="O360" s="7"/>
      <c r="P360" s="7"/>
      <c r="Q360" s="7"/>
      <c r="R360" s="7"/>
      <c r="S360" s="7"/>
      <c r="T360" s="7"/>
      <c r="U360" s="7"/>
      <c r="V360" s="7"/>
      <c r="W360" s="7"/>
      <c r="X360" s="7"/>
      <c r="Y360" s="7"/>
      <c r="Z360" s="7"/>
    </row>
    <row r="361" ht="15.75" customHeight="1">
      <c r="A361" s="12" t="s">
        <v>1832</v>
      </c>
      <c r="B361" s="5" t="s">
        <v>25</v>
      </c>
      <c r="C361" s="5" t="s">
        <v>15</v>
      </c>
      <c r="D361" s="5" t="s">
        <v>1833</v>
      </c>
      <c r="E361" s="5" t="s">
        <v>1834</v>
      </c>
      <c r="F361" s="5" t="s">
        <v>1835</v>
      </c>
      <c r="G361" s="5" t="s">
        <v>1836</v>
      </c>
      <c r="H361" s="5" t="s">
        <v>1837</v>
      </c>
      <c r="I361" s="5" t="s">
        <v>20</v>
      </c>
      <c r="J361" s="5" t="s">
        <v>37</v>
      </c>
      <c r="K361" s="5" t="s">
        <v>57</v>
      </c>
      <c r="L361" s="5" t="s">
        <v>22</v>
      </c>
      <c r="M361" s="7" t="str">
        <f t="shared" si="3"/>
        <v>OK</v>
      </c>
      <c r="N361" s="7"/>
      <c r="O361" s="7"/>
      <c r="P361" s="7"/>
      <c r="Q361" s="7"/>
      <c r="R361" s="7"/>
      <c r="S361" s="7"/>
      <c r="T361" s="7"/>
      <c r="U361" s="7"/>
      <c r="V361" s="7"/>
      <c r="W361" s="7"/>
      <c r="X361" s="7"/>
      <c r="Y361" s="7"/>
      <c r="Z361" s="7"/>
    </row>
    <row r="362" ht="15.75" customHeight="1">
      <c r="A362" s="12" t="s">
        <v>1838</v>
      </c>
      <c r="B362" s="5" t="s">
        <v>25</v>
      </c>
      <c r="C362" s="5" t="s">
        <v>15</v>
      </c>
      <c r="D362" s="5" t="s">
        <v>1839</v>
      </c>
      <c r="E362" s="5" t="s">
        <v>1840</v>
      </c>
      <c r="F362" s="5" t="s">
        <v>1841</v>
      </c>
      <c r="G362" s="5" t="s">
        <v>1842</v>
      </c>
      <c r="H362" s="5" t="s">
        <v>1840</v>
      </c>
      <c r="I362" s="5" t="s">
        <v>31</v>
      </c>
      <c r="J362" s="5" t="s">
        <v>20</v>
      </c>
      <c r="K362" s="5" t="s">
        <v>132</v>
      </c>
      <c r="L362" s="5" t="s">
        <v>38</v>
      </c>
      <c r="M362" s="7" t="str">
        <f t="shared" si="3"/>
        <v>OK</v>
      </c>
      <c r="N362" s="7"/>
      <c r="O362" s="7"/>
      <c r="P362" s="7"/>
      <c r="Q362" s="7"/>
      <c r="R362" s="7"/>
      <c r="S362" s="7"/>
      <c r="T362" s="7"/>
      <c r="U362" s="7"/>
      <c r="V362" s="7"/>
      <c r="W362" s="7"/>
      <c r="X362" s="7"/>
      <c r="Y362" s="7"/>
      <c r="Z362" s="7"/>
    </row>
    <row r="363" ht="15.75" customHeight="1">
      <c r="A363" s="12" t="s">
        <v>1843</v>
      </c>
      <c r="B363" s="5" t="s">
        <v>14</v>
      </c>
      <c r="C363" s="5" t="s">
        <v>15</v>
      </c>
      <c r="D363" s="4" t="s">
        <v>1844</v>
      </c>
      <c r="E363" s="4" t="s">
        <v>1845</v>
      </c>
      <c r="F363" s="5" t="s">
        <v>1846</v>
      </c>
      <c r="G363" s="4" t="s">
        <v>1847</v>
      </c>
      <c r="H363" s="5" t="s">
        <v>1846</v>
      </c>
      <c r="I363" s="5" t="s">
        <v>20</v>
      </c>
      <c r="J363" s="5" t="s">
        <v>30</v>
      </c>
      <c r="K363" s="5" t="s">
        <v>66</v>
      </c>
      <c r="L363" s="5" t="s">
        <v>132</v>
      </c>
      <c r="M363" s="7" t="str">
        <f t="shared" si="3"/>
        <v>OK</v>
      </c>
      <c r="N363" s="7"/>
      <c r="O363" s="7"/>
      <c r="P363" s="7"/>
      <c r="Q363" s="7"/>
      <c r="R363" s="7"/>
      <c r="S363" s="7"/>
      <c r="T363" s="7"/>
      <c r="U363" s="7"/>
      <c r="V363" s="7"/>
      <c r="W363" s="7"/>
      <c r="X363" s="7"/>
      <c r="Y363" s="7"/>
      <c r="Z363" s="7"/>
    </row>
    <row r="364" ht="15.75" customHeight="1">
      <c r="A364" s="12" t="s">
        <v>1848</v>
      </c>
      <c r="B364" s="5" t="s">
        <v>14</v>
      </c>
      <c r="C364" s="5" t="s">
        <v>15</v>
      </c>
      <c r="D364" s="5" t="s">
        <v>1849</v>
      </c>
      <c r="E364" s="6" t="s">
        <v>1850</v>
      </c>
      <c r="F364" s="5" t="s">
        <v>1851</v>
      </c>
      <c r="G364" s="6" t="s">
        <v>1852</v>
      </c>
      <c r="H364" s="5" t="s">
        <v>1851</v>
      </c>
      <c r="I364" s="5" t="s">
        <v>20</v>
      </c>
      <c r="J364" s="5" t="s">
        <v>64</v>
      </c>
      <c r="K364" s="5" t="s">
        <v>57</v>
      </c>
      <c r="L364" s="5" t="s">
        <v>46</v>
      </c>
      <c r="M364" s="7" t="str">
        <f t="shared" si="3"/>
        <v>OK</v>
      </c>
      <c r="N364" s="7"/>
      <c r="O364" s="7"/>
      <c r="P364" s="7"/>
      <c r="Q364" s="7"/>
      <c r="R364" s="7"/>
      <c r="S364" s="7"/>
      <c r="T364" s="7"/>
      <c r="U364" s="7"/>
      <c r="V364" s="7"/>
      <c r="W364" s="7"/>
      <c r="X364" s="7"/>
      <c r="Y364" s="7"/>
      <c r="Z364" s="7"/>
    </row>
    <row r="365" ht="15.75" customHeight="1">
      <c r="A365" s="12" t="s">
        <v>1853</v>
      </c>
      <c r="B365" s="5" t="s">
        <v>14</v>
      </c>
      <c r="C365" s="5" t="s">
        <v>15</v>
      </c>
      <c r="D365" s="4" t="s">
        <v>1854</v>
      </c>
      <c r="E365" s="4" t="s">
        <v>1855</v>
      </c>
      <c r="F365" s="5" t="s">
        <v>1856</v>
      </c>
      <c r="G365" s="4" t="s">
        <v>1857</v>
      </c>
      <c r="H365" s="5" t="s">
        <v>1856</v>
      </c>
      <c r="I365" s="5" t="s">
        <v>45</v>
      </c>
      <c r="J365" s="5" t="s">
        <v>37</v>
      </c>
      <c r="K365" s="5" t="s">
        <v>132</v>
      </c>
      <c r="L365" s="5" t="s">
        <v>22</v>
      </c>
      <c r="M365" s="7" t="str">
        <f t="shared" si="3"/>
        <v>OK</v>
      </c>
      <c r="N365" s="7"/>
      <c r="O365" s="7"/>
      <c r="P365" s="7"/>
      <c r="Q365" s="7"/>
      <c r="R365" s="7"/>
      <c r="S365" s="7"/>
      <c r="T365" s="7"/>
      <c r="U365" s="7"/>
      <c r="V365" s="7"/>
      <c r="W365" s="7"/>
      <c r="X365" s="7"/>
      <c r="Y365" s="7"/>
      <c r="Z365" s="7"/>
    </row>
    <row r="366" ht="15.75" customHeight="1">
      <c r="A366" s="12" t="s">
        <v>1858</v>
      </c>
      <c r="B366" s="5" t="s">
        <v>25</v>
      </c>
      <c r="C366" s="5" t="s">
        <v>15</v>
      </c>
      <c r="D366" s="5" t="s">
        <v>1859</v>
      </c>
      <c r="E366" s="5" t="s">
        <v>1860</v>
      </c>
      <c r="F366" s="5" t="s">
        <v>1861</v>
      </c>
      <c r="G366" s="5" t="s">
        <v>1862</v>
      </c>
      <c r="H366" s="5" t="s">
        <v>1861</v>
      </c>
      <c r="I366" s="5" t="s">
        <v>30</v>
      </c>
      <c r="J366" s="5" t="s">
        <v>31</v>
      </c>
      <c r="K366" s="5" t="s">
        <v>22</v>
      </c>
      <c r="L366" s="5" t="s">
        <v>132</v>
      </c>
      <c r="M366" s="7" t="str">
        <f t="shared" si="3"/>
        <v>OK</v>
      </c>
      <c r="N366" s="7"/>
      <c r="O366" s="7"/>
      <c r="P366" s="7"/>
      <c r="Q366" s="7"/>
      <c r="R366" s="7"/>
      <c r="S366" s="7"/>
      <c r="T366" s="7"/>
      <c r="U366" s="7"/>
      <c r="V366" s="7"/>
      <c r="W366" s="7"/>
      <c r="X366" s="7"/>
      <c r="Y366" s="7"/>
      <c r="Z366" s="7"/>
    </row>
    <row r="367" ht="15.75" customHeight="1">
      <c r="A367" s="12" t="s">
        <v>1863</v>
      </c>
      <c r="B367" s="5" t="s">
        <v>14</v>
      </c>
      <c r="C367" s="5" t="s">
        <v>15</v>
      </c>
      <c r="D367" s="5" t="s">
        <v>1864</v>
      </c>
      <c r="E367" s="6" t="s">
        <v>1865</v>
      </c>
      <c r="F367" s="6" t="s">
        <v>1866</v>
      </c>
      <c r="G367" s="6" t="s">
        <v>1867</v>
      </c>
      <c r="H367" s="6" t="s">
        <v>1867</v>
      </c>
      <c r="I367" s="5" t="s">
        <v>21</v>
      </c>
      <c r="J367" s="5" t="s">
        <v>37</v>
      </c>
      <c r="K367" s="5" t="s">
        <v>23</v>
      </c>
      <c r="L367" s="5" t="s">
        <v>58</v>
      </c>
      <c r="M367" s="7" t="str">
        <f t="shared" si="3"/>
        <v>OK</v>
      </c>
      <c r="N367" s="7"/>
      <c r="O367" s="7"/>
      <c r="P367" s="7"/>
      <c r="Q367" s="7"/>
      <c r="R367" s="7"/>
      <c r="S367" s="7"/>
      <c r="T367" s="7"/>
      <c r="U367" s="7"/>
      <c r="V367" s="7"/>
      <c r="W367" s="7"/>
      <c r="X367" s="7"/>
      <c r="Y367" s="7"/>
      <c r="Z367" s="7"/>
    </row>
    <row r="368" ht="15.75" customHeight="1">
      <c r="A368" s="14" t="s">
        <v>1868</v>
      </c>
      <c r="B368" s="5" t="s">
        <v>14</v>
      </c>
      <c r="C368" s="5" t="s">
        <v>15</v>
      </c>
      <c r="D368" s="6" t="s">
        <v>1869</v>
      </c>
      <c r="E368" s="6" t="s">
        <v>1870</v>
      </c>
      <c r="F368" s="6" t="s">
        <v>1871</v>
      </c>
      <c r="G368" s="6" t="s">
        <v>1872</v>
      </c>
      <c r="H368" s="6" t="s">
        <v>1872</v>
      </c>
      <c r="I368" s="5" t="s">
        <v>21</v>
      </c>
      <c r="J368" s="5" t="s">
        <v>64</v>
      </c>
      <c r="K368" s="5" t="s">
        <v>46</v>
      </c>
      <c r="L368" s="5" t="s">
        <v>39</v>
      </c>
      <c r="M368" s="7" t="str">
        <f t="shared" si="3"/>
        <v>OK</v>
      </c>
    </row>
    <row r="369" ht="15.75" customHeight="1">
      <c r="A369" s="14" t="s">
        <v>1873</v>
      </c>
      <c r="B369" s="5" t="s">
        <v>14</v>
      </c>
      <c r="C369" s="5" t="s">
        <v>15</v>
      </c>
      <c r="D369" s="6" t="s">
        <v>1874</v>
      </c>
      <c r="E369" s="6" t="s">
        <v>1875</v>
      </c>
      <c r="F369" s="6" t="s">
        <v>1876</v>
      </c>
      <c r="G369" s="6" t="s">
        <v>1877</v>
      </c>
      <c r="H369" s="6" t="s">
        <v>1877</v>
      </c>
      <c r="I369" s="5" t="s">
        <v>21</v>
      </c>
      <c r="J369" s="5" t="s">
        <v>20</v>
      </c>
      <c r="K369" s="5" t="s">
        <v>66</v>
      </c>
      <c r="L369" s="5" t="s">
        <v>58</v>
      </c>
      <c r="M369" s="7" t="str">
        <f t="shared" si="3"/>
        <v>OK</v>
      </c>
    </row>
    <row r="370" ht="15.75" customHeight="1">
      <c r="A370" s="14" t="s">
        <v>1878</v>
      </c>
      <c r="B370" s="5" t="s">
        <v>14</v>
      </c>
      <c r="C370" s="5" t="s">
        <v>15</v>
      </c>
      <c r="D370" s="6" t="s">
        <v>1879</v>
      </c>
      <c r="E370" s="6" t="s">
        <v>1880</v>
      </c>
      <c r="F370" s="6" t="s">
        <v>1881</v>
      </c>
      <c r="G370" s="6" t="s">
        <v>1882</v>
      </c>
      <c r="H370" s="6" t="s">
        <v>1881</v>
      </c>
      <c r="I370" s="5" t="s">
        <v>65</v>
      </c>
      <c r="J370" s="5" t="s">
        <v>37</v>
      </c>
      <c r="K370" s="5" t="s">
        <v>132</v>
      </c>
      <c r="L370" s="5" t="s">
        <v>58</v>
      </c>
      <c r="M370" s="7" t="str">
        <f t="shared" si="3"/>
        <v>OK</v>
      </c>
    </row>
    <row r="371" ht="15.75" customHeight="1">
      <c r="A371" s="12" t="s">
        <v>1883</v>
      </c>
      <c r="B371" s="5" t="s">
        <v>25</v>
      </c>
      <c r="C371" s="5" t="s">
        <v>15</v>
      </c>
      <c r="D371" s="4" t="s">
        <v>1884</v>
      </c>
      <c r="E371" s="4" t="s">
        <v>1885</v>
      </c>
      <c r="F371" s="4" t="s">
        <v>1886</v>
      </c>
      <c r="G371" s="4" t="s">
        <v>1887</v>
      </c>
      <c r="H371" s="5" t="s">
        <v>1887</v>
      </c>
      <c r="I371" s="5" t="s">
        <v>45</v>
      </c>
      <c r="J371" s="5" t="s">
        <v>21</v>
      </c>
      <c r="K371" s="5" t="s">
        <v>39</v>
      </c>
      <c r="L371" s="5" t="s">
        <v>22</v>
      </c>
      <c r="M371" s="7" t="str">
        <f t="shared" si="3"/>
        <v>OK</v>
      </c>
      <c r="N371" s="7"/>
      <c r="O371" s="7"/>
      <c r="P371" s="7"/>
      <c r="Q371" s="7"/>
      <c r="R371" s="7"/>
      <c r="S371" s="7"/>
      <c r="T371" s="7"/>
      <c r="U371" s="7"/>
      <c r="V371" s="7"/>
      <c r="W371" s="7"/>
      <c r="X371" s="7"/>
      <c r="Y371" s="7"/>
      <c r="Z371" s="7"/>
    </row>
    <row r="372" ht="15.75" customHeight="1">
      <c r="A372" s="12" t="s">
        <v>1888</v>
      </c>
      <c r="B372" s="5" t="s">
        <v>14</v>
      </c>
      <c r="C372" s="5" t="s">
        <v>15</v>
      </c>
      <c r="D372" s="5" t="s">
        <v>1889</v>
      </c>
      <c r="E372" s="6" t="s">
        <v>1890</v>
      </c>
      <c r="F372" s="6" t="s">
        <v>1891</v>
      </c>
      <c r="G372" s="6" t="s">
        <v>1892</v>
      </c>
      <c r="H372" s="6" t="s">
        <v>1892</v>
      </c>
      <c r="I372" s="5" t="s">
        <v>21</v>
      </c>
      <c r="J372" s="5" t="s">
        <v>31</v>
      </c>
      <c r="K372" s="5" t="s">
        <v>39</v>
      </c>
      <c r="L372" s="5" t="s">
        <v>46</v>
      </c>
      <c r="M372" s="7" t="str">
        <f t="shared" si="3"/>
        <v>OK</v>
      </c>
      <c r="N372" s="7"/>
      <c r="O372" s="7"/>
      <c r="P372" s="7"/>
      <c r="Q372" s="7"/>
      <c r="R372" s="7"/>
      <c r="S372" s="7"/>
      <c r="T372" s="7"/>
      <c r="U372" s="7"/>
      <c r="V372" s="7"/>
      <c r="W372" s="7"/>
      <c r="X372" s="7"/>
      <c r="Y372" s="7"/>
      <c r="Z372" s="7"/>
    </row>
    <row r="373" ht="15.75" customHeight="1">
      <c r="A373" s="12" t="s">
        <v>1893</v>
      </c>
      <c r="B373" s="5" t="s">
        <v>14</v>
      </c>
      <c r="C373" s="5" t="s">
        <v>15</v>
      </c>
      <c r="D373" s="5" t="s">
        <v>1894</v>
      </c>
      <c r="E373" s="6" t="s">
        <v>1895</v>
      </c>
      <c r="F373" s="6" t="s">
        <v>1896</v>
      </c>
      <c r="G373" s="6" t="s">
        <v>1897</v>
      </c>
      <c r="H373" s="6" t="s">
        <v>1897</v>
      </c>
      <c r="I373" s="5" t="s">
        <v>20</v>
      </c>
      <c r="J373" s="5" t="s">
        <v>37</v>
      </c>
      <c r="K373" s="5" t="s">
        <v>38</v>
      </c>
      <c r="L373" s="5" t="s">
        <v>132</v>
      </c>
      <c r="M373" s="7" t="str">
        <f t="shared" si="3"/>
        <v>OK</v>
      </c>
      <c r="N373" s="7"/>
      <c r="O373" s="7"/>
      <c r="P373" s="7"/>
      <c r="Q373" s="7"/>
      <c r="R373" s="7"/>
      <c r="S373" s="7"/>
      <c r="T373" s="7"/>
      <c r="U373" s="7"/>
      <c r="V373" s="7"/>
      <c r="W373" s="7"/>
      <c r="X373" s="7"/>
      <c r="Y373" s="7"/>
      <c r="Z373" s="7"/>
    </row>
    <row r="374" ht="15.75" customHeight="1">
      <c r="A374" s="12" t="s">
        <v>1898</v>
      </c>
      <c r="B374" s="5" t="s">
        <v>25</v>
      </c>
      <c r="C374" s="5" t="s">
        <v>15</v>
      </c>
      <c r="D374" s="5" t="s">
        <v>1899</v>
      </c>
      <c r="E374" s="5" t="s">
        <v>1900</v>
      </c>
      <c r="F374" s="5" t="s">
        <v>1901</v>
      </c>
      <c r="G374" s="5" t="s">
        <v>1902</v>
      </c>
      <c r="H374" s="5" t="s">
        <v>1900</v>
      </c>
      <c r="I374" s="5" t="s">
        <v>37</v>
      </c>
      <c r="J374" s="5" t="s">
        <v>45</v>
      </c>
      <c r="K374" s="5" t="s">
        <v>23</v>
      </c>
      <c r="L374" s="5" t="s">
        <v>46</v>
      </c>
      <c r="M374" s="7" t="str">
        <f t="shared" si="3"/>
        <v>OK</v>
      </c>
      <c r="N374" s="7"/>
      <c r="O374" s="7"/>
      <c r="P374" s="7"/>
      <c r="Q374" s="7"/>
      <c r="R374" s="7"/>
      <c r="S374" s="7"/>
      <c r="T374" s="7"/>
      <c r="U374" s="7"/>
      <c r="V374" s="7"/>
      <c r="W374" s="7"/>
      <c r="X374" s="7"/>
      <c r="Y374" s="7"/>
      <c r="Z374" s="7"/>
    </row>
    <row r="375" ht="15.75" customHeight="1">
      <c r="A375" s="12" t="s">
        <v>1903</v>
      </c>
      <c r="B375" s="5" t="s">
        <v>25</v>
      </c>
      <c r="C375" s="5" t="s">
        <v>15</v>
      </c>
      <c r="D375" s="5" t="s">
        <v>1904</v>
      </c>
      <c r="E375" s="5" t="s">
        <v>1905</v>
      </c>
      <c r="F375" s="5" t="s">
        <v>1906</v>
      </c>
      <c r="G375" s="5" t="s">
        <v>1907</v>
      </c>
      <c r="H375" s="5" t="s">
        <v>1906</v>
      </c>
      <c r="I375" s="5" t="s">
        <v>45</v>
      </c>
      <c r="J375" s="5" t="s">
        <v>21</v>
      </c>
      <c r="K375" s="5" t="s">
        <v>46</v>
      </c>
      <c r="L375" s="5" t="s">
        <v>39</v>
      </c>
      <c r="M375" s="7" t="str">
        <f t="shared" si="3"/>
        <v>OK</v>
      </c>
      <c r="N375" s="7"/>
      <c r="O375" s="7"/>
      <c r="P375" s="7"/>
      <c r="Q375" s="7"/>
      <c r="R375" s="7"/>
      <c r="S375" s="7"/>
      <c r="T375" s="7"/>
      <c r="U375" s="7"/>
      <c r="V375" s="7"/>
      <c r="W375" s="7"/>
      <c r="X375" s="7"/>
      <c r="Y375" s="7"/>
      <c r="Z375" s="7"/>
    </row>
    <row r="376" ht="15.75" customHeight="1">
      <c r="A376" s="12" t="s">
        <v>1908</v>
      </c>
      <c r="B376" s="5" t="s">
        <v>14</v>
      </c>
      <c r="C376" s="5" t="s">
        <v>15</v>
      </c>
      <c r="D376" s="5" t="s">
        <v>1909</v>
      </c>
      <c r="E376" s="5" t="s">
        <v>1910</v>
      </c>
      <c r="F376" s="5" t="s">
        <v>1911</v>
      </c>
      <c r="G376" s="5" t="s">
        <v>1912</v>
      </c>
      <c r="H376" s="5" t="s">
        <v>1912</v>
      </c>
      <c r="I376" s="5" t="s">
        <v>21</v>
      </c>
      <c r="J376" s="5" t="s">
        <v>20</v>
      </c>
      <c r="K376" s="5" t="s">
        <v>23</v>
      </c>
      <c r="L376" s="5" t="s">
        <v>22</v>
      </c>
      <c r="M376" s="7" t="str">
        <f t="shared" si="3"/>
        <v>OK</v>
      </c>
      <c r="N376" s="7"/>
      <c r="O376" s="7"/>
      <c r="P376" s="7"/>
      <c r="Q376" s="7"/>
      <c r="R376" s="7"/>
      <c r="S376" s="7"/>
      <c r="T376" s="7"/>
      <c r="U376" s="7"/>
      <c r="V376" s="7"/>
      <c r="W376" s="7"/>
      <c r="X376" s="7"/>
      <c r="Y376" s="7"/>
      <c r="Z376" s="7"/>
    </row>
    <row r="377" ht="15.75" customHeight="1">
      <c r="A377" s="12" t="s">
        <v>1913</v>
      </c>
      <c r="B377" s="5" t="s">
        <v>25</v>
      </c>
      <c r="C377" s="5" t="s">
        <v>15</v>
      </c>
      <c r="D377" s="5" t="s">
        <v>1914</v>
      </c>
      <c r="E377" s="5" t="s">
        <v>1915</v>
      </c>
      <c r="F377" s="5" t="s">
        <v>1916</v>
      </c>
      <c r="G377" s="5" t="s">
        <v>1917</v>
      </c>
      <c r="H377" s="5" t="s">
        <v>1915</v>
      </c>
      <c r="I377" s="5" t="s">
        <v>30</v>
      </c>
      <c r="J377" s="5" t="s">
        <v>37</v>
      </c>
      <c r="K377" s="5" t="s">
        <v>39</v>
      </c>
      <c r="L377" s="5" t="s">
        <v>46</v>
      </c>
      <c r="M377" s="7" t="str">
        <f t="shared" si="3"/>
        <v>OK</v>
      </c>
      <c r="N377" s="7"/>
      <c r="O377" s="7"/>
      <c r="P377" s="7"/>
      <c r="Q377" s="7"/>
      <c r="R377" s="7"/>
      <c r="S377" s="7"/>
      <c r="T377" s="7"/>
      <c r="U377" s="7"/>
      <c r="V377" s="7"/>
      <c r="W377" s="7"/>
      <c r="X377" s="7"/>
      <c r="Y377" s="7"/>
      <c r="Z377" s="7"/>
    </row>
    <row r="378" ht="15.75" customHeight="1">
      <c r="A378" s="12" t="s">
        <v>1918</v>
      </c>
      <c r="B378" s="5" t="s">
        <v>14</v>
      </c>
      <c r="C378" s="5" t="s">
        <v>15</v>
      </c>
      <c r="D378" s="4" t="s">
        <v>1919</v>
      </c>
      <c r="E378" s="4" t="s">
        <v>1920</v>
      </c>
      <c r="F378" s="4" t="s">
        <v>1921</v>
      </c>
      <c r="G378" s="5" t="s">
        <v>1922</v>
      </c>
      <c r="H378" s="5" t="s">
        <v>1922</v>
      </c>
      <c r="I378" s="5" t="s">
        <v>45</v>
      </c>
      <c r="J378" s="5" t="s">
        <v>37</v>
      </c>
      <c r="K378" s="5" t="s">
        <v>58</v>
      </c>
      <c r="L378" s="5" t="s">
        <v>132</v>
      </c>
      <c r="M378" s="7" t="str">
        <f t="shared" si="3"/>
        <v>OK</v>
      </c>
      <c r="N378" s="7"/>
      <c r="O378" s="7"/>
      <c r="P378" s="7"/>
      <c r="Q378" s="7"/>
      <c r="R378" s="7"/>
      <c r="S378" s="7"/>
      <c r="T378" s="7"/>
      <c r="U378" s="7"/>
      <c r="V378" s="7"/>
      <c r="W378" s="7"/>
      <c r="X378" s="7"/>
      <c r="Y378" s="7"/>
      <c r="Z378" s="7"/>
    </row>
    <row r="379" ht="15.75" customHeight="1">
      <c r="A379" s="12" t="s">
        <v>1923</v>
      </c>
      <c r="B379" s="5" t="s">
        <v>25</v>
      </c>
      <c r="C379" s="5" t="s">
        <v>15</v>
      </c>
      <c r="D379" s="5" t="s">
        <v>1924</v>
      </c>
      <c r="E379" s="5" t="s">
        <v>1925</v>
      </c>
      <c r="F379" s="5" t="s">
        <v>1926</v>
      </c>
      <c r="G379" s="5" t="s">
        <v>1927</v>
      </c>
      <c r="H379" s="5" t="s">
        <v>1925</v>
      </c>
      <c r="I379" s="5" t="s">
        <v>45</v>
      </c>
      <c r="J379" s="5" t="s">
        <v>20</v>
      </c>
      <c r="K379" s="5" t="s">
        <v>58</v>
      </c>
      <c r="L379" s="5" t="s">
        <v>46</v>
      </c>
      <c r="M379" s="7" t="str">
        <f t="shared" si="3"/>
        <v>OK</v>
      </c>
      <c r="N379" s="7"/>
      <c r="O379" s="7"/>
      <c r="P379" s="7"/>
      <c r="Q379" s="7"/>
      <c r="R379" s="7"/>
      <c r="S379" s="7"/>
      <c r="T379" s="7"/>
      <c r="U379" s="7"/>
      <c r="V379" s="7"/>
      <c r="W379" s="7"/>
      <c r="X379" s="7"/>
      <c r="Y379" s="7"/>
      <c r="Z379" s="7"/>
    </row>
    <row r="380" ht="15.75" customHeight="1">
      <c r="A380" s="12" t="s">
        <v>1928</v>
      </c>
      <c r="B380" s="5" t="s">
        <v>14</v>
      </c>
      <c r="C380" s="5" t="s">
        <v>15</v>
      </c>
      <c r="D380" s="4" t="s">
        <v>1929</v>
      </c>
      <c r="E380" s="4" t="s">
        <v>1930</v>
      </c>
      <c r="F380" s="5" t="s">
        <v>1931</v>
      </c>
      <c r="G380" s="4" t="s">
        <v>1932</v>
      </c>
      <c r="H380" s="5" t="s">
        <v>1931</v>
      </c>
      <c r="I380" s="5" t="s">
        <v>31</v>
      </c>
      <c r="J380" s="5" t="s">
        <v>64</v>
      </c>
      <c r="K380" s="5" t="s">
        <v>46</v>
      </c>
      <c r="L380" s="5" t="s">
        <v>39</v>
      </c>
      <c r="M380" s="7" t="str">
        <f t="shared" si="3"/>
        <v>OK</v>
      </c>
      <c r="N380" s="7"/>
      <c r="O380" s="7"/>
      <c r="P380" s="7"/>
      <c r="Q380" s="7"/>
      <c r="R380" s="7"/>
      <c r="S380" s="7"/>
      <c r="T380" s="7"/>
      <c r="U380" s="7"/>
      <c r="V380" s="7"/>
      <c r="W380" s="7"/>
      <c r="X380" s="7"/>
      <c r="Y380" s="7"/>
      <c r="Z380" s="7"/>
    </row>
    <row r="381" ht="15.75" customHeight="1">
      <c r="A381" s="12" t="s">
        <v>1933</v>
      </c>
      <c r="B381" s="5" t="s">
        <v>25</v>
      </c>
      <c r="C381" s="5" t="s">
        <v>15</v>
      </c>
      <c r="D381" s="5" t="s">
        <v>1934</v>
      </c>
      <c r="E381" s="5" t="s">
        <v>1935</v>
      </c>
      <c r="F381" s="5" t="s">
        <v>1936</v>
      </c>
      <c r="G381" s="5" t="s">
        <v>1937</v>
      </c>
      <c r="H381" s="5" t="s">
        <v>1935</v>
      </c>
      <c r="I381" s="5" t="s">
        <v>20</v>
      </c>
      <c r="J381" s="5" t="s">
        <v>31</v>
      </c>
      <c r="K381" s="5" t="s">
        <v>66</v>
      </c>
      <c r="L381" s="5" t="s">
        <v>58</v>
      </c>
      <c r="M381" s="7" t="str">
        <f t="shared" si="3"/>
        <v>OK</v>
      </c>
      <c r="N381" s="7"/>
      <c r="O381" s="7"/>
      <c r="P381" s="7"/>
      <c r="Q381" s="7"/>
      <c r="R381" s="7"/>
      <c r="S381" s="7"/>
      <c r="T381" s="7"/>
      <c r="U381" s="7"/>
      <c r="V381" s="7"/>
      <c r="W381" s="7"/>
      <c r="X381" s="7"/>
      <c r="Y381" s="7"/>
      <c r="Z381" s="7"/>
    </row>
    <row r="382" ht="15.75" customHeight="1">
      <c r="A382" s="12" t="s">
        <v>1938</v>
      </c>
      <c r="B382" s="5" t="s">
        <v>25</v>
      </c>
      <c r="C382" s="5" t="s">
        <v>15</v>
      </c>
      <c r="D382" s="5" t="s">
        <v>1939</v>
      </c>
      <c r="E382" s="5" t="s">
        <v>1940</v>
      </c>
      <c r="F382" s="5" t="s">
        <v>1941</v>
      </c>
      <c r="G382" s="5" t="s">
        <v>1942</v>
      </c>
      <c r="H382" s="5" t="s">
        <v>1942</v>
      </c>
      <c r="I382" s="5" t="s">
        <v>65</v>
      </c>
      <c r="J382" s="5" t="s">
        <v>20</v>
      </c>
      <c r="K382" s="5" t="s">
        <v>57</v>
      </c>
      <c r="L382" s="5" t="s">
        <v>66</v>
      </c>
      <c r="M382" s="7" t="str">
        <f t="shared" si="3"/>
        <v>OK</v>
      </c>
      <c r="N382" s="7"/>
      <c r="O382" s="7"/>
      <c r="P382" s="7"/>
      <c r="Q382" s="7"/>
      <c r="R382" s="7"/>
      <c r="S382" s="7"/>
      <c r="T382" s="7"/>
      <c r="U382" s="7"/>
      <c r="V382" s="7"/>
      <c r="W382" s="7"/>
      <c r="X382" s="7"/>
      <c r="Y382" s="7"/>
      <c r="Z382" s="7"/>
    </row>
    <row r="383" ht="15.75" customHeight="1">
      <c r="A383" s="12" t="s">
        <v>1943</v>
      </c>
      <c r="B383" s="5" t="s">
        <v>25</v>
      </c>
      <c r="C383" s="5" t="s">
        <v>15</v>
      </c>
      <c r="D383" s="4" t="s">
        <v>1944</v>
      </c>
      <c r="E383" s="4" t="s">
        <v>1945</v>
      </c>
      <c r="F383" s="4" t="s">
        <v>1946</v>
      </c>
      <c r="G383" s="4" t="s">
        <v>1947</v>
      </c>
      <c r="H383" s="5" t="s">
        <v>1947</v>
      </c>
      <c r="I383" s="5" t="s">
        <v>37</v>
      </c>
      <c r="J383" s="5" t="s">
        <v>20</v>
      </c>
      <c r="K383" s="5" t="s">
        <v>39</v>
      </c>
      <c r="L383" s="5" t="s">
        <v>46</v>
      </c>
      <c r="M383" s="7" t="str">
        <f t="shared" si="3"/>
        <v>OK</v>
      </c>
      <c r="N383" s="7"/>
      <c r="O383" s="7"/>
      <c r="P383" s="7"/>
      <c r="Q383" s="7"/>
      <c r="R383" s="7"/>
      <c r="S383" s="7"/>
      <c r="T383" s="7"/>
      <c r="U383" s="7"/>
      <c r="V383" s="7"/>
      <c r="W383" s="7"/>
      <c r="X383" s="7"/>
      <c r="Y383" s="7"/>
      <c r="Z383" s="7"/>
    </row>
    <row r="384" ht="15.75" customHeight="1">
      <c r="A384" s="12" t="s">
        <v>1948</v>
      </c>
      <c r="B384" s="5" t="s">
        <v>25</v>
      </c>
      <c r="C384" s="5" t="s">
        <v>15</v>
      </c>
      <c r="D384" s="5" t="s">
        <v>1949</v>
      </c>
      <c r="E384" s="5" t="s">
        <v>1950</v>
      </c>
      <c r="F384" s="5" t="s">
        <v>1951</v>
      </c>
      <c r="G384" s="5" t="s">
        <v>1952</v>
      </c>
      <c r="H384" s="5" t="s">
        <v>1951</v>
      </c>
      <c r="I384" s="5" t="s">
        <v>64</v>
      </c>
      <c r="J384" s="5" t="s">
        <v>20</v>
      </c>
      <c r="K384" s="5" t="s">
        <v>39</v>
      </c>
      <c r="L384" s="5" t="s">
        <v>46</v>
      </c>
      <c r="M384" s="7" t="str">
        <f t="shared" si="3"/>
        <v>OK</v>
      </c>
      <c r="N384" s="7"/>
      <c r="O384" s="7"/>
      <c r="P384" s="7"/>
      <c r="Q384" s="7"/>
      <c r="R384" s="7"/>
      <c r="S384" s="7"/>
      <c r="T384" s="7"/>
      <c r="U384" s="7"/>
      <c r="V384" s="7"/>
      <c r="W384" s="7"/>
      <c r="X384" s="7"/>
      <c r="Y384" s="7"/>
      <c r="Z384" s="7"/>
    </row>
    <row r="385" ht="15.75" customHeight="1">
      <c r="A385" s="14" t="s">
        <v>1953</v>
      </c>
      <c r="B385" s="5" t="s">
        <v>14</v>
      </c>
      <c r="C385" s="5" t="s">
        <v>15</v>
      </c>
      <c r="D385" s="6" t="s">
        <v>1954</v>
      </c>
      <c r="E385" s="6" t="s">
        <v>1955</v>
      </c>
      <c r="F385" s="6" t="s">
        <v>1956</v>
      </c>
      <c r="G385" s="6" t="s">
        <v>1957</v>
      </c>
      <c r="H385" s="6" t="s">
        <v>1957</v>
      </c>
      <c r="I385" s="5" t="s">
        <v>37</v>
      </c>
      <c r="J385" s="5" t="s">
        <v>31</v>
      </c>
      <c r="K385" s="5" t="s">
        <v>57</v>
      </c>
      <c r="L385" s="5" t="s">
        <v>46</v>
      </c>
      <c r="M385" s="7" t="str">
        <f t="shared" si="3"/>
        <v>OK</v>
      </c>
    </row>
    <row r="386" ht="15.75" customHeight="1">
      <c r="A386" s="14" t="s">
        <v>1958</v>
      </c>
      <c r="B386" s="5" t="s">
        <v>14</v>
      </c>
      <c r="C386" s="5" t="s">
        <v>15</v>
      </c>
      <c r="D386" s="6" t="s">
        <v>1959</v>
      </c>
      <c r="E386" s="6" t="s">
        <v>1960</v>
      </c>
      <c r="F386" s="6" t="s">
        <v>1961</v>
      </c>
      <c r="G386" s="6" t="s">
        <v>1962</v>
      </c>
      <c r="H386" s="6" t="s">
        <v>1962</v>
      </c>
      <c r="I386" s="5" t="s">
        <v>45</v>
      </c>
      <c r="J386" s="5" t="s">
        <v>20</v>
      </c>
      <c r="K386" s="5" t="s">
        <v>22</v>
      </c>
      <c r="L386" s="5" t="s">
        <v>66</v>
      </c>
      <c r="M386" s="7" t="str">
        <f t="shared" si="3"/>
        <v>OK</v>
      </c>
    </row>
    <row r="387" ht="15.75" customHeight="1">
      <c r="A387" s="12" t="s">
        <v>1963</v>
      </c>
      <c r="B387" s="5" t="s">
        <v>25</v>
      </c>
      <c r="C387" s="5" t="s">
        <v>15</v>
      </c>
      <c r="D387" s="5" t="s">
        <v>1964</v>
      </c>
      <c r="E387" s="5" t="s">
        <v>1965</v>
      </c>
      <c r="F387" s="5" t="s">
        <v>1966</v>
      </c>
      <c r="G387" s="5" t="s">
        <v>1967</v>
      </c>
      <c r="H387" s="5" t="s">
        <v>1967</v>
      </c>
      <c r="I387" s="5" t="s">
        <v>64</v>
      </c>
      <c r="J387" s="5" t="s">
        <v>31</v>
      </c>
      <c r="K387" s="5" t="s">
        <v>58</v>
      </c>
      <c r="L387" s="5" t="s">
        <v>132</v>
      </c>
      <c r="M387" s="7" t="str">
        <f t="shared" si="3"/>
        <v>OK</v>
      </c>
      <c r="N387" s="7"/>
      <c r="O387" s="7"/>
      <c r="P387" s="7"/>
      <c r="Q387" s="7"/>
      <c r="R387" s="7"/>
      <c r="S387" s="7"/>
      <c r="T387" s="7"/>
      <c r="U387" s="7"/>
      <c r="V387" s="7"/>
      <c r="W387" s="7"/>
      <c r="X387" s="7"/>
      <c r="Y387" s="7"/>
      <c r="Z387" s="7"/>
    </row>
    <row r="388" ht="15.75" customHeight="1">
      <c r="A388" s="12" t="s">
        <v>1968</v>
      </c>
      <c r="B388" s="5" t="s">
        <v>14</v>
      </c>
      <c r="C388" s="5" t="s">
        <v>15</v>
      </c>
      <c r="D388" s="4" t="s">
        <v>1969</v>
      </c>
      <c r="E388" s="4" t="s">
        <v>1970</v>
      </c>
      <c r="F388" s="5" t="s">
        <v>1971</v>
      </c>
      <c r="G388" s="4" t="s">
        <v>1826</v>
      </c>
      <c r="H388" s="5" t="s">
        <v>1971</v>
      </c>
      <c r="I388" s="5" t="s">
        <v>65</v>
      </c>
      <c r="J388" s="5" t="s">
        <v>64</v>
      </c>
      <c r="K388" s="5" t="s">
        <v>22</v>
      </c>
      <c r="L388" s="5" t="s">
        <v>46</v>
      </c>
      <c r="M388" s="7" t="str">
        <f t="shared" si="3"/>
        <v>OK</v>
      </c>
      <c r="N388" s="7"/>
      <c r="O388" s="7"/>
      <c r="P388" s="7"/>
      <c r="Q388" s="7"/>
      <c r="R388" s="7"/>
      <c r="S388" s="7"/>
      <c r="T388" s="7"/>
      <c r="U388" s="7"/>
      <c r="V388" s="7"/>
      <c r="W388" s="7"/>
      <c r="X388" s="7"/>
      <c r="Y388" s="7"/>
      <c r="Z388" s="7"/>
    </row>
    <row r="389" ht="15.75" customHeight="1">
      <c r="A389" s="12" t="s">
        <v>1972</v>
      </c>
      <c r="B389" s="5" t="s">
        <v>25</v>
      </c>
      <c r="C389" s="5" t="s">
        <v>15</v>
      </c>
      <c r="D389" s="5" t="s">
        <v>1973</v>
      </c>
      <c r="E389" s="5" t="s">
        <v>1974</v>
      </c>
      <c r="F389" s="5" t="s">
        <v>1975</v>
      </c>
      <c r="G389" s="5" t="s">
        <v>1976</v>
      </c>
      <c r="H389" s="5" t="s">
        <v>1974</v>
      </c>
      <c r="I389" s="5" t="s">
        <v>64</v>
      </c>
      <c r="J389" s="5" t="s">
        <v>65</v>
      </c>
      <c r="K389" s="5" t="s">
        <v>23</v>
      </c>
      <c r="L389" s="5" t="s">
        <v>132</v>
      </c>
      <c r="M389" s="7" t="str">
        <f t="shared" si="3"/>
        <v>OK</v>
      </c>
      <c r="N389" s="7"/>
      <c r="O389" s="7"/>
      <c r="P389" s="7"/>
      <c r="Q389" s="7"/>
      <c r="R389" s="7"/>
      <c r="S389" s="7"/>
      <c r="T389" s="7"/>
      <c r="U389" s="7"/>
      <c r="V389" s="7"/>
      <c r="W389" s="7"/>
      <c r="X389" s="7"/>
      <c r="Y389" s="7"/>
      <c r="Z389" s="7"/>
    </row>
    <row r="390" ht="15.75" customHeight="1">
      <c r="A390" s="12" t="s">
        <v>1977</v>
      </c>
      <c r="B390" s="5" t="s">
        <v>14</v>
      </c>
      <c r="C390" s="5" t="s">
        <v>15</v>
      </c>
      <c r="D390" s="5" t="s">
        <v>1978</v>
      </c>
      <c r="E390" s="6" t="s">
        <v>1979</v>
      </c>
      <c r="F390" s="6" t="s">
        <v>1980</v>
      </c>
      <c r="G390" s="5" t="s">
        <v>1981</v>
      </c>
      <c r="H390" s="5" t="s">
        <v>1981</v>
      </c>
      <c r="I390" s="5" t="s">
        <v>20</v>
      </c>
      <c r="J390" s="5" t="s">
        <v>65</v>
      </c>
      <c r="K390" s="5" t="s">
        <v>38</v>
      </c>
      <c r="L390" s="5" t="s">
        <v>46</v>
      </c>
      <c r="M390" s="7" t="str">
        <f t="shared" si="3"/>
        <v>OK</v>
      </c>
      <c r="N390" s="7"/>
      <c r="O390" s="7"/>
      <c r="P390" s="7"/>
      <c r="Q390" s="7"/>
      <c r="R390" s="7"/>
      <c r="S390" s="7"/>
      <c r="T390" s="7"/>
      <c r="U390" s="7"/>
      <c r="V390" s="7"/>
      <c r="W390" s="7"/>
      <c r="X390" s="7"/>
      <c r="Y390" s="7"/>
      <c r="Z390" s="7"/>
    </row>
    <row r="391" ht="15.75" customHeight="1">
      <c r="A391" s="12" t="s">
        <v>1982</v>
      </c>
      <c r="B391" s="5" t="s">
        <v>14</v>
      </c>
      <c r="C391" s="5" t="s">
        <v>15</v>
      </c>
      <c r="D391" s="4" t="s">
        <v>1983</v>
      </c>
      <c r="E391" s="4" t="s">
        <v>1984</v>
      </c>
      <c r="F391" s="4" t="s">
        <v>1985</v>
      </c>
      <c r="G391" s="5" t="s">
        <v>1986</v>
      </c>
      <c r="H391" s="5" t="s">
        <v>1986</v>
      </c>
      <c r="I391" s="5" t="s">
        <v>31</v>
      </c>
      <c r="J391" s="5" t="s">
        <v>45</v>
      </c>
      <c r="K391" s="5" t="s">
        <v>22</v>
      </c>
      <c r="L391" s="5" t="s">
        <v>39</v>
      </c>
      <c r="M391" s="7" t="str">
        <f t="shared" si="3"/>
        <v>OK</v>
      </c>
      <c r="N391" s="7"/>
      <c r="O391" s="7"/>
      <c r="P391" s="7"/>
      <c r="Q391" s="7"/>
      <c r="R391" s="7"/>
      <c r="S391" s="7"/>
      <c r="T391" s="7"/>
      <c r="U391" s="7"/>
      <c r="V391" s="7"/>
      <c r="W391" s="7"/>
      <c r="X391" s="7"/>
      <c r="Y391" s="7"/>
      <c r="Z391" s="7"/>
    </row>
    <row r="392" ht="15.75" customHeight="1">
      <c r="A392" s="12" t="s">
        <v>1987</v>
      </c>
      <c r="B392" s="5" t="s">
        <v>25</v>
      </c>
      <c r="C392" s="5" t="s">
        <v>15</v>
      </c>
      <c r="D392" s="5" t="s">
        <v>1988</v>
      </c>
      <c r="E392" s="5" t="s">
        <v>1989</v>
      </c>
      <c r="F392" s="5" t="s">
        <v>1990</v>
      </c>
      <c r="G392" s="5" t="s">
        <v>1991</v>
      </c>
      <c r="H392" s="5" t="s">
        <v>1990</v>
      </c>
      <c r="I392" s="5" t="s">
        <v>37</v>
      </c>
      <c r="J392" s="5" t="s">
        <v>45</v>
      </c>
      <c r="K392" s="5" t="s">
        <v>132</v>
      </c>
      <c r="L392" s="5" t="s">
        <v>66</v>
      </c>
      <c r="M392" s="7" t="str">
        <f t="shared" si="3"/>
        <v>OK</v>
      </c>
      <c r="N392" s="7"/>
      <c r="O392" s="7"/>
      <c r="P392" s="7"/>
      <c r="Q392" s="7"/>
      <c r="R392" s="7"/>
      <c r="S392" s="7"/>
      <c r="T392" s="7"/>
      <c r="U392" s="7"/>
      <c r="V392" s="7"/>
      <c r="W392" s="7"/>
      <c r="X392" s="7"/>
      <c r="Y392" s="7"/>
      <c r="Z392" s="7"/>
    </row>
    <row r="393" ht="15.75" customHeight="1">
      <c r="A393" s="12" t="s">
        <v>1992</v>
      </c>
      <c r="B393" s="5" t="s">
        <v>14</v>
      </c>
      <c r="C393" s="5" t="s">
        <v>15</v>
      </c>
      <c r="D393" s="5" t="s">
        <v>1993</v>
      </c>
      <c r="E393" s="5" t="s">
        <v>1994</v>
      </c>
      <c r="F393" s="5" t="s">
        <v>1995</v>
      </c>
      <c r="G393" s="5" t="s">
        <v>1996</v>
      </c>
      <c r="H393" s="5" t="s">
        <v>1996</v>
      </c>
      <c r="I393" s="5" t="s">
        <v>21</v>
      </c>
      <c r="J393" s="5" t="s">
        <v>31</v>
      </c>
      <c r="K393" s="5" t="s">
        <v>38</v>
      </c>
      <c r="L393" s="5" t="s">
        <v>58</v>
      </c>
      <c r="M393" s="7" t="str">
        <f t="shared" si="3"/>
        <v>OK</v>
      </c>
      <c r="N393" s="7"/>
      <c r="O393" s="7"/>
      <c r="P393" s="7"/>
      <c r="Q393" s="7"/>
      <c r="R393" s="7"/>
      <c r="S393" s="7"/>
      <c r="T393" s="7"/>
      <c r="U393" s="7"/>
      <c r="V393" s="7"/>
      <c r="W393" s="7"/>
      <c r="X393" s="7"/>
      <c r="Y393" s="7"/>
      <c r="Z393" s="7"/>
    </row>
    <row r="394" ht="15.75" customHeight="1">
      <c r="A394" s="12" t="s">
        <v>1997</v>
      </c>
      <c r="B394" s="5" t="s">
        <v>14</v>
      </c>
      <c r="C394" s="5" t="s">
        <v>15</v>
      </c>
      <c r="D394" s="5" t="s">
        <v>1998</v>
      </c>
      <c r="E394" s="6" t="s">
        <v>1999</v>
      </c>
      <c r="F394" s="6" t="s">
        <v>2000</v>
      </c>
      <c r="G394" s="6" t="s">
        <v>2001</v>
      </c>
      <c r="H394" s="6" t="s">
        <v>2000</v>
      </c>
      <c r="I394" s="5" t="s">
        <v>45</v>
      </c>
      <c r="J394" s="5" t="s">
        <v>21</v>
      </c>
      <c r="K394" s="5" t="s">
        <v>22</v>
      </c>
      <c r="L394" s="5" t="s">
        <v>39</v>
      </c>
      <c r="M394" s="7" t="str">
        <f t="shared" si="3"/>
        <v>OK</v>
      </c>
      <c r="N394" s="7"/>
      <c r="O394" s="7"/>
      <c r="P394" s="7"/>
      <c r="Q394" s="7"/>
      <c r="R394" s="7"/>
      <c r="S394" s="7"/>
      <c r="T394" s="7"/>
      <c r="U394" s="7"/>
      <c r="V394" s="7"/>
      <c r="W394" s="7"/>
      <c r="X394" s="7"/>
      <c r="Y394" s="7"/>
      <c r="Z394" s="7"/>
    </row>
    <row r="395" ht="15.75" customHeight="1">
      <c r="A395" s="12" t="s">
        <v>2002</v>
      </c>
      <c r="B395" s="5" t="s">
        <v>14</v>
      </c>
      <c r="C395" s="5" t="s">
        <v>15</v>
      </c>
      <c r="D395" s="5" t="s">
        <v>2003</v>
      </c>
      <c r="E395" s="5" t="s">
        <v>2004</v>
      </c>
      <c r="F395" s="5" t="s">
        <v>2005</v>
      </c>
      <c r="G395" s="5" t="s">
        <v>2006</v>
      </c>
      <c r="H395" s="5" t="s">
        <v>2006</v>
      </c>
      <c r="I395" s="5" t="s">
        <v>45</v>
      </c>
      <c r="J395" s="5" t="s">
        <v>20</v>
      </c>
      <c r="K395" s="5" t="s">
        <v>23</v>
      </c>
      <c r="L395" s="5" t="s">
        <v>39</v>
      </c>
      <c r="M395" s="7" t="str">
        <f t="shared" si="3"/>
        <v>OK</v>
      </c>
      <c r="N395" s="7"/>
      <c r="O395" s="7"/>
      <c r="P395" s="7"/>
      <c r="Q395" s="7"/>
      <c r="R395" s="7"/>
      <c r="S395" s="7"/>
      <c r="T395" s="7"/>
      <c r="U395" s="7"/>
      <c r="V395" s="7"/>
      <c r="W395" s="7"/>
      <c r="X395" s="7"/>
      <c r="Y395" s="7"/>
      <c r="Z395" s="7"/>
    </row>
    <row r="396" ht="15.75" customHeight="1">
      <c r="A396" s="12" t="s">
        <v>2007</v>
      </c>
      <c r="B396" s="5" t="s">
        <v>25</v>
      </c>
      <c r="C396" s="5" t="s">
        <v>15</v>
      </c>
      <c r="D396" s="4" t="s">
        <v>2008</v>
      </c>
      <c r="E396" s="4" t="s">
        <v>2009</v>
      </c>
      <c r="F396" s="4" t="s">
        <v>2010</v>
      </c>
      <c r="G396" s="4" t="s">
        <v>2011</v>
      </c>
      <c r="H396" s="5" t="s">
        <v>2010</v>
      </c>
      <c r="I396" s="5" t="s">
        <v>31</v>
      </c>
      <c r="J396" s="5" t="s">
        <v>20</v>
      </c>
      <c r="K396" s="5" t="s">
        <v>132</v>
      </c>
      <c r="L396" s="5" t="s">
        <v>46</v>
      </c>
      <c r="M396" s="7" t="str">
        <f t="shared" si="3"/>
        <v>OK</v>
      </c>
      <c r="N396" s="7"/>
      <c r="O396" s="7"/>
      <c r="P396" s="7"/>
      <c r="Q396" s="7"/>
      <c r="R396" s="7"/>
      <c r="S396" s="7"/>
      <c r="T396" s="7"/>
      <c r="U396" s="7"/>
      <c r="V396" s="7"/>
      <c r="W396" s="7"/>
      <c r="X396" s="7"/>
      <c r="Y396" s="7"/>
      <c r="Z396" s="7"/>
    </row>
    <row r="397" ht="15.75" customHeight="1">
      <c r="A397" s="12" t="s">
        <v>2012</v>
      </c>
      <c r="B397" s="5" t="s">
        <v>25</v>
      </c>
      <c r="C397" s="5" t="s">
        <v>15</v>
      </c>
      <c r="D397" s="5" t="s">
        <v>2013</v>
      </c>
      <c r="E397" s="5" t="s">
        <v>2014</v>
      </c>
      <c r="F397" s="5" t="s">
        <v>2015</v>
      </c>
      <c r="G397" s="5" t="s">
        <v>2016</v>
      </c>
      <c r="H397" s="5" t="s">
        <v>2014</v>
      </c>
      <c r="I397" s="5" t="s">
        <v>30</v>
      </c>
      <c r="J397" s="5" t="s">
        <v>65</v>
      </c>
      <c r="K397" s="5" t="s">
        <v>46</v>
      </c>
      <c r="L397" s="5" t="s">
        <v>22</v>
      </c>
      <c r="M397" s="7" t="str">
        <f t="shared" si="3"/>
        <v>OK</v>
      </c>
      <c r="N397" s="7"/>
      <c r="O397" s="7"/>
      <c r="P397" s="7"/>
      <c r="Q397" s="7"/>
      <c r="R397" s="7"/>
      <c r="S397" s="7"/>
      <c r="T397" s="7"/>
      <c r="U397" s="7"/>
      <c r="V397" s="7"/>
      <c r="W397" s="7"/>
      <c r="X397" s="7"/>
      <c r="Y397" s="7"/>
      <c r="Z397" s="7"/>
    </row>
    <row r="398" ht="15.75" customHeight="1">
      <c r="A398" s="12" t="s">
        <v>2017</v>
      </c>
      <c r="B398" s="5" t="s">
        <v>25</v>
      </c>
      <c r="C398" s="5" t="s">
        <v>15</v>
      </c>
      <c r="D398" s="4" t="s">
        <v>2018</v>
      </c>
      <c r="E398" s="4" t="s">
        <v>2019</v>
      </c>
      <c r="F398" s="4" t="s">
        <v>2020</v>
      </c>
      <c r="G398" s="4" t="s">
        <v>2021</v>
      </c>
      <c r="H398" s="5" t="s">
        <v>2020</v>
      </c>
      <c r="I398" s="5" t="s">
        <v>37</v>
      </c>
      <c r="J398" s="5" t="s">
        <v>20</v>
      </c>
      <c r="K398" s="5" t="s">
        <v>46</v>
      </c>
      <c r="L398" s="5" t="s">
        <v>22</v>
      </c>
      <c r="M398" s="7" t="str">
        <f t="shared" si="3"/>
        <v>OK</v>
      </c>
      <c r="N398" s="7"/>
      <c r="O398" s="7"/>
      <c r="P398" s="7"/>
      <c r="Q398" s="7"/>
      <c r="R398" s="7"/>
      <c r="S398" s="7"/>
      <c r="T398" s="7"/>
      <c r="U398" s="7"/>
      <c r="V398" s="7"/>
      <c r="W398" s="7"/>
      <c r="X398" s="7"/>
      <c r="Y398" s="7"/>
      <c r="Z398" s="7"/>
    </row>
    <row r="399" ht="15.75" customHeight="1">
      <c r="A399" s="12" t="s">
        <v>2022</v>
      </c>
      <c r="B399" s="5" t="s">
        <v>25</v>
      </c>
      <c r="C399" s="5" t="s">
        <v>15</v>
      </c>
      <c r="D399" s="4" t="s">
        <v>2023</v>
      </c>
      <c r="E399" s="4" t="s">
        <v>2024</v>
      </c>
      <c r="F399" s="4" t="s">
        <v>2025</v>
      </c>
      <c r="G399" s="4" t="s">
        <v>2026</v>
      </c>
      <c r="H399" s="5" t="s">
        <v>2026</v>
      </c>
      <c r="I399" s="5" t="s">
        <v>64</v>
      </c>
      <c r="J399" s="5" t="s">
        <v>20</v>
      </c>
      <c r="K399" s="5" t="s">
        <v>58</v>
      </c>
      <c r="L399" s="5" t="s">
        <v>23</v>
      </c>
      <c r="M399" s="7" t="str">
        <f t="shared" si="3"/>
        <v>OK</v>
      </c>
      <c r="N399" s="7"/>
      <c r="O399" s="7"/>
      <c r="P399" s="7"/>
      <c r="Q399" s="7"/>
      <c r="R399" s="7"/>
      <c r="S399" s="7"/>
      <c r="T399" s="7"/>
      <c r="U399" s="7"/>
      <c r="V399" s="7"/>
      <c r="W399" s="7"/>
      <c r="X399" s="7"/>
      <c r="Y399" s="7"/>
      <c r="Z399" s="7"/>
    </row>
    <row r="400" ht="15.75" customHeight="1">
      <c r="A400" s="12" t="s">
        <v>2027</v>
      </c>
      <c r="B400" s="5" t="s">
        <v>14</v>
      </c>
      <c r="C400" s="5" t="s">
        <v>15</v>
      </c>
      <c r="D400" s="4" t="s">
        <v>2028</v>
      </c>
      <c r="E400" s="4" t="s">
        <v>2029</v>
      </c>
      <c r="F400" s="5" t="s">
        <v>2030</v>
      </c>
      <c r="G400" s="4" t="s">
        <v>2031</v>
      </c>
      <c r="H400" s="5" t="s">
        <v>2030</v>
      </c>
      <c r="I400" s="5" t="s">
        <v>65</v>
      </c>
      <c r="J400" s="5" t="s">
        <v>31</v>
      </c>
      <c r="K400" s="5" t="s">
        <v>38</v>
      </c>
      <c r="L400" s="5" t="s">
        <v>46</v>
      </c>
      <c r="M400" s="7" t="str">
        <f t="shared" si="3"/>
        <v>OK</v>
      </c>
      <c r="N400" s="7"/>
      <c r="O400" s="7"/>
      <c r="P400" s="7"/>
      <c r="Q400" s="7"/>
      <c r="R400" s="7"/>
      <c r="S400" s="7"/>
      <c r="T400" s="7"/>
      <c r="U400" s="7"/>
      <c r="V400" s="7"/>
      <c r="W400" s="7"/>
      <c r="X400" s="7"/>
      <c r="Y400" s="7"/>
      <c r="Z400" s="7"/>
    </row>
    <row r="401" ht="15.75" customHeight="1">
      <c r="A401" s="12" t="s">
        <v>2032</v>
      </c>
      <c r="B401" s="5" t="s">
        <v>25</v>
      </c>
      <c r="C401" s="5" t="s">
        <v>15</v>
      </c>
      <c r="D401" s="5" t="s">
        <v>2033</v>
      </c>
      <c r="E401" s="5" t="s">
        <v>2034</v>
      </c>
      <c r="F401" s="5" t="s">
        <v>2035</v>
      </c>
      <c r="G401" s="5" t="s">
        <v>2036</v>
      </c>
      <c r="H401" s="5" t="s">
        <v>2036</v>
      </c>
      <c r="I401" s="5" t="s">
        <v>20</v>
      </c>
      <c r="J401" s="5" t="s">
        <v>31</v>
      </c>
      <c r="K401" s="5" t="s">
        <v>58</v>
      </c>
      <c r="L401" s="5" t="s">
        <v>39</v>
      </c>
      <c r="M401" s="7" t="str">
        <f t="shared" si="3"/>
        <v>OK</v>
      </c>
      <c r="N401" s="7"/>
      <c r="O401" s="7"/>
      <c r="P401" s="7"/>
      <c r="Q401" s="7"/>
      <c r="R401" s="7"/>
      <c r="S401" s="7"/>
      <c r="T401" s="7"/>
      <c r="U401" s="7"/>
      <c r="V401" s="7"/>
      <c r="W401" s="7"/>
      <c r="X401" s="7"/>
      <c r="Y401" s="7"/>
      <c r="Z401" s="7"/>
    </row>
    <row r="402" ht="15.75" customHeight="1">
      <c r="A402" s="14" t="s">
        <v>2037</v>
      </c>
      <c r="B402" s="5" t="s">
        <v>14</v>
      </c>
      <c r="C402" s="5" t="s">
        <v>15</v>
      </c>
      <c r="D402" s="6" t="s">
        <v>2038</v>
      </c>
      <c r="E402" s="6" t="s">
        <v>2039</v>
      </c>
      <c r="F402" s="6" t="s">
        <v>2040</v>
      </c>
      <c r="G402" s="6" t="s">
        <v>2041</v>
      </c>
      <c r="H402" s="6" t="s">
        <v>2041</v>
      </c>
      <c r="I402" s="5" t="s">
        <v>21</v>
      </c>
      <c r="J402" s="5" t="s">
        <v>20</v>
      </c>
      <c r="K402" s="5" t="s">
        <v>57</v>
      </c>
      <c r="L402" s="5" t="s">
        <v>46</v>
      </c>
      <c r="M402" s="7" t="str">
        <f t="shared" si="3"/>
        <v>OK</v>
      </c>
    </row>
    <row r="403" ht="15.75" customHeight="1">
      <c r="A403" s="12" t="s">
        <v>2042</v>
      </c>
      <c r="B403" s="5" t="s">
        <v>25</v>
      </c>
      <c r="C403" s="5" t="s">
        <v>15</v>
      </c>
      <c r="D403" s="5" t="s">
        <v>2043</v>
      </c>
      <c r="E403" s="5" t="s">
        <v>2044</v>
      </c>
      <c r="F403" s="5" t="s">
        <v>2045</v>
      </c>
      <c r="G403" s="5" t="s">
        <v>2046</v>
      </c>
      <c r="H403" s="5" t="s">
        <v>2046</v>
      </c>
      <c r="I403" s="5" t="s">
        <v>20</v>
      </c>
      <c r="J403" s="5" t="s">
        <v>31</v>
      </c>
      <c r="K403" s="5" t="s">
        <v>58</v>
      </c>
      <c r="L403" s="5" t="s">
        <v>46</v>
      </c>
      <c r="M403" s="7" t="str">
        <f t="shared" si="3"/>
        <v>OK</v>
      </c>
      <c r="N403" s="7"/>
      <c r="O403" s="7"/>
      <c r="P403" s="7"/>
      <c r="Q403" s="7"/>
      <c r="R403" s="7"/>
      <c r="S403" s="7"/>
      <c r="T403" s="7"/>
      <c r="U403" s="7"/>
      <c r="V403" s="7"/>
      <c r="W403" s="7"/>
      <c r="X403" s="7"/>
      <c r="Y403" s="7"/>
      <c r="Z403" s="7"/>
    </row>
    <row r="404" ht="15.75" customHeight="1">
      <c r="A404" s="12" t="s">
        <v>2047</v>
      </c>
      <c r="B404" s="5" t="s">
        <v>25</v>
      </c>
      <c r="C404" s="5" t="s">
        <v>15</v>
      </c>
      <c r="D404" s="4" t="s">
        <v>2048</v>
      </c>
      <c r="E404" s="4" t="s">
        <v>2049</v>
      </c>
      <c r="F404" s="4" t="s">
        <v>2050</v>
      </c>
      <c r="G404" s="4" t="s">
        <v>2051</v>
      </c>
      <c r="H404" s="5" t="s">
        <v>2051</v>
      </c>
      <c r="I404" s="5" t="s">
        <v>31</v>
      </c>
      <c r="J404" s="5" t="s">
        <v>37</v>
      </c>
      <c r="K404" s="5" t="s">
        <v>39</v>
      </c>
      <c r="L404" s="5" t="s">
        <v>46</v>
      </c>
      <c r="M404" s="7" t="str">
        <f t="shared" si="3"/>
        <v>OK</v>
      </c>
      <c r="N404" s="7"/>
      <c r="O404" s="7"/>
      <c r="P404" s="7"/>
      <c r="Q404" s="7"/>
      <c r="R404" s="7"/>
      <c r="S404" s="7"/>
      <c r="T404" s="7"/>
      <c r="U404" s="7"/>
      <c r="V404" s="7"/>
      <c r="W404" s="7"/>
      <c r="X404" s="7"/>
      <c r="Y404" s="7"/>
      <c r="Z404" s="7"/>
    </row>
    <row r="405" ht="15.75" customHeight="1">
      <c r="A405" s="12" t="s">
        <v>2052</v>
      </c>
      <c r="B405" s="5" t="s">
        <v>14</v>
      </c>
      <c r="C405" s="5" t="s">
        <v>15</v>
      </c>
      <c r="D405" s="5" t="s">
        <v>2053</v>
      </c>
      <c r="E405" s="5" t="s">
        <v>2054</v>
      </c>
      <c r="F405" s="5" t="s">
        <v>2055</v>
      </c>
      <c r="G405" s="5" t="s">
        <v>2056</v>
      </c>
      <c r="H405" s="5" t="s">
        <v>2056</v>
      </c>
      <c r="I405" s="5" t="s">
        <v>65</v>
      </c>
      <c r="J405" s="5" t="s">
        <v>20</v>
      </c>
      <c r="K405" s="5" t="s">
        <v>132</v>
      </c>
      <c r="L405" s="5" t="s">
        <v>22</v>
      </c>
      <c r="M405" s="7" t="str">
        <f t="shared" si="3"/>
        <v>OK</v>
      </c>
      <c r="N405" s="7"/>
      <c r="O405" s="7"/>
      <c r="P405" s="7"/>
      <c r="Q405" s="7"/>
      <c r="R405" s="7"/>
      <c r="S405" s="7"/>
      <c r="T405" s="7"/>
      <c r="U405" s="7"/>
      <c r="V405" s="7"/>
      <c r="W405" s="7"/>
      <c r="X405" s="7"/>
      <c r="Y405" s="7"/>
      <c r="Z405" s="7"/>
    </row>
    <row r="406" ht="15.75" customHeight="1">
      <c r="A406" s="12" t="s">
        <v>2057</v>
      </c>
      <c r="B406" s="5" t="s">
        <v>14</v>
      </c>
      <c r="C406" s="5" t="s">
        <v>15</v>
      </c>
      <c r="D406" s="5" t="s">
        <v>2058</v>
      </c>
      <c r="E406" s="5" t="s">
        <v>2059</v>
      </c>
      <c r="F406" s="5" t="s">
        <v>2060</v>
      </c>
      <c r="G406" s="5" t="s">
        <v>2061</v>
      </c>
      <c r="H406" s="5" t="s">
        <v>2060</v>
      </c>
      <c r="I406" s="5" t="s">
        <v>21</v>
      </c>
      <c r="J406" s="5" t="s">
        <v>20</v>
      </c>
      <c r="K406" s="5" t="s">
        <v>22</v>
      </c>
      <c r="L406" s="5" t="s">
        <v>46</v>
      </c>
      <c r="M406" s="7" t="str">
        <f t="shared" si="3"/>
        <v>OK</v>
      </c>
      <c r="N406" s="7"/>
      <c r="O406" s="7"/>
      <c r="P406" s="7"/>
      <c r="Q406" s="7"/>
      <c r="R406" s="7"/>
      <c r="S406" s="7"/>
      <c r="T406" s="7"/>
      <c r="U406" s="7"/>
      <c r="V406" s="7"/>
      <c r="W406" s="7"/>
      <c r="X406" s="7"/>
      <c r="Y406" s="7"/>
      <c r="Z406" s="7"/>
    </row>
    <row r="407" ht="15.75" customHeight="1">
      <c r="A407" s="12" t="s">
        <v>2062</v>
      </c>
      <c r="B407" s="5" t="s">
        <v>25</v>
      </c>
      <c r="C407" s="5" t="s">
        <v>15</v>
      </c>
      <c r="D407" s="5" t="s">
        <v>2063</v>
      </c>
      <c r="E407" s="5" t="s">
        <v>2064</v>
      </c>
      <c r="F407" s="5" t="s">
        <v>2065</v>
      </c>
      <c r="G407" s="5" t="s">
        <v>2066</v>
      </c>
      <c r="H407" s="5" t="s">
        <v>2066</v>
      </c>
      <c r="I407" s="5" t="s">
        <v>37</v>
      </c>
      <c r="J407" s="5" t="s">
        <v>37</v>
      </c>
      <c r="K407" s="5" t="s">
        <v>38</v>
      </c>
      <c r="L407" s="5" t="s">
        <v>57</v>
      </c>
      <c r="M407" s="7" t="str">
        <f t="shared" si="3"/>
        <v>OK</v>
      </c>
      <c r="N407" s="7"/>
      <c r="O407" s="7"/>
      <c r="P407" s="7"/>
      <c r="Q407" s="7"/>
      <c r="R407" s="7"/>
      <c r="S407" s="7"/>
      <c r="T407" s="7"/>
      <c r="U407" s="7"/>
      <c r="V407" s="7"/>
      <c r="W407" s="7"/>
      <c r="X407" s="7"/>
      <c r="Y407" s="7"/>
      <c r="Z407" s="7"/>
    </row>
    <row r="408" ht="15.75" customHeight="1">
      <c r="A408" s="12" t="s">
        <v>2067</v>
      </c>
      <c r="B408" s="5" t="s">
        <v>14</v>
      </c>
      <c r="C408" s="5" t="s">
        <v>15</v>
      </c>
      <c r="D408" s="4" t="s">
        <v>2068</v>
      </c>
      <c r="E408" s="4" t="s">
        <v>2069</v>
      </c>
      <c r="F408" s="4" t="s">
        <v>2070</v>
      </c>
      <c r="G408" s="5" t="s">
        <v>2071</v>
      </c>
      <c r="H408" s="5" t="s">
        <v>2071</v>
      </c>
      <c r="I408" s="5" t="s">
        <v>31</v>
      </c>
      <c r="J408" s="5" t="s">
        <v>20</v>
      </c>
      <c r="K408" s="5" t="s">
        <v>39</v>
      </c>
      <c r="L408" s="5" t="s">
        <v>46</v>
      </c>
      <c r="M408" s="7" t="str">
        <f t="shared" si="3"/>
        <v>OK</v>
      </c>
      <c r="N408" s="7"/>
      <c r="O408" s="7"/>
      <c r="P408" s="7"/>
      <c r="Q408" s="7"/>
      <c r="R408" s="7"/>
      <c r="S408" s="7"/>
      <c r="T408" s="7"/>
      <c r="U408" s="7"/>
      <c r="V408" s="7"/>
      <c r="W408" s="7"/>
      <c r="X408" s="7"/>
      <c r="Y408" s="7"/>
      <c r="Z408" s="7"/>
    </row>
    <row r="409" ht="15.75" customHeight="1">
      <c r="A409" s="12" t="s">
        <v>2072</v>
      </c>
      <c r="B409" s="5" t="s">
        <v>14</v>
      </c>
      <c r="C409" s="5" t="s">
        <v>15</v>
      </c>
      <c r="D409" s="4" t="s">
        <v>2073</v>
      </c>
      <c r="E409" s="4" t="s">
        <v>2074</v>
      </c>
      <c r="F409" s="5" t="s">
        <v>2075</v>
      </c>
      <c r="G409" s="4" t="s">
        <v>2076</v>
      </c>
      <c r="H409" s="5" t="s">
        <v>2075</v>
      </c>
      <c r="I409" s="5" t="s">
        <v>20</v>
      </c>
      <c r="J409" s="5" t="s">
        <v>31</v>
      </c>
      <c r="K409" s="5" t="s">
        <v>58</v>
      </c>
      <c r="L409" s="5" t="s">
        <v>132</v>
      </c>
      <c r="M409" s="7" t="str">
        <f t="shared" si="3"/>
        <v>OK</v>
      </c>
      <c r="N409" s="7"/>
      <c r="O409" s="7"/>
      <c r="P409" s="7"/>
      <c r="Q409" s="7"/>
      <c r="R409" s="7"/>
      <c r="S409" s="7"/>
      <c r="T409" s="7"/>
      <c r="U409" s="7"/>
      <c r="V409" s="7"/>
      <c r="W409" s="7"/>
      <c r="X409" s="7"/>
      <c r="Y409" s="7"/>
      <c r="Z409" s="7"/>
    </row>
    <row r="410" ht="15.75" customHeight="1">
      <c r="A410" s="4" t="s">
        <v>2077</v>
      </c>
      <c r="B410" s="5" t="s">
        <v>14</v>
      </c>
      <c r="C410" s="5" t="s">
        <v>15</v>
      </c>
      <c r="D410" s="5" t="s">
        <v>2078</v>
      </c>
      <c r="E410" s="6" t="s">
        <v>2079</v>
      </c>
      <c r="F410" s="6" t="s">
        <v>2080</v>
      </c>
      <c r="G410" s="6" t="s">
        <v>2081</v>
      </c>
      <c r="H410" s="6" t="s">
        <v>2080</v>
      </c>
      <c r="I410" s="5" t="s">
        <v>30</v>
      </c>
      <c r="J410" s="5" t="s">
        <v>65</v>
      </c>
      <c r="K410" s="5" t="s">
        <v>22</v>
      </c>
      <c r="L410" s="5" t="s">
        <v>46</v>
      </c>
      <c r="M410" s="7" t="str">
        <f t="shared" si="3"/>
        <v>OK</v>
      </c>
      <c r="N410" s="7"/>
      <c r="O410" s="7"/>
      <c r="P410" s="7"/>
      <c r="Q410" s="7"/>
      <c r="R410" s="7"/>
      <c r="S410" s="7"/>
      <c r="T410" s="7"/>
      <c r="U410" s="7"/>
      <c r="V410" s="7"/>
      <c r="W410" s="7"/>
      <c r="X410" s="7"/>
      <c r="Y410" s="7"/>
      <c r="Z410" s="7"/>
    </row>
    <row r="411" ht="15.75" customHeight="1">
      <c r="A411" s="4" t="s">
        <v>2082</v>
      </c>
      <c r="B411" s="5" t="s">
        <v>25</v>
      </c>
      <c r="C411" s="5" t="s">
        <v>15</v>
      </c>
      <c r="D411" s="5" t="s">
        <v>2083</v>
      </c>
      <c r="E411" s="5" t="s">
        <v>2084</v>
      </c>
      <c r="F411" s="5" t="s">
        <v>2085</v>
      </c>
      <c r="G411" s="5" t="s">
        <v>2086</v>
      </c>
      <c r="H411" s="5" t="s">
        <v>2084</v>
      </c>
      <c r="I411" s="5" t="s">
        <v>21</v>
      </c>
      <c r="J411" s="5" t="s">
        <v>37</v>
      </c>
      <c r="K411" s="5" t="s">
        <v>57</v>
      </c>
      <c r="L411" s="5" t="s">
        <v>39</v>
      </c>
      <c r="M411" s="7" t="str">
        <f t="shared" si="3"/>
        <v>OK</v>
      </c>
      <c r="N411" s="7"/>
      <c r="O411" s="7"/>
      <c r="P411" s="7"/>
      <c r="Q411" s="7"/>
      <c r="R411" s="7"/>
      <c r="S411" s="7"/>
      <c r="T411" s="7"/>
      <c r="U411" s="7"/>
      <c r="V411" s="7"/>
      <c r="W411" s="7"/>
      <c r="X411" s="7"/>
      <c r="Y411" s="7"/>
      <c r="Z411" s="7"/>
    </row>
    <row r="412" ht="15.75" customHeight="1">
      <c r="A412" s="4" t="s">
        <v>2087</v>
      </c>
      <c r="B412" s="5" t="s">
        <v>14</v>
      </c>
      <c r="C412" s="5" t="s">
        <v>15</v>
      </c>
      <c r="D412" s="4" t="s">
        <v>2088</v>
      </c>
      <c r="E412" s="4" t="s">
        <v>2089</v>
      </c>
      <c r="F412" s="4" t="s">
        <v>2090</v>
      </c>
      <c r="G412" s="5" t="s">
        <v>2091</v>
      </c>
      <c r="H412" s="5" t="s">
        <v>2091</v>
      </c>
      <c r="I412" s="5" t="s">
        <v>65</v>
      </c>
      <c r="J412" s="5" t="s">
        <v>37</v>
      </c>
      <c r="K412" s="5" t="s">
        <v>22</v>
      </c>
      <c r="L412" s="5" t="s">
        <v>39</v>
      </c>
      <c r="M412" s="7" t="str">
        <f t="shared" si="3"/>
        <v>OK</v>
      </c>
      <c r="N412" s="7"/>
      <c r="O412" s="7"/>
      <c r="P412" s="7"/>
      <c r="Q412" s="7"/>
      <c r="R412" s="7"/>
      <c r="S412" s="7"/>
      <c r="T412" s="7"/>
      <c r="U412" s="7"/>
      <c r="V412" s="7"/>
      <c r="W412" s="7"/>
      <c r="X412" s="7"/>
      <c r="Y412" s="7"/>
      <c r="Z412" s="7"/>
    </row>
    <row r="413" ht="15.75" customHeight="1">
      <c r="A413" s="4" t="s">
        <v>2092</v>
      </c>
      <c r="B413" s="5" t="s">
        <v>25</v>
      </c>
      <c r="C413" s="5" t="s">
        <v>15</v>
      </c>
      <c r="D413" s="5" t="s">
        <v>2093</v>
      </c>
      <c r="E413" s="5" t="s">
        <v>2094</v>
      </c>
      <c r="F413" s="5" t="s">
        <v>2095</v>
      </c>
      <c r="G413" s="5" t="s">
        <v>2096</v>
      </c>
      <c r="H413" s="5" t="s">
        <v>2095</v>
      </c>
      <c r="I413" s="5" t="s">
        <v>30</v>
      </c>
      <c r="J413" s="5" t="s">
        <v>31</v>
      </c>
      <c r="K413" s="5" t="s">
        <v>22</v>
      </c>
      <c r="L413" s="5" t="s">
        <v>22</v>
      </c>
      <c r="M413" s="7" t="str">
        <f t="shared" si="3"/>
        <v>OK</v>
      </c>
      <c r="N413" s="7"/>
      <c r="O413" s="7"/>
      <c r="P413" s="7"/>
      <c r="Q413" s="7"/>
      <c r="R413" s="7"/>
      <c r="S413" s="7"/>
      <c r="T413" s="7"/>
      <c r="U413" s="7"/>
      <c r="V413" s="7"/>
      <c r="W413" s="7"/>
      <c r="X413" s="7"/>
      <c r="Y413" s="7"/>
      <c r="Z413" s="7"/>
    </row>
    <row r="414" ht="15.75" customHeight="1">
      <c r="A414" s="4" t="s">
        <v>2097</v>
      </c>
      <c r="B414" s="5" t="s">
        <v>14</v>
      </c>
      <c r="C414" s="5" t="s">
        <v>15</v>
      </c>
      <c r="D414" s="5" t="s">
        <v>2098</v>
      </c>
      <c r="E414" s="5" t="s">
        <v>2099</v>
      </c>
      <c r="F414" s="5" t="s">
        <v>2100</v>
      </c>
      <c r="G414" s="5" t="s">
        <v>2101</v>
      </c>
      <c r="H414" s="5" t="s">
        <v>2101</v>
      </c>
      <c r="I414" s="5" t="s">
        <v>65</v>
      </c>
      <c r="J414" s="5" t="s">
        <v>31</v>
      </c>
      <c r="K414" s="5" t="s">
        <v>23</v>
      </c>
      <c r="L414" s="5" t="s">
        <v>57</v>
      </c>
      <c r="M414" s="7" t="str">
        <f t="shared" si="3"/>
        <v>OK</v>
      </c>
      <c r="N414" s="7"/>
      <c r="O414" s="7"/>
      <c r="P414" s="7"/>
      <c r="Q414" s="7"/>
      <c r="R414" s="7"/>
      <c r="S414" s="7"/>
      <c r="T414" s="7"/>
      <c r="U414" s="7"/>
      <c r="V414" s="7"/>
      <c r="W414" s="7"/>
      <c r="X414" s="7"/>
      <c r="Y414" s="7"/>
      <c r="Z414" s="7"/>
    </row>
    <row r="415" ht="15.75" customHeight="1">
      <c r="A415" s="4" t="s">
        <v>2102</v>
      </c>
      <c r="B415" s="5" t="s">
        <v>14</v>
      </c>
      <c r="C415" s="5" t="s">
        <v>15</v>
      </c>
      <c r="D415" s="5" t="s">
        <v>2103</v>
      </c>
      <c r="E415" s="5" t="s">
        <v>2104</v>
      </c>
      <c r="F415" s="5" t="s">
        <v>2105</v>
      </c>
      <c r="G415" s="5" t="s">
        <v>2106</v>
      </c>
      <c r="H415" s="5" t="s">
        <v>2106</v>
      </c>
      <c r="I415" s="5" t="s">
        <v>45</v>
      </c>
      <c r="J415" s="5" t="s">
        <v>21</v>
      </c>
      <c r="K415" s="5" t="s">
        <v>23</v>
      </c>
      <c r="L415" s="5" t="s">
        <v>39</v>
      </c>
      <c r="M415" s="7" t="str">
        <f t="shared" si="3"/>
        <v>OK</v>
      </c>
      <c r="N415" s="7"/>
      <c r="O415" s="7"/>
      <c r="P415" s="7"/>
      <c r="Q415" s="7"/>
      <c r="R415" s="7"/>
      <c r="S415" s="7"/>
      <c r="T415" s="7"/>
      <c r="U415" s="7"/>
      <c r="V415" s="7"/>
      <c r="W415" s="7"/>
      <c r="X415" s="7"/>
      <c r="Y415" s="7"/>
      <c r="Z415" s="7"/>
    </row>
    <row r="416" ht="15.75" customHeight="1">
      <c r="A416" s="4" t="s">
        <v>2107</v>
      </c>
      <c r="B416" s="5" t="s">
        <v>25</v>
      </c>
      <c r="C416" s="5" t="s">
        <v>15</v>
      </c>
      <c r="D416" s="4" t="s">
        <v>2108</v>
      </c>
      <c r="E416" s="4" t="s">
        <v>2109</v>
      </c>
      <c r="F416" s="4" t="s">
        <v>2110</v>
      </c>
      <c r="G416" s="4" t="s">
        <v>2111</v>
      </c>
      <c r="H416" s="5" t="s">
        <v>2111</v>
      </c>
      <c r="I416" s="5" t="s">
        <v>37</v>
      </c>
      <c r="J416" s="5" t="s">
        <v>20</v>
      </c>
      <c r="K416" s="5" t="s">
        <v>57</v>
      </c>
      <c r="L416" s="5" t="s">
        <v>39</v>
      </c>
      <c r="M416" s="7" t="str">
        <f t="shared" si="3"/>
        <v>OK</v>
      </c>
      <c r="N416" s="7"/>
      <c r="O416" s="7"/>
      <c r="P416" s="7"/>
      <c r="Q416" s="7"/>
      <c r="R416" s="7"/>
      <c r="S416" s="7"/>
      <c r="T416" s="7"/>
      <c r="U416" s="7"/>
      <c r="V416" s="7"/>
      <c r="W416" s="7"/>
      <c r="X416" s="7"/>
      <c r="Y416" s="7"/>
      <c r="Z416" s="7"/>
    </row>
    <row r="417" ht="15.75" customHeight="1">
      <c r="A417" s="4" t="s">
        <v>2112</v>
      </c>
      <c r="B417" s="5" t="s">
        <v>14</v>
      </c>
      <c r="C417" s="5" t="s">
        <v>15</v>
      </c>
      <c r="D417" s="4" t="s">
        <v>2113</v>
      </c>
      <c r="E417" s="5" t="s">
        <v>2114</v>
      </c>
      <c r="F417" s="4" t="s">
        <v>2115</v>
      </c>
      <c r="G417" s="4" t="s">
        <v>2116</v>
      </c>
      <c r="H417" s="5" t="s">
        <v>2114</v>
      </c>
      <c r="I417" s="5" t="s">
        <v>20</v>
      </c>
      <c r="J417" s="5" t="s">
        <v>31</v>
      </c>
      <c r="K417" s="5" t="s">
        <v>132</v>
      </c>
      <c r="L417" s="5" t="s">
        <v>39</v>
      </c>
      <c r="M417" s="7" t="str">
        <f t="shared" si="3"/>
        <v>OK</v>
      </c>
      <c r="N417" s="7"/>
      <c r="O417" s="7"/>
      <c r="P417" s="7"/>
      <c r="Q417" s="7"/>
      <c r="R417" s="7"/>
      <c r="S417" s="7"/>
      <c r="T417" s="7"/>
      <c r="U417" s="7"/>
      <c r="V417" s="7"/>
      <c r="W417" s="7"/>
      <c r="X417" s="7"/>
      <c r="Y417" s="7"/>
      <c r="Z417" s="7"/>
    </row>
    <row r="418" ht="15.75" customHeight="1">
      <c r="A418" s="4" t="s">
        <v>2117</v>
      </c>
      <c r="B418" s="5" t="s">
        <v>25</v>
      </c>
      <c r="C418" s="5" t="s">
        <v>15</v>
      </c>
      <c r="D418" s="5" t="s">
        <v>2118</v>
      </c>
      <c r="E418" s="5" t="s">
        <v>2119</v>
      </c>
      <c r="F418" s="5" t="s">
        <v>2120</v>
      </c>
      <c r="G418" s="5" t="s">
        <v>2121</v>
      </c>
      <c r="H418" s="5" t="s">
        <v>2119</v>
      </c>
      <c r="I418" s="5" t="s">
        <v>64</v>
      </c>
      <c r="J418" s="5" t="s">
        <v>37</v>
      </c>
      <c r="K418" s="5" t="s">
        <v>23</v>
      </c>
      <c r="L418" s="5" t="s">
        <v>46</v>
      </c>
      <c r="M418" s="7" t="str">
        <f t="shared" si="3"/>
        <v>OK</v>
      </c>
      <c r="N418" s="7"/>
      <c r="O418" s="7"/>
      <c r="P418" s="7"/>
      <c r="Q418" s="7"/>
      <c r="R418" s="7"/>
      <c r="S418" s="7"/>
      <c r="T418" s="7"/>
      <c r="U418" s="7"/>
      <c r="V418" s="7"/>
      <c r="W418" s="7"/>
      <c r="X418" s="7"/>
      <c r="Y418" s="7"/>
      <c r="Z418" s="7"/>
    </row>
    <row r="419" ht="15.75" customHeight="1">
      <c r="A419" s="4" t="s">
        <v>2122</v>
      </c>
      <c r="B419" s="5" t="s">
        <v>25</v>
      </c>
      <c r="C419" s="5" t="s">
        <v>15</v>
      </c>
      <c r="D419" s="5" t="s">
        <v>2123</v>
      </c>
      <c r="E419" s="5" t="s">
        <v>2124</v>
      </c>
      <c r="F419" s="5" t="s">
        <v>2125</v>
      </c>
      <c r="G419" s="5" t="s">
        <v>2126</v>
      </c>
      <c r="H419" s="5" t="s">
        <v>2127</v>
      </c>
      <c r="I419" s="5" t="s">
        <v>37</v>
      </c>
      <c r="J419" s="5" t="s">
        <v>31</v>
      </c>
      <c r="K419" s="5" t="s">
        <v>39</v>
      </c>
      <c r="L419" s="5" t="s">
        <v>46</v>
      </c>
      <c r="M419" s="7" t="str">
        <f t="shared" si="3"/>
        <v>OK</v>
      </c>
      <c r="N419" s="7"/>
      <c r="O419" s="7"/>
      <c r="P419" s="7"/>
      <c r="Q419" s="7"/>
      <c r="R419" s="7"/>
      <c r="S419" s="7"/>
      <c r="T419" s="7"/>
      <c r="U419" s="7"/>
      <c r="V419" s="7"/>
      <c r="W419" s="7"/>
      <c r="X419" s="7"/>
      <c r="Y419" s="7"/>
      <c r="Z419" s="7"/>
    </row>
    <row r="420" ht="15.75" customHeight="1">
      <c r="A420" s="4" t="s">
        <v>2128</v>
      </c>
      <c r="B420" s="5" t="s">
        <v>14</v>
      </c>
      <c r="C420" s="5" t="s">
        <v>15</v>
      </c>
      <c r="D420" s="5" t="s">
        <v>2129</v>
      </c>
      <c r="E420" s="6" t="s">
        <v>2130</v>
      </c>
      <c r="F420" s="6" t="s">
        <v>2131</v>
      </c>
      <c r="G420" s="6" t="s">
        <v>2132</v>
      </c>
      <c r="H420" s="6" t="s">
        <v>2132</v>
      </c>
      <c r="I420" s="5" t="s">
        <v>64</v>
      </c>
      <c r="J420" s="5" t="s">
        <v>65</v>
      </c>
      <c r="K420" s="5" t="s">
        <v>39</v>
      </c>
      <c r="L420" s="5" t="s">
        <v>22</v>
      </c>
      <c r="M420" s="7" t="str">
        <f t="shared" si="3"/>
        <v>OK</v>
      </c>
      <c r="N420" s="7"/>
      <c r="O420" s="7"/>
      <c r="P420" s="7"/>
      <c r="Q420" s="7"/>
      <c r="R420" s="7"/>
      <c r="S420" s="7"/>
      <c r="T420" s="7"/>
      <c r="U420" s="7"/>
      <c r="V420" s="7"/>
      <c r="W420" s="7"/>
      <c r="X420" s="7"/>
      <c r="Y420" s="7"/>
      <c r="Z420" s="7"/>
    </row>
    <row r="421" ht="15.75" customHeight="1">
      <c r="A421" s="4" t="s">
        <v>2133</v>
      </c>
      <c r="B421" s="5" t="s">
        <v>25</v>
      </c>
      <c r="C421" s="5" t="s">
        <v>15</v>
      </c>
      <c r="D421" s="5" t="s">
        <v>2134</v>
      </c>
      <c r="E421" s="5" t="s">
        <v>2135</v>
      </c>
      <c r="F421" s="5" t="s">
        <v>2136</v>
      </c>
      <c r="G421" s="5" t="s">
        <v>2137</v>
      </c>
      <c r="H421" s="5" t="s">
        <v>2136</v>
      </c>
      <c r="I421" s="5" t="s">
        <v>21</v>
      </c>
      <c r="J421" s="5" t="s">
        <v>20</v>
      </c>
      <c r="K421" s="5" t="s">
        <v>58</v>
      </c>
      <c r="L421" s="5" t="s">
        <v>132</v>
      </c>
      <c r="M421" s="7" t="str">
        <f t="shared" si="3"/>
        <v>OK</v>
      </c>
      <c r="N421" s="7"/>
      <c r="O421" s="7"/>
      <c r="P421" s="7"/>
      <c r="Q421" s="7"/>
      <c r="R421" s="7"/>
      <c r="S421" s="7"/>
      <c r="T421" s="7"/>
      <c r="U421" s="7"/>
      <c r="V421" s="7"/>
      <c r="W421" s="7"/>
      <c r="X421" s="7"/>
      <c r="Y421" s="7"/>
      <c r="Z421" s="7"/>
    </row>
    <row r="422" ht="15.75" customHeight="1">
      <c r="A422" s="4" t="s">
        <v>2138</v>
      </c>
      <c r="B422" s="5" t="s">
        <v>14</v>
      </c>
      <c r="C422" s="5" t="s">
        <v>15</v>
      </c>
      <c r="D422" s="4" t="s">
        <v>2139</v>
      </c>
      <c r="E422" s="4" t="s">
        <v>2140</v>
      </c>
      <c r="F422" s="5" t="s">
        <v>2141</v>
      </c>
      <c r="G422" s="4" t="s">
        <v>2142</v>
      </c>
      <c r="H422" s="5" t="s">
        <v>2141</v>
      </c>
      <c r="I422" s="5" t="s">
        <v>31</v>
      </c>
      <c r="J422" s="5" t="s">
        <v>21</v>
      </c>
      <c r="K422" s="5" t="s">
        <v>58</v>
      </c>
      <c r="L422" s="5" t="s">
        <v>39</v>
      </c>
      <c r="M422" s="7" t="str">
        <f t="shared" si="3"/>
        <v>OK</v>
      </c>
      <c r="N422" s="7"/>
      <c r="O422" s="7"/>
      <c r="P422" s="7"/>
      <c r="Q422" s="7"/>
      <c r="R422" s="7"/>
      <c r="S422" s="7"/>
      <c r="T422" s="7"/>
      <c r="U422" s="7"/>
      <c r="V422" s="7"/>
      <c r="W422" s="7"/>
      <c r="X422" s="7"/>
      <c r="Y422" s="7"/>
      <c r="Z422" s="7"/>
    </row>
    <row r="423" ht="15.75" customHeight="1">
      <c r="A423" s="4" t="s">
        <v>2143</v>
      </c>
      <c r="B423" s="5" t="s">
        <v>14</v>
      </c>
      <c r="C423" s="5" t="s">
        <v>15</v>
      </c>
      <c r="D423" s="4" t="s">
        <v>2144</v>
      </c>
      <c r="E423" s="5" t="s">
        <v>2145</v>
      </c>
      <c r="F423" s="4" t="s">
        <v>2146</v>
      </c>
      <c r="G423" s="4" t="s">
        <v>2147</v>
      </c>
      <c r="H423" s="5" t="s">
        <v>2145</v>
      </c>
      <c r="I423" s="5" t="s">
        <v>31</v>
      </c>
      <c r="J423" s="5" t="s">
        <v>20</v>
      </c>
      <c r="K423" s="5" t="s">
        <v>22</v>
      </c>
      <c r="L423" s="5" t="s">
        <v>46</v>
      </c>
      <c r="M423" s="7" t="str">
        <f t="shared" si="3"/>
        <v>OK</v>
      </c>
      <c r="N423" s="7"/>
      <c r="O423" s="7"/>
      <c r="P423" s="7"/>
      <c r="Q423" s="7"/>
      <c r="R423" s="7"/>
      <c r="S423" s="7"/>
      <c r="T423" s="7"/>
      <c r="U423" s="7"/>
      <c r="V423" s="7"/>
      <c r="W423" s="7"/>
      <c r="X423" s="7"/>
      <c r="Y423" s="7"/>
      <c r="Z423" s="7"/>
    </row>
    <row r="424" ht="15.75" customHeight="1">
      <c r="A424" s="4" t="s">
        <v>2148</v>
      </c>
      <c r="B424" s="5" t="s">
        <v>25</v>
      </c>
      <c r="C424" s="5" t="s">
        <v>15</v>
      </c>
      <c r="D424" s="5" t="s">
        <v>2149</v>
      </c>
      <c r="E424" s="5" t="s">
        <v>2150</v>
      </c>
      <c r="F424" s="5" t="s">
        <v>2151</v>
      </c>
      <c r="G424" s="5" t="s">
        <v>2152</v>
      </c>
      <c r="H424" s="5" t="s">
        <v>2152</v>
      </c>
      <c r="I424" s="5" t="s">
        <v>31</v>
      </c>
      <c r="J424" s="5" t="s">
        <v>65</v>
      </c>
      <c r="K424" s="5" t="s">
        <v>39</v>
      </c>
      <c r="L424" s="5" t="s">
        <v>46</v>
      </c>
      <c r="M424" s="7" t="str">
        <f t="shared" si="3"/>
        <v>OK</v>
      </c>
      <c r="N424" s="7"/>
      <c r="O424" s="7"/>
      <c r="P424" s="7"/>
      <c r="Q424" s="7"/>
      <c r="R424" s="7"/>
      <c r="S424" s="7"/>
      <c r="T424" s="7"/>
      <c r="U424" s="7"/>
      <c r="V424" s="7"/>
      <c r="W424" s="7"/>
      <c r="X424" s="7"/>
      <c r="Y424" s="7"/>
      <c r="Z424" s="7"/>
    </row>
    <row r="425" ht="15.75" customHeight="1">
      <c r="A425" s="4" t="s">
        <v>2153</v>
      </c>
      <c r="B425" s="5" t="s">
        <v>14</v>
      </c>
      <c r="C425" s="5" t="s">
        <v>15</v>
      </c>
      <c r="D425" s="5" t="s">
        <v>2154</v>
      </c>
      <c r="E425" s="6" t="s">
        <v>2155</v>
      </c>
      <c r="F425" s="6" t="s">
        <v>2156</v>
      </c>
      <c r="G425" s="6" t="s">
        <v>2157</v>
      </c>
      <c r="H425" s="6" t="s">
        <v>2156</v>
      </c>
      <c r="I425" s="5" t="s">
        <v>65</v>
      </c>
      <c r="J425" s="5" t="s">
        <v>37</v>
      </c>
      <c r="K425" s="5" t="s">
        <v>23</v>
      </c>
      <c r="L425" s="5" t="s">
        <v>22</v>
      </c>
      <c r="M425" s="7" t="str">
        <f t="shared" si="3"/>
        <v>OK</v>
      </c>
      <c r="N425" s="7"/>
      <c r="O425" s="7"/>
      <c r="P425" s="7"/>
      <c r="Q425" s="7"/>
      <c r="R425" s="7"/>
      <c r="S425" s="7"/>
      <c r="T425" s="7"/>
      <c r="U425" s="7"/>
      <c r="V425" s="7"/>
      <c r="W425" s="7"/>
      <c r="X425" s="7"/>
      <c r="Y425" s="7"/>
      <c r="Z425" s="7"/>
    </row>
    <row r="426" ht="15.75" customHeight="1">
      <c r="A426" s="4" t="s">
        <v>2158</v>
      </c>
      <c r="B426" s="5" t="s">
        <v>14</v>
      </c>
      <c r="C426" s="5" t="s">
        <v>15</v>
      </c>
      <c r="D426" s="4" t="s">
        <v>2159</v>
      </c>
      <c r="E426" s="5" t="s">
        <v>2160</v>
      </c>
      <c r="F426" s="4" t="s">
        <v>2161</v>
      </c>
      <c r="G426" s="4" t="s">
        <v>2162</v>
      </c>
      <c r="H426" s="5" t="s">
        <v>2160</v>
      </c>
      <c r="I426" s="5" t="s">
        <v>31</v>
      </c>
      <c r="J426" s="5" t="s">
        <v>65</v>
      </c>
      <c r="K426" s="5" t="s">
        <v>22</v>
      </c>
      <c r="L426" s="5" t="s">
        <v>46</v>
      </c>
      <c r="M426" s="7" t="str">
        <f t="shared" si="3"/>
        <v>OK</v>
      </c>
      <c r="N426" s="7"/>
      <c r="O426" s="7"/>
      <c r="P426" s="7"/>
      <c r="Q426" s="7"/>
      <c r="R426" s="7"/>
      <c r="S426" s="7"/>
      <c r="T426" s="7"/>
      <c r="U426" s="7"/>
      <c r="V426" s="7"/>
      <c r="W426" s="7"/>
      <c r="X426" s="7"/>
      <c r="Y426" s="7"/>
      <c r="Z426" s="7"/>
    </row>
    <row r="427" ht="15.75" customHeight="1">
      <c r="A427" s="4" t="s">
        <v>2163</v>
      </c>
      <c r="B427" s="5" t="s">
        <v>25</v>
      </c>
      <c r="C427" s="5" t="s">
        <v>15</v>
      </c>
      <c r="D427" s="5" t="s">
        <v>2164</v>
      </c>
      <c r="E427" s="5" t="s">
        <v>2165</v>
      </c>
      <c r="F427" s="5" t="s">
        <v>2166</v>
      </c>
      <c r="G427" s="5" t="s">
        <v>2167</v>
      </c>
      <c r="H427" s="5" t="s">
        <v>2165</v>
      </c>
      <c r="I427" s="5" t="s">
        <v>65</v>
      </c>
      <c r="J427" s="5" t="s">
        <v>20</v>
      </c>
      <c r="K427" s="5" t="s">
        <v>39</v>
      </c>
      <c r="L427" s="5" t="s">
        <v>46</v>
      </c>
      <c r="M427" s="7" t="str">
        <f t="shared" si="3"/>
        <v>OK</v>
      </c>
      <c r="N427" s="7"/>
      <c r="O427" s="7"/>
      <c r="P427" s="7"/>
      <c r="Q427" s="7"/>
      <c r="R427" s="7"/>
      <c r="S427" s="7"/>
      <c r="T427" s="7"/>
      <c r="U427" s="7"/>
      <c r="V427" s="7"/>
      <c r="W427" s="7"/>
      <c r="X427" s="7"/>
      <c r="Y427" s="7"/>
      <c r="Z427" s="7"/>
    </row>
    <row r="428" ht="15.75" customHeight="1">
      <c r="A428" s="4" t="s">
        <v>2168</v>
      </c>
      <c r="B428" s="5" t="s">
        <v>25</v>
      </c>
      <c r="C428" s="5" t="s">
        <v>15</v>
      </c>
      <c r="D428" s="4" t="s">
        <v>2169</v>
      </c>
      <c r="E428" s="4" t="s">
        <v>2170</v>
      </c>
      <c r="F428" s="4" t="s">
        <v>2171</v>
      </c>
      <c r="G428" s="4" t="s">
        <v>2172</v>
      </c>
      <c r="H428" s="5" t="s">
        <v>2172</v>
      </c>
      <c r="I428" s="5" t="s">
        <v>31</v>
      </c>
      <c r="J428" s="5" t="s">
        <v>20</v>
      </c>
      <c r="K428" s="5" t="s">
        <v>132</v>
      </c>
      <c r="L428" s="5" t="s">
        <v>66</v>
      </c>
      <c r="M428" s="7" t="str">
        <f t="shared" si="3"/>
        <v>OK</v>
      </c>
      <c r="N428" s="7"/>
      <c r="O428" s="7"/>
      <c r="P428" s="7"/>
      <c r="Q428" s="7"/>
      <c r="R428" s="7"/>
      <c r="S428" s="7"/>
      <c r="T428" s="7"/>
      <c r="U428" s="7"/>
      <c r="V428" s="7"/>
      <c r="W428" s="7"/>
      <c r="X428" s="7"/>
      <c r="Y428" s="7"/>
      <c r="Z428" s="7"/>
    </row>
    <row r="429" ht="15.75" customHeight="1">
      <c r="A429" s="4" t="s">
        <v>2173</v>
      </c>
      <c r="B429" s="5" t="s">
        <v>25</v>
      </c>
      <c r="C429" s="5" t="s">
        <v>15</v>
      </c>
      <c r="D429" s="5" t="s">
        <v>2174</v>
      </c>
      <c r="E429" s="5" t="s">
        <v>2175</v>
      </c>
      <c r="F429" s="5" t="s">
        <v>2176</v>
      </c>
      <c r="G429" s="5" t="s">
        <v>2177</v>
      </c>
      <c r="H429" s="5" t="s">
        <v>2175</v>
      </c>
      <c r="I429" s="5" t="s">
        <v>45</v>
      </c>
      <c r="J429" s="5" t="s">
        <v>31</v>
      </c>
      <c r="K429" s="5" t="s">
        <v>132</v>
      </c>
      <c r="L429" s="5" t="s">
        <v>66</v>
      </c>
      <c r="M429" s="7" t="str">
        <f t="shared" si="3"/>
        <v>OK</v>
      </c>
      <c r="N429" s="7"/>
      <c r="O429" s="7"/>
      <c r="P429" s="7"/>
      <c r="Q429" s="7"/>
      <c r="R429" s="7"/>
      <c r="S429" s="7"/>
      <c r="T429" s="7"/>
      <c r="U429" s="7"/>
      <c r="V429" s="7"/>
      <c r="W429" s="7"/>
      <c r="X429" s="7"/>
      <c r="Y429" s="7"/>
      <c r="Z429" s="7"/>
    </row>
    <row r="430" ht="15.75" customHeight="1">
      <c r="A430" s="4" t="s">
        <v>2178</v>
      </c>
      <c r="B430" s="5" t="s">
        <v>14</v>
      </c>
      <c r="C430" s="5" t="s">
        <v>15</v>
      </c>
      <c r="D430" s="5" t="s">
        <v>2179</v>
      </c>
      <c r="E430" s="5" t="s">
        <v>2180</v>
      </c>
      <c r="F430" s="5" t="s">
        <v>2181</v>
      </c>
      <c r="G430" s="5" t="s">
        <v>2182</v>
      </c>
      <c r="H430" s="5" t="s">
        <v>2180</v>
      </c>
      <c r="I430" s="5" t="s">
        <v>21</v>
      </c>
      <c r="J430" s="5" t="s">
        <v>37</v>
      </c>
      <c r="K430" s="5" t="s">
        <v>39</v>
      </c>
      <c r="L430" s="5" t="s">
        <v>22</v>
      </c>
      <c r="M430" s="7" t="str">
        <f t="shared" si="3"/>
        <v>OK</v>
      </c>
      <c r="N430" s="7"/>
      <c r="O430" s="7"/>
      <c r="P430" s="7"/>
      <c r="Q430" s="7"/>
      <c r="R430" s="7"/>
      <c r="S430" s="7"/>
      <c r="T430" s="7"/>
      <c r="U430" s="7"/>
      <c r="V430" s="7"/>
      <c r="W430" s="7"/>
      <c r="X430" s="7"/>
      <c r="Y430" s="7"/>
      <c r="Z430" s="7"/>
    </row>
    <row r="431" ht="15.75" customHeight="1">
      <c r="A431" s="4" t="s">
        <v>2183</v>
      </c>
      <c r="B431" s="5" t="s">
        <v>14</v>
      </c>
      <c r="C431" s="5" t="s">
        <v>15</v>
      </c>
      <c r="D431" s="5" t="s">
        <v>2184</v>
      </c>
      <c r="E431" s="6" t="s">
        <v>2185</v>
      </c>
      <c r="F431" s="6" t="s">
        <v>2186</v>
      </c>
      <c r="G431" s="5" t="s">
        <v>2187</v>
      </c>
      <c r="H431" s="5" t="s">
        <v>2187</v>
      </c>
      <c r="I431" s="5" t="s">
        <v>65</v>
      </c>
      <c r="J431" s="5" t="s">
        <v>21</v>
      </c>
      <c r="K431" s="5" t="s">
        <v>22</v>
      </c>
      <c r="L431" s="5" t="s">
        <v>46</v>
      </c>
      <c r="M431" s="7" t="str">
        <f t="shared" si="3"/>
        <v>OK</v>
      </c>
      <c r="N431" s="7"/>
      <c r="O431" s="7"/>
      <c r="P431" s="7"/>
      <c r="Q431" s="7"/>
      <c r="R431" s="7"/>
      <c r="S431" s="7"/>
      <c r="T431" s="7"/>
      <c r="U431" s="7"/>
      <c r="V431" s="7"/>
      <c r="W431" s="7"/>
      <c r="X431" s="7"/>
      <c r="Y431" s="7"/>
      <c r="Z431" s="7"/>
    </row>
    <row r="432" ht="15.75" customHeight="1">
      <c r="A432" s="4" t="s">
        <v>2188</v>
      </c>
      <c r="B432" s="5" t="s">
        <v>25</v>
      </c>
      <c r="C432" s="5" t="s">
        <v>15</v>
      </c>
      <c r="D432" s="4" t="s">
        <v>2189</v>
      </c>
      <c r="E432" s="4" t="s">
        <v>2190</v>
      </c>
      <c r="F432" s="4" t="s">
        <v>2191</v>
      </c>
      <c r="G432" s="4" t="s">
        <v>2192</v>
      </c>
      <c r="H432" s="5" t="s">
        <v>2192</v>
      </c>
      <c r="I432" s="5" t="s">
        <v>64</v>
      </c>
      <c r="J432" s="5" t="s">
        <v>20</v>
      </c>
      <c r="K432" s="5" t="s">
        <v>39</v>
      </c>
      <c r="L432" s="5" t="s">
        <v>46</v>
      </c>
      <c r="M432" s="7" t="str">
        <f t="shared" si="3"/>
        <v>OK</v>
      </c>
      <c r="N432" s="7"/>
      <c r="O432" s="7"/>
      <c r="P432" s="7"/>
      <c r="Q432" s="7"/>
      <c r="R432" s="7"/>
      <c r="S432" s="7"/>
      <c r="T432" s="7"/>
      <c r="U432" s="7"/>
      <c r="V432" s="7"/>
      <c r="W432" s="7"/>
      <c r="X432" s="7"/>
      <c r="Y432" s="7"/>
      <c r="Z432" s="7"/>
    </row>
    <row r="433" ht="15.75" customHeight="1">
      <c r="A433" s="4" t="s">
        <v>2193</v>
      </c>
      <c r="B433" s="5" t="s">
        <v>14</v>
      </c>
      <c r="C433" s="5" t="s">
        <v>15</v>
      </c>
      <c r="D433" s="5" t="s">
        <v>2194</v>
      </c>
      <c r="E433" s="6" t="s">
        <v>2195</v>
      </c>
      <c r="F433" s="6" t="s">
        <v>2196</v>
      </c>
      <c r="G433" s="6" t="s">
        <v>2197</v>
      </c>
      <c r="H433" s="6" t="s">
        <v>2195</v>
      </c>
      <c r="I433" s="5" t="s">
        <v>20</v>
      </c>
      <c r="J433" s="5" t="s">
        <v>64</v>
      </c>
      <c r="K433" s="5" t="s">
        <v>132</v>
      </c>
      <c r="L433" s="5" t="s">
        <v>46</v>
      </c>
      <c r="M433" s="7" t="str">
        <f t="shared" si="3"/>
        <v>OK</v>
      </c>
      <c r="N433" s="7"/>
      <c r="O433" s="7"/>
      <c r="P433" s="7"/>
      <c r="Q433" s="7"/>
      <c r="R433" s="7"/>
      <c r="S433" s="7"/>
      <c r="T433" s="7"/>
      <c r="U433" s="7"/>
      <c r="V433" s="7"/>
      <c r="W433" s="7"/>
      <c r="X433" s="7"/>
      <c r="Y433" s="7"/>
      <c r="Z433" s="7"/>
    </row>
    <row r="434" ht="15.75" customHeight="1">
      <c r="A434" s="4" t="s">
        <v>2198</v>
      </c>
      <c r="B434" s="5" t="s">
        <v>25</v>
      </c>
      <c r="C434" s="5" t="s">
        <v>15</v>
      </c>
      <c r="D434" s="5" t="s">
        <v>2199</v>
      </c>
      <c r="E434" s="5" t="s">
        <v>2200</v>
      </c>
      <c r="F434" s="5" t="s">
        <v>2201</v>
      </c>
      <c r="G434" s="5" t="s">
        <v>2202</v>
      </c>
      <c r="H434" s="5" t="s">
        <v>2202</v>
      </c>
      <c r="I434" s="5" t="s">
        <v>31</v>
      </c>
      <c r="J434" s="5" t="s">
        <v>64</v>
      </c>
      <c r="K434" s="5" t="s">
        <v>38</v>
      </c>
      <c r="L434" s="5" t="s">
        <v>46</v>
      </c>
      <c r="M434" s="7" t="str">
        <f t="shared" si="3"/>
        <v>OK</v>
      </c>
      <c r="N434" s="7"/>
      <c r="O434" s="7"/>
      <c r="P434" s="7"/>
      <c r="Q434" s="7"/>
      <c r="R434" s="7"/>
      <c r="S434" s="7"/>
      <c r="T434" s="7"/>
      <c r="U434" s="7"/>
      <c r="V434" s="7"/>
      <c r="W434" s="7"/>
      <c r="X434" s="7"/>
      <c r="Y434" s="7"/>
      <c r="Z434" s="7"/>
    </row>
    <row r="435" ht="15.75" customHeight="1">
      <c r="A435" s="4" t="s">
        <v>2203</v>
      </c>
      <c r="B435" s="5" t="s">
        <v>14</v>
      </c>
      <c r="C435" s="5" t="s">
        <v>15</v>
      </c>
      <c r="D435" s="4" t="s">
        <v>2204</v>
      </c>
      <c r="E435" s="4" t="s">
        <v>2205</v>
      </c>
      <c r="F435" s="4" t="s">
        <v>2206</v>
      </c>
      <c r="G435" s="5" t="s">
        <v>2207</v>
      </c>
      <c r="H435" s="5" t="s">
        <v>2207</v>
      </c>
      <c r="I435" s="5" t="s">
        <v>37</v>
      </c>
      <c r="J435" s="5" t="s">
        <v>20</v>
      </c>
      <c r="K435" s="5" t="s">
        <v>57</v>
      </c>
      <c r="L435" s="5" t="s">
        <v>39</v>
      </c>
      <c r="M435" s="7" t="str">
        <f t="shared" si="3"/>
        <v>OK</v>
      </c>
      <c r="N435" s="7"/>
      <c r="O435" s="7"/>
      <c r="P435" s="7"/>
      <c r="Q435" s="7"/>
      <c r="R435" s="7"/>
      <c r="S435" s="7"/>
      <c r="T435" s="7"/>
      <c r="U435" s="7"/>
      <c r="V435" s="7"/>
      <c r="W435" s="7"/>
      <c r="X435" s="7"/>
      <c r="Y435" s="7"/>
      <c r="Z435" s="7"/>
    </row>
    <row r="436" ht="15.75" customHeight="1">
      <c r="A436" s="4" t="s">
        <v>2208</v>
      </c>
      <c r="B436" s="5" t="s">
        <v>25</v>
      </c>
      <c r="C436" s="5" t="s">
        <v>15</v>
      </c>
      <c r="D436" s="4" t="s">
        <v>2209</v>
      </c>
      <c r="E436" s="4" t="s">
        <v>2210</v>
      </c>
      <c r="F436" s="4" t="s">
        <v>2211</v>
      </c>
      <c r="G436" s="4" t="s">
        <v>2212</v>
      </c>
      <c r="H436" s="5" t="s">
        <v>2211</v>
      </c>
      <c r="I436" s="5" t="s">
        <v>20</v>
      </c>
      <c r="J436" s="5" t="s">
        <v>37</v>
      </c>
      <c r="K436" s="5" t="s">
        <v>132</v>
      </c>
      <c r="L436" s="5" t="s">
        <v>58</v>
      </c>
      <c r="M436" s="7" t="str">
        <f t="shared" si="3"/>
        <v>OK</v>
      </c>
      <c r="N436" s="7"/>
      <c r="O436" s="7"/>
      <c r="P436" s="7"/>
      <c r="Q436" s="7"/>
      <c r="R436" s="7"/>
      <c r="S436" s="7"/>
      <c r="T436" s="7"/>
      <c r="U436" s="7"/>
      <c r="V436" s="7"/>
      <c r="W436" s="7"/>
      <c r="X436" s="7"/>
      <c r="Y436" s="7"/>
      <c r="Z436" s="7"/>
    </row>
    <row r="437" ht="15.75" customHeight="1">
      <c r="A437" s="4" t="s">
        <v>2213</v>
      </c>
      <c r="B437" s="5" t="s">
        <v>25</v>
      </c>
      <c r="C437" s="5" t="s">
        <v>15</v>
      </c>
      <c r="D437" s="4" t="s">
        <v>2214</v>
      </c>
      <c r="E437" s="4" t="s">
        <v>2215</v>
      </c>
      <c r="F437" s="4" t="s">
        <v>2216</v>
      </c>
      <c r="G437" s="4" t="s">
        <v>2217</v>
      </c>
      <c r="H437" s="5" t="s">
        <v>2215</v>
      </c>
      <c r="I437" s="5" t="s">
        <v>37</v>
      </c>
      <c r="J437" s="5" t="s">
        <v>20</v>
      </c>
      <c r="K437" s="5" t="s">
        <v>38</v>
      </c>
      <c r="L437" s="5" t="s">
        <v>46</v>
      </c>
      <c r="M437" s="7" t="str">
        <f t="shared" si="3"/>
        <v>OK</v>
      </c>
      <c r="N437" s="7"/>
      <c r="O437" s="7"/>
      <c r="P437" s="7"/>
      <c r="Q437" s="7"/>
      <c r="R437" s="7"/>
      <c r="S437" s="7"/>
      <c r="T437" s="7"/>
      <c r="U437" s="7"/>
      <c r="V437" s="7"/>
      <c r="W437" s="7"/>
      <c r="X437" s="7"/>
      <c r="Y437" s="7"/>
      <c r="Z437" s="7"/>
    </row>
    <row r="438" ht="15.75" customHeight="1">
      <c r="A438" s="4" t="s">
        <v>2218</v>
      </c>
      <c r="B438" s="5" t="s">
        <v>14</v>
      </c>
      <c r="C438" s="5" t="s">
        <v>15</v>
      </c>
      <c r="D438" s="5" t="s">
        <v>2219</v>
      </c>
      <c r="E438" s="6" t="s">
        <v>2220</v>
      </c>
      <c r="F438" s="6" t="s">
        <v>2221</v>
      </c>
      <c r="G438" s="5" t="s">
        <v>2222</v>
      </c>
      <c r="H438" s="5" t="s">
        <v>2222</v>
      </c>
      <c r="I438" s="5" t="s">
        <v>20</v>
      </c>
      <c r="J438" s="5" t="s">
        <v>37</v>
      </c>
      <c r="K438" s="5" t="s">
        <v>23</v>
      </c>
      <c r="L438" s="5" t="s">
        <v>22</v>
      </c>
      <c r="M438" s="7" t="str">
        <f t="shared" si="3"/>
        <v>OK</v>
      </c>
      <c r="N438" s="7"/>
      <c r="O438" s="7"/>
      <c r="P438" s="7"/>
      <c r="Q438" s="7"/>
      <c r="R438" s="7"/>
      <c r="S438" s="7"/>
      <c r="T438" s="7"/>
      <c r="U438" s="7"/>
      <c r="V438" s="7"/>
      <c r="W438" s="7"/>
      <c r="X438" s="7"/>
      <c r="Y438" s="7"/>
      <c r="Z438" s="7"/>
    </row>
    <row r="439" ht="15.75" customHeight="1">
      <c r="A439" s="4" t="s">
        <v>2223</v>
      </c>
      <c r="B439" s="5" t="s">
        <v>25</v>
      </c>
      <c r="C439" s="5" t="s">
        <v>15</v>
      </c>
      <c r="D439" s="5" t="s">
        <v>2224</v>
      </c>
      <c r="E439" s="5" t="s">
        <v>2225</v>
      </c>
      <c r="F439" s="5" t="s">
        <v>2226</v>
      </c>
      <c r="G439" s="5" t="s">
        <v>2227</v>
      </c>
      <c r="H439" s="5" t="s">
        <v>2225</v>
      </c>
      <c r="I439" s="5" t="s">
        <v>37</v>
      </c>
      <c r="J439" s="5" t="s">
        <v>65</v>
      </c>
      <c r="K439" s="5" t="s">
        <v>58</v>
      </c>
      <c r="L439" s="5" t="s">
        <v>132</v>
      </c>
      <c r="M439" s="7" t="str">
        <f t="shared" si="3"/>
        <v>OK</v>
      </c>
      <c r="N439" s="7"/>
      <c r="O439" s="7"/>
      <c r="P439" s="7"/>
      <c r="Q439" s="7"/>
      <c r="R439" s="7"/>
      <c r="S439" s="7"/>
      <c r="T439" s="7"/>
      <c r="U439" s="7"/>
      <c r="V439" s="7"/>
      <c r="W439" s="7"/>
      <c r="X439" s="7"/>
      <c r="Y439" s="7"/>
      <c r="Z439" s="7"/>
    </row>
    <row r="440" ht="15.75" customHeight="1">
      <c r="A440" s="4" t="s">
        <v>2228</v>
      </c>
      <c r="B440" s="5" t="s">
        <v>25</v>
      </c>
      <c r="C440" s="5" t="s">
        <v>15</v>
      </c>
      <c r="D440" s="5" t="s">
        <v>2229</v>
      </c>
      <c r="E440" s="5" t="s">
        <v>2230</v>
      </c>
      <c r="F440" s="5" t="s">
        <v>2231</v>
      </c>
      <c r="G440" s="5" t="s">
        <v>2232</v>
      </c>
      <c r="H440" s="5" t="s">
        <v>2233</v>
      </c>
      <c r="I440" s="5" t="s">
        <v>37</v>
      </c>
      <c r="J440" s="5" t="s">
        <v>20</v>
      </c>
      <c r="K440" s="5" t="s">
        <v>23</v>
      </c>
      <c r="L440" s="5" t="s">
        <v>66</v>
      </c>
      <c r="M440" s="7" t="str">
        <f t="shared" si="3"/>
        <v>OK</v>
      </c>
      <c r="N440" s="7"/>
      <c r="O440" s="7"/>
      <c r="P440" s="7"/>
      <c r="Q440" s="7"/>
      <c r="R440" s="7"/>
      <c r="S440" s="7"/>
      <c r="T440" s="7"/>
      <c r="U440" s="7"/>
      <c r="V440" s="7"/>
      <c r="W440" s="7"/>
      <c r="X440" s="7"/>
      <c r="Y440" s="7"/>
      <c r="Z440" s="7"/>
    </row>
    <row r="441" ht="15.75" customHeight="1">
      <c r="A441" s="4" t="s">
        <v>2234</v>
      </c>
      <c r="B441" s="5" t="s">
        <v>25</v>
      </c>
      <c r="C441" s="5" t="s">
        <v>15</v>
      </c>
      <c r="D441" s="5" t="s">
        <v>2235</v>
      </c>
      <c r="E441" s="5" t="s">
        <v>2236</v>
      </c>
      <c r="F441" s="5" t="s">
        <v>2237</v>
      </c>
      <c r="G441" s="5" t="s">
        <v>2238</v>
      </c>
      <c r="H441" s="5" t="s">
        <v>2236</v>
      </c>
      <c r="I441" s="5" t="s">
        <v>21</v>
      </c>
      <c r="J441" s="5" t="s">
        <v>31</v>
      </c>
      <c r="K441" s="5" t="s">
        <v>46</v>
      </c>
      <c r="L441" s="5" t="s">
        <v>39</v>
      </c>
      <c r="M441" s="7" t="str">
        <f t="shared" si="3"/>
        <v>OK</v>
      </c>
      <c r="N441" s="7"/>
      <c r="O441" s="7"/>
      <c r="P441" s="7"/>
      <c r="Q441" s="7"/>
      <c r="R441" s="7"/>
      <c r="S441" s="7"/>
      <c r="T441" s="7"/>
      <c r="U441" s="7"/>
      <c r="V441" s="7"/>
      <c r="W441" s="7"/>
      <c r="X441" s="7"/>
      <c r="Y441" s="7"/>
      <c r="Z441" s="7"/>
    </row>
    <row r="442" ht="15.75" customHeight="1">
      <c r="A442" s="4" t="s">
        <v>2239</v>
      </c>
      <c r="B442" s="5" t="s">
        <v>14</v>
      </c>
      <c r="C442" s="5" t="s">
        <v>15</v>
      </c>
      <c r="D442" s="5" t="s">
        <v>2240</v>
      </c>
      <c r="E442" s="6" t="s">
        <v>2241</v>
      </c>
      <c r="F442" s="6" t="s">
        <v>2242</v>
      </c>
      <c r="G442" s="5" t="s">
        <v>2243</v>
      </c>
      <c r="H442" s="5" t="s">
        <v>2243</v>
      </c>
      <c r="I442" s="5" t="s">
        <v>45</v>
      </c>
      <c r="J442" s="5" t="s">
        <v>31</v>
      </c>
      <c r="K442" s="5" t="s">
        <v>57</v>
      </c>
      <c r="L442" s="5" t="s">
        <v>38</v>
      </c>
      <c r="M442" s="7" t="str">
        <f t="shared" si="3"/>
        <v>OK</v>
      </c>
      <c r="N442" s="7"/>
      <c r="O442" s="7"/>
      <c r="P442" s="7"/>
      <c r="Q442" s="7"/>
      <c r="R442" s="7"/>
      <c r="S442" s="7"/>
      <c r="T442" s="7"/>
      <c r="U442" s="7"/>
      <c r="V442" s="7"/>
      <c r="W442" s="7"/>
      <c r="X442" s="7"/>
      <c r="Y442" s="7"/>
      <c r="Z442" s="7"/>
    </row>
    <row r="443" ht="15.75" customHeight="1">
      <c r="A443" s="4" t="s">
        <v>2244</v>
      </c>
      <c r="B443" s="5" t="s">
        <v>25</v>
      </c>
      <c r="C443" s="5" t="s">
        <v>15</v>
      </c>
      <c r="D443" s="5" t="s">
        <v>2245</v>
      </c>
      <c r="E443" s="5" t="s">
        <v>2246</v>
      </c>
      <c r="F443" s="5" t="s">
        <v>2247</v>
      </c>
      <c r="G443" s="5" t="s">
        <v>2248</v>
      </c>
      <c r="H443" s="5" t="s">
        <v>2246</v>
      </c>
      <c r="I443" s="5" t="s">
        <v>21</v>
      </c>
      <c r="J443" s="5" t="s">
        <v>31</v>
      </c>
      <c r="K443" s="5" t="s">
        <v>66</v>
      </c>
      <c r="L443" s="5" t="s">
        <v>23</v>
      </c>
      <c r="M443" s="7" t="str">
        <f t="shared" si="3"/>
        <v>OK</v>
      </c>
      <c r="N443" s="7"/>
      <c r="O443" s="7"/>
      <c r="P443" s="7"/>
      <c r="Q443" s="7"/>
      <c r="R443" s="7"/>
      <c r="S443" s="7"/>
      <c r="T443" s="7"/>
      <c r="U443" s="7"/>
      <c r="V443" s="7"/>
      <c r="W443" s="7"/>
      <c r="X443" s="7"/>
      <c r="Y443" s="7"/>
      <c r="Z443" s="7"/>
    </row>
    <row r="444" ht="15.75" customHeight="1">
      <c r="A444" s="4" t="s">
        <v>2249</v>
      </c>
      <c r="B444" s="5" t="s">
        <v>14</v>
      </c>
      <c r="C444" s="5" t="s">
        <v>15</v>
      </c>
      <c r="D444" s="5" t="s">
        <v>2250</v>
      </c>
      <c r="E444" s="6" t="s">
        <v>2251</v>
      </c>
      <c r="F444" s="5" t="s">
        <v>2252</v>
      </c>
      <c r="G444" s="6" t="s">
        <v>2253</v>
      </c>
      <c r="H444" s="5" t="s">
        <v>2252</v>
      </c>
      <c r="I444" s="5" t="s">
        <v>64</v>
      </c>
      <c r="J444" s="5" t="s">
        <v>65</v>
      </c>
      <c r="K444" s="5" t="s">
        <v>23</v>
      </c>
      <c r="L444" s="5" t="s">
        <v>22</v>
      </c>
      <c r="M444" s="7" t="str">
        <f t="shared" si="3"/>
        <v>OK</v>
      </c>
      <c r="N444" s="7"/>
      <c r="O444" s="7"/>
      <c r="P444" s="7"/>
      <c r="Q444" s="7"/>
      <c r="R444" s="7"/>
      <c r="S444" s="7"/>
      <c r="T444" s="7"/>
      <c r="U444" s="7"/>
      <c r="V444" s="7"/>
      <c r="W444" s="7"/>
      <c r="X444" s="7"/>
      <c r="Y444" s="7"/>
      <c r="Z444" s="7"/>
    </row>
    <row r="445" ht="15.75" customHeight="1">
      <c r="A445" s="4" t="s">
        <v>2254</v>
      </c>
      <c r="B445" s="5" t="s">
        <v>14</v>
      </c>
      <c r="C445" s="5" t="s">
        <v>15</v>
      </c>
      <c r="D445" s="5" t="s">
        <v>2255</v>
      </c>
      <c r="E445" s="6" t="s">
        <v>2256</v>
      </c>
      <c r="F445" s="6" t="s">
        <v>2257</v>
      </c>
      <c r="G445" s="6" t="s">
        <v>2258</v>
      </c>
      <c r="H445" s="6" t="s">
        <v>2256</v>
      </c>
      <c r="I445" s="5" t="s">
        <v>65</v>
      </c>
      <c r="J445" s="5" t="s">
        <v>37</v>
      </c>
      <c r="K445" s="5" t="s">
        <v>39</v>
      </c>
      <c r="L445" s="5" t="s">
        <v>58</v>
      </c>
      <c r="M445" s="7" t="str">
        <f t="shared" si="3"/>
        <v>OK</v>
      </c>
      <c r="N445" s="7"/>
      <c r="O445" s="7"/>
      <c r="P445" s="7"/>
      <c r="Q445" s="7"/>
      <c r="R445" s="7"/>
      <c r="S445" s="7"/>
      <c r="T445" s="7"/>
      <c r="U445" s="7"/>
      <c r="V445" s="7"/>
      <c r="W445" s="7"/>
      <c r="X445" s="7"/>
      <c r="Y445" s="7"/>
      <c r="Z445" s="7"/>
    </row>
    <row r="446" ht="15.75" customHeight="1">
      <c r="A446" s="4" t="s">
        <v>2259</v>
      </c>
      <c r="B446" s="5" t="s">
        <v>25</v>
      </c>
      <c r="C446" s="5" t="s">
        <v>15</v>
      </c>
      <c r="D446" s="4" t="s">
        <v>2260</v>
      </c>
      <c r="E446" s="4" t="s">
        <v>1439</v>
      </c>
      <c r="F446" s="4" t="s">
        <v>2261</v>
      </c>
      <c r="G446" s="4" t="s">
        <v>2262</v>
      </c>
      <c r="H446" s="5" t="s">
        <v>2263</v>
      </c>
      <c r="I446" s="5" t="s">
        <v>30</v>
      </c>
      <c r="J446" s="5" t="s">
        <v>31</v>
      </c>
      <c r="K446" s="5" t="s">
        <v>46</v>
      </c>
      <c r="L446" s="5" t="s">
        <v>22</v>
      </c>
      <c r="M446" s="7" t="str">
        <f t="shared" si="3"/>
        <v>OK</v>
      </c>
      <c r="N446" s="7"/>
      <c r="O446" s="7"/>
      <c r="P446" s="7"/>
      <c r="Q446" s="7"/>
      <c r="R446" s="7"/>
      <c r="S446" s="7"/>
      <c r="T446" s="7"/>
      <c r="U446" s="7"/>
      <c r="V446" s="7"/>
      <c r="W446" s="7"/>
      <c r="X446" s="7"/>
      <c r="Y446" s="7"/>
      <c r="Z446" s="7"/>
    </row>
    <row r="447" ht="15.75" customHeight="1">
      <c r="A447" s="4" t="s">
        <v>2264</v>
      </c>
      <c r="B447" s="5" t="s">
        <v>25</v>
      </c>
      <c r="C447" s="5" t="s">
        <v>15</v>
      </c>
      <c r="D447" s="5" t="s">
        <v>2265</v>
      </c>
      <c r="E447" s="5" t="s">
        <v>2266</v>
      </c>
      <c r="F447" s="5" t="s">
        <v>2267</v>
      </c>
      <c r="G447" s="5" t="s">
        <v>2268</v>
      </c>
      <c r="H447" s="5" t="s">
        <v>2266</v>
      </c>
      <c r="I447" s="5" t="s">
        <v>37</v>
      </c>
      <c r="J447" s="5" t="s">
        <v>20</v>
      </c>
      <c r="K447" s="5" t="s">
        <v>58</v>
      </c>
      <c r="L447" s="5" t="s">
        <v>132</v>
      </c>
      <c r="M447" s="7" t="str">
        <f t="shared" si="3"/>
        <v>OK</v>
      </c>
      <c r="N447" s="7"/>
      <c r="O447" s="7"/>
      <c r="P447" s="7"/>
      <c r="Q447" s="7"/>
      <c r="R447" s="7"/>
      <c r="S447" s="7"/>
      <c r="T447" s="7"/>
      <c r="U447" s="7"/>
      <c r="V447" s="7"/>
      <c r="W447" s="7"/>
      <c r="X447" s="7"/>
      <c r="Y447" s="7"/>
      <c r="Z447" s="7"/>
    </row>
    <row r="448" ht="15.75" customHeight="1">
      <c r="A448" s="4" t="s">
        <v>2269</v>
      </c>
      <c r="B448" s="5" t="s">
        <v>14</v>
      </c>
      <c r="C448" s="5" t="s">
        <v>15</v>
      </c>
      <c r="D448" s="4" t="s">
        <v>2270</v>
      </c>
      <c r="E448" s="4" t="s">
        <v>2270</v>
      </c>
      <c r="F448" s="4" t="s">
        <v>2271</v>
      </c>
      <c r="G448" s="4" t="s">
        <v>2272</v>
      </c>
      <c r="H448" s="5" t="s">
        <v>2273</v>
      </c>
      <c r="I448" s="5" t="s">
        <v>65</v>
      </c>
      <c r="J448" s="5" t="s">
        <v>21</v>
      </c>
      <c r="K448" s="5" t="s">
        <v>57</v>
      </c>
      <c r="L448" s="5" t="s">
        <v>46</v>
      </c>
      <c r="M448" s="7" t="str">
        <f t="shared" si="3"/>
        <v>OK</v>
      </c>
      <c r="N448" s="7"/>
      <c r="O448" s="7"/>
      <c r="P448" s="7"/>
      <c r="Q448" s="7"/>
      <c r="R448" s="7"/>
      <c r="S448" s="7"/>
      <c r="T448" s="7"/>
      <c r="U448" s="7"/>
      <c r="V448" s="7"/>
      <c r="W448" s="7"/>
      <c r="X448" s="7"/>
      <c r="Y448" s="7"/>
      <c r="Z448" s="7"/>
    </row>
    <row r="449" ht="15.75" customHeight="1">
      <c r="A449" s="4" t="s">
        <v>2274</v>
      </c>
      <c r="B449" s="5" t="s">
        <v>14</v>
      </c>
      <c r="C449" s="5" t="s">
        <v>15</v>
      </c>
      <c r="D449" s="5" t="s">
        <v>2275</v>
      </c>
      <c r="E449" s="6" t="s">
        <v>2276</v>
      </c>
      <c r="F449" s="5" t="s">
        <v>2277</v>
      </c>
      <c r="G449" s="6" t="s">
        <v>2278</v>
      </c>
      <c r="H449" s="5" t="s">
        <v>2277</v>
      </c>
      <c r="I449" s="5" t="s">
        <v>65</v>
      </c>
      <c r="J449" s="5" t="s">
        <v>64</v>
      </c>
      <c r="K449" s="5" t="s">
        <v>66</v>
      </c>
      <c r="L449" s="5" t="s">
        <v>22</v>
      </c>
      <c r="M449" s="7" t="str">
        <f t="shared" si="3"/>
        <v>OK</v>
      </c>
      <c r="N449" s="7"/>
      <c r="O449" s="7"/>
      <c r="P449" s="7"/>
      <c r="Q449" s="7"/>
      <c r="R449" s="7"/>
      <c r="S449" s="7"/>
      <c r="T449" s="7"/>
      <c r="U449" s="7"/>
      <c r="V449" s="7"/>
      <c r="W449" s="7"/>
      <c r="X449" s="7"/>
      <c r="Y449" s="7"/>
      <c r="Z449" s="7"/>
    </row>
    <row r="450" ht="15.75" customHeight="1">
      <c r="A450" s="4" t="s">
        <v>2279</v>
      </c>
      <c r="B450" s="5" t="s">
        <v>14</v>
      </c>
      <c r="C450" s="5" t="s">
        <v>15</v>
      </c>
      <c r="D450" s="5" t="s">
        <v>2280</v>
      </c>
      <c r="E450" s="6" t="s">
        <v>2281</v>
      </c>
      <c r="F450" s="6" t="s">
        <v>2282</v>
      </c>
      <c r="G450" s="6" t="s">
        <v>2283</v>
      </c>
      <c r="H450" s="6" t="s">
        <v>2282</v>
      </c>
      <c r="I450" s="5" t="s">
        <v>65</v>
      </c>
      <c r="J450" s="5" t="s">
        <v>64</v>
      </c>
      <c r="K450" s="5" t="s">
        <v>57</v>
      </c>
      <c r="L450" s="5" t="s">
        <v>39</v>
      </c>
      <c r="M450" s="7" t="str">
        <f t="shared" si="3"/>
        <v>OK</v>
      </c>
      <c r="N450" s="7"/>
      <c r="O450" s="7"/>
      <c r="P450" s="7"/>
      <c r="Q450" s="7"/>
      <c r="R450" s="7"/>
      <c r="S450" s="7"/>
      <c r="T450" s="7"/>
      <c r="U450" s="7"/>
      <c r="V450" s="7"/>
      <c r="W450" s="7"/>
      <c r="X450" s="7"/>
      <c r="Y450" s="7"/>
      <c r="Z450" s="7"/>
    </row>
    <row r="451" ht="15.75" customHeight="1">
      <c r="A451" s="4" t="s">
        <v>2284</v>
      </c>
      <c r="B451" s="5" t="s">
        <v>25</v>
      </c>
      <c r="C451" s="5" t="s">
        <v>15</v>
      </c>
      <c r="D451" s="5" t="s">
        <v>2285</v>
      </c>
      <c r="E451" s="5" t="s">
        <v>2286</v>
      </c>
      <c r="F451" s="5" t="s">
        <v>2287</v>
      </c>
      <c r="G451" s="5" t="s">
        <v>2288</v>
      </c>
      <c r="H451" s="5" t="s">
        <v>2287</v>
      </c>
      <c r="I451" s="5" t="s">
        <v>64</v>
      </c>
      <c r="J451" s="5" t="s">
        <v>31</v>
      </c>
      <c r="K451" s="5" t="s">
        <v>66</v>
      </c>
      <c r="L451" s="5" t="s">
        <v>58</v>
      </c>
      <c r="M451" s="7" t="str">
        <f t="shared" si="3"/>
        <v>OK</v>
      </c>
      <c r="N451" s="7"/>
      <c r="O451" s="7"/>
      <c r="P451" s="7"/>
      <c r="Q451" s="7"/>
      <c r="R451" s="7"/>
      <c r="S451" s="7"/>
      <c r="T451" s="7"/>
      <c r="U451" s="7"/>
      <c r="V451" s="7"/>
      <c r="W451" s="7"/>
      <c r="X451" s="7"/>
      <c r="Y451" s="7"/>
      <c r="Z451" s="7"/>
    </row>
    <row r="452" ht="15.75" customHeight="1">
      <c r="A452" s="4" t="s">
        <v>2289</v>
      </c>
      <c r="B452" s="5" t="s">
        <v>25</v>
      </c>
      <c r="C452" s="5" t="s">
        <v>15</v>
      </c>
      <c r="D452" s="5" t="s">
        <v>2290</v>
      </c>
      <c r="E452" s="5" t="s">
        <v>2291</v>
      </c>
      <c r="F452" s="5" t="s">
        <v>2292</v>
      </c>
      <c r="G452" s="5" t="s">
        <v>2293</v>
      </c>
      <c r="H452" s="5" t="s">
        <v>2293</v>
      </c>
      <c r="I452" s="5" t="s">
        <v>31</v>
      </c>
      <c r="J452" s="5" t="s">
        <v>65</v>
      </c>
      <c r="K452" s="5" t="s">
        <v>46</v>
      </c>
      <c r="L452" s="5" t="s">
        <v>39</v>
      </c>
      <c r="M452" s="7" t="str">
        <f t="shared" si="3"/>
        <v>OK</v>
      </c>
      <c r="N452" s="7"/>
      <c r="O452" s="7"/>
      <c r="P452" s="7"/>
      <c r="Q452" s="7"/>
      <c r="R452" s="7"/>
      <c r="S452" s="7"/>
      <c r="T452" s="7"/>
      <c r="U452" s="7"/>
      <c r="V452" s="7"/>
      <c r="W452" s="7"/>
      <c r="X452" s="7"/>
      <c r="Y452" s="7"/>
      <c r="Z452" s="7"/>
    </row>
    <row r="453" ht="15.75" customHeight="1">
      <c r="A453" s="4" t="s">
        <v>2294</v>
      </c>
      <c r="B453" s="5" t="s">
        <v>25</v>
      </c>
      <c r="C453" s="5" t="s">
        <v>15</v>
      </c>
      <c r="D453" s="5" t="s">
        <v>2295</v>
      </c>
      <c r="E453" s="5" t="s">
        <v>2296</v>
      </c>
      <c r="F453" s="5" t="s">
        <v>2297</v>
      </c>
      <c r="G453" s="5" t="s">
        <v>2298</v>
      </c>
      <c r="H453" s="5" t="s">
        <v>2298</v>
      </c>
      <c r="I453" s="5" t="s">
        <v>45</v>
      </c>
      <c r="J453" s="5" t="s">
        <v>31</v>
      </c>
      <c r="K453" s="5" t="s">
        <v>39</v>
      </c>
      <c r="L453" s="5" t="s">
        <v>46</v>
      </c>
      <c r="M453" s="7" t="str">
        <f t="shared" si="3"/>
        <v>OK</v>
      </c>
      <c r="N453" s="7"/>
      <c r="O453" s="7"/>
      <c r="P453" s="7"/>
      <c r="Q453" s="7"/>
      <c r="R453" s="7"/>
      <c r="S453" s="7"/>
      <c r="T453" s="7"/>
      <c r="U453" s="7"/>
      <c r="V453" s="7"/>
      <c r="W453" s="7"/>
      <c r="X453" s="7"/>
      <c r="Y453" s="7"/>
      <c r="Z453" s="7"/>
    </row>
    <row r="454" ht="15.75" customHeight="1">
      <c r="A454" s="4" t="s">
        <v>2299</v>
      </c>
      <c r="B454" s="5" t="s">
        <v>25</v>
      </c>
      <c r="C454" s="5" t="s">
        <v>15</v>
      </c>
      <c r="D454" s="5" t="s">
        <v>2300</v>
      </c>
      <c r="E454" s="5" t="s">
        <v>2301</v>
      </c>
      <c r="F454" s="5" t="s">
        <v>2302</v>
      </c>
      <c r="G454" s="5" t="s">
        <v>2303</v>
      </c>
      <c r="H454" s="5" t="s">
        <v>2301</v>
      </c>
      <c r="I454" s="5" t="s">
        <v>65</v>
      </c>
      <c r="J454" s="5" t="s">
        <v>64</v>
      </c>
      <c r="K454" s="5" t="s">
        <v>57</v>
      </c>
      <c r="L454" s="5" t="s">
        <v>38</v>
      </c>
      <c r="M454" s="7" t="str">
        <f t="shared" si="3"/>
        <v>OK</v>
      </c>
      <c r="N454" s="7"/>
      <c r="O454" s="7"/>
      <c r="P454" s="7"/>
      <c r="Q454" s="7"/>
      <c r="R454" s="7"/>
      <c r="S454" s="7"/>
      <c r="T454" s="7"/>
      <c r="U454" s="7"/>
      <c r="V454" s="7"/>
      <c r="W454" s="7"/>
      <c r="X454" s="7"/>
      <c r="Y454" s="7"/>
      <c r="Z454" s="7"/>
    </row>
    <row r="455" ht="15.75" customHeight="1">
      <c r="A455" s="25" t="s">
        <v>2304</v>
      </c>
      <c r="B455" s="26" t="s">
        <v>14</v>
      </c>
      <c r="C455" s="26" t="s">
        <v>15</v>
      </c>
      <c r="D455" s="25" t="s">
        <v>2305</v>
      </c>
      <c r="E455" s="26" t="s">
        <v>2306</v>
      </c>
      <c r="F455" s="25" t="s">
        <v>2307</v>
      </c>
      <c r="G455" s="25" t="s">
        <v>2308</v>
      </c>
      <c r="H455" s="26" t="s">
        <v>2306</v>
      </c>
      <c r="I455" s="26" t="s">
        <v>37</v>
      </c>
      <c r="J455" s="26" t="s">
        <v>21</v>
      </c>
      <c r="K455" s="26" t="s">
        <v>58</v>
      </c>
      <c r="L455" s="26" t="s">
        <v>39</v>
      </c>
      <c r="M455" s="27" t="str">
        <f t="shared" si="3"/>
        <v>OK</v>
      </c>
      <c r="N455" s="27"/>
      <c r="O455" s="27"/>
      <c r="P455" s="27"/>
      <c r="Q455" s="27"/>
      <c r="R455" s="27"/>
      <c r="S455" s="27"/>
      <c r="T455" s="27"/>
      <c r="U455" s="27"/>
      <c r="V455" s="27"/>
      <c r="W455" s="27"/>
      <c r="X455" s="27"/>
      <c r="Y455" s="27"/>
      <c r="Z455" s="27"/>
    </row>
    <row r="456" ht="15.75" customHeight="1">
      <c r="A456" s="4" t="s">
        <v>2309</v>
      </c>
      <c r="B456" s="5" t="s">
        <v>14</v>
      </c>
      <c r="C456" s="5" t="s">
        <v>15</v>
      </c>
      <c r="D456" s="5" t="s">
        <v>2310</v>
      </c>
      <c r="E456" s="6" t="s">
        <v>2311</v>
      </c>
      <c r="F456" s="6" t="s">
        <v>2312</v>
      </c>
      <c r="G456" s="6" t="s">
        <v>2313</v>
      </c>
      <c r="H456" s="6" t="s">
        <v>2312</v>
      </c>
      <c r="I456" s="5" t="s">
        <v>64</v>
      </c>
      <c r="J456" s="5" t="s">
        <v>65</v>
      </c>
      <c r="K456" s="5" t="s">
        <v>58</v>
      </c>
      <c r="L456" s="5" t="s">
        <v>39</v>
      </c>
      <c r="M456" s="7" t="str">
        <f t="shared" si="3"/>
        <v>OK</v>
      </c>
      <c r="N456" s="7"/>
      <c r="O456" s="7"/>
      <c r="P456" s="7"/>
      <c r="Q456" s="7"/>
      <c r="R456" s="7"/>
      <c r="S456" s="7"/>
      <c r="T456" s="7"/>
      <c r="U456" s="7"/>
      <c r="V456" s="7"/>
      <c r="W456" s="7"/>
      <c r="X456" s="7"/>
      <c r="Y456" s="7"/>
      <c r="Z456" s="7"/>
    </row>
    <row r="457" ht="15.75" customHeight="1">
      <c r="A457" s="4" t="s">
        <v>2314</v>
      </c>
      <c r="B457" s="5" t="s">
        <v>25</v>
      </c>
      <c r="C457" s="5" t="s">
        <v>15</v>
      </c>
      <c r="D457" s="4" t="s">
        <v>2315</v>
      </c>
      <c r="E457" s="4" t="s">
        <v>1339</v>
      </c>
      <c r="F457" s="4" t="s">
        <v>2316</v>
      </c>
      <c r="G457" s="4" t="s">
        <v>2317</v>
      </c>
      <c r="H457" s="5" t="s">
        <v>2316</v>
      </c>
      <c r="I457" s="5" t="s">
        <v>31</v>
      </c>
      <c r="J457" s="5" t="s">
        <v>37</v>
      </c>
      <c r="K457" s="5" t="s">
        <v>39</v>
      </c>
      <c r="L457" s="5" t="s">
        <v>23</v>
      </c>
      <c r="M457" s="7" t="str">
        <f t="shared" si="3"/>
        <v>OK</v>
      </c>
      <c r="N457" s="7"/>
      <c r="O457" s="7"/>
      <c r="P457" s="7"/>
      <c r="Q457" s="7"/>
      <c r="R457" s="7"/>
      <c r="S457" s="7"/>
      <c r="T457" s="7"/>
      <c r="U457" s="7"/>
      <c r="V457" s="7"/>
      <c r="W457" s="7"/>
      <c r="X457" s="7"/>
      <c r="Y457" s="7"/>
      <c r="Z457" s="7"/>
    </row>
    <row r="458" ht="15.75" customHeight="1">
      <c r="A458" s="4" t="s">
        <v>2318</v>
      </c>
      <c r="B458" s="5" t="s">
        <v>25</v>
      </c>
      <c r="C458" s="5" t="s">
        <v>15</v>
      </c>
      <c r="D458" s="5" t="s">
        <v>2319</v>
      </c>
      <c r="E458" s="5" t="s">
        <v>2320</v>
      </c>
      <c r="F458" s="5" t="s">
        <v>2321</v>
      </c>
      <c r="G458" s="5" t="s">
        <v>2322</v>
      </c>
      <c r="H458" s="5" t="s">
        <v>2323</v>
      </c>
      <c r="I458" s="5" t="s">
        <v>64</v>
      </c>
      <c r="J458" s="5" t="s">
        <v>31</v>
      </c>
      <c r="K458" s="5" t="s">
        <v>38</v>
      </c>
      <c r="L458" s="5" t="s">
        <v>22</v>
      </c>
      <c r="M458" s="7" t="str">
        <f t="shared" si="3"/>
        <v>OK</v>
      </c>
      <c r="N458" s="7"/>
      <c r="O458" s="7"/>
      <c r="P458" s="7"/>
      <c r="Q458" s="7"/>
      <c r="R458" s="7"/>
      <c r="S458" s="7"/>
      <c r="T458" s="7"/>
      <c r="U458" s="7"/>
      <c r="V458" s="7"/>
      <c r="W458" s="7"/>
      <c r="X458" s="7"/>
      <c r="Y458" s="7"/>
      <c r="Z458" s="7"/>
    </row>
    <row r="459" ht="15.75" customHeight="1">
      <c r="A459" s="4" t="s">
        <v>2324</v>
      </c>
      <c r="B459" s="5" t="s">
        <v>25</v>
      </c>
      <c r="C459" s="5" t="s">
        <v>15</v>
      </c>
      <c r="D459" s="4" t="s">
        <v>2325</v>
      </c>
      <c r="E459" s="4" t="s">
        <v>2326</v>
      </c>
      <c r="F459" s="4" t="s">
        <v>2327</v>
      </c>
      <c r="G459" s="4" t="s">
        <v>1826</v>
      </c>
      <c r="H459" s="5" t="s">
        <v>2327</v>
      </c>
      <c r="I459" s="5" t="s">
        <v>31</v>
      </c>
      <c r="J459" s="5" t="s">
        <v>64</v>
      </c>
      <c r="K459" s="5" t="s">
        <v>58</v>
      </c>
      <c r="L459" s="5" t="s">
        <v>39</v>
      </c>
      <c r="M459" s="7" t="str">
        <f t="shared" si="3"/>
        <v>OK</v>
      </c>
      <c r="N459" s="7"/>
      <c r="O459" s="7"/>
      <c r="P459" s="7"/>
      <c r="Q459" s="7"/>
      <c r="R459" s="7"/>
      <c r="S459" s="7"/>
      <c r="T459" s="7"/>
      <c r="U459" s="7"/>
      <c r="V459" s="7"/>
      <c r="W459" s="7"/>
      <c r="X459" s="7"/>
      <c r="Y459" s="7"/>
      <c r="Z459" s="7"/>
    </row>
    <row r="460" ht="15.75" customHeight="1">
      <c r="A460" s="4" t="s">
        <v>2328</v>
      </c>
      <c r="B460" s="5" t="s">
        <v>25</v>
      </c>
      <c r="C460" s="5" t="s">
        <v>15</v>
      </c>
      <c r="D460" s="4" t="s">
        <v>2329</v>
      </c>
      <c r="E460" s="4" t="s">
        <v>2330</v>
      </c>
      <c r="F460" s="4" t="s">
        <v>2331</v>
      </c>
      <c r="G460" s="4" t="s">
        <v>2332</v>
      </c>
      <c r="H460" s="5" t="s">
        <v>2332</v>
      </c>
      <c r="I460" s="5" t="s">
        <v>20</v>
      </c>
      <c r="J460" s="5" t="s">
        <v>21</v>
      </c>
      <c r="K460" s="5" t="s">
        <v>39</v>
      </c>
      <c r="L460" s="5" t="s">
        <v>23</v>
      </c>
      <c r="M460" s="7" t="str">
        <f t="shared" si="3"/>
        <v>OK</v>
      </c>
      <c r="N460" s="7"/>
      <c r="O460" s="7"/>
      <c r="P460" s="7"/>
      <c r="Q460" s="7"/>
      <c r="R460" s="7"/>
      <c r="S460" s="7"/>
      <c r="T460" s="7"/>
      <c r="U460" s="7"/>
      <c r="V460" s="7"/>
      <c r="W460" s="7"/>
      <c r="X460" s="7"/>
      <c r="Y460" s="7"/>
      <c r="Z460" s="7"/>
    </row>
    <row r="461" ht="15.75" customHeight="1">
      <c r="A461" s="4" t="s">
        <v>2333</v>
      </c>
      <c r="B461" s="5" t="s">
        <v>25</v>
      </c>
      <c r="C461" s="5" t="s">
        <v>15</v>
      </c>
      <c r="D461" s="5" t="s">
        <v>2334</v>
      </c>
      <c r="E461" s="5" t="s">
        <v>2335</v>
      </c>
      <c r="F461" s="5" t="s">
        <v>2336</v>
      </c>
      <c r="G461" s="5" t="s">
        <v>2337</v>
      </c>
      <c r="H461" s="5" t="s">
        <v>2337</v>
      </c>
      <c r="I461" s="5" t="s">
        <v>21</v>
      </c>
      <c r="J461" s="5" t="s">
        <v>20</v>
      </c>
      <c r="K461" s="5" t="s">
        <v>57</v>
      </c>
      <c r="L461" s="5" t="s">
        <v>132</v>
      </c>
      <c r="M461" s="7" t="str">
        <f t="shared" si="3"/>
        <v>OK</v>
      </c>
      <c r="N461" s="7"/>
      <c r="O461" s="7"/>
      <c r="P461" s="7"/>
      <c r="Q461" s="7"/>
      <c r="R461" s="7"/>
      <c r="S461" s="7"/>
      <c r="T461" s="7"/>
      <c r="U461" s="7"/>
      <c r="V461" s="7"/>
      <c r="W461" s="7"/>
      <c r="X461" s="7"/>
      <c r="Y461" s="7"/>
      <c r="Z461" s="7"/>
    </row>
    <row r="462" ht="15.75" customHeight="1">
      <c r="A462" s="4" t="s">
        <v>2338</v>
      </c>
      <c r="B462" s="5" t="s">
        <v>14</v>
      </c>
      <c r="C462" s="5" t="s">
        <v>15</v>
      </c>
      <c r="D462" s="5" t="s">
        <v>2339</v>
      </c>
      <c r="E462" s="5" t="s">
        <v>2340</v>
      </c>
      <c r="F462" s="5" t="s">
        <v>2341</v>
      </c>
      <c r="G462" s="5" t="s">
        <v>2342</v>
      </c>
      <c r="H462" s="5" t="s">
        <v>2342</v>
      </c>
      <c r="I462" s="5" t="s">
        <v>64</v>
      </c>
      <c r="J462" s="5" t="s">
        <v>20</v>
      </c>
      <c r="K462" s="5" t="s">
        <v>23</v>
      </c>
      <c r="L462" s="5" t="s">
        <v>58</v>
      </c>
      <c r="M462" s="7" t="str">
        <f t="shared" si="3"/>
        <v>OK</v>
      </c>
      <c r="N462" s="7"/>
      <c r="O462" s="7"/>
      <c r="P462" s="7"/>
      <c r="Q462" s="7"/>
      <c r="R462" s="7"/>
      <c r="S462" s="7"/>
      <c r="T462" s="7"/>
      <c r="U462" s="7"/>
      <c r="V462" s="7"/>
      <c r="W462" s="7"/>
      <c r="X462" s="7"/>
      <c r="Y462" s="7"/>
      <c r="Z462" s="7"/>
    </row>
    <row r="463" ht="15.75" customHeight="1">
      <c r="A463" s="4" t="s">
        <v>2343</v>
      </c>
      <c r="B463" s="5" t="s">
        <v>14</v>
      </c>
      <c r="C463" s="5" t="s">
        <v>15</v>
      </c>
      <c r="D463" s="5" t="s">
        <v>2344</v>
      </c>
      <c r="E463" s="6" t="s">
        <v>2345</v>
      </c>
      <c r="F463" s="6" t="s">
        <v>2346</v>
      </c>
      <c r="G463" s="6" t="s">
        <v>2347</v>
      </c>
      <c r="H463" s="6" t="s">
        <v>2347</v>
      </c>
      <c r="I463" s="5" t="s">
        <v>45</v>
      </c>
      <c r="J463" s="5" t="s">
        <v>31</v>
      </c>
      <c r="K463" s="5" t="s">
        <v>39</v>
      </c>
      <c r="L463" s="5" t="s">
        <v>22</v>
      </c>
      <c r="M463" s="7" t="str">
        <f t="shared" si="3"/>
        <v>OK</v>
      </c>
      <c r="N463" s="7"/>
      <c r="O463" s="7"/>
      <c r="P463" s="7"/>
      <c r="Q463" s="7"/>
      <c r="R463" s="7"/>
      <c r="S463" s="7"/>
      <c r="T463" s="7"/>
      <c r="U463" s="7"/>
      <c r="V463" s="7"/>
      <c r="W463" s="7"/>
      <c r="X463" s="7"/>
      <c r="Y463" s="7"/>
      <c r="Z463" s="7"/>
    </row>
    <row r="464" ht="15.75" customHeight="1">
      <c r="A464" s="4" t="s">
        <v>2348</v>
      </c>
      <c r="B464" s="5" t="s">
        <v>14</v>
      </c>
      <c r="C464" s="5" t="s">
        <v>15</v>
      </c>
      <c r="D464" s="5" t="s">
        <v>2349</v>
      </c>
      <c r="E464" s="6" t="s">
        <v>2350</v>
      </c>
      <c r="F464" s="6" t="s">
        <v>2351</v>
      </c>
      <c r="G464" s="6" t="s">
        <v>2352</v>
      </c>
      <c r="H464" s="6" t="s">
        <v>2352</v>
      </c>
      <c r="I464" s="5" t="s">
        <v>21</v>
      </c>
      <c r="J464" s="5" t="s">
        <v>37</v>
      </c>
      <c r="K464" s="5" t="s">
        <v>57</v>
      </c>
      <c r="L464" s="5" t="s">
        <v>39</v>
      </c>
      <c r="M464" s="7" t="str">
        <f t="shared" si="3"/>
        <v>OK</v>
      </c>
      <c r="N464" s="7"/>
      <c r="O464" s="7"/>
      <c r="P464" s="7"/>
      <c r="Q464" s="7"/>
      <c r="R464" s="7"/>
      <c r="S464" s="7"/>
      <c r="T464" s="7"/>
      <c r="U464" s="7"/>
      <c r="V464" s="7"/>
      <c r="W464" s="7"/>
      <c r="X464" s="7"/>
      <c r="Y464" s="7"/>
      <c r="Z464" s="7"/>
    </row>
    <row r="465" ht="15.75" customHeight="1">
      <c r="A465" s="4" t="s">
        <v>2353</v>
      </c>
      <c r="B465" s="5" t="s">
        <v>25</v>
      </c>
      <c r="C465" s="5" t="s">
        <v>15</v>
      </c>
      <c r="D465" s="4" t="s">
        <v>2354</v>
      </c>
      <c r="E465" s="4" t="s">
        <v>2355</v>
      </c>
      <c r="F465" s="4" t="s">
        <v>2356</v>
      </c>
      <c r="G465" s="4" t="s">
        <v>2357</v>
      </c>
      <c r="H465" s="5" t="s">
        <v>2355</v>
      </c>
      <c r="I465" s="5" t="s">
        <v>20</v>
      </c>
      <c r="J465" s="5" t="s">
        <v>31</v>
      </c>
      <c r="K465" s="5" t="s">
        <v>38</v>
      </c>
      <c r="L465" s="5" t="s">
        <v>46</v>
      </c>
      <c r="M465" s="7" t="str">
        <f t="shared" si="3"/>
        <v>OK</v>
      </c>
      <c r="N465" s="7"/>
      <c r="O465" s="7"/>
      <c r="P465" s="7"/>
      <c r="Q465" s="7"/>
      <c r="R465" s="7"/>
      <c r="S465" s="7"/>
      <c r="T465" s="7"/>
      <c r="U465" s="7"/>
      <c r="V465" s="7"/>
      <c r="W465" s="7"/>
      <c r="X465" s="7"/>
      <c r="Y465" s="7"/>
      <c r="Z465" s="7"/>
    </row>
    <row r="466" ht="15.75" customHeight="1">
      <c r="A466" s="4" t="s">
        <v>2358</v>
      </c>
      <c r="B466" s="5" t="s">
        <v>14</v>
      </c>
      <c r="C466" s="5" t="s">
        <v>15</v>
      </c>
      <c r="D466" s="5" t="s">
        <v>2359</v>
      </c>
      <c r="E466" s="6" t="s">
        <v>2360</v>
      </c>
      <c r="F466" s="6" t="s">
        <v>2361</v>
      </c>
      <c r="G466" s="5" t="s">
        <v>2362</v>
      </c>
      <c r="H466" s="5" t="s">
        <v>2362</v>
      </c>
      <c r="I466" s="5" t="s">
        <v>45</v>
      </c>
      <c r="J466" s="5" t="s">
        <v>37</v>
      </c>
      <c r="K466" s="5" t="s">
        <v>22</v>
      </c>
      <c r="L466" s="5" t="s">
        <v>39</v>
      </c>
      <c r="M466" s="7" t="str">
        <f t="shared" si="3"/>
        <v>OK</v>
      </c>
      <c r="N466" s="7"/>
      <c r="O466" s="7"/>
      <c r="P466" s="7"/>
      <c r="Q466" s="7"/>
      <c r="R466" s="7"/>
      <c r="S466" s="7"/>
      <c r="T466" s="7"/>
      <c r="U466" s="7"/>
      <c r="V466" s="7"/>
      <c r="W466" s="7"/>
      <c r="X466" s="7"/>
      <c r="Y466" s="7"/>
      <c r="Z466" s="7"/>
    </row>
    <row r="467" ht="15.75" customHeight="1">
      <c r="A467" s="4" t="s">
        <v>2363</v>
      </c>
      <c r="B467" s="5" t="s">
        <v>14</v>
      </c>
      <c r="C467" s="5" t="s">
        <v>15</v>
      </c>
      <c r="D467" s="5" t="s">
        <v>2364</v>
      </c>
      <c r="E467" s="6" t="s">
        <v>2365</v>
      </c>
      <c r="F467" s="6" t="s">
        <v>2366</v>
      </c>
      <c r="G467" s="6" t="s">
        <v>2367</v>
      </c>
      <c r="H467" s="6" t="s">
        <v>2365</v>
      </c>
      <c r="I467" s="5" t="s">
        <v>65</v>
      </c>
      <c r="J467" s="5" t="s">
        <v>64</v>
      </c>
      <c r="K467" s="5" t="s">
        <v>38</v>
      </c>
      <c r="L467" s="5" t="s">
        <v>46</v>
      </c>
      <c r="M467" s="7" t="str">
        <f t="shared" si="3"/>
        <v>OK</v>
      </c>
      <c r="N467" s="7"/>
      <c r="O467" s="7"/>
      <c r="P467" s="7"/>
      <c r="Q467" s="7"/>
      <c r="R467" s="7"/>
      <c r="S467" s="7"/>
      <c r="T467" s="7"/>
      <c r="U467" s="7"/>
      <c r="V467" s="7"/>
      <c r="W467" s="7"/>
      <c r="X467" s="7"/>
      <c r="Y467" s="7"/>
      <c r="Z467" s="7"/>
    </row>
    <row r="468" ht="15.75" customHeight="1">
      <c r="A468" s="4" t="s">
        <v>2368</v>
      </c>
      <c r="B468" s="5" t="s">
        <v>25</v>
      </c>
      <c r="C468" s="5" t="s">
        <v>15</v>
      </c>
      <c r="D468" s="5" t="s">
        <v>2369</v>
      </c>
      <c r="E468" s="5" t="s">
        <v>2370</v>
      </c>
      <c r="F468" s="5" t="s">
        <v>2371</v>
      </c>
      <c r="G468" s="5" t="s">
        <v>2372</v>
      </c>
      <c r="H468" s="5" t="s">
        <v>2373</v>
      </c>
      <c r="I468" s="5" t="s">
        <v>20</v>
      </c>
      <c r="J468" s="5" t="s">
        <v>31</v>
      </c>
      <c r="K468" s="5" t="s">
        <v>58</v>
      </c>
      <c r="L468" s="5" t="s">
        <v>66</v>
      </c>
      <c r="M468" s="7" t="str">
        <f t="shared" si="3"/>
        <v>OK</v>
      </c>
      <c r="N468" s="7"/>
      <c r="O468" s="7"/>
      <c r="P468" s="7"/>
      <c r="Q468" s="7"/>
      <c r="R468" s="7"/>
      <c r="S468" s="7"/>
      <c r="T468" s="7"/>
      <c r="U468" s="7"/>
      <c r="V468" s="7"/>
      <c r="W468" s="7"/>
      <c r="X468" s="7"/>
      <c r="Y468" s="7"/>
      <c r="Z468" s="7"/>
    </row>
    <row r="469" ht="15.75" customHeight="1">
      <c r="A469" s="4" t="s">
        <v>2374</v>
      </c>
      <c r="B469" s="5" t="s">
        <v>25</v>
      </c>
      <c r="C469" s="5" t="s">
        <v>15</v>
      </c>
      <c r="D469" s="5" t="s">
        <v>2375</v>
      </c>
      <c r="E469" s="5" t="s">
        <v>2376</v>
      </c>
      <c r="F469" s="5" t="s">
        <v>2377</v>
      </c>
      <c r="G469" s="5" t="s">
        <v>2378</v>
      </c>
      <c r="H469" s="5" t="s">
        <v>2376</v>
      </c>
      <c r="I469" s="5" t="s">
        <v>45</v>
      </c>
      <c r="J469" s="5" t="s">
        <v>21</v>
      </c>
      <c r="K469" s="5" t="s">
        <v>57</v>
      </c>
      <c r="L469" s="5" t="s">
        <v>39</v>
      </c>
      <c r="M469" s="7" t="str">
        <f t="shared" si="3"/>
        <v>OK</v>
      </c>
      <c r="N469" s="7"/>
      <c r="O469" s="7"/>
      <c r="P469" s="7"/>
      <c r="Q469" s="7"/>
      <c r="R469" s="7"/>
      <c r="S469" s="7"/>
      <c r="T469" s="7"/>
      <c r="U469" s="7"/>
      <c r="V469" s="7"/>
      <c r="W469" s="7"/>
      <c r="X469" s="7"/>
      <c r="Y469" s="7"/>
      <c r="Z469" s="7"/>
    </row>
    <row r="470" ht="15.75" customHeight="1">
      <c r="A470" s="4" t="s">
        <v>2379</v>
      </c>
      <c r="B470" s="5" t="s">
        <v>25</v>
      </c>
      <c r="C470" s="5" t="s">
        <v>15</v>
      </c>
      <c r="D470" s="5" t="s">
        <v>2380</v>
      </c>
      <c r="E470" s="5" t="s">
        <v>2381</v>
      </c>
      <c r="F470" s="5" t="s">
        <v>2382</v>
      </c>
      <c r="G470" s="5" t="s">
        <v>2383</v>
      </c>
      <c r="H470" s="5" t="s">
        <v>2381</v>
      </c>
      <c r="I470" s="5" t="s">
        <v>37</v>
      </c>
      <c r="J470" s="5" t="s">
        <v>65</v>
      </c>
      <c r="K470" s="5" t="s">
        <v>57</v>
      </c>
      <c r="L470" s="5" t="s">
        <v>46</v>
      </c>
      <c r="M470" s="7" t="str">
        <f t="shared" si="3"/>
        <v>OK</v>
      </c>
      <c r="N470" s="7"/>
      <c r="O470" s="7"/>
      <c r="P470" s="7"/>
      <c r="Q470" s="7"/>
      <c r="R470" s="7"/>
      <c r="S470" s="7"/>
      <c r="T470" s="7"/>
      <c r="U470" s="7"/>
      <c r="V470" s="7"/>
      <c r="W470" s="7"/>
      <c r="X470" s="7"/>
      <c r="Y470" s="7"/>
      <c r="Z470" s="7"/>
    </row>
    <row r="471" ht="15.75" customHeight="1">
      <c r="A471" s="4" t="s">
        <v>2384</v>
      </c>
      <c r="B471" s="5" t="s">
        <v>14</v>
      </c>
      <c r="C471" s="5" t="s">
        <v>15</v>
      </c>
      <c r="D471" s="5" t="s">
        <v>2385</v>
      </c>
      <c r="E471" s="6" t="s">
        <v>2386</v>
      </c>
      <c r="F471" s="6" t="s">
        <v>2387</v>
      </c>
      <c r="G471" s="6" t="s">
        <v>2388</v>
      </c>
      <c r="H471" s="6" t="s">
        <v>2388</v>
      </c>
      <c r="I471" s="5" t="s">
        <v>65</v>
      </c>
      <c r="J471" s="5" t="s">
        <v>21</v>
      </c>
      <c r="K471" s="5" t="s">
        <v>23</v>
      </c>
      <c r="L471" s="5" t="s">
        <v>46</v>
      </c>
      <c r="M471" s="7" t="str">
        <f t="shared" si="3"/>
        <v>OK</v>
      </c>
      <c r="N471" s="7"/>
      <c r="O471" s="7"/>
      <c r="P471" s="7"/>
      <c r="Q471" s="7"/>
      <c r="R471" s="7"/>
      <c r="S471" s="7"/>
      <c r="T471" s="7"/>
      <c r="U471" s="7"/>
      <c r="V471" s="7"/>
      <c r="W471" s="7"/>
      <c r="X471" s="7"/>
      <c r="Y471" s="7"/>
      <c r="Z471" s="7"/>
    </row>
    <row r="472" ht="15.75" customHeight="1">
      <c r="A472" s="4" t="s">
        <v>2389</v>
      </c>
      <c r="B472" s="5" t="s">
        <v>14</v>
      </c>
      <c r="C472" s="5" t="s">
        <v>15</v>
      </c>
      <c r="D472" s="5" t="s">
        <v>2390</v>
      </c>
      <c r="E472" s="6" t="s">
        <v>2391</v>
      </c>
      <c r="F472" s="6" t="s">
        <v>2392</v>
      </c>
      <c r="G472" s="6" t="s">
        <v>2393</v>
      </c>
      <c r="H472" s="6" t="s">
        <v>2393</v>
      </c>
      <c r="I472" s="5" t="s">
        <v>20</v>
      </c>
      <c r="J472" s="5" t="s">
        <v>31</v>
      </c>
      <c r="K472" s="5" t="s">
        <v>132</v>
      </c>
      <c r="L472" s="5" t="s">
        <v>38</v>
      </c>
      <c r="M472" s="7" t="str">
        <f t="shared" si="3"/>
        <v>OK</v>
      </c>
      <c r="N472" s="7"/>
      <c r="O472" s="7"/>
      <c r="P472" s="7"/>
      <c r="Q472" s="7"/>
      <c r="R472" s="7"/>
      <c r="S472" s="7"/>
      <c r="T472" s="7"/>
      <c r="U472" s="7"/>
      <c r="V472" s="7"/>
      <c r="W472" s="7"/>
      <c r="X472" s="7"/>
      <c r="Y472" s="7"/>
      <c r="Z472" s="7"/>
    </row>
    <row r="473" ht="15.75" customHeight="1">
      <c r="A473" s="4" t="s">
        <v>2394</v>
      </c>
      <c r="B473" s="5" t="s">
        <v>25</v>
      </c>
      <c r="C473" s="5" t="s">
        <v>15</v>
      </c>
      <c r="D473" s="4" t="s">
        <v>2395</v>
      </c>
      <c r="E473" s="4" t="s">
        <v>2396</v>
      </c>
      <c r="F473" s="4" t="s">
        <v>1530</v>
      </c>
      <c r="G473" s="4" t="s">
        <v>2397</v>
      </c>
      <c r="H473" s="5" t="s">
        <v>2396</v>
      </c>
      <c r="I473" s="5" t="s">
        <v>31</v>
      </c>
      <c r="J473" s="5" t="s">
        <v>20</v>
      </c>
      <c r="K473" s="5" t="s">
        <v>39</v>
      </c>
      <c r="L473" s="5" t="s">
        <v>57</v>
      </c>
      <c r="M473" s="7" t="str">
        <f t="shared" si="3"/>
        <v>OK</v>
      </c>
      <c r="N473" s="7"/>
      <c r="O473" s="7"/>
      <c r="P473" s="7"/>
      <c r="Q473" s="7"/>
      <c r="R473" s="7"/>
      <c r="S473" s="7"/>
      <c r="T473" s="7"/>
      <c r="U473" s="7"/>
      <c r="V473" s="7"/>
      <c r="W473" s="7"/>
      <c r="X473" s="7"/>
      <c r="Y473" s="7"/>
      <c r="Z473" s="7"/>
    </row>
    <row r="474" ht="15.75" customHeight="1">
      <c r="A474" s="4" t="s">
        <v>2398</v>
      </c>
      <c r="B474" s="5" t="s">
        <v>14</v>
      </c>
      <c r="C474" s="5" t="s">
        <v>15</v>
      </c>
      <c r="D474" s="5" t="s">
        <v>2399</v>
      </c>
      <c r="E474" s="6" t="s">
        <v>2400</v>
      </c>
      <c r="F474" s="6" t="s">
        <v>2401</v>
      </c>
      <c r="G474" s="6" t="s">
        <v>2402</v>
      </c>
      <c r="H474" s="6" t="s">
        <v>2402</v>
      </c>
      <c r="I474" s="5" t="s">
        <v>64</v>
      </c>
      <c r="J474" s="5" t="s">
        <v>21</v>
      </c>
      <c r="K474" s="5" t="s">
        <v>132</v>
      </c>
      <c r="L474" s="5" t="s">
        <v>22</v>
      </c>
      <c r="M474" s="7" t="str">
        <f t="shared" si="3"/>
        <v>OK</v>
      </c>
      <c r="N474" s="7"/>
      <c r="O474" s="7"/>
      <c r="P474" s="7"/>
      <c r="Q474" s="7"/>
      <c r="R474" s="7"/>
      <c r="S474" s="7"/>
      <c r="T474" s="7"/>
      <c r="U474" s="7"/>
      <c r="V474" s="7"/>
      <c r="W474" s="7"/>
      <c r="X474" s="7"/>
      <c r="Y474" s="7"/>
      <c r="Z474" s="7"/>
    </row>
    <row r="475" ht="15.75" customHeight="1">
      <c r="A475" s="4" t="s">
        <v>2403</v>
      </c>
      <c r="B475" s="5" t="s">
        <v>14</v>
      </c>
      <c r="C475" s="5" t="s">
        <v>15</v>
      </c>
      <c r="D475" s="5" t="s">
        <v>2404</v>
      </c>
      <c r="E475" s="6" t="s">
        <v>2405</v>
      </c>
      <c r="F475" s="6" t="s">
        <v>2406</v>
      </c>
      <c r="G475" s="5" t="s">
        <v>2407</v>
      </c>
      <c r="H475" s="5" t="s">
        <v>2407</v>
      </c>
      <c r="I475" s="5" t="s">
        <v>30</v>
      </c>
      <c r="J475" s="5" t="s">
        <v>31</v>
      </c>
      <c r="K475" s="5" t="s">
        <v>46</v>
      </c>
      <c r="L475" s="5" t="s">
        <v>66</v>
      </c>
      <c r="M475" s="7" t="str">
        <f t="shared" si="3"/>
        <v>OK</v>
      </c>
      <c r="N475" s="7"/>
      <c r="O475" s="7"/>
      <c r="P475" s="7"/>
      <c r="Q475" s="7"/>
      <c r="R475" s="7"/>
      <c r="S475" s="7"/>
      <c r="T475" s="7"/>
      <c r="U475" s="7"/>
      <c r="V475" s="7"/>
      <c r="W475" s="7"/>
      <c r="X475" s="7"/>
      <c r="Y475" s="7"/>
      <c r="Z475" s="7"/>
    </row>
    <row r="476" ht="15.75" customHeight="1">
      <c r="A476" s="4" t="s">
        <v>2408</v>
      </c>
      <c r="B476" s="5" t="s">
        <v>14</v>
      </c>
      <c r="C476" s="5" t="s">
        <v>15</v>
      </c>
      <c r="D476" s="5" t="s">
        <v>2409</v>
      </c>
      <c r="E476" s="5" t="s">
        <v>2410</v>
      </c>
      <c r="F476" s="6" t="s">
        <v>2411</v>
      </c>
      <c r="G476" s="6" t="s">
        <v>2412</v>
      </c>
      <c r="H476" s="5" t="s">
        <v>2410</v>
      </c>
      <c r="I476" s="5" t="s">
        <v>65</v>
      </c>
      <c r="J476" s="5" t="s">
        <v>45</v>
      </c>
      <c r="K476" s="5" t="s">
        <v>46</v>
      </c>
      <c r="L476" s="5" t="s">
        <v>22</v>
      </c>
      <c r="M476" s="7" t="str">
        <f t="shared" si="3"/>
        <v>OK</v>
      </c>
      <c r="N476" s="7"/>
      <c r="O476" s="7"/>
      <c r="P476" s="7"/>
      <c r="Q476" s="7"/>
      <c r="R476" s="7"/>
      <c r="S476" s="7"/>
      <c r="T476" s="7"/>
      <c r="U476" s="7"/>
      <c r="V476" s="7"/>
      <c r="W476" s="7"/>
      <c r="X476" s="7"/>
      <c r="Y476" s="7"/>
      <c r="Z476" s="7"/>
    </row>
    <row r="477" ht="15.75" customHeight="1">
      <c r="A477" s="4" t="s">
        <v>2413</v>
      </c>
      <c r="B477" s="5" t="s">
        <v>14</v>
      </c>
      <c r="C477" s="5" t="s">
        <v>15</v>
      </c>
      <c r="D477" s="5" t="s">
        <v>2414</v>
      </c>
      <c r="E477" s="6" t="s">
        <v>2415</v>
      </c>
      <c r="F477" s="6" t="s">
        <v>2416</v>
      </c>
      <c r="G477" s="6" t="s">
        <v>2417</v>
      </c>
      <c r="H477" s="6" t="s">
        <v>2415</v>
      </c>
      <c r="I477" s="5" t="s">
        <v>65</v>
      </c>
      <c r="J477" s="5" t="s">
        <v>21</v>
      </c>
      <c r="K477" s="5" t="s">
        <v>66</v>
      </c>
      <c r="L477" s="5" t="s">
        <v>39</v>
      </c>
      <c r="M477" s="7" t="str">
        <f t="shared" si="3"/>
        <v>OK</v>
      </c>
      <c r="N477" s="7"/>
      <c r="O477" s="7"/>
      <c r="P477" s="7"/>
      <c r="Q477" s="7"/>
      <c r="R477" s="7"/>
      <c r="S477" s="7"/>
      <c r="T477" s="7"/>
      <c r="U477" s="7"/>
      <c r="V477" s="7"/>
      <c r="W477" s="7"/>
      <c r="X477" s="7"/>
      <c r="Y477" s="7"/>
      <c r="Z477" s="7"/>
    </row>
    <row r="478" ht="15.75" customHeight="1">
      <c r="A478" s="4" t="s">
        <v>2418</v>
      </c>
      <c r="B478" s="5" t="s">
        <v>25</v>
      </c>
      <c r="C478" s="5" t="s">
        <v>15</v>
      </c>
      <c r="D478" s="4" t="s">
        <v>2419</v>
      </c>
      <c r="E478" s="4" t="s">
        <v>2420</v>
      </c>
      <c r="F478" s="4" t="s">
        <v>2421</v>
      </c>
      <c r="G478" s="32" t="s">
        <v>2422</v>
      </c>
      <c r="H478" s="5" t="s">
        <v>2423</v>
      </c>
      <c r="I478" s="5" t="s">
        <v>31</v>
      </c>
      <c r="J478" s="5" t="s">
        <v>20</v>
      </c>
      <c r="K478" s="5" t="s">
        <v>39</v>
      </c>
      <c r="L478" s="5" t="s">
        <v>46</v>
      </c>
      <c r="M478" s="7" t="str">
        <f t="shared" si="3"/>
        <v>OK</v>
      </c>
      <c r="N478" s="7"/>
      <c r="O478" s="7"/>
      <c r="P478" s="7"/>
      <c r="Q478" s="7"/>
      <c r="R478" s="7"/>
      <c r="S478" s="7"/>
      <c r="T478" s="7"/>
      <c r="U478" s="7"/>
      <c r="V478" s="7"/>
      <c r="W478" s="7"/>
      <c r="X478" s="7"/>
      <c r="Y478" s="7"/>
      <c r="Z478" s="7"/>
    </row>
    <row r="479" ht="15.75" customHeight="1">
      <c r="A479" s="4" t="s">
        <v>2424</v>
      </c>
      <c r="B479" s="5" t="s">
        <v>25</v>
      </c>
      <c r="C479" s="5" t="s">
        <v>15</v>
      </c>
      <c r="D479" s="4" t="s">
        <v>2425</v>
      </c>
      <c r="E479" s="4" t="s">
        <v>1721</v>
      </c>
      <c r="F479" s="4" t="s">
        <v>2426</v>
      </c>
      <c r="G479" s="4" t="s">
        <v>2427</v>
      </c>
      <c r="H479" s="5" t="s">
        <v>2427</v>
      </c>
      <c r="I479" s="5" t="s">
        <v>20</v>
      </c>
      <c r="J479" s="5" t="s">
        <v>30</v>
      </c>
      <c r="K479" s="5" t="s">
        <v>39</v>
      </c>
      <c r="L479" s="5" t="s">
        <v>46</v>
      </c>
      <c r="M479" s="7" t="str">
        <f t="shared" si="3"/>
        <v>OK</v>
      </c>
      <c r="N479" s="7"/>
      <c r="O479" s="7"/>
      <c r="P479" s="7"/>
      <c r="Q479" s="7"/>
      <c r="R479" s="7"/>
      <c r="S479" s="7"/>
      <c r="T479" s="7"/>
      <c r="U479" s="7"/>
      <c r="V479" s="7"/>
      <c r="W479" s="7"/>
      <c r="X479" s="7"/>
      <c r="Y479" s="7"/>
      <c r="Z479" s="7"/>
    </row>
    <row r="480" ht="15.75" customHeight="1">
      <c r="A480" s="4" t="s">
        <v>2428</v>
      </c>
      <c r="B480" s="5" t="s">
        <v>14</v>
      </c>
      <c r="C480" s="5" t="s">
        <v>15</v>
      </c>
      <c r="D480" s="5" t="s">
        <v>2429</v>
      </c>
      <c r="E480" s="6" t="s">
        <v>2430</v>
      </c>
      <c r="F480" s="6" t="s">
        <v>2431</v>
      </c>
      <c r="G480" s="6" t="s">
        <v>2432</v>
      </c>
      <c r="H480" s="6" t="s">
        <v>2430</v>
      </c>
      <c r="I480" s="5" t="s">
        <v>31</v>
      </c>
      <c r="J480" s="5" t="s">
        <v>21</v>
      </c>
      <c r="K480" s="5" t="s">
        <v>39</v>
      </c>
      <c r="L480" s="5" t="s">
        <v>46</v>
      </c>
      <c r="M480" s="7" t="str">
        <f t="shared" si="3"/>
        <v>OK</v>
      </c>
      <c r="N480" s="7"/>
      <c r="O480" s="7"/>
      <c r="P480" s="7"/>
      <c r="Q480" s="7"/>
      <c r="R480" s="7"/>
      <c r="S480" s="7"/>
      <c r="T480" s="7"/>
      <c r="U480" s="7"/>
      <c r="V480" s="7"/>
      <c r="W480" s="7"/>
      <c r="X480" s="7"/>
      <c r="Y480" s="7"/>
      <c r="Z480" s="7"/>
    </row>
    <row r="481" ht="15.75" customHeight="1">
      <c r="A481" s="4" t="s">
        <v>2433</v>
      </c>
      <c r="B481" s="5" t="s">
        <v>14</v>
      </c>
      <c r="C481" s="5" t="s">
        <v>15</v>
      </c>
      <c r="D481" s="4" t="s">
        <v>2434</v>
      </c>
      <c r="E481" s="4" t="s">
        <v>2435</v>
      </c>
      <c r="F481" s="4" t="s">
        <v>2436</v>
      </c>
      <c r="G481" s="5" t="s">
        <v>2437</v>
      </c>
      <c r="H481" s="5" t="s">
        <v>2437</v>
      </c>
      <c r="I481" s="5" t="s">
        <v>65</v>
      </c>
      <c r="J481" s="5" t="s">
        <v>20</v>
      </c>
      <c r="K481" s="5" t="s">
        <v>132</v>
      </c>
      <c r="L481" s="5" t="s">
        <v>58</v>
      </c>
      <c r="M481" s="7" t="str">
        <f t="shared" si="3"/>
        <v>OK</v>
      </c>
      <c r="N481" s="7"/>
      <c r="O481" s="7"/>
      <c r="P481" s="7"/>
      <c r="Q481" s="7"/>
      <c r="R481" s="7"/>
      <c r="S481" s="7"/>
      <c r="T481" s="7"/>
      <c r="U481" s="7"/>
      <c r="V481" s="7"/>
      <c r="W481" s="7"/>
      <c r="X481" s="7"/>
      <c r="Y481" s="7"/>
      <c r="Z481" s="7"/>
    </row>
    <row r="482" ht="15.75" customHeight="1">
      <c r="A482" s="4" t="s">
        <v>2438</v>
      </c>
      <c r="B482" s="5" t="s">
        <v>14</v>
      </c>
      <c r="C482" s="5" t="s">
        <v>15</v>
      </c>
      <c r="D482" s="5" t="s">
        <v>2439</v>
      </c>
      <c r="E482" s="5" t="s">
        <v>2440</v>
      </c>
      <c r="F482" s="5" t="s">
        <v>2441</v>
      </c>
      <c r="G482" s="6" t="s">
        <v>2442</v>
      </c>
      <c r="H482" s="5" t="s">
        <v>2441</v>
      </c>
      <c r="I482" s="5" t="s">
        <v>45</v>
      </c>
      <c r="J482" s="5" t="s">
        <v>64</v>
      </c>
      <c r="K482" s="5" t="s">
        <v>132</v>
      </c>
      <c r="L482" s="5" t="s">
        <v>58</v>
      </c>
      <c r="M482" s="7" t="str">
        <f t="shared" si="3"/>
        <v>OK</v>
      </c>
      <c r="N482" s="7"/>
      <c r="O482" s="7"/>
      <c r="P482" s="7"/>
      <c r="Q482" s="7"/>
      <c r="R482" s="7"/>
      <c r="S482" s="7"/>
      <c r="T482" s="7"/>
      <c r="U482" s="7"/>
      <c r="V482" s="7"/>
      <c r="W482" s="7"/>
      <c r="X482" s="7"/>
      <c r="Y482" s="7"/>
      <c r="Z482" s="7"/>
    </row>
    <row r="483" ht="15.75" customHeight="1">
      <c r="A483" s="4" t="s">
        <v>2443</v>
      </c>
      <c r="B483" s="5" t="s">
        <v>14</v>
      </c>
      <c r="C483" s="5" t="s">
        <v>15</v>
      </c>
      <c r="D483" s="5" t="s">
        <v>2444</v>
      </c>
      <c r="E483" s="5" t="s">
        <v>2445</v>
      </c>
      <c r="F483" s="6" t="s">
        <v>2446</v>
      </c>
      <c r="G483" s="6" t="s">
        <v>2447</v>
      </c>
      <c r="H483" s="6" t="s">
        <v>2447</v>
      </c>
      <c r="I483" s="5" t="s">
        <v>30</v>
      </c>
      <c r="J483" s="5" t="s">
        <v>31</v>
      </c>
      <c r="K483" s="5" t="s">
        <v>22</v>
      </c>
      <c r="L483" s="5" t="s">
        <v>46</v>
      </c>
      <c r="M483" s="7" t="str">
        <f t="shared" si="3"/>
        <v>OK</v>
      </c>
      <c r="N483" s="7"/>
      <c r="O483" s="7"/>
      <c r="P483" s="7"/>
      <c r="Q483" s="7"/>
      <c r="R483" s="7"/>
      <c r="S483" s="7"/>
      <c r="T483" s="7"/>
      <c r="U483" s="7"/>
      <c r="V483" s="7"/>
      <c r="W483" s="7"/>
      <c r="X483" s="7"/>
      <c r="Y483" s="7"/>
      <c r="Z483" s="7"/>
    </row>
    <row r="484" ht="15.75" customHeight="1">
      <c r="A484" s="4" t="s">
        <v>2448</v>
      </c>
      <c r="B484" s="5" t="s">
        <v>25</v>
      </c>
      <c r="C484" s="5" t="s">
        <v>15</v>
      </c>
      <c r="D484" s="5" t="s">
        <v>2449</v>
      </c>
      <c r="E484" s="5" t="s">
        <v>2450</v>
      </c>
      <c r="F484" s="5" t="s">
        <v>2451</v>
      </c>
      <c r="G484" s="5" t="s">
        <v>2452</v>
      </c>
      <c r="H484" s="5" t="s">
        <v>2450</v>
      </c>
      <c r="I484" s="5" t="s">
        <v>45</v>
      </c>
      <c r="J484" s="5" t="s">
        <v>37</v>
      </c>
      <c r="K484" s="5" t="s">
        <v>58</v>
      </c>
      <c r="L484" s="5" t="s">
        <v>66</v>
      </c>
      <c r="M484" s="7" t="str">
        <f t="shared" si="3"/>
        <v>OK</v>
      </c>
      <c r="N484" s="7"/>
      <c r="O484" s="7"/>
      <c r="P484" s="7"/>
      <c r="Q484" s="7"/>
      <c r="R484" s="7"/>
      <c r="S484" s="7"/>
      <c r="T484" s="7"/>
      <c r="U484" s="7"/>
      <c r="V484" s="7"/>
      <c r="W484" s="7"/>
      <c r="X484" s="7"/>
      <c r="Y484" s="7"/>
      <c r="Z484" s="7"/>
    </row>
    <row r="485" ht="15.75" customHeight="1">
      <c r="A485" s="16" t="s">
        <v>2453</v>
      </c>
      <c r="B485" s="5" t="s">
        <v>14</v>
      </c>
      <c r="C485" s="5" t="s">
        <v>15</v>
      </c>
      <c r="D485" s="6" t="s">
        <v>2454</v>
      </c>
      <c r="E485" s="6" t="s">
        <v>2455</v>
      </c>
      <c r="F485" s="6" t="s">
        <v>2456</v>
      </c>
      <c r="G485" s="6" t="s">
        <v>2457</v>
      </c>
      <c r="H485" s="6" t="s">
        <v>2457</v>
      </c>
      <c r="I485" s="5" t="s">
        <v>21</v>
      </c>
      <c r="J485" s="5" t="s">
        <v>20</v>
      </c>
      <c r="K485" s="5" t="s">
        <v>66</v>
      </c>
      <c r="L485" s="5" t="s">
        <v>58</v>
      </c>
      <c r="M485" s="7" t="str">
        <f t="shared" si="3"/>
        <v>OK</v>
      </c>
    </row>
    <row r="486" ht="15.75" customHeight="1">
      <c r="A486" s="4" t="s">
        <v>2458</v>
      </c>
      <c r="B486" s="5" t="s">
        <v>25</v>
      </c>
      <c r="C486" s="5" t="s">
        <v>15</v>
      </c>
      <c r="D486" s="5" t="s">
        <v>2459</v>
      </c>
      <c r="E486" s="5" t="s">
        <v>2460</v>
      </c>
      <c r="F486" s="5" t="s">
        <v>2461</v>
      </c>
      <c r="G486" s="5" t="s">
        <v>2462</v>
      </c>
      <c r="H486" s="5" t="s">
        <v>2461</v>
      </c>
      <c r="I486" s="5" t="s">
        <v>45</v>
      </c>
      <c r="J486" s="5" t="s">
        <v>20</v>
      </c>
      <c r="K486" s="5" t="s">
        <v>57</v>
      </c>
      <c r="L486" s="5" t="s">
        <v>23</v>
      </c>
      <c r="M486" s="7" t="str">
        <f t="shared" si="3"/>
        <v>OK</v>
      </c>
      <c r="N486" s="7"/>
      <c r="O486" s="7"/>
      <c r="P486" s="7"/>
      <c r="Q486" s="7"/>
      <c r="R486" s="7"/>
      <c r="S486" s="7"/>
      <c r="T486" s="7"/>
      <c r="U486" s="7"/>
      <c r="V486" s="7"/>
      <c r="W486" s="7"/>
      <c r="X486" s="7"/>
      <c r="Y486" s="7"/>
      <c r="Z486" s="7"/>
    </row>
    <row r="487" ht="15.75" customHeight="1">
      <c r="A487" s="4" t="s">
        <v>2463</v>
      </c>
      <c r="B487" s="5" t="s">
        <v>14</v>
      </c>
      <c r="C487" s="5" t="s">
        <v>15</v>
      </c>
      <c r="D487" s="4" t="s">
        <v>1826</v>
      </c>
      <c r="E487" s="5" t="s">
        <v>2464</v>
      </c>
      <c r="F487" s="4" t="s">
        <v>2465</v>
      </c>
      <c r="G487" s="4" t="s">
        <v>2466</v>
      </c>
      <c r="H487" s="5" t="s">
        <v>2464</v>
      </c>
      <c r="I487" s="5" t="s">
        <v>31</v>
      </c>
      <c r="J487" s="5" t="s">
        <v>64</v>
      </c>
      <c r="K487" s="5" t="s">
        <v>58</v>
      </c>
      <c r="L487" s="5" t="s">
        <v>132</v>
      </c>
      <c r="M487" s="7" t="str">
        <f t="shared" si="3"/>
        <v>OK</v>
      </c>
      <c r="N487" s="7"/>
      <c r="O487" s="7"/>
      <c r="P487" s="7"/>
      <c r="Q487" s="7"/>
      <c r="R487" s="7"/>
      <c r="S487" s="7"/>
      <c r="T487" s="7"/>
      <c r="U487" s="7"/>
      <c r="V487" s="7"/>
      <c r="W487" s="7"/>
      <c r="X487" s="7"/>
      <c r="Y487" s="7"/>
      <c r="Z487" s="7"/>
    </row>
    <row r="488" ht="15.75" customHeight="1">
      <c r="A488" s="4" t="s">
        <v>2467</v>
      </c>
      <c r="B488" s="5" t="s">
        <v>25</v>
      </c>
      <c r="C488" s="5" t="s">
        <v>15</v>
      </c>
      <c r="D488" s="5" t="s">
        <v>2468</v>
      </c>
      <c r="E488" s="5" t="s">
        <v>2469</v>
      </c>
      <c r="F488" s="5" t="s">
        <v>2470</v>
      </c>
      <c r="G488" s="5" t="s">
        <v>2471</v>
      </c>
      <c r="H488" s="5" t="s">
        <v>2471</v>
      </c>
      <c r="I488" s="5" t="s">
        <v>45</v>
      </c>
      <c r="J488" s="5" t="s">
        <v>30</v>
      </c>
      <c r="K488" s="5" t="s">
        <v>57</v>
      </c>
      <c r="L488" s="5" t="s">
        <v>46</v>
      </c>
      <c r="M488" s="7" t="str">
        <f t="shared" si="3"/>
        <v>OK</v>
      </c>
      <c r="N488" s="7"/>
      <c r="O488" s="7"/>
      <c r="P488" s="7"/>
      <c r="Q488" s="7"/>
      <c r="R488" s="7"/>
      <c r="S488" s="7"/>
      <c r="T488" s="7"/>
      <c r="U488" s="7"/>
      <c r="V488" s="7"/>
      <c r="W488" s="7"/>
      <c r="X488" s="7"/>
      <c r="Y488" s="7"/>
      <c r="Z488" s="7"/>
    </row>
    <row r="489" ht="15.75" customHeight="1">
      <c r="A489" s="4" t="s">
        <v>2472</v>
      </c>
      <c r="B489" s="5" t="s">
        <v>25</v>
      </c>
      <c r="C489" s="5" t="s">
        <v>15</v>
      </c>
      <c r="D489" s="5" t="s">
        <v>2473</v>
      </c>
      <c r="E489" s="5" t="s">
        <v>2474</v>
      </c>
      <c r="F489" s="5" t="s">
        <v>2475</v>
      </c>
      <c r="G489" s="5" t="s">
        <v>2476</v>
      </c>
      <c r="H489" s="5" t="s">
        <v>2474</v>
      </c>
      <c r="I489" s="5" t="s">
        <v>31</v>
      </c>
      <c r="J489" s="5" t="s">
        <v>65</v>
      </c>
      <c r="K489" s="5" t="s">
        <v>132</v>
      </c>
      <c r="L489" s="5" t="s">
        <v>38</v>
      </c>
      <c r="M489" s="7" t="str">
        <f t="shared" si="3"/>
        <v>OK</v>
      </c>
      <c r="N489" s="7"/>
      <c r="O489" s="7"/>
      <c r="P489" s="7"/>
      <c r="Q489" s="7"/>
      <c r="R489" s="7"/>
      <c r="S489" s="7"/>
      <c r="T489" s="7"/>
      <c r="U489" s="7"/>
      <c r="V489" s="7"/>
      <c r="W489" s="7"/>
      <c r="X489" s="7"/>
      <c r="Y489" s="7"/>
      <c r="Z489" s="7"/>
    </row>
    <row r="490" ht="15.75" customHeight="1">
      <c r="A490" s="4" t="s">
        <v>2477</v>
      </c>
      <c r="B490" s="5" t="s">
        <v>25</v>
      </c>
      <c r="C490" s="5" t="s">
        <v>15</v>
      </c>
      <c r="D490" s="5" t="s">
        <v>2478</v>
      </c>
      <c r="E490" s="5" t="s">
        <v>2479</v>
      </c>
      <c r="F490" s="5" t="s">
        <v>2480</v>
      </c>
      <c r="G490" s="5" t="s">
        <v>2481</v>
      </c>
      <c r="H490" s="5" t="s">
        <v>2479</v>
      </c>
      <c r="I490" s="5" t="s">
        <v>45</v>
      </c>
      <c r="J490" s="5" t="s">
        <v>65</v>
      </c>
      <c r="K490" s="5" t="s">
        <v>38</v>
      </c>
      <c r="L490" s="5" t="s">
        <v>132</v>
      </c>
      <c r="M490" s="7" t="str">
        <f t="shared" si="3"/>
        <v>OK</v>
      </c>
      <c r="N490" s="7"/>
      <c r="O490" s="7"/>
      <c r="P490" s="7"/>
      <c r="Q490" s="7"/>
      <c r="R490" s="7"/>
      <c r="S490" s="7"/>
      <c r="T490" s="7"/>
      <c r="U490" s="7"/>
      <c r="V490" s="7"/>
      <c r="W490" s="7"/>
      <c r="X490" s="7"/>
      <c r="Y490" s="7"/>
      <c r="Z490" s="7"/>
    </row>
    <row r="491" ht="15.75" customHeight="1">
      <c r="A491" s="4" t="s">
        <v>2482</v>
      </c>
      <c r="B491" s="5" t="s">
        <v>25</v>
      </c>
      <c r="C491" s="5" t="s">
        <v>15</v>
      </c>
      <c r="D491" s="5" t="s">
        <v>2483</v>
      </c>
      <c r="E491" s="5" t="s">
        <v>2484</v>
      </c>
      <c r="F491" s="5" t="s">
        <v>2485</v>
      </c>
      <c r="G491" s="5" t="s">
        <v>2486</v>
      </c>
      <c r="H491" s="5" t="s">
        <v>2486</v>
      </c>
      <c r="I491" s="5" t="s">
        <v>65</v>
      </c>
      <c r="J491" s="5" t="s">
        <v>20</v>
      </c>
      <c r="K491" s="5" t="s">
        <v>46</v>
      </c>
      <c r="L491" s="5" t="s">
        <v>39</v>
      </c>
      <c r="M491" s="7" t="str">
        <f t="shared" si="3"/>
        <v>OK</v>
      </c>
      <c r="N491" s="7"/>
      <c r="O491" s="7"/>
      <c r="P491" s="7"/>
      <c r="Q491" s="7"/>
      <c r="R491" s="7"/>
      <c r="S491" s="7"/>
      <c r="T491" s="7"/>
      <c r="U491" s="7"/>
      <c r="V491" s="7"/>
      <c r="W491" s="7"/>
      <c r="X491" s="7"/>
      <c r="Y491" s="7"/>
      <c r="Z491" s="7"/>
    </row>
    <row r="492" ht="15.75" customHeight="1">
      <c r="A492" s="4" t="s">
        <v>2487</v>
      </c>
      <c r="B492" s="5" t="s">
        <v>25</v>
      </c>
      <c r="C492" s="5" t="s">
        <v>15</v>
      </c>
      <c r="D492" s="5" t="s">
        <v>2488</v>
      </c>
      <c r="E492" s="5" t="s">
        <v>2489</v>
      </c>
      <c r="F492" s="5" t="s">
        <v>2490</v>
      </c>
      <c r="G492" s="5" t="s">
        <v>2491</v>
      </c>
      <c r="H492" s="5" t="s">
        <v>2491</v>
      </c>
      <c r="I492" s="5" t="s">
        <v>30</v>
      </c>
      <c r="J492" s="5" t="s">
        <v>21</v>
      </c>
      <c r="K492" s="5" t="s">
        <v>22</v>
      </c>
      <c r="L492" s="5" t="s">
        <v>46</v>
      </c>
      <c r="M492" s="7" t="str">
        <f t="shared" si="3"/>
        <v>OK</v>
      </c>
      <c r="N492" s="7"/>
      <c r="O492" s="7"/>
      <c r="P492" s="7"/>
      <c r="Q492" s="7"/>
      <c r="R492" s="7"/>
      <c r="S492" s="7"/>
      <c r="T492" s="7"/>
      <c r="U492" s="7"/>
      <c r="V492" s="7"/>
      <c r="W492" s="7"/>
      <c r="X492" s="7"/>
      <c r="Y492" s="7"/>
      <c r="Z492" s="7"/>
    </row>
    <row r="493" ht="15.75" customHeight="1">
      <c r="A493" s="4" t="s">
        <v>2492</v>
      </c>
      <c r="B493" s="5" t="s">
        <v>25</v>
      </c>
      <c r="C493" s="5" t="s">
        <v>15</v>
      </c>
      <c r="D493" s="4" t="s">
        <v>2493</v>
      </c>
      <c r="E493" s="4" t="s">
        <v>2494</v>
      </c>
      <c r="F493" s="4" t="s">
        <v>2495</v>
      </c>
      <c r="G493" s="4" t="s">
        <v>2496</v>
      </c>
      <c r="H493" s="5" t="s">
        <v>2496</v>
      </c>
      <c r="I493" s="5" t="s">
        <v>20</v>
      </c>
      <c r="J493" s="5" t="s">
        <v>31</v>
      </c>
      <c r="K493" s="5" t="s">
        <v>58</v>
      </c>
      <c r="L493" s="5" t="s">
        <v>132</v>
      </c>
      <c r="M493" s="7" t="str">
        <f t="shared" si="3"/>
        <v>OK</v>
      </c>
      <c r="N493" s="7"/>
      <c r="O493" s="7"/>
      <c r="P493" s="7"/>
      <c r="Q493" s="7"/>
      <c r="R493" s="7"/>
      <c r="S493" s="7"/>
      <c r="T493" s="7"/>
      <c r="U493" s="7"/>
      <c r="V493" s="7"/>
      <c r="W493" s="7"/>
      <c r="X493" s="7"/>
      <c r="Y493" s="7"/>
      <c r="Z493" s="7"/>
    </row>
    <row r="494" ht="15.75" customHeight="1">
      <c r="A494" s="4" t="s">
        <v>2497</v>
      </c>
      <c r="B494" s="5" t="s">
        <v>14</v>
      </c>
      <c r="C494" s="5" t="s">
        <v>15</v>
      </c>
      <c r="D494" s="5" t="s">
        <v>2498</v>
      </c>
      <c r="E494" s="6" t="s">
        <v>2499</v>
      </c>
      <c r="F494" s="6" t="s">
        <v>2500</v>
      </c>
      <c r="G494" s="6" t="s">
        <v>2501</v>
      </c>
      <c r="H494" s="6" t="s">
        <v>2501</v>
      </c>
      <c r="I494" s="5" t="s">
        <v>31</v>
      </c>
      <c r="J494" s="5" t="s">
        <v>37</v>
      </c>
      <c r="K494" s="5" t="s">
        <v>132</v>
      </c>
      <c r="L494" s="5" t="s">
        <v>46</v>
      </c>
      <c r="M494" s="7" t="str">
        <f t="shared" si="3"/>
        <v>OK</v>
      </c>
      <c r="N494" s="7"/>
      <c r="O494" s="7"/>
      <c r="P494" s="7"/>
      <c r="Q494" s="7"/>
      <c r="R494" s="7"/>
      <c r="S494" s="7"/>
      <c r="T494" s="7"/>
      <c r="U494" s="7"/>
      <c r="V494" s="7"/>
      <c r="W494" s="7"/>
      <c r="X494" s="7"/>
      <c r="Y494" s="7"/>
      <c r="Z494" s="7"/>
    </row>
    <row r="495" ht="15.75" customHeight="1">
      <c r="A495" s="16" t="s">
        <v>2502</v>
      </c>
      <c r="B495" s="5" t="s">
        <v>14</v>
      </c>
      <c r="C495" s="5" t="s">
        <v>15</v>
      </c>
      <c r="D495" s="6" t="s">
        <v>2503</v>
      </c>
      <c r="E495" s="6" t="s">
        <v>2504</v>
      </c>
      <c r="F495" s="6" t="s">
        <v>2505</v>
      </c>
      <c r="G495" s="6" t="s">
        <v>2506</v>
      </c>
      <c r="H495" s="6" t="s">
        <v>2506</v>
      </c>
      <c r="I495" s="5" t="s">
        <v>65</v>
      </c>
      <c r="J495" s="5" t="s">
        <v>64</v>
      </c>
      <c r="K495" s="5" t="s">
        <v>132</v>
      </c>
      <c r="L495" s="5" t="s">
        <v>22</v>
      </c>
      <c r="M495" s="7" t="str">
        <f t="shared" si="3"/>
        <v>OK</v>
      </c>
    </row>
    <row r="496" ht="15.75" customHeight="1">
      <c r="A496" s="4" t="s">
        <v>2507</v>
      </c>
      <c r="B496" s="5" t="s">
        <v>25</v>
      </c>
      <c r="C496" s="5" t="s">
        <v>15</v>
      </c>
      <c r="D496" s="5" t="s">
        <v>2508</v>
      </c>
      <c r="E496" s="5" t="s">
        <v>2509</v>
      </c>
      <c r="F496" s="5" t="s">
        <v>2510</v>
      </c>
      <c r="G496" s="5" t="s">
        <v>2511</v>
      </c>
      <c r="H496" s="5" t="s">
        <v>2511</v>
      </c>
      <c r="I496" s="5" t="s">
        <v>37</v>
      </c>
      <c r="J496" s="5" t="s">
        <v>31</v>
      </c>
      <c r="K496" s="5" t="s">
        <v>23</v>
      </c>
      <c r="L496" s="5" t="s">
        <v>38</v>
      </c>
      <c r="M496" s="7" t="str">
        <f t="shared" si="3"/>
        <v>OK</v>
      </c>
      <c r="N496" s="7"/>
      <c r="O496" s="7"/>
      <c r="P496" s="7"/>
      <c r="Q496" s="7"/>
      <c r="R496" s="7"/>
      <c r="S496" s="7"/>
      <c r="T496" s="7"/>
      <c r="U496" s="7"/>
      <c r="V496" s="7"/>
      <c r="W496" s="7"/>
      <c r="X496" s="7"/>
      <c r="Y496" s="7"/>
      <c r="Z496" s="7"/>
    </row>
    <row r="497" ht="15.75" customHeight="1">
      <c r="A497" s="4" t="s">
        <v>2512</v>
      </c>
      <c r="B497" s="5" t="s">
        <v>25</v>
      </c>
      <c r="C497" s="5" t="s">
        <v>15</v>
      </c>
      <c r="D497" s="5" t="s">
        <v>2513</v>
      </c>
      <c r="E497" s="5" t="s">
        <v>2514</v>
      </c>
      <c r="F497" s="5" t="s">
        <v>2515</v>
      </c>
      <c r="G497" s="5" t="s">
        <v>2516</v>
      </c>
      <c r="H497" s="5" t="s">
        <v>2516</v>
      </c>
      <c r="I497" s="5" t="s">
        <v>37</v>
      </c>
      <c r="J497" s="5" t="s">
        <v>20</v>
      </c>
      <c r="K497" s="5" t="s">
        <v>132</v>
      </c>
      <c r="L497" s="5" t="s">
        <v>66</v>
      </c>
      <c r="M497" s="7" t="str">
        <f t="shared" si="3"/>
        <v>OK</v>
      </c>
      <c r="N497" s="7"/>
      <c r="O497" s="7"/>
      <c r="P497" s="7"/>
      <c r="Q497" s="7"/>
      <c r="R497" s="7"/>
      <c r="S497" s="7"/>
      <c r="T497" s="7"/>
      <c r="U497" s="7"/>
      <c r="V497" s="7"/>
      <c r="W497" s="7"/>
      <c r="X497" s="7"/>
      <c r="Y497" s="7"/>
      <c r="Z497" s="7"/>
    </row>
    <row r="498" ht="15.75" customHeight="1">
      <c r="A498" s="4" t="s">
        <v>2517</v>
      </c>
      <c r="B498" s="5" t="s">
        <v>25</v>
      </c>
      <c r="C498" s="5" t="s">
        <v>15</v>
      </c>
      <c r="D498" s="5" t="s">
        <v>2518</v>
      </c>
      <c r="E498" s="5" t="s">
        <v>2519</v>
      </c>
      <c r="F498" s="5" t="s">
        <v>2520</v>
      </c>
      <c r="G498" s="5" t="s">
        <v>2521</v>
      </c>
      <c r="H498" s="5" t="s">
        <v>2519</v>
      </c>
      <c r="I498" s="5" t="s">
        <v>21</v>
      </c>
      <c r="J498" s="5" t="s">
        <v>45</v>
      </c>
      <c r="K498" s="5" t="s">
        <v>38</v>
      </c>
      <c r="L498" s="5" t="s">
        <v>57</v>
      </c>
      <c r="M498" s="7" t="str">
        <f t="shared" si="3"/>
        <v>OK</v>
      </c>
      <c r="N498" s="7"/>
      <c r="O498" s="7"/>
      <c r="P498" s="7"/>
      <c r="Q498" s="7"/>
      <c r="R498" s="7"/>
      <c r="S498" s="7"/>
      <c r="T498" s="7"/>
      <c r="U498" s="7"/>
      <c r="V498" s="7"/>
      <c r="W498" s="7"/>
      <c r="X498" s="7"/>
      <c r="Y498" s="7"/>
      <c r="Z498" s="7"/>
    </row>
    <row r="499" ht="15.75" customHeight="1">
      <c r="A499" s="4" t="s">
        <v>2522</v>
      </c>
      <c r="B499" s="5" t="s">
        <v>25</v>
      </c>
      <c r="C499" s="5" t="s">
        <v>15</v>
      </c>
      <c r="D499" s="5" t="s">
        <v>2523</v>
      </c>
      <c r="E499" s="5" t="s">
        <v>2524</v>
      </c>
      <c r="F499" s="5" t="s">
        <v>2525</v>
      </c>
      <c r="G499" s="5" t="s">
        <v>2526</v>
      </c>
      <c r="H499" s="5" t="s">
        <v>2526</v>
      </c>
      <c r="I499" s="5" t="s">
        <v>37</v>
      </c>
      <c r="J499" s="5" t="s">
        <v>20</v>
      </c>
      <c r="K499" s="5" t="s">
        <v>57</v>
      </c>
      <c r="L499" s="5" t="s">
        <v>23</v>
      </c>
      <c r="M499" s="7" t="str">
        <f t="shared" si="3"/>
        <v>OK</v>
      </c>
      <c r="N499" s="7"/>
      <c r="O499" s="7"/>
      <c r="P499" s="7"/>
      <c r="Q499" s="7"/>
      <c r="R499" s="7"/>
      <c r="S499" s="7"/>
      <c r="T499" s="7"/>
      <c r="U499" s="7"/>
      <c r="V499" s="7"/>
      <c r="W499" s="7"/>
      <c r="X499" s="7"/>
      <c r="Y499" s="7"/>
      <c r="Z499" s="7"/>
    </row>
    <row r="500" ht="15.75" customHeight="1">
      <c r="A500" s="4" t="s">
        <v>2527</v>
      </c>
      <c r="B500" s="5" t="s">
        <v>25</v>
      </c>
      <c r="C500" s="5" t="s">
        <v>15</v>
      </c>
      <c r="D500" s="5" t="s">
        <v>2528</v>
      </c>
      <c r="E500" s="5" t="s">
        <v>2529</v>
      </c>
      <c r="F500" s="5" t="s">
        <v>2530</v>
      </c>
      <c r="G500" s="5" t="s">
        <v>2531</v>
      </c>
      <c r="H500" s="5" t="s">
        <v>2529</v>
      </c>
      <c r="I500" s="5" t="s">
        <v>65</v>
      </c>
      <c r="J500" s="5" t="s">
        <v>45</v>
      </c>
      <c r="K500" s="5" t="s">
        <v>23</v>
      </c>
      <c r="L500" s="5" t="s">
        <v>39</v>
      </c>
      <c r="M500" s="7" t="str">
        <f t="shared" si="3"/>
        <v>OK</v>
      </c>
      <c r="N500" s="7"/>
      <c r="O500" s="7"/>
      <c r="P500" s="7"/>
      <c r="Q500" s="7"/>
      <c r="R500" s="7"/>
      <c r="S500" s="7"/>
      <c r="T500" s="7"/>
      <c r="U500" s="7"/>
      <c r="V500" s="7"/>
      <c r="W500" s="7"/>
      <c r="X500" s="7"/>
      <c r="Y500" s="7"/>
      <c r="Z500" s="7"/>
    </row>
    <row r="501" ht="15.75" customHeight="1">
      <c r="A501" s="16" t="s">
        <v>2532</v>
      </c>
      <c r="B501" s="5" t="s">
        <v>14</v>
      </c>
      <c r="C501" s="5" t="s">
        <v>15</v>
      </c>
      <c r="D501" s="6" t="s">
        <v>2533</v>
      </c>
      <c r="E501" s="6" t="s">
        <v>2534</v>
      </c>
      <c r="F501" s="6" t="s">
        <v>2535</v>
      </c>
      <c r="G501" s="6" t="s">
        <v>2536</v>
      </c>
      <c r="H501" s="6" t="s">
        <v>2536</v>
      </c>
      <c r="I501" s="5" t="s">
        <v>21</v>
      </c>
      <c r="J501" s="5" t="s">
        <v>31</v>
      </c>
      <c r="K501" s="5" t="s">
        <v>22</v>
      </c>
      <c r="L501" s="5" t="s">
        <v>39</v>
      </c>
      <c r="M501" s="7" t="str">
        <f t="shared" si="3"/>
        <v>OK</v>
      </c>
    </row>
    <row r="502" ht="15.75" customHeight="1">
      <c r="A502" s="4" t="s">
        <v>2537</v>
      </c>
      <c r="B502" s="5" t="s">
        <v>14</v>
      </c>
      <c r="C502" s="5" t="s">
        <v>15</v>
      </c>
      <c r="D502" s="5" t="s">
        <v>2538</v>
      </c>
      <c r="E502" s="6" t="s">
        <v>2539</v>
      </c>
      <c r="F502" s="6" t="s">
        <v>2540</v>
      </c>
      <c r="G502" s="6" t="s">
        <v>2541</v>
      </c>
      <c r="H502" s="6" t="s">
        <v>2542</v>
      </c>
      <c r="I502" s="5" t="s">
        <v>20</v>
      </c>
      <c r="J502" s="5" t="s">
        <v>64</v>
      </c>
      <c r="K502" s="5" t="s">
        <v>38</v>
      </c>
      <c r="L502" s="5" t="s">
        <v>46</v>
      </c>
      <c r="M502" s="7" t="str">
        <f t="shared" si="3"/>
        <v>OK</v>
      </c>
      <c r="N502" s="7"/>
      <c r="O502" s="7"/>
      <c r="P502" s="7"/>
      <c r="Q502" s="7"/>
      <c r="R502" s="7"/>
      <c r="S502" s="7"/>
      <c r="T502" s="7"/>
      <c r="U502" s="7"/>
      <c r="V502" s="7"/>
      <c r="W502" s="7"/>
      <c r="X502" s="7"/>
      <c r="Y502" s="7"/>
      <c r="Z502" s="7"/>
    </row>
  </sheetData>
  <autoFilter ref="$A$1:$M$502"/>
  <dataValidations>
    <dataValidation type="list" allowBlank="1" showErrorMessage="1" sqref="K2:L502">
      <formula1>Lists!$I$2:$I$10</formula1>
    </dataValidation>
    <dataValidation type="list" allowBlank="1" showErrorMessage="1" sqref="B2:B502">
      <formula1>Lists!$A$2:$A$3</formula1>
    </dataValidation>
    <dataValidation type="list" allowBlank="1" showErrorMessage="1" sqref="I2:J502">
      <formula1>Lists!$D$2:$D$9</formula1>
    </dataValidation>
    <dataValidation type="list" allowBlank="1" showErrorMessage="1" sqref="C2:C502">
      <formula1>Lists!$B$2:$B$4</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71"/>
    <col customWidth="1" min="2" max="2" width="19.0"/>
    <col customWidth="1" hidden="1" min="3" max="3" width="19.0"/>
    <col customWidth="1" hidden="1" min="4" max="4" width="46.57"/>
    <col customWidth="1" hidden="1" min="5" max="5" width="39.14"/>
    <col customWidth="1" min="6" max="6" width="24.14"/>
    <col customWidth="1" min="7" max="9" width="25.71"/>
    <col customWidth="1" min="10" max="11" width="20.14"/>
    <col customWidth="1" min="12" max="14" width="25.71"/>
    <col customWidth="1" min="15" max="15" width="36.14"/>
    <col customWidth="1" min="16" max="16" width="20.43"/>
    <col customWidth="1" min="17" max="17" width="25.14"/>
    <col customWidth="1" min="18" max="18" width="24.57"/>
    <col customWidth="1" min="19" max="19" width="21.71"/>
    <col customWidth="1" min="20" max="20" width="20.71"/>
    <col customWidth="1" min="21" max="21" width="23.0"/>
    <col customWidth="1" min="22" max="22" width="23.57"/>
    <col customWidth="1" min="23" max="23" width="25.43"/>
    <col customWidth="1" min="24" max="24" width="25.57"/>
    <col customWidth="1" min="25" max="25" width="29.71"/>
    <col customWidth="1" min="26" max="29" width="8.71"/>
  </cols>
  <sheetData>
    <row r="1">
      <c r="A1" s="1" t="s">
        <v>0</v>
      </c>
      <c r="B1" s="2" t="s">
        <v>1</v>
      </c>
      <c r="C1" s="2" t="s">
        <v>2</v>
      </c>
      <c r="D1" s="3" t="s">
        <v>3</v>
      </c>
      <c r="E1" s="2" t="s">
        <v>7</v>
      </c>
      <c r="F1" s="3" t="s">
        <v>8</v>
      </c>
      <c r="G1" s="3" t="s">
        <v>9</v>
      </c>
      <c r="H1" s="3" t="s">
        <v>10</v>
      </c>
      <c r="I1" s="3" t="s">
        <v>11</v>
      </c>
      <c r="J1" s="33" t="s">
        <v>2543</v>
      </c>
      <c r="K1" s="33" t="s">
        <v>2</v>
      </c>
      <c r="L1" s="34" t="s">
        <v>2544</v>
      </c>
      <c r="M1" s="34" t="s">
        <v>2545</v>
      </c>
      <c r="N1" s="34" t="s">
        <v>2546</v>
      </c>
      <c r="O1" s="34" t="s">
        <v>2547</v>
      </c>
      <c r="P1" s="35" t="s">
        <v>2548</v>
      </c>
      <c r="Q1" s="36" t="s">
        <v>2549</v>
      </c>
      <c r="R1" s="35" t="s">
        <v>2550</v>
      </c>
      <c r="S1" s="35" t="s">
        <v>2551</v>
      </c>
      <c r="T1" s="35" t="s">
        <v>2552</v>
      </c>
      <c r="U1" s="35" t="s">
        <v>2553</v>
      </c>
      <c r="V1" s="37"/>
      <c r="W1" s="38"/>
      <c r="X1" s="39"/>
      <c r="Y1" s="6"/>
      <c r="Z1" s="2"/>
      <c r="AA1" s="2"/>
      <c r="AB1" s="2"/>
      <c r="AC1" s="2"/>
    </row>
    <row r="2" ht="24.0" customHeight="1">
      <c r="A2" s="9" t="s">
        <v>249</v>
      </c>
      <c r="B2" s="5" t="s">
        <v>14</v>
      </c>
      <c r="C2" s="5" t="s">
        <v>15</v>
      </c>
      <c r="D2" s="5" t="s">
        <v>250</v>
      </c>
      <c r="E2" s="5" t="s">
        <v>253</v>
      </c>
      <c r="F2" s="5" t="s">
        <v>21</v>
      </c>
      <c r="G2" s="5" t="s">
        <v>65</v>
      </c>
      <c r="H2" s="5" t="s">
        <v>132</v>
      </c>
      <c r="I2" s="5" t="s">
        <v>58</v>
      </c>
      <c r="J2" s="40" t="s">
        <v>25</v>
      </c>
      <c r="K2" s="41" t="s">
        <v>15</v>
      </c>
      <c r="L2" s="16" t="s">
        <v>21</v>
      </c>
      <c r="M2" s="5" t="s">
        <v>31</v>
      </c>
      <c r="N2" s="16" t="s">
        <v>132</v>
      </c>
      <c r="O2" s="16" t="s">
        <v>58</v>
      </c>
      <c r="P2" s="42">
        <f t="shared" ref="P2:P51" si="1">IF(F2=L2,1,0)</f>
        <v>1</v>
      </c>
      <c r="Q2" s="43">
        <f t="shared" ref="Q2:Q51" si="2">IF(OR(AND(F2=L2,G2=M2),AND(F2=M2,G2=L2)),1,0)</f>
        <v>0</v>
      </c>
      <c r="R2" s="42">
        <f t="shared" ref="R2:R51" si="3">IF(H2=N2,1,0)</f>
        <v>1</v>
      </c>
      <c r="S2" s="42">
        <f t="shared" ref="S2:S51" si="4">IF(OR(AND(H2=N2,I2=O2),AND(H2=O2,I2=N2)),1,0)</f>
        <v>1</v>
      </c>
      <c r="T2" s="42">
        <f t="shared" ref="T2:T51" si="5">IF(OR(F2=L2,F2=M2,G2=L2,G2=M2),1,0)</f>
        <v>1</v>
      </c>
      <c r="U2" s="42">
        <f t="shared" ref="U2:U51" si="6">IF(OR(H2=N2,H2=O2,I2=N2,I2=O2),1,0)</f>
        <v>1</v>
      </c>
      <c r="V2" s="7"/>
      <c r="W2" s="44"/>
      <c r="X2" s="7"/>
      <c r="Y2" s="7"/>
      <c r="Z2" s="7"/>
      <c r="AA2" s="7"/>
      <c r="AB2" s="7"/>
      <c r="AC2" s="7"/>
    </row>
    <row r="3">
      <c r="A3" s="4" t="s">
        <v>284</v>
      </c>
      <c r="B3" s="5" t="s">
        <v>14</v>
      </c>
      <c r="C3" s="5" t="s">
        <v>15</v>
      </c>
      <c r="D3" s="5" t="s">
        <v>285</v>
      </c>
      <c r="E3" s="6" t="s">
        <v>287</v>
      </c>
      <c r="F3" s="5" t="s">
        <v>64</v>
      </c>
      <c r="G3" s="5" t="s">
        <v>21</v>
      </c>
      <c r="H3" s="5" t="s">
        <v>46</v>
      </c>
      <c r="I3" s="5" t="s">
        <v>23</v>
      </c>
      <c r="J3" s="40" t="s">
        <v>25</v>
      </c>
      <c r="K3" s="41" t="s">
        <v>15</v>
      </c>
      <c r="L3" s="16" t="s">
        <v>64</v>
      </c>
      <c r="M3" s="5" t="s">
        <v>21</v>
      </c>
      <c r="N3" s="16" t="s">
        <v>46</v>
      </c>
      <c r="O3" s="16" t="s">
        <v>23</v>
      </c>
      <c r="P3" s="42">
        <f t="shared" si="1"/>
        <v>1</v>
      </c>
      <c r="Q3" s="43">
        <f t="shared" si="2"/>
        <v>1</v>
      </c>
      <c r="R3" s="42">
        <f t="shared" si="3"/>
        <v>1</v>
      </c>
      <c r="S3" s="42">
        <f t="shared" si="4"/>
        <v>1</v>
      </c>
      <c r="T3" s="42">
        <f t="shared" si="5"/>
        <v>1</v>
      </c>
      <c r="U3" s="42">
        <f t="shared" si="6"/>
        <v>1</v>
      </c>
      <c r="V3" s="7"/>
      <c r="W3" s="44"/>
      <c r="X3" s="7"/>
      <c r="Y3" s="7"/>
      <c r="Z3" s="7"/>
      <c r="AA3" s="7"/>
      <c r="AB3" s="7"/>
      <c r="AC3" s="7"/>
    </row>
    <row r="4" ht="23.25" customHeight="1">
      <c r="A4" s="4" t="s">
        <v>344</v>
      </c>
      <c r="B4" s="5" t="s">
        <v>14</v>
      </c>
      <c r="C4" s="5" t="s">
        <v>15</v>
      </c>
      <c r="D4" s="5" t="s">
        <v>345</v>
      </c>
      <c r="E4" s="6" t="s">
        <v>348</v>
      </c>
      <c r="F4" s="5" t="s">
        <v>20</v>
      </c>
      <c r="G4" s="5" t="s">
        <v>37</v>
      </c>
      <c r="H4" s="5" t="s">
        <v>57</v>
      </c>
      <c r="I4" s="5" t="s">
        <v>22</v>
      </c>
      <c r="J4" s="40" t="s">
        <v>25</v>
      </c>
      <c r="K4" s="41" t="s">
        <v>15</v>
      </c>
      <c r="L4" s="16" t="s">
        <v>20</v>
      </c>
      <c r="M4" s="5" t="s">
        <v>37</v>
      </c>
      <c r="N4" s="16" t="s">
        <v>57</v>
      </c>
      <c r="O4" s="16" t="s">
        <v>22</v>
      </c>
      <c r="P4" s="42">
        <f t="shared" si="1"/>
        <v>1</v>
      </c>
      <c r="Q4" s="43">
        <f t="shared" si="2"/>
        <v>1</v>
      </c>
      <c r="R4" s="42">
        <f t="shared" si="3"/>
        <v>1</v>
      </c>
      <c r="S4" s="42">
        <f t="shared" si="4"/>
        <v>1</v>
      </c>
      <c r="T4" s="42">
        <f t="shared" si="5"/>
        <v>1</v>
      </c>
      <c r="U4" s="42">
        <f t="shared" si="6"/>
        <v>1</v>
      </c>
      <c r="V4" s="7"/>
      <c r="W4" s="44"/>
      <c r="X4" s="7"/>
      <c r="Y4" s="7"/>
      <c r="Z4" s="7"/>
      <c r="AA4" s="7"/>
      <c r="AB4" s="7"/>
      <c r="AC4" s="7"/>
    </row>
    <row r="5">
      <c r="A5" s="19" t="s">
        <v>369</v>
      </c>
      <c r="B5" s="22" t="s">
        <v>14</v>
      </c>
      <c r="C5" s="22" t="s">
        <v>15</v>
      </c>
      <c r="D5" s="22" t="s">
        <v>370</v>
      </c>
      <c r="E5" s="45" t="s">
        <v>373</v>
      </c>
      <c r="F5" s="22" t="s">
        <v>64</v>
      </c>
      <c r="G5" s="22" t="s">
        <v>65</v>
      </c>
      <c r="H5" s="22" t="s">
        <v>57</v>
      </c>
      <c r="I5" s="22" t="s">
        <v>46</v>
      </c>
      <c r="J5" s="46" t="s">
        <v>25</v>
      </c>
      <c r="K5" s="47" t="s">
        <v>15</v>
      </c>
      <c r="L5" s="48" t="s">
        <v>64</v>
      </c>
      <c r="M5" s="22" t="s">
        <v>65</v>
      </c>
      <c r="N5" s="48" t="s">
        <v>132</v>
      </c>
      <c r="O5" s="48" t="s">
        <v>38</v>
      </c>
      <c r="P5" s="43">
        <f t="shared" si="1"/>
        <v>1</v>
      </c>
      <c r="Q5" s="43">
        <f t="shared" si="2"/>
        <v>1</v>
      </c>
      <c r="R5" s="43">
        <f t="shared" si="3"/>
        <v>0</v>
      </c>
      <c r="S5" s="43">
        <f t="shared" si="4"/>
        <v>0</v>
      </c>
      <c r="T5" s="43">
        <f t="shared" si="5"/>
        <v>1</v>
      </c>
      <c r="U5" s="43">
        <f t="shared" si="6"/>
        <v>0</v>
      </c>
      <c r="V5" s="24"/>
      <c r="W5" s="44"/>
      <c r="X5" s="24"/>
      <c r="Y5" s="24"/>
      <c r="Z5" s="24"/>
      <c r="AA5" s="24"/>
      <c r="AB5" s="24"/>
      <c r="AC5" s="24"/>
    </row>
    <row r="6">
      <c r="A6" s="19" t="s">
        <v>394</v>
      </c>
      <c r="B6" s="22" t="s">
        <v>14</v>
      </c>
      <c r="C6" s="22" t="s">
        <v>15</v>
      </c>
      <c r="D6" s="22" t="s">
        <v>395</v>
      </c>
      <c r="E6" s="45" t="s">
        <v>398</v>
      </c>
      <c r="F6" s="22" t="s">
        <v>64</v>
      </c>
      <c r="G6" s="22" t="s">
        <v>37</v>
      </c>
      <c r="H6" s="22" t="s">
        <v>39</v>
      </c>
      <c r="I6" s="22" t="s">
        <v>58</v>
      </c>
      <c r="J6" s="46" t="s">
        <v>25</v>
      </c>
      <c r="K6" s="47" t="s">
        <v>15</v>
      </c>
      <c r="L6" s="48" t="s">
        <v>31</v>
      </c>
      <c r="M6" s="22" t="s">
        <v>64</v>
      </c>
      <c r="N6" s="48" t="s">
        <v>39</v>
      </c>
      <c r="O6" s="48" t="s">
        <v>58</v>
      </c>
      <c r="P6" s="43">
        <f t="shared" si="1"/>
        <v>0</v>
      </c>
      <c r="Q6" s="43">
        <f t="shared" si="2"/>
        <v>0</v>
      </c>
      <c r="R6" s="43">
        <f t="shared" si="3"/>
        <v>1</v>
      </c>
      <c r="S6" s="43">
        <f t="shared" si="4"/>
        <v>1</v>
      </c>
      <c r="T6" s="43">
        <f t="shared" si="5"/>
        <v>1</v>
      </c>
      <c r="U6" s="43">
        <f t="shared" si="6"/>
        <v>1</v>
      </c>
      <c r="V6" s="24"/>
      <c r="W6" s="44"/>
      <c r="X6" s="24"/>
      <c r="Y6" s="24"/>
      <c r="Z6" s="24"/>
      <c r="AA6" s="24"/>
      <c r="AB6" s="24"/>
      <c r="AC6" s="24"/>
    </row>
    <row r="7">
      <c r="A7" s="19" t="s">
        <v>479</v>
      </c>
      <c r="B7" s="22" t="s">
        <v>14</v>
      </c>
      <c r="C7" s="22" t="s">
        <v>15</v>
      </c>
      <c r="D7" s="22" t="s">
        <v>480</v>
      </c>
      <c r="E7" s="45" t="s">
        <v>483</v>
      </c>
      <c r="F7" s="22" t="s">
        <v>64</v>
      </c>
      <c r="G7" s="22" t="s">
        <v>21</v>
      </c>
      <c r="H7" s="22" t="s">
        <v>58</v>
      </c>
      <c r="I7" s="22" t="s">
        <v>132</v>
      </c>
      <c r="J7" s="46" t="s">
        <v>25</v>
      </c>
      <c r="K7" s="47" t="s">
        <v>15</v>
      </c>
      <c r="L7" s="48" t="s">
        <v>64</v>
      </c>
      <c r="M7" s="22" t="s">
        <v>21</v>
      </c>
      <c r="N7" s="48" t="s">
        <v>58</v>
      </c>
      <c r="O7" s="48" t="s">
        <v>132</v>
      </c>
      <c r="P7" s="43">
        <f t="shared" si="1"/>
        <v>1</v>
      </c>
      <c r="Q7" s="43">
        <f t="shared" si="2"/>
        <v>1</v>
      </c>
      <c r="R7" s="43">
        <f t="shared" si="3"/>
        <v>1</v>
      </c>
      <c r="S7" s="43">
        <f t="shared" si="4"/>
        <v>1</v>
      </c>
      <c r="T7" s="43">
        <f t="shared" si="5"/>
        <v>1</v>
      </c>
      <c r="U7" s="43">
        <f t="shared" si="6"/>
        <v>1</v>
      </c>
      <c r="V7" s="24"/>
      <c r="W7" s="44"/>
      <c r="X7" s="24"/>
      <c r="Y7" s="24"/>
      <c r="Z7" s="24"/>
      <c r="AA7" s="24"/>
      <c r="AB7" s="24"/>
      <c r="AC7" s="24"/>
    </row>
    <row r="8">
      <c r="A8" s="19" t="s">
        <v>514</v>
      </c>
      <c r="B8" s="22" t="s">
        <v>25</v>
      </c>
      <c r="C8" s="22" t="s">
        <v>15</v>
      </c>
      <c r="D8" s="22" t="s">
        <v>515</v>
      </c>
      <c r="E8" s="22" t="s">
        <v>517</v>
      </c>
      <c r="F8" s="22" t="s">
        <v>31</v>
      </c>
      <c r="G8" s="22" t="s">
        <v>20</v>
      </c>
      <c r="H8" s="22" t="s">
        <v>58</v>
      </c>
      <c r="I8" s="22" t="s">
        <v>132</v>
      </c>
      <c r="J8" s="46" t="s">
        <v>14</v>
      </c>
      <c r="K8" s="47" t="s">
        <v>15</v>
      </c>
      <c r="L8" s="22" t="s">
        <v>20</v>
      </c>
      <c r="M8" s="22" t="s">
        <v>65</v>
      </c>
      <c r="N8" s="22" t="s">
        <v>58</v>
      </c>
      <c r="O8" s="22" t="s">
        <v>132</v>
      </c>
      <c r="P8" s="43">
        <f t="shared" si="1"/>
        <v>0</v>
      </c>
      <c r="Q8" s="43">
        <f t="shared" si="2"/>
        <v>0</v>
      </c>
      <c r="R8" s="43">
        <f t="shared" si="3"/>
        <v>1</v>
      </c>
      <c r="S8" s="43">
        <f t="shared" si="4"/>
        <v>1</v>
      </c>
      <c r="T8" s="43">
        <f t="shared" si="5"/>
        <v>1</v>
      </c>
      <c r="U8" s="43">
        <f t="shared" si="6"/>
        <v>1</v>
      </c>
      <c r="V8" s="24"/>
      <c r="W8" s="44"/>
      <c r="X8" s="24"/>
      <c r="Y8" s="24"/>
      <c r="Z8" s="24"/>
      <c r="AA8" s="24"/>
      <c r="AB8" s="24"/>
      <c r="AC8" s="24"/>
    </row>
    <row r="9">
      <c r="A9" s="19" t="s">
        <v>524</v>
      </c>
      <c r="B9" s="22" t="s">
        <v>25</v>
      </c>
      <c r="C9" s="22" t="s">
        <v>15</v>
      </c>
      <c r="D9" s="22" t="s">
        <v>525</v>
      </c>
      <c r="E9" s="22" t="s">
        <v>529</v>
      </c>
      <c r="F9" s="22" t="s">
        <v>37</v>
      </c>
      <c r="G9" s="22" t="s">
        <v>21</v>
      </c>
      <c r="H9" s="22" t="s">
        <v>58</v>
      </c>
      <c r="I9" s="22" t="s">
        <v>66</v>
      </c>
      <c r="J9" s="46" t="s">
        <v>14</v>
      </c>
      <c r="K9" s="47" t="s">
        <v>15</v>
      </c>
      <c r="L9" s="22" t="s">
        <v>37</v>
      </c>
      <c r="M9" s="22" t="s">
        <v>21</v>
      </c>
      <c r="N9" s="22" t="s">
        <v>58</v>
      </c>
      <c r="O9" s="22" t="s">
        <v>66</v>
      </c>
      <c r="P9" s="43">
        <f t="shared" si="1"/>
        <v>1</v>
      </c>
      <c r="Q9" s="43">
        <f t="shared" si="2"/>
        <v>1</v>
      </c>
      <c r="R9" s="43">
        <f t="shared" si="3"/>
        <v>1</v>
      </c>
      <c r="S9" s="43">
        <f t="shared" si="4"/>
        <v>1</v>
      </c>
      <c r="T9" s="43">
        <f t="shared" si="5"/>
        <v>1</v>
      </c>
      <c r="U9" s="43">
        <f t="shared" si="6"/>
        <v>1</v>
      </c>
      <c r="V9" s="24"/>
      <c r="W9" s="44"/>
      <c r="X9" s="24"/>
      <c r="Y9" s="24"/>
      <c r="Z9" s="24"/>
      <c r="AA9" s="24"/>
      <c r="AB9" s="24"/>
      <c r="AC9" s="24"/>
    </row>
    <row r="10">
      <c r="A10" s="4" t="s">
        <v>772</v>
      </c>
      <c r="B10" s="5" t="s">
        <v>25</v>
      </c>
      <c r="C10" s="5" t="s">
        <v>15</v>
      </c>
      <c r="D10" s="5" t="s">
        <v>773</v>
      </c>
      <c r="E10" s="5" t="s">
        <v>776</v>
      </c>
      <c r="F10" s="5" t="s">
        <v>37</v>
      </c>
      <c r="G10" s="5" t="s">
        <v>20</v>
      </c>
      <c r="H10" s="5" t="s">
        <v>132</v>
      </c>
      <c r="I10" s="5" t="s">
        <v>22</v>
      </c>
      <c r="J10" s="40" t="s">
        <v>14</v>
      </c>
      <c r="K10" s="41" t="s">
        <v>15</v>
      </c>
      <c r="L10" s="5" t="s">
        <v>37</v>
      </c>
      <c r="M10" s="5" t="s">
        <v>20</v>
      </c>
      <c r="N10" s="5" t="s">
        <v>132</v>
      </c>
      <c r="O10" s="5" t="s">
        <v>22</v>
      </c>
      <c r="P10" s="42">
        <f t="shared" si="1"/>
        <v>1</v>
      </c>
      <c r="Q10" s="43">
        <f t="shared" si="2"/>
        <v>1</v>
      </c>
      <c r="R10" s="42">
        <f t="shared" si="3"/>
        <v>1</v>
      </c>
      <c r="S10" s="42">
        <f t="shared" si="4"/>
        <v>1</v>
      </c>
      <c r="T10" s="42">
        <f t="shared" si="5"/>
        <v>1</v>
      </c>
      <c r="U10" s="42">
        <f t="shared" si="6"/>
        <v>1</v>
      </c>
      <c r="V10" s="7"/>
      <c r="W10" s="44"/>
      <c r="X10" s="7"/>
      <c r="Y10" s="7"/>
      <c r="Z10" s="7"/>
      <c r="AA10" s="7"/>
      <c r="AB10" s="7"/>
      <c r="AC10" s="7"/>
    </row>
    <row r="11">
      <c r="A11" s="4" t="s">
        <v>1507</v>
      </c>
      <c r="B11" s="5" t="s">
        <v>25</v>
      </c>
      <c r="C11" s="5" t="s">
        <v>15</v>
      </c>
      <c r="D11" s="5" t="s">
        <v>1508</v>
      </c>
      <c r="E11" s="5" t="s">
        <v>1510</v>
      </c>
      <c r="F11" s="5" t="s">
        <v>37</v>
      </c>
      <c r="G11" s="5" t="s">
        <v>20</v>
      </c>
      <c r="H11" s="5" t="s">
        <v>58</v>
      </c>
      <c r="I11" s="5" t="s">
        <v>23</v>
      </c>
      <c r="J11" s="40" t="s">
        <v>14</v>
      </c>
      <c r="K11" s="41" t="s">
        <v>15</v>
      </c>
      <c r="L11" s="5" t="s">
        <v>37</v>
      </c>
      <c r="M11" s="5" t="s">
        <v>20</v>
      </c>
      <c r="N11" s="5" t="s">
        <v>58</v>
      </c>
      <c r="O11" s="5" t="s">
        <v>39</v>
      </c>
      <c r="P11" s="42">
        <f t="shared" si="1"/>
        <v>1</v>
      </c>
      <c r="Q11" s="43">
        <f t="shared" si="2"/>
        <v>1</v>
      </c>
      <c r="R11" s="42">
        <f t="shared" si="3"/>
        <v>1</v>
      </c>
      <c r="S11" s="42">
        <f t="shared" si="4"/>
        <v>0</v>
      </c>
      <c r="T11" s="42">
        <f t="shared" si="5"/>
        <v>1</v>
      </c>
      <c r="U11" s="42">
        <f t="shared" si="6"/>
        <v>1</v>
      </c>
      <c r="V11" s="7"/>
      <c r="W11" s="7"/>
      <c r="X11" s="7"/>
      <c r="Y11" s="7"/>
      <c r="Z11" s="7"/>
      <c r="AA11" s="7"/>
      <c r="AB11" s="7"/>
      <c r="AC11" s="7"/>
    </row>
    <row r="12">
      <c r="A12" s="4" t="s">
        <v>1858</v>
      </c>
      <c r="B12" s="5" t="s">
        <v>25</v>
      </c>
      <c r="C12" s="5" t="s">
        <v>15</v>
      </c>
      <c r="D12" s="5" t="s">
        <v>1859</v>
      </c>
      <c r="E12" s="5" t="s">
        <v>1861</v>
      </c>
      <c r="F12" s="5" t="s">
        <v>30</v>
      </c>
      <c r="G12" s="5" t="s">
        <v>31</v>
      </c>
      <c r="H12" s="5" t="s">
        <v>22</v>
      </c>
      <c r="I12" s="5" t="s">
        <v>132</v>
      </c>
      <c r="J12" s="40" t="s">
        <v>14</v>
      </c>
      <c r="K12" s="41" t="s">
        <v>15</v>
      </c>
      <c r="L12" s="5" t="s">
        <v>30</v>
      </c>
      <c r="M12" s="5" t="s">
        <v>31</v>
      </c>
      <c r="N12" s="5" t="s">
        <v>22</v>
      </c>
      <c r="O12" s="5" t="s">
        <v>132</v>
      </c>
      <c r="P12" s="42">
        <f t="shared" si="1"/>
        <v>1</v>
      </c>
      <c r="Q12" s="43">
        <f t="shared" si="2"/>
        <v>1</v>
      </c>
      <c r="R12" s="42">
        <f t="shared" si="3"/>
        <v>1</v>
      </c>
      <c r="S12" s="42">
        <f t="shared" si="4"/>
        <v>1</v>
      </c>
      <c r="T12" s="42">
        <f t="shared" si="5"/>
        <v>1</v>
      </c>
      <c r="U12" s="42">
        <f t="shared" si="6"/>
        <v>1</v>
      </c>
      <c r="V12" s="7"/>
      <c r="W12" s="7"/>
      <c r="X12" s="7"/>
      <c r="Y12" s="7"/>
      <c r="Z12" s="7"/>
      <c r="AA12" s="7"/>
      <c r="AB12" s="7"/>
      <c r="AC12" s="7"/>
    </row>
    <row r="13">
      <c r="A13" s="4" t="s">
        <v>1898</v>
      </c>
      <c r="B13" s="5" t="s">
        <v>25</v>
      </c>
      <c r="C13" s="5" t="s">
        <v>15</v>
      </c>
      <c r="D13" s="5" t="s">
        <v>1899</v>
      </c>
      <c r="E13" s="5" t="s">
        <v>1900</v>
      </c>
      <c r="F13" s="5" t="s">
        <v>21</v>
      </c>
      <c r="G13" s="5" t="s">
        <v>45</v>
      </c>
      <c r="H13" s="5" t="s">
        <v>23</v>
      </c>
      <c r="I13" s="5" t="s">
        <v>46</v>
      </c>
      <c r="J13" s="40" t="s">
        <v>14</v>
      </c>
      <c r="K13" s="41" t="s">
        <v>15</v>
      </c>
      <c r="L13" s="5" t="s">
        <v>37</v>
      </c>
      <c r="M13" s="5" t="s">
        <v>45</v>
      </c>
      <c r="N13" s="5" t="s">
        <v>23</v>
      </c>
      <c r="O13" s="5" t="s">
        <v>46</v>
      </c>
      <c r="P13" s="42">
        <f t="shared" si="1"/>
        <v>0</v>
      </c>
      <c r="Q13" s="43">
        <f t="shared" si="2"/>
        <v>0</v>
      </c>
      <c r="R13" s="42">
        <f t="shared" si="3"/>
        <v>1</v>
      </c>
      <c r="S13" s="42">
        <f t="shared" si="4"/>
        <v>1</v>
      </c>
      <c r="T13" s="42">
        <f t="shared" si="5"/>
        <v>1</v>
      </c>
      <c r="U13" s="42">
        <f t="shared" si="6"/>
        <v>1</v>
      </c>
      <c r="V13" s="7"/>
      <c r="W13" s="7"/>
      <c r="X13" s="7"/>
      <c r="Y13" s="7"/>
      <c r="Z13" s="7"/>
      <c r="AA13" s="7"/>
      <c r="AB13" s="7"/>
      <c r="AC13" s="7"/>
    </row>
    <row r="14">
      <c r="A14" s="4" t="s">
        <v>1832</v>
      </c>
      <c r="B14" s="5" t="s">
        <v>25</v>
      </c>
      <c r="C14" s="5" t="s">
        <v>15</v>
      </c>
      <c r="D14" s="5" t="s">
        <v>1833</v>
      </c>
      <c r="E14" s="5" t="s">
        <v>1837</v>
      </c>
      <c r="F14" s="5" t="s">
        <v>20</v>
      </c>
      <c r="G14" s="5" t="s">
        <v>37</v>
      </c>
      <c r="H14" s="5" t="s">
        <v>57</v>
      </c>
      <c r="I14" s="5" t="s">
        <v>22</v>
      </c>
      <c r="J14" s="40" t="s">
        <v>14</v>
      </c>
      <c r="K14" s="41" t="s">
        <v>15</v>
      </c>
      <c r="L14" s="5" t="s">
        <v>20</v>
      </c>
      <c r="M14" s="5" t="s">
        <v>37</v>
      </c>
      <c r="N14" s="5" t="s">
        <v>57</v>
      </c>
      <c r="O14" s="5" t="s">
        <v>22</v>
      </c>
      <c r="P14" s="42">
        <f t="shared" si="1"/>
        <v>1</v>
      </c>
      <c r="Q14" s="43">
        <f t="shared" si="2"/>
        <v>1</v>
      </c>
      <c r="R14" s="42">
        <f t="shared" si="3"/>
        <v>1</v>
      </c>
      <c r="S14" s="42">
        <f t="shared" si="4"/>
        <v>1</v>
      </c>
      <c r="T14" s="42">
        <f t="shared" si="5"/>
        <v>1</v>
      </c>
      <c r="U14" s="42">
        <f t="shared" si="6"/>
        <v>1</v>
      </c>
      <c r="V14" s="7"/>
      <c r="W14" s="7"/>
      <c r="X14" s="7"/>
      <c r="Y14" s="7"/>
      <c r="Z14" s="7"/>
      <c r="AA14" s="7"/>
      <c r="AB14" s="7"/>
      <c r="AC14" s="7"/>
    </row>
    <row r="15">
      <c r="A15" s="4" t="s">
        <v>2333</v>
      </c>
      <c r="B15" s="5" t="s">
        <v>25</v>
      </c>
      <c r="C15" s="5" t="s">
        <v>15</v>
      </c>
      <c r="D15" s="5" t="s">
        <v>2334</v>
      </c>
      <c r="E15" s="5" t="s">
        <v>2337</v>
      </c>
      <c r="F15" s="5" t="s">
        <v>21</v>
      </c>
      <c r="G15" s="5" t="s">
        <v>20</v>
      </c>
      <c r="H15" s="5" t="s">
        <v>57</v>
      </c>
      <c r="I15" s="5" t="s">
        <v>132</v>
      </c>
      <c r="J15" s="40" t="s">
        <v>14</v>
      </c>
      <c r="K15" s="41" t="s">
        <v>15</v>
      </c>
      <c r="L15" s="5" t="s">
        <v>21</v>
      </c>
      <c r="M15" s="5" t="s">
        <v>20</v>
      </c>
      <c r="N15" s="5" t="s">
        <v>57</v>
      </c>
      <c r="O15" s="5" t="s">
        <v>132</v>
      </c>
      <c r="P15" s="42">
        <f t="shared" si="1"/>
        <v>1</v>
      </c>
      <c r="Q15" s="43">
        <f t="shared" si="2"/>
        <v>1</v>
      </c>
      <c r="R15" s="42">
        <f t="shared" si="3"/>
        <v>1</v>
      </c>
      <c r="S15" s="42">
        <f t="shared" si="4"/>
        <v>1</v>
      </c>
      <c r="T15" s="42">
        <f t="shared" si="5"/>
        <v>1</v>
      </c>
      <c r="U15" s="42">
        <f t="shared" si="6"/>
        <v>1</v>
      </c>
      <c r="V15" s="7"/>
      <c r="W15" s="7"/>
      <c r="X15" s="7"/>
      <c r="Y15" s="7"/>
      <c r="Z15" s="7"/>
      <c r="AA15" s="7"/>
      <c r="AB15" s="7"/>
      <c r="AC15" s="7"/>
    </row>
    <row r="16">
      <c r="A16" s="4" t="s">
        <v>1291</v>
      </c>
      <c r="B16" s="5" t="s">
        <v>25</v>
      </c>
      <c r="C16" s="5" t="s">
        <v>15</v>
      </c>
      <c r="D16" s="5" t="s">
        <v>1292</v>
      </c>
      <c r="E16" s="21" t="s">
        <v>1295</v>
      </c>
      <c r="F16" s="5" t="s">
        <v>64</v>
      </c>
      <c r="G16" s="5" t="s">
        <v>31</v>
      </c>
      <c r="H16" s="5" t="s">
        <v>66</v>
      </c>
      <c r="I16" s="5" t="s">
        <v>46</v>
      </c>
      <c r="J16" s="40" t="s">
        <v>14</v>
      </c>
      <c r="K16" s="41" t="s">
        <v>15</v>
      </c>
      <c r="L16" s="5" t="s">
        <v>64</v>
      </c>
      <c r="M16" s="5" t="s">
        <v>21</v>
      </c>
      <c r="N16" s="5" t="s">
        <v>66</v>
      </c>
      <c r="O16" s="5" t="s">
        <v>46</v>
      </c>
      <c r="P16" s="42">
        <f t="shared" si="1"/>
        <v>1</v>
      </c>
      <c r="Q16" s="43">
        <f t="shared" si="2"/>
        <v>0</v>
      </c>
      <c r="R16" s="42">
        <f t="shared" si="3"/>
        <v>1</v>
      </c>
      <c r="S16" s="42">
        <f t="shared" si="4"/>
        <v>1</v>
      </c>
      <c r="T16" s="42">
        <f t="shared" si="5"/>
        <v>1</v>
      </c>
      <c r="U16" s="42">
        <f t="shared" si="6"/>
        <v>1</v>
      </c>
      <c r="V16" s="7"/>
      <c r="W16" s="7"/>
      <c r="X16" s="7"/>
      <c r="Y16" s="7"/>
      <c r="Z16" s="7"/>
      <c r="AA16" s="7"/>
      <c r="AB16" s="7"/>
      <c r="AC16" s="7"/>
    </row>
    <row r="17">
      <c r="A17" s="4" t="s">
        <v>2092</v>
      </c>
      <c r="B17" s="5" t="s">
        <v>25</v>
      </c>
      <c r="C17" s="5" t="s">
        <v>15</v>
      </c>
      <c r="D17" s="5" t="s">
        <v>2093</v>
      </c>
      <c r="E17" s="5" t="s">
        <v>2095</v>
      </c>
      <c r="F17" s="5" t="s">
        <v>30</v>
      </c>
      <c r="G17" s="5" t="s">
        <v>31</v>
      </c>
      <c r="H17" s="5" t="s">
        <v>22</v>
      </c>
      <c r="I17" s="5" t="s">
        <v>22</v>
      </c>
      <c r="J17" s="40" t="s">
        <v>14</v>
      </c>
      <c r="K17" s="41" t="s">
        <v>15</v>
      </c>
      <c r="L17" s="5" t="s">
        <v>30</v>
      </c>
      <c r="M17" s="5" t="s">
        <v>31</v>
      </c>
      <c r="N17" s="5" t="s">
        <v>22</v>
      </c>
      <c r="O17" s="5" t="s">
        <v>22</v>
      </c>
      <c r="P17" s="42">
        <f t="shared" si="1"/>
        <v>1</v>
      </c>
      <c r="Q17" s="43">
        <f t="shared" si="2"/>
        <v>1</v>
      </c>
      <c r="R17" s="42">
        <f t="shared" si="3"/>
        <v>1</v>
      </c>
      <c r="S17" s="42">
        <f t="shared" si="4"/>
        <v>1</v>
      </c>
      <c r="T17" s="42">
        <f t="shared" si="5"/>
        <v>1</v>
      </c>
      <c r="U17" s="42">
        <f t="shared" si="6"/>
        <v>1</v>
      </c>
      <c r="V17" s="7"/>
      <c r="W17" s="7"/>
      <c r="X17" s="7"/>
      <c r="Y17" s="7"/>
      <c r="Z17" s="7"/>
      <c r="AA17" s="7"/>
      <c r="AB17" s="7"/>
      <c r="AC17" s="7"/>
    </row>
    <row r="18">
      <c r="A18" s="4" t="s">
        <v>560</v>
      </c>
      <c r="B18" s="5" t="s">
        <v>25</v>
      </c>
      <c r="C18" s="5" t="s">
        <v>15</v>
      </c>
      <c r="D18" s="5" t="s">
        <v>561</v>
      </c>
      <c r="E18" s="5" t="s">
        <v>565</v>
      </c>
      <c r="F18" s="5" t="s">
        <v>30</v>
      </c>
      <c r="G18" s="5" t="s">
        <v>64</v>
      </c>
      <c r="H18" s="5" t="s">
        <v>58</v>
      </c>
      <c r="I18" s="5" t="s">
        <v>132</v>
      </c>
      <c r="J18" s="40" t="s">
        <v>14</v>
      </c>
      <c r="K18" s="41" t="s">
        <v>15</v>
      </c>
      <c r="L18" s="5" t="s">
        <v>30</v>
      </c>
      <c r="M18" s="5" t="s">
        <v>64</v>
      </c>
      <c r="N18" s="5" t="s">
        <v>58</v>
      </c>
      <c r="O18" s="5" t="s">
        <v>132</v>
      </c>
      <c r="P18" s="42">
        <f t="shared" si="1"/>
        <v>1</v>
      </c>
      <c r="Q18" s="43">
        <f t="shared" si="2"/>
        <v>1</v>
      </c>
      <c r="R18" s="42">
        <f t="shared" si="3"/>
        <v>1</v>
      </c>
      <c r="S18" s="42">
        <f t="shared" si="4"/>
        <v>1</v>
      </c>
      <c r="T18" s="42">
        <f t="shared" si="5"/>
        <v>1</v>
      </c>
      <c r="U18" s="42">
        <f t="shared" si="6"/>
        <v>1</v>
      </c>
      <c r="V18" s="7"/>
      <c r="W18" s="7"/>
      <c r="X18" s="7"/>
      <c r="Y18" s="7"/>
      <c r="Z18" s="7"/>
      <c r="AA18" s="7"/>
      <c r="AB18" s="7"/>
      <c r="AC18" s="7"/>
    </row>
    <row r="19">
      <c r="A19" s="4" t="s">
        <v>77</v>
      </c>
      <c r="B19" s="5" t="s">
        <v>25</v>
      </c>
      <c r="C19" s="5" t="s">
        <v>15</v>
      </c>
      <c r="D19" s="5" t="s">
        <v>78</v>
      </c>
      <c r="E19" s="5" t="s">
        <v>81</v>
      </c>
      <c r="F19" s="5" t="s">
        <v>64</v>
      </c>
      <c r="G19" s="5" t="s">
        <v>20</v>
      </c>
      <c r="H19" s="5" t="s">
        <v>38</v>
      </c>
      <c r="I19" s="5" t="s">
        <v>46</v>
      </c>
      <c r="J19" s="40" t="s">
        <v>14</v>
      </c>
      <c r="K19" s="41" t="s">
        <v>15</v>
      </c>
      <c r="L19" s="5" t="s">
        <v>64</v>
      </c>
      <c r="M19" s="5" t="s">
        <v>20</v>
      </c>
      <c r="N19" s="5" t="s">
        <v>38</v>
      </c>
      <c r="O19" s="5" t="s">
        <v>46</v>
      </c>
      <c r="P19" s="42">
        <f t="shared" si="1"/>
        <v>1</v>
      </c>
      <c r="Q19" s="43">
        <f t="shared" si="2"/>
        <v>1</v>
      </c>
      <c r="R19" s="42">
        <f t="shared" si="3"/>
        <v>1</v>
      </c>
      <c r="S19" s="42">
        <f t="shared" si="4"/>
        <v>1</v>
      </c>
      <c r="T19" s="42">
        <f t="shared" si="5"/>
        <v>1</v>
      </c>
      <c r="U19" s="42">
        <f t="shared" si="6"/>
        <v>1</v>
      </c>
      <c r="V19" s="7"/>
      <c r="W19" s="7"/>
      <c r="X19" s="7"/>
      <c r="Y19" s="7"/>
      <c r="Z19" s="7"/>
      <c r="AA19" s="7"/>
      <c r="AB19" s="7"/>
      <c r="AC19" s="7"/>
    </row>
    <row r="20" ht="15.75" customHeight="1">
      <c r="A20" s="4" t="s">
        <v>545</v>
      </c>
      <c r="B20" s="5" t="s">
        <v>25</v>
      </c>
      <c r="C20" s="5" t="s">
        <v>15</v>
      </c>
      <c r="D20" s="5" t="s">
        <v>546</v>
      </c>
      <c r="E20" s="5" t="s">
        <v>549</v>
      </c>
      <c r="F20" s="5" t="s">
        <v>21</v>
      </c>
      <c r="G20" s="5" t="s">
        <v>31</v>
      </c>
      <c r="H20" s="5" t="s">
        <v>38</v>
      </c>
      <c r="I20" s="5" t="s">
        <v>22</v>
      </c>
      <c r="J20" s="40" t="s">
        <v>14</v>
      </c>
      <c r="K20" s="41" t="s">
        <v>15</v>
      </c>
      <c r="L20" s="5" t="s">
        <v>21</v>
      </c>
      <c r="M20" s="5" t="s">
        <v>31</v>
      </c>
      <c r="N20" s="5" t="s">
        <v>38</v>
      </c>
      <c r="O20" s="5" t="s">
        <v>22</v>
      </c>
      <c r="P20" s="42">
        <f t="shared" si="1"/>
        <v>1</v>
      </c>
      <c r="Q20" s="43">
        <f t="shared" si="2"/>
        <v>1</v>
      </c>
      <c r="R20" s="42">
        <f t="shared" si="3"/>
        <v>1</v>
      </c>
      <c r="S20" s="42">
        <f t="shared" si="4"/>
        <v>1</v>
      </c>
      <c r="T20" s="42">
        <f t="shared" si="5"/>
        <v>1</v>
      </c>
      <c r="U20" s="42">
        <f t="shared" si="6"/>
        <v>1</v>
      </c>
      <c r="V20" s="7"/>
      <c r="W20" s="7"/>
      <c r="X20" s="7"/>
      <c r="Y20" s="7"/>
      <c r="Z20" s="7"/>
      <c r="AA20" s="7"/>
      <c r="AB20" s="7"/>
      <c r="AC20" s="7"/>
    </row>
    <row r="21" ht="15.75" customHeight="1">
      <c r="A21" s="4" t="s">
        <v>419</v>
      </c>
      <c r="B21" s="5" t="s">
        <v>25</v>
      </c>
      <c r="C21" s="5" t="s">
        <v>15</v>
      </c>
      <c r="D21" s="5" t="s">
        <v>2554</v>
      </c>
      <c r="E21" s="5" t="s">
        <v>422</v>
      </c>
      <c r="F21" s="5" t="s">
        <v>31</v>
      </c>
      <c r="G21" s="5" t="s">
        <v>45</v>
      </c>
      <c r="H21" s="5" t="s">
        <v>58</v>
      </c>
      <c r="I21" s="5" t="s">
        <v>132</v>
      </c>
      <c r="J21" s="41" t="s">
        <v>14</v>
      </c>
      <c r="K21" s="41" t="s">
        <v>15</v>
      </c>
      <c r="L21" s="5" t="s">
        <v>31</v>
      </c>
      <c r="M21" s="5" t="s">
        <v>45</v>
      </c>
      <c r="N21" s="5" t="s">
        <v>58</v>
      </c>
      <c r="O21" s="5" t="s">
        <v>132</v>
      </c>
      <c r="P21" s="42">
        <f t="shared" si="1"/>
        <v>1</v>
      </c>
      <c r="Q21" s="43">
        <f t="shared" si="2"/>
        <v>1</v>
      </c>
      <c r="R21" s="42">
        <f t="shared" si="3"/>
        <v>1</v>
      </c>
      <c r="S21" s="42">
        <f t="shared" si="4"/>
        <v>1</v>
      </c>
      <c r="T21" s="42">
        <f t="shared" si="5"/>
        <v>1</v>
      </c>
      <c r="U21" s="42">
        <f t="shared" si="6"/>
        <v>1</v>
      </c>
      <c r="V21" s="7"/>
      <c r="W21" s="7"/>
      <c r="X21" s="7"/>
      <c r="Y21" s="7"/>
      <c r="Z21" s="7"/>
      <c r="AA21" s="7"/>
      <c r="AB21" s="7"/>
      <c r="AC21" s="7"/>
    </row>
    <row r="22" ht="15.75" customHeight="1">
      <c r="A22" s="4" t="s">
        <v>576</v>
      </c>
      <c r="B22" s="5" t="s">
        <v>14</v>
      </c>
      <c r="C22" s="5" t="s">
        <v>15</v>
      </c>
      <c r="D22" s="5" t="s">
        <v>577</v>
      </c>
      <c r="E22" s="6" t="s">
        <v>580</v>
      </c>
      <c r="F22" s="5" t="s">
        <v>37</v>
      </c>
      <c r="G22" s="5" t="s">
        <v>31</v>
      </c>
      <c r="H22" s="5" t="s">
        <v>58</v>
      </c>
      <c r="I22" s="5" t="s">
        <v>46</v>
      </c>
      <c r="J22" s="40" t="s">
        <v>25</v>
      </c>
      <c r="K22" s="41" t="s">
        <v>15</v>
      </c>
      <c r="L22" s="16" t="s">
        <v>37</v>
      </c>
      <c r="M22" s="5" t="s">
        <v>31</v>
      </c>
      <c r="N22" s="16" t="s">
        <v>58</v>
      </c>
      <c r="O22" s="16" t="s">
        <v>132</v>
      </c>
      <c r="P22" s="42">
        <f t="shared" si="1"/>
        <v>1</v>
      </c>
      <c r="Q22" s="43">
        <f t="shared" si="2"/>
        <v>1</v>
      </c>
      <c r="R22" s="42">
        <f t="shared" si="3"/>
        <v>1</v>
      </c>
      <c r="S22" s="42">
        <f t="shared" si="4"/>
        <v>0</v>
      </c>
      <c r="T22" s="42">
        <f t="shared" si="5"/>
        <v>1</v>
      </c>
      <c r="U22" s="42">
        <f t="shared" si="6"/>
        <v>1</v>
      </c>
      <c r="V22" s="7"/>
      <c r="W22" s="7"/>
      <c r="X22" s="7"/>
      <c r="Y22" s="7"/>
      <c r="Z22" s="7"/>
      <c r="AA22" s="7"/>
      <c r="AB22" s="7"/>
      <c r="AC22" s="7"/>
    </row>
    <row r="23" ht="15.75" customHeight="1">
      <c r="A23" s="4" t="s">
        <v>686</v>
      </c>
      <c r="B23" s="5" t="s">
        <v>14</v>
      </c>
      <c r="C23" s="5" t="s">
        <v>15</v>
      </c>
      <c r="D23" s="5" t="s">
        <v>687</v>
      </c>
      <c r="E23" s="6" t="s">
        <v>690</v>
      </c>
      <c r="F23" s="5" t="s">
        <v>21</v>
      </c>
      <c r="G23" s="5" t="s">
        <v>31</v>
      </c>
      <c r="H23" s="5" t="s">
        <v>39</v>
      </c>
      <c r="I23" s="5" t="s">
        <v>23</v>
      </c>
      <c r="J23" s="40" t="s">
        <v>25</v>
      </c>
      <c r="K23" s="41" t="s">
        <v>15</v>
      </c>
      <c r="L23" s="16" t="s">
        <v>21</v>
      </c>
      <c r="M23" s="5" t="s">
        <v>31</v>
      </c>
      <c r="N23" s="16" t="s">
        <v>23</v>
      </c>
      <c r="O23" s="16" t="s">
        <v>39</v>
      </c>
      <c r="P23" s="42">
        <f t="shared" si="1"/>
        <v>1</v>
      </c>
      <c r="Q23" s="43">
        <f t="shared" si="2"/>
        <v>1</v>
      </c>
      <c r="R23" s="42">
        <f t="shared" si="3"/>
        <v>0</v>
      </c>
      <c r="S23" s="42">
        <f t="shared" si="4"/>
        <v>1</v>
      </c>
      <c r="T23" s="42">
        <f t="shared" si="5"/>
        <v>1</v>
      </c>
      <c r="U23" s="42">
        <f t="shared" si="6"/>
        <v>1</v>
      </c>
      <c r="V23" s="7"/>
      <c r="W23" s="7"/>
      <c r="X23" s="7"/>
      <c r="Y23" s="7"/>
      <c r="Z23" s="7"/>
      <c r="AA23" s="7"/>
      <c r="AB23" s="7"/>
      <c r="AC23" s="7"/>
    </row>
    <row r="24" ht="15.75" customHeight="1">
      <c r="A24" s="4" t="s">
        <v>701</v>
      </c>
      <c r="B24" s="5" t="s">
        <v>14</v>
      </c>
      <c r="C24" s="5" t="s">
        <v>15</v>
      </c>
      <c r="D24" s="5" t="s">
        <v>702</v>
      </c>
      <c r="E24" s="5" t="s">
        <v>705</v>
      </c>
      <c r="F24" s="5" t="s">
        <v>20</v>
      </c>
      <c r="G24" s="5" t="s">
        <v>65</v>
      </c>
      <c r="H24" s="5" t="s">
        <v>22</v>
      </c>
      <c r="I24" s="5" t="s">
        <v>46</v>
      </c>
      <c r="J24" s="40" t="s">
        <v>25</v>
      </c>
      <c r="K24" s="41" t="s">
        <v>15</v>
      </c>
      <c r="L24" s="16" t="s">
        <v>20</v>
      </c>
      <c r="M24" s="5" t="s">
        <v>31</v>
      </c>
      <c r="N24" s="16" t="s">
        <v>22</v>
      </c>
      <c r="O24" s="16" t="s">
        <v>46</v>
      </c>
      <c r="P24" s="42">
        <f t="shared" si="1"/>
        <v>1</v>
      </c>
      <c r="Q24" s="43">
        <f t="shared" si="2"/>
        <v>0</v>
      </c>
      <c r="R24" s="42">
        <f t="shared" si="3"/>
        <v>1</v>
      </c>
      <c r="S24" s="42">
        <f t="shared" si="4"/>
        <v>1</v>
      </c>
      <c r="T24" s="42">
        <f t="shared" si="5"/>
        <v>1</v>
      </c>
      <c r="U24" s="42">
        <f t="shared" si="6"/>
        <v>1</v>
      </c>
      <c r="V24" s="7"/>
      <c r="W24" s="7"/>
      <c r="X24" s="7"/>
      <c r="Y24" s="7"/>
      <c r="Z24" s="7"/>
      <c r="AA24" s="7"/>
      <c r="AB24" s="7"/>
      <c r="AC24" s="7"/>
    </row>
    <row r="25" ht="15.75" customHeight="1">
      <c r="A25" s="4" t="s">
        <v>676</v>
      </c>
      <c r="B25" s="10" t="s">
        <v>14</v>
      </c>
      <c r="C25" s="10" t="s">
        <v>15</v>
      </c>
      <c r="D25" s="10" t="s">
        <v>717</v>
      </c>
      <c r="E25" s="10" t="s">
        <v>719</v>
      </c>
      <c r="F25" s="5" t="s">
        <v>65</v>
      </c>
      <c r="G25" s="5" t="s">
        <v>20</v>
      </c>
      <c r="H25" s="5" t="s">
        <v>23</v>
      </c>
      <c r="I25" s="5" t="s">
        <v>39</v>
      </c>
      <c r="J25" s="49" t="s">
        <v>25</v>
      </c>
      <c r="K25" s="50" t="s">
        <v>15</v>
      </c>
      <c r="L25" s="5" t="s">
        <v>65</v>
      </c>
      <c r="M25" s="5" t="s">
        <v>20</v>
      </c>
      <c r="N25" s="5" t="s">
        <v>23</v>
      </c>
      <c r="O25" s="5" t="s">
        <v>39</v>
      </c>
      <c r="P25" s="51">
        <f t="shared" si="1"/>
        <v>1</v>
      </c>
      <c r="Q25" s="43">
        <f t="shared" si="2"/>
        <v>1</v>
      </c>
      <c r="R25" s="51">
        <f t="shared" si="3"/>
        <v>1</v>
      </c>
      <c r="S25" s="51">
        <f t="shared" si="4"/>
        <v>1</v>
      </c>
      <c r="T25" s="51">
        <f t="shared" si="5"/>
        <v>1</v>
      </c>
      <c r="U25" s="51">
        <f t="shared" si="6"/>
        <v>1</v>
      </c>
      <c r="V25" s="11"/>
      <c r="W25" s="11"/>
      <c r="X25" s="11"/>
      <c r="Y25" s="11"/>
      <c r="Z25" s="11"/>
      <c r="AA25" s="11"/>
      <c r="AB25" s="11"/>
      <c r="AC25" s="11"/>
    </row>
    <row r="26" ht="15.75" customHeight="1">
      <c r="A26" s="9" t="s">
        <v>911</v>
      </c>
      <c r="B26" s="10" t="s">
        <v>14</v>
      </c>
      <c r="C26" s="10" t="s">
        <v>15</v>
      </c>
      <c r="D26" s="10" t="s">
        <v>912</v>
      </c>
      <c r="E26" s="10" t="s">
        <v>915</v>
      </c>
      <c r="F26" s="10" t="s">
        <v>37</v>
      </c>
      <c r="G26" s="10" t="s">
        <v>31</v>
      </c>
      <c r="H26" s="10" t="s">
        <v>22</v>
      </c>
      <c r="I26" s="10" t="s">
        <v>39</v>
      </c>
      <c r="J26" s="49" t="s">
        <v>25</v>
      </c>
      <c r="K26" s="50" t="s">
        <v>15</v>
      </c>
      <c r="L26" s="52" t="s">
        <v>37</v>
      </c>
      <c r="M26" s="10" t="s">
        <v>31</v>
      </c>
      <c r="N26" s="52" t="s">
        <v>22</v>
      </c>
      <c r="O26" s="52" t="s">
        <v>46</v>
      </c>
      <c r="P26" s="51">
        <f t="shared" si="1"/>
        <v>1</v>
      </c>
      <c r="Q26" s="43">
        <f t="shared" si="2"/>
        <v>1</v>
      </c>
      <c r="R26" s="51">
        <f t="shared" si="3"/>
        <v>1</v>
      </c>
      <c r="S26" s="51">
        <f t="shared" si="4"/>
        <v>0</v>
      </c>
      <c r="T26" s="51">
        <f t="shared" si="5"/>
        <v>1</v>
      </c>
      <c r="U26" s="51">
        <f t="shared" si="6"/>
        <v>1</v>
      </c>
      <c r="V26" s="11"/>
      <c r="W26" s="11"/>
      <c r="X26" s="11"/>
      <c r="Y26" s="11"/>
      <c r="Z26" s="11"/>
      <c r="AA26" s="11"/>
      <c r="AB26" s="11"/>
      <c r="AC26" s="11"/>
    </row>
    <row r="27" ht="15.75" customHeight="1">
      <c r="A27" s="9" t="s">
        <v>916</v>
      </c>
      <c r="B27" s="10" t="s">
        <v>14</v>
      </c>
      <c r="C27" s="10" t="s">
        <v>15</v>
      </c>
      <c r="D27" s="10" t="s">
        <v>917</v>
      </c>
      <c r="E27" s="10" t="s">
        <v>920</v>
      </c>
      <c r="F27" s="10" t="s">
        <v>31</v>
      </c>
      <c r="G27" s="10" t="s">
        <v>65</v>
      </c>
      <c r="H27" s="10" t="s">
        <v>22</v>
      </c>
      <c r="I27" s="10" t="s">
        <v>39</v>
      </c>
      <c r="J27" s="49" t="s">
        <v>25</v>
      </c>
      <c r="K27" s="50" t="s">
        <v>15</v>
      </c>
      <c r="L27" s="52" t="s">
        <v>31</v>
      </c>
      <c r="M27" s="10" t="s">
        <v>65</v>
      </c>
      <c r="N27" s="52" t="s">
        <v>22</v>
      </c>
      <c r="O27" s="52" t="s">
        <v>46</v>
      </c>
      <c r="P27" s="51">
        <f t="shared" si="1"/>
        <v>1</v>
      </c>
      <c r="Q27" s="43">
        <f t="shared" si="2"/>
        <v>1</v>
      </c>
      <c r="R27" s="51">
        <f t="shared" si="3"/>
        <v>1</v>
      </c>
      <c r="S27" s="51">
        <f t="shared" si="4"/>
        <v>0</v>
      </c>
      <c r="T27" s="51">
        <f t="shared" si="5"/>
        <v>1</v>
      </c>
      <c r="U27" s="51">
        <f t="shared" si="6"/>
        <v>1</v>
      </c>
      <c r="V27" s="11"/>
      <c r="W27" s="11"/>
      <c r="X27" s="11"/>
      <c r="Y27" s="11"/>
      <c r="Z27" s="11"/>
      <c r="AA27" s="11"/>
      <c r="AB27" s="11"/>
      <c r="AC27" s="11"/>
    </row>
    <row r="28" ht="15.75" customHeight="1">
      <c r="A28" s="4" t="s">
        <v>1131</v>
      </c>
      <c r="B28" s="5" t="s">
        <v>14</v>
      </c>
      <c r="C28" s="5" t="s">
        <v>15</v>
      </c>
      <c r="D28" s="5" t="s">
        <v>1132</v>
      </c>
      <c r="E28" s="5" t="s">
        <v>1135</v>
      </c>
      <c r="F28" s="5" t="s">
        <v>37</v>
      </c>
      <c r="G28" s="5" t="s">
        <v>31</v>
      </c>
      <c r="H28" s="5" t="s">
        <v>57</v>
      </c>
      <c r="I28" s="5" t="s">
        <v>46</v>
      </c>
      <c r="J28" s="40" t="s">
        <v>25</v>
      </c>
      <c r="K28" s="41" t="s">
        <v>15</v>
      </c>
      <c r="L28" s="16" t="s">
        <v>20</v>
      </c>
      <c r="M28" s="5" t="s">
        <v>37</v>
      </c>
      <c r="N28" s="16" t="s">
        <v>57</v>
      </c>
      <c r="O28" s="16" t="s">
        <v>46</v>
      </c>
      <c r="P28" s="42">
        <f t="shared" si="1"/>
        <v>0</v>
      </c>
      <c r="Q28" s="43">
        <f t="shared" si="2"/>
        <v>0</v>
      </c>
      <c r="R28" s="42">
        <f t="shared" si="3"/>
        <v>1</v>
      </c>
      <c r="S28" s="42">
        <f t="shared" si="4"/>
        <v>1</v>
      </c>
      <c r="T28" s="42">
        <f t="shared" si="5"/>
        <v>1</v>
      </c>
      <c r="U28" s="42">
        <f t="shared" si="6"/>
        <v>1</v>
      </c>
      <c r="V28" s="7"/>
      <c r="W28" s="7"/>
      <c r="X28" s="7"/>
      <c r="Y28" s="7"/>
      <c r="Z28" s="7"/>
      <c r="AA28" s="7"/>
      <c r="AB28" s="7"/>
      <c r="AC28" s="7"/>
    </row>
    <row r="29" ht="15.75" customHeight="1">
      <c r="A29" s="4" t="s">
        <v>374</v>
      </c>
      <c r="B29" s="5" t="s">
        <v>14</v>
      </c>
      <c r="C29" s="5" t="s">
        <v>15</v>
      </c>
      <c r="D29" s="5" t="s">
        <v>1162</v>
      </c>
      <c r="E29" s="5" t="s">
        <v>1164</v>
      </c>
      <c r="F29" s="5" t="s">
        <v>65</v>
      </c>
      <c r="G29" s="5" t="s">
        <v>45</v>
      </c>
      <c r="H29" s="5" t="s">
        <v>23</v>
      </c>
      <c r="I29" s="5" t="s">
        <v>39</v>
      </c>
      <c r="J29" s="40" t="s">
        <v>25</v>
      </c>
      <c r="K29" s="41" t="s">
        <v>15</v>
      </c>
      <c r="L29" s="5" t="s">
        <v>65</v>
      </c>
      <c r="M29" s="5" t="s">
        <v>45</v>
      </c>
      <c r="N29" s="5" t="s">
        <v>23</v>
      </c>
      <c r="O29" s="5" t="s">
        <v>39</v>
      </c>
      <c r="P29" s="42">
        <f t="shared" si="1"/>
        <v>1</v>
      </c>
      <c r="Q29" s="43">
        <f t="shared" si="2"/>
        <v>1</v>
      </c>
      <c r="R29" s="42">
        <f t="shared" si="3"/>
        <v>1</v>
      </c>
      <c r="S29" s="42">
        <f t="shared" si="4"/>
        <v>1</v>
      </c>
      <c r="T29" s="42">
        <f t="shared" si="5"/>
        <v>1</v>
      </c>
      <c r="U29" s="42">
        <f t="shared" si="6"/>
        <v>1</v>
      </c>
      <c r="V29" s="7"/>
      <c r="W29" s="7"/>
      <c r="X29" s="7"/>
      <c r="Y29" s="7"/>
      <c r="Z29" s="7"/>
      <c r="AA29" s="7"/>
      <c r="AB29" s="7"/>
      <c r="AC29" s="7"/>
    </row>
    <row r="30" ht="15.75" customHeight="1">
      <c r="A30" s="4" t="s">
        <v>1286</v>
      </c>
      <c r="B30" s="5" t="s">
        <v>14</v>
      </c>
      <c r="C30" s="5" t="s">
        <v>15</v>
      </c>
      <c r="D30" s="5" t="s">
        <v>1287</v>
      </c>
      <c r="E30" s="5" t="s">
        <v>1289</v>
      </c>
      <c r="F30" s="5" t="s">
        <v>64</v>
      </c>
      <c r="G30" s="5" t="s">
        <v>20</v>
      </c>
      <c r="H30" s="5" t="s">
        <v>132</v>
      </c>
      <c r="I30" s="5" t="s">
        <v>46</v>
      </c>
      <c r="J30" s="40" t="s">
        <v>25</v>
      </c>
      <c r="K30" s="41" t="s">
        <v>15</v>
      </c>
      <c r="L30" s="16" t="s">
        <v>64</v>
      </c>
      <c r="M30" s="5" t="s">
        <v>20</v>
      </c>
      <c r="N30" s="16" t="s">
        <v>132</v>
      </c>
      <c r="O30" s="16" t="s">
        <v>46</v>
      </c>
      <c r="P30" s="42">
        <f t="shared" si="1"/>
        <v>1</v>
      </c>
      <c r="Q30" s="43">
        <f t="shared" si="2"/>
        <v>1</v>
      </c>
      <c r="R30" s="42">
        <f t="shared" si="3"/>
        <v>1</v>
      </c>
      <c r="S30" s="42">
        <f t="shared" si="4"/>
        <v>1</v>
      </c>
      <c r="T30" s="42">
        <f t="shared" si="5"/>
        <v>1</v>
      </c>
      <c r="U30" s="42">
        <f t="shared" si="6"/>
        <v>1</v>
      </c>
      <c r="V30" s="7"/>
      <c r="W30" s="7"/>
      <c r="X30" s="7"/>
      <c r="Y30" s="7"/>
      <c r="Z30" s="7"/>
      <c r="AA30" s="7"/>
      <c r="AB30" s="7"/>
      <c r="AC30" s="7"/>
    </row>
    <row r="31" ht="15.75" customHeight="1">
      <c r="A31" s="4" t="s">
        <v>2343</v>
      </c>
      <c r="B31" s="5" t="s">
        <v>14</v>
      </c>
      <c r="C31" s="5" t="s">
        <v>15</v>
      </c>
      <c r="D31" s="5" t="s">
        <v>1212</v>
      </c>
      <c r="E31" s="5" t="s">
        <v>1214</v>
      </c>
      <c r="F31" s="5" t="s">
        <v>45</v>
      </c>
      <c r="G31" s="5" t="s">
        <v>31</v>
      </c>
      <c r="H31" s="5" t="s">
        <v>39</v>
      </c>
      <c r="I31" s="5" t="s">
        <v>46</v>
      </c>
      <c r="J31" s="40" t="s">
        <v>25</v>
      </c>
      <c r="K31" s="41" t="s">
        <v>15</v>
      </c>
      <c r="L31" s="5" t="s">
        <v>21</v>
      </c>
      <c r="M31" s="5" t="s">
        <v>31</v>
      </c>
      <c r="N31" s="5" t="s">
        <v>39</v>
      </c>
      <c r="O31" s="5" t="s">
        <v>46</v>
      </c>
      <c r="P31" s="42">
        <f t="shared" si="1"/>
        <v>0</v>
      </c>
      <c r="Q31" s="43">
        <f t="shared" si="2"/>
        <v>0</v>
      </c>
      <c r="R31" s="42">
        <f t="shared" si="3"/>
        <v>1</v>
      </c>
      <c r="S31" s="42">
        <f t="shared" si="4"/>
        <v>1</v>
      </c>
      <c r="T31" s="42">
        <f t="shared" si="5"/>
        <v>1</v>
      </c>
      <c r="U31" s="42">
        <f t="shared" si="6"/>
        <v>1</v>
      </c>
      <c r="V31" s="7"/>
      <c r="W31" s="7"/>
      <c r="X31" s="7"/>
      <c r="Y31" s="7"/>
      <c r="Z31" s="7"/>
      <c r="AA31" s="7"/>
      <c r="AB31" s="7"/>
      <c r="AC31" s="7"/>
    </row>
    <row r="32" ht="15.75" customHeight="1">
      <c r="A32" s="4" t="s">
        <v>972</v>
      </c>
      <c r="B32" s="5" t="s">
        <v>14</v>
      </c>
      <c r="C32" s="5" t="s">
        <v>15</v>
      </c>
      <c r="D32" s="5" t="s">
        <v>973</v>
      </c>
      <c r="E32" s="6" t="s">
        <v>976</v>
      </c>
      <c r="F32" s="5" t="s">
        <v>45</v>
      </c>
      <c r="G32" s="5" t="s">
        <v>31</v>
      </c>
      <c r="H32" s="5" t="s">
        <v>23</v>
      </c>
      <c r="I32" s="5" t="s">
        <v>39</v>
      </c>
      <c r="J32" s="40" t="s">
        <v>25</v>
      </c>
      <c r="K32" s="41" t="s">
        <v>15</v>
      </c>
      <c r="L32" s="16" t="s">
        <v>45</v>
      </c>
      <c r="M32" s="5" t="s">
        <v>65</v>
      </c>
      <c r="N32" s="16" t="s">
        <v>23</v>
      </c>
      <c r="O32" s="16" t="s">
        <v>46</v>
      </c>
      <c r="P32" s="42">
        <f t="shared" si="1"/>
        <v>1</v>
      </c>
      <c r="Q32" s="43">
        <f t="shared" si="2"/>
        <v>0</v>
      </c>
      <c r="R32" s="42">
        <f t="shared" si="3"/>
        <v>1</v>
      </c>
      <c r="S32" s="42">
        <f t="shared" si="4"/>
        <v>0</v>
      </c>
      <c r="T32" s="42">
        <f t="shared" si="5"/>
        <v>1</v>
      </c>
      <c r="U32" s="42">
        <f t="shared" si="6"/>
        <v>1</v>
      </c>
      <c r="V32" s="7"/>
      <c r="W32" s="7"/>
      <c r="X32" s="7"/>
      <c r="Y32" s="7"/>
      <c r="Z32" s="7"/>
      <c r="AA32" s="7"/>
      <c r="AB32" s="7"/>
      <c r="AC32" s="7"/>
    </row>
    <row r="33" ht="15.75" customHeight="1">
      <c r="A33" s="4" t="s">
        <v>2497</v>
      </c>
      <c r="B33" s="5" t="s">
        <v>14</v>
      </c>
      <c r="C33" s="5" t="s">
        <v>15</v>
      </c>
      <c r="D33" s="5" t="s">
        <v>2498</v>
      </c>
      <c r="E33" s="6" t="s">
        <v>2501</v>
      </c>
      <c r="F33" s="5" t="s">
        <v>31</v>
      </c>
      <c r="G33" s="5" t="s">
        <v>37</v>
      </c>
      <c r="H33" s="5" t="s">
        <v>132</v>
      </c>
      <c r="I33" s="5" t="s">
        <v>46</v>
      </c>
      <c r="J33" s="40" t="s">
        <v>25</v>
      </c>
      <c r="K33" s="41" t="s">
        <v>15</v>
      </c>
      <c r="L33" s="16" t="s">
        <v>31</v>
      </c>
      <c r="M33" s="5" t="s">
        <v>37</v>
      </c>
      <c r="N33" s="16" t="s">
        <v>132</v>
      </c>
      <c r="O33" s="16" t="s">
        <v>46</v>
      </c>
      <c r="P33" s="42">
        <f t="shared" si="1"/>
        <v>1</v>
      </c>
      <c r="Q33" s="43">
        <f t="shared" si="2"/>
        <v>1</v>
      </c>
      <c r="R33" s="42">
        <f t="shared" si="3"/>
        <v>1</v>
      </c>
      <c r="S33" s="42">
        <f t="shared" si="4"/>
        <v>1</v>
      </c>
      <c r="T33" s="42">
        <f t="shared" si="5"/>
        <v>1</v>
      </c>
      <c r="U33" s="42">
        <f t="shared" si="6"/>
        <v>1</v>
      </c>
      <c r="V33" s="7"/>
      <c r="W33" s="7"/>
      <c r="X33" s="7"/>
      <c r="Y33" s="7"/>
      <c r="Z33" s="7"/>
      <c r="AA33" s="7"/>
      <c r="AB33" s="7"/>
      <c r="AC33" s="7"/>
    </row>
    <row r="34" ht="15.75" customHeight="1">
      <c r="A34" s="4" t="s">
        <v>1537</v>
      </c>
      <c r="B34" s="5" t="s">
        <v>14</v>
      </c>
      <c r="C34" s="5" t="s">
        <v>15</v>
      </c>
      <c r="D34" s="5" t="s">
        <v>1538</v>
      </c>
      <c r="E34" s="6" t="s">
        <v>1541</v>
      </c>
      <c r="F34" s="5" t="s">
        <v>20</v>
      </c>
      <c r="G34" s="5" t="s">
        <v>21</v>
      </c>
      <c r="H34" s="5" t="s">
        <v>66</v>
      </c>
      <c r="I34" s="5" t="s">
        <v>58</v>
      </c>
      <c r="J34" s="40" t="s">
        <v>25</v>
      </c>
      <c r="K34" s="41" t="s">
        <v>15</v>
      </c>
      <c r="L34" s="16" t="s">
        <v>20</v>
      </c>
      <c r="M34" s="5" t="s">
        <v>30</v>
      </c>
      <c r="N34" s="16" t="s">
        <v>66</v>
      </c>
      <c r="O34" s="16" t="s">
        <v>58</v>
      </c>
      <c r="P34" s="42">
        <f t="shared" si="1"/>
        <v>1</v>
      </c>
      <c r="Q34" s="43">
        <f t="shared" si="2"/>
        <v>0</v>
      </c>
      <c r="R34" s="42">
        <f t="shared" si="3"/>
        <v>1</v>
      </c>
      <c r="S34" s="42">
        <f t="shared" si="4"/>
        <v>1</v>
      </c>
      <c r="T34" s="42">
        <f t="shared" si="5"/>
        <v>1</v>
      </c>
      <c r="U34" s="42">
        <f t="shared" si="6"/>
        <v>1</v>
      </c>
      <c r="V34" s="7"/>
      <c r="W34" s="7"/>
      <c r="X34" s="7"/>
      <c r="Y34" s="7"/>
      <c r="Z34" s="7"/>
      <c r="AA34" s="7"/>
      <c r="AB34" s="7"/>
      <c r="AC34" s="7"/>
    </row>
    <row r="35" ht="15.75" customHeight="1">
      <c r="A35" s="4" t="s">
        <v>92</v>
      </c>
      <c r="B35" s="5" t="s">
        <v>25</v>
      </c>
      <c r="C35" s="5" t="s">
        <v>15</v>
      </c>
      <c r="D35" s="5" t="s">
        <v>93</v>
      </c>
      <c r="E35" s="6" t="s">
        <v>94</v>
      </c>
      <c r="F35" s="5" t="s">
        <v>30</v>
      </c>
      <c r="G35" s="5" t="s">
        <v>20</v>
      </c>
      <c r="H35" s="5" t="s">
        <v>46</v>
      </c>
      <c r="I35" s="5" t="s">
        <v>57</v>
      </c>
      <c r="J35" s="41" t="s">
        <v>14</v>
      </c>
      <c r="K35" s="41" t="s">
        <v>15</v>
      </c>
      <c r="L35" s="16" t="s">
        <v>30</v>
      </c>
      <c r="M35" s="5" t="s">
        <v>20</v>
      </c>
      <c r="N35" s="16" t="s">
        <v>46</v>
      </c>
      <c r="O35" s="16" t="s">
        <v>57</v>
      </c>
      <c r="P35" s="42">
        <f t="shared" si="1"/>
        <v>1</v>
      </c>
      <c r="Q35" s="43">
        <f t="shared" si="2"/>
        <v>1</v>
      </c>
      <c r="R35" s="42">
        <f t="shared" si="3"/>
        <v>1</v>
      </c>
      <c r="S35" s="42">
        <f t="shared" si="4"/>
        <v>1</v>
      </c>
      <c r="T35" s="42">
        <f t="shared" si="5"/>
        <v>1</v>
      </c>
      <c r="U35" s="42">
        <f t="shared" si="6"/>
        <v>1</v>
      </c>
      <c r="V35" s="7"/>
      <c r="W35" s="7"/>
      <c r="X35" s="7"/>
      <c r="Y35" s="7"/>
      <c r="Z35" s="7"/>
      <c r="AA35" s="7"/>
      <c r="AB35" s="7"/>
      <c r="AC35" s="7"/>
    </row>
    <row r="36" ht="15.75" customHeight="1">
      <c r="A36" s="12" t="s">
        <v>244</v>
      </c>
      <c r="B36" s="5" t="s">
        <v>25</v>
      </c>
      <c r="C36" s="5" t="s">
        <v>15</v>
      </c>
      <c r="D36" s="5" t="s">
        <v>245</v>
      </c>
      <c r="E36" s="5" t="s">
        <v>248</v>
      </c>
      <c r="F36" s="5" t="s">
        <v>31</v>
      </c>
      <c r="G36" s="5" t="s">
        <v>45</v>
      </c>
      <c r="H36" s="5" t="s">
        <v>46</v>
      </c>
      <c r="I36" s="5" t="s">
        <v>23</v>
      </c>
      <c r="J36" s="40" t="s">
        <v>14</v>
      </c>
      <c r="K36" s="41" t="s">
        <v>15</v>
      </c>
      <c r="L36" s="5" t="s">
        <v>31</v>
      </c>
      <c r="M36" s="5" t="s">
        <v>45</v>
      </c>
      <c r="N36" s="5" t="s">
        <v>46</v>
      </c>
      <c r="O36" s="5" t="s">
        <v>23</v>
      </c>
      <c r="P36" s="42">
        <f t="shared" si="1"/>
        <v>1</v>
      </c>
      <c r="Q36" s="43">
        <f t="shared" si="2"/>
        <v>1</v>
      </c>
      <c r="R36" s="42">
        <f t="shared" si="3"/>
        <v>1</v>
      </c>
      <c r="S36" s="42">
        <f t="shared" si="4"/>
        <v>1</v>
      </c>
      <c r="T36" s="42">
        <f t="shared" si="5"/>
        <v>1</v>
      </c>
      <c r="U36" s="42">
        <f t="shared" si="6"/>
        <v>1</v>
      </c>
      <c r="V36" s="7"/>
      <c r="W36" s="7"/>
      <c r="X36" s="7"/>
      <c r="Y36" s="7"/>
      <c r="Z36" s="7"/>
      <c r="AA36" s="7"/>
      <c r="AB36" s="7"/>
      <c r="AC36" s="7"/>
    </row>
    <row r="37" ht="15.75" customHeight="1">
      <c r="A37" s="12" t="s">
        <v>736</v>
      </c>
      <c r="B37" s="5" t="s">
        <v>25</v>
      </c>
      <c r="C37" s="5" t="s">
        <v>15</v>
      </c>
      <c r="D37" s="5" t="s">
        <v>737</v>
      </c>
      <c r="E37" s="5" t="s">
        <v>739</v>
      </c>
      <c r="F37" s="5" t="s">
        <v>30</v>
      </c>
      <c r="G37" s="5" t="s">
        <v>45</v>
      </c>
      <c r="H37" s="5" t="s">
        <v>46</v>
      </c>
      <c r="I37" s="5" t="s">
        <v>38</v>
      </c>
      <c r="J37" s="40" t="s">
        <v>14</v>
      </c>
      <c r="K37" s="41" t="s">
        <v>15</v>
      </c>
      <c r="L37" s="5" t="s">
        <v>30</v>
      </c>
      <c r="M37" s="5" t="s">
        <v>45</v>
      </c>
      <c r="N37" s="5" t="s">
        <v>46</v>
      </c>
      <c r="O37" s="5" t="s">
        <v>38</v>
      </c>
      <c r="P37" s="42">
        <f t="shared" si="1"/>
        <v>1</v>
      </c>
      <c r="Q37" s="43">
        <f t="shared" si="2"/>
        <v>1</v>
      </c>
      <c r="R37" s="42">
        <f t="shared" si="3"/>
        <v>1</v>
      </c>
      <c r="S37" s="42">
        <f t="shared" si="4"/>
        <v>1</v>
      </c>
      <c r="T37" s="42">
        <f t="shared" si="5"/>
        <v>1</v>
      </c>
      <c r="U37" s="42">
        <f t="shared" si="6"/>
        <v>1</v>
      </c>
      <c r="V37" s="7"/>
      <c r="W37" s="7"/>
      <c r="X37" s="7"/>
      <c r="Y37" s="7"/>
      <c r="Z37" s="7"/>
      <c r="AA37" s="7"/>
      <c r="AB37" s="7"/>
      <c r="AC37" s="7"/>
    </row>
    <row r="38" ht="15.75" customHeight="1">
      <c r="A38" s="12" t="s">
        <v>424</v>
      </c>
      <c r="B38" s="5" t="s">
        <v>25</v>
      </c>
      <c r="C38" s="5" t="s">
        <v>15</v>
      </c>
      <c r="D38" s="5" t="s">
        <v>425</v>
      </c>
      <c r="E38" s="5" t="s">
        <v>428</v>
      </c>
      <c r="F38" s="5" t="s">
        <v>65</v>
      </c>
      <c r="G38" s="5" t="s">
        <v>21</v>
      </c>
      <c r="H38" s="5" t="s">
        <v>57</v>
      </c>
      <c r="I38" s="5" t="s">
        <v>46</v>
      </c>
      <c r="J38" s="40" t="s">
        <v>14</v>
      </c>
      <c r="K38" s="41" t="s">
        <v>15</v>
      </c>
      <c r="L38" s="5" t="s">
        <v>65</v>
      </c>
      <c r="M38" s="5" t="s">
        <v>64</v>
      </c>
      <c r="N38" s="5" t="s">
        <v>57</v>
      </c>
      <c r="O38" s="5" t="s">
        <v>46</v>
      </c>
      <c r="P38" s="42">
        <f t="shared" si="1"/>
        <v>1</v>
      </c>
      <c r="Q38" s="43">
        <f t="shared" si="2"/>
        <v>0</v>
      </c>
      <c r="R38" s="42">
        <f t="shared" si="3"/>
        <v>1</v>
      </c>
      <c r="S38" s="42">
        <f t="shared" si="4"/>
        <v>1</v>
      </c>
      <c r="T38" s="42">
        <f t="shared" si="5"/>
        <v>1</v>
      </c>
      <c r="U38" s="42">
        <f t="shared" si="6"/>
        <v>1</v>
      </c>
      <c r="V38" s="7"/>
      <c r="W38" s="7"/>
      <c r="X38" s="7"/>
      <c r="Y38" s="7"/>
      <c r="Z38" s="7"/>
      <c r="AA38" s="7"/>
      <c r="AB38" s="7"/>
      <c r="AC38" s="7"/>
    </row>
    <row r="39" ht="15.75" customHeight="1">
      <c r="A39" s="12" t="s">
        <v>32</v>
      </c>
      <c r="B39" s="5" t="s">
        <v>25</v>
      </c>
      <c r="C39" s="5" t="s">
        <v>15</v>
      </c>
      <c r="D39" s="5" t="s">
        <v>33</v>
      </c>
      <c r="E39" s="5" t="s">
        <v>35</v>
      </c>
      <c r="F39" s="5" t="s">
        <v>37</v>
      </c>
      <c r="G39" s="5" t="s">
        <v>20</v>
      </c>
      <c r="H39" s="5" t="s">
        <v>38</v>
      </c>
      <c r="I39" s="5" t="s">
        <v>39</v>
      </c>
      <c r="J39" s="40" t="s">
        <v>14</v>
      </c>
      <c r="K39" s="41" t="s">
        <v>15</v>
      </c>
      <c r="L39" s="5" t="s">
        <v>37</v>
      </c>
      <c r="M39" s="5" t="s">
        <v>20</v>
      </c>
      <c r="N39" s="5" t="s">
        <v>38</v>
      </c>
      <c r="O39" s="5" t="s">
        <v>39</v>
      </c>
      <c r="P39" s="42">
        <f t="shared" si="1"/>
        <v>1</v>
      </c>
      <c r="Q39" s="43">
        <f t="shared" si="2"/>
        <v>1</v>
      </c>
      <c r="R39" s="42">
        <f t="shared" si="3"/>
        <v>1</v>
      </c>
      <c r="S39" s="42">
        <f t="shared" si="4"/>
        <v>1</v>
      </c>
      <c r="T39" s="42">
        <f t="shared" si="5"/>
        <v>1</v>
      </c>
      <c r="U39" s="42">
        <f t="shared" si="6"/>
        <v>1</v>
      </c>
      <c r="V39" s="7"/>
      <c r="W39" s="7"/>
      <c r="X39" s="7"/>
      <c r="Y39" s="7"/>
      <c r="Z39" s="7"/>
      <c r="AA39" s="7"/>
      <c r="AB39" s="7"/>
      <c r="AC39" s="7"/>
    </row>
    <row r="40" ht="15.75" customHeight="1">
      <c r="A40" s="12" t="s">
        <v>936</v>
      </c>
      <c r="B40" s="5" t="s">
        <v>25</v>
      </c>
      <c r="C40" s="5" t="s">
        <v>15</v>
      </c>
      <c r="D40" s="5" t="s">
        <v>937</v>
      </c>
      <c r="E40" s="5" t="s">
        <v>941</v>
      </c>
      <c r="F40" s="5" t="s">
        <v>30</v>
      </c>
      <c r="G40" s="5" t="s">
        <v>21</v>
      </c>
      <c r="H40" s="5" t="s">
        <v>22</v>
      </c>
      <c r="I40" s="5" t="s">
        <v>46</v>
      </c>
      <c r="J40" s="40" t="s">
        <v>14</v>
      </c>
      <c r="K40" s="41" t="s">
        <v>15</v>
      </c>
      <c r="L40" s="5" t="s">
        <v>30</v>
      </c>
      <c r="M40" s="5" t="s">
        <v>21</v>
      </c>
      <c r="N40" s="5" t="s">
        <v>22</v>
      </c>
      <c r="O40" s="5" t="s">
        <v>46</v>
      </c>
      <c r="P40" s="42">
        <f t="shared" si="1"/>
        <v>1</v>
      </c>
      <c r="Q40" s="43">
        <f t="shared" si="2"/>
        <v>1</v>
      </c>
      <c r="R40" s="42">
        <f t="shared" si="3"/>
        <v>1</v>
      </c>
      <c r="S40" s="42">
        <f t="shared" si="4"/>
        <v>1</v>
      </c>
      <c r="T40" s="42">
        <f t="shared" si="5"/>
        <v>1</v>
      </c>
      <c r="U40" s="42">
        <f t="shared" si="6"/>
        <v>1</v>
      </c>
      <c r="V40" s="7"/>
      <c r="W40" s="7"/>
      <c r="X40" s="7"/>
      <c r="Y40" s="7"/>
      <c r="Z40" s="7"/>
      <c r="AA40" s="7"/>
      <c r="AB40" s="7"/>
      <c r="AC40" s="7"/>
    </row>
    <row r="41" ht="15.75" customHeight="1">
      <c r="A41" s="12" t="s">
        <v>987</v>
      </c>
      <c r="B41" s="5" t="s">
        <v>25</v>
      </c>
      <c r="C41" s="5" t="s">
        <v>15</v>
      </c>
      <c r="D41" s="5" t="s">
        <v>988</v>
      </c>
      <c r="E41" s="5" t="s">
        <v>991</v>
      </c>
      <c r="F41" s="5" t="s">
        <v>31</v>
      </c>
      <c r="G41" s="5" t="s">
        <v>45</v>
      </c>
      <c r="H41" s="5" t="s">
        <v>58</v>
      </c>
      <c r="I41" s="5" t="s">
        <v>132</v>
      </c>
      <c r="J41" s="40" t="s">
        <v>14</v>
      </c>
      <c r="K41" s="41" t="s">
        <v>15</v>
      </c>
      <c r="L41" s="5" t="s">
        <v>31</v>
      </c>
      <c r="M41" s="5" t="s">
        <v>45</v>
      </c>
      <c r="N41" s="5" t="s">
        <v>58</v>
      </c>
      <c r="O41" s="5" t="s">
        <v>132</v>
      </c>
      <c r="P41" s="42">
        <f t="shared" si="1"/>
        <v>1</v>
      </c>
      <c r="Q41" s="43">
        <f t="shared" si="2"/>
        <v>1</v>
      </c>
      <c r="R41" s="42">
        <f t="shared" si="3"/>
        <v>1</v>
      </c>
      <c r="S41" s="42">
        <f t="shared" si="4"/>
        <v>1</v>
      </c>
      <c r="T41" s="42">
        <f t="shared" si="5"/>
        <v>1</v>
      </c>
      <c r="U41" s="42">
        <f t="shared" si="6"/>
        <v>1</v>
      </c>
      <c r="V41" s="7"/>
      <c r="W41" s="7"/>
      <c r="X41" s="7"/>
      <c r="Y41" s="7"/>
      <c r="Z41" s="7"/>
      <c r="AA41" s="7"/>
      <c r="AB41" s="7"/>
      <c r="AC41" s="7"/>
    </row>
    <row r="42" ht="15.75" customHeight="1">
      <c r="A42" s="12" t="s">
        <v>213</v>
      </c>
      <c r="B42" s="5" t="s">
        <v>25</v>
      </c>
      <c r="C42" s="5" t="s">
        <v>15</v>
      </c>
      <c r="D42" s="5" t="s">
        <v>214</v>
      </c>
      <c r="E42" s="5" t="s">
        <v>216</v>
      </c>
      <c r="F42" s="5" t="s">
        <v>65</v>
      </c>
      <c r="G42" s="5" t="s">
        <v>20</v>
      </c>
      <c r="H42" s="5" t="s">
        <v>66</v>
      </c>
      <c r="I42" s="5" t="s">
        <v>58</v>
      </c>
      <c r="J42" s="40" t="s">
        <v>14</v>
      </c>
      <c r="K42" s="41" t="s">
        <v>15</v>
      </c>
      <c r="L42" s="5" t="s">
        <v>65</v>
      </c>
      <c r="M42" s="5" t="s">
        <v>20</v>
      </c>
      <c r="N42" s="5" t="s">
        <v>58</v>
      </c>
      <c r="O42" s="5" t="s">
        <v>66</v>
      </c>
      <c r="P42" s="42">
        <f t="shared" si="1"/>
        <v>1</v>
      </c>
      <c r="Q42" s="43">
        <f t="shared" si="2"/>
        <v>1</v>
      </c>
      <c r="R42" s="42">
        <f t="shared" si="3"/>
        <v>0</v>
      </c>
      <c r="S42" s="42">
        <f t="shared" si="4"/>
        <v>1</v>
      </c>
      <c r="T42" s="42">
        <f t="shared" si="5"/>
        <v>1</v>
      </c>
      <c r="U42" s="42">
        <f t="shared" si="6"/>
        <v>1</v>
      </c>
      <c r="V42" s="7"/>
      <c r="W42" s="7"/>
      <c r="X42" s="7"/>
      <c r="Y42" s="7"/>
      <c r="Z42" s="7"/>
      <c r="AA42" s="7"/>
      <c r="AB42" s="7"/>
      <c r="AC42" s="7"/>
    </row>
    <row r="43" ht="15.75" customHeight="1">
      <c r="A43" s="12" t="s">
        <v>1817</v>
      </c>
      <c r="B43" s="5" t="s">
        <v>25</v>
      </c>
      <c r="C43" s="5" t="s">
        <v>15</v>
      </c>
      <c r="D43" s="5" t="s">
        <v>1818</v>
      </c>
      <c r="E43" s="5" t="s">
        <v>1820</v>
      </c>
      <c r="F43" s="5" t="s">
        <v>21</v>
      </c>
      <c r="G43" s="5" t="s">
        <v>37</v>
      </c>
      <c r="H43" s="5" t="s">
        <v>46</v>
      </c>
      <c r="I43" s="5" t="s">
        <v>22</v>
      </c>
      <c r="J43" s="40" t="s">
        <v>14</v>
      </c>
      <c r="K43" s="41" t="s">
        <v>15</v>
      </c>
      <c r="L43" s="5" t="s">
        <v>21</v>
      </c>
      <c r="M43" s="5" t="s">
        <v>37</v>
      </c>
      <c r="N43" s="5" t="s">
        <v>46</v>
      </c>
      <c r="O43" s="5" t="s">
        <v>22</v>
      </c>
      <c r="P43" s="42">
        <f t="shared" si="1"/>
        <v>1</v>
      </c>
      <c r="Q43" s="43">
        <f t="shared" si="2"/>
        <v>1</v>
      </c>
      <c r="R43" s="42">
        <f t="shared" si="3"/>
        <v>1</v>
      </c>
      <c r="S43" s="42">
        <f t="shared" si="4"/>
        <v>1</v>
      </c>
      <c r="T43" s="42">
        <f t="shared" si="5"/>
        <v>1</v>
      </c>
      <c r="U43" s="42">
        <f t="shared" si="6"/>
        <v>1</v>
      </c>
      <c r="V43" s="7"/>
      <c r="W43" s="7"/>
      <c r="X43" s="7"/>
      <c r="Y43" s="7"/>
      <c r="Z43" s="7"/>
      <c r="AA43" s="7"/>
      <c r="AB43" s="7"/>
      <c r="AC43" s="7"/>
    </row>
    <row r="44" ht="15.75" customHeight="1">
      <c r="A44" s="12" t="s">
        <v>198</v>
      </c>
      <c r="B44" s="5" t="s">
        <v>25</v>
      </c>
      <c r="C44" s="5" t="s">
        <v>15</v>
      </c>
      <c r="D44" s="5" t="s">
        <v>199</v>
      </c>
      <c r="E44" s="5" t="s">
        <v>202</v>
      </c>
      <c r="F44" s="5" t="s">
        <v>64</v>
      </c>
      <c r="G44" s="5" t="s">
        <v>31</v>
      </c>
      <c r="H44" s="5" t="s">
        <v>39</v>
      </c>
      <c r="I44" s="5" t="s">
        <v>22</v>
      </c>
      <c r="J44" s="40" t="s">
        <v>14</v>
      </c>
      <c r="K44" s="41" t="s">
        <v>15</v>
      </c>
      <c r="L44" s="5" t="s">
        <v>64</v>
      </c>
      <c r="M44" s="5" t="s">
        <v>31</v>
      </c>
      <c r="N44" s="5" t="s">
        <v>39</v>
      </c>
      <c r="O44" s="5" t="s">
        <v>22</v>
      </c>
      <c r="P44" s="42">
        <f t="shared" si="1"/>
        <v>1</v>
      </c>
      <c r="Q44" s="43">
        <f t="shared" si="2"/>
        <v>1</v>
      </c>
      <c r="R44" s="42">
        <f t="shared" si="3"/>
        <v>1</v>
      </c>
      <c r="S44" s="42">
        <f t="shared" si="4"/>
        <v>1</v>
      </c>
      <c r="T44" s="42">
        <f t="shared" si="5"/>
        <v>1</v>
      </c>
      <c r="U44" s="42">
        <f t="shared" si="6"/>
        <v>1</v>
      </c>
      <c r="V44" s="7"/>
      <c r="W44" s="7"/>
      <c r="X44" s="7"/>
      <c r="Y44" s="7"/>
      <c r="Z44" s="7"/>
      <c r="AA44" s="7"/>
      <c r="AB44" s="7"/>
      <c r="AC44" s="7"/>
    </row>
    <row r="45" ht="15.75" customHeight="1">
      <c r="A45" s="12" t="s">
        <v>2458</v>
      </c>
      <c r="B45" s="5" t="s">
        <v>25</v>
      </c>
      <c r="C45" s="5" t="s">
        <v>15</v>
      </c>
      <c r="D45" s="5" t="s">
        <v>2459</v>
      </c>
      <c r="E45" s="5" t="s">
        <v>2461</v>
      </c>
      <c r="F45" s="5" t="s">
        <v>45</v>
      </c>
      <c r="G45" s="5" t="s">
        <v>20</v>
      </c>
      <c r="H45" s="5" t="s">
        <v>57</v>
      </c>
      <c r="I45" s="5" t="s">
        <v>23</v>
      </c>
      <c r="J45" s="41" t="s">
        <v>14</v>
      </c>
      <c r="K45" s="41" t="s">
        <v>15</v>
      </c>
      <c r="L45" s="5" t="s">
        <v>45</v>
      </c>
      <c r="M45" s="5" t="s">
        <v>20</v>
      </c>
      <c r="N45" s="5" t="s">
        <v>57</v>
      </c>
      <c r="O45" s="5" t="s">
        <v>23</v>
      </c>
      <c r="P45" s="42">
        <f t="shared" si="1"/>
        <v>1</v>
      </c>
      <c r="Q45" s="43">
        <f t="shared" si="2"/>
        <v>1</v>
      </c>
      <c r="R45" s="42">
        <f t="shared" si="3"/>
        <v>1</v>
      </c>
      <c r="S45" s="42">
        <f t="shared" si="4"/>
        <v>1</v>
      </c>
      <c r="T45" s="42">
        <f t="shared" si="5"/>
        <v>1</v>
      </c>
      <c r="U45" s="42">
        <f t="shared" si="6"/>
        <v>1</v>
      </c>
      <c r="V45" s="7"/>
      <c r="W45" s="7"/>
      <c r="X45" s="7"/>
      <c r="Y45" s="7"/>
      <c r="Z45" s="7"/>
      <c r="AA45" s="7"/>
      <c r="AB45" s="7"/>
      <c r="AC45" s="7"/>
    </row>
    <row r="46" ht="15.75" customHeight="1">
      <c r="A46" s="4" t="s">
        <v>906</v>
      </c>
      <c r="B46" s="5" t="s">
        <v>14</v>
      </c>
      <c r="C46" s="5" t="s">
        <v>15</v>
      </c>
      <c r="D46" s="5" t="s">
        <v>2555</v>
      </c>
      <c r="E46" s="5" t="s">
        <v>908</v>
      </c>
      <c r="F46" s="5" t="s">
        <v>65</v>
      </c>
      <c r="G46" s="5" t="s">
        <v>37</v>
      </c>
      <c r="H46" s="5" t="s">
        <v>57</v>
      </c>
      <c r="I46" s="5" t="s">
        <v>22</v>
      </c>
      <c r="J46" s="40" t="s">
        <v>25</v>
      </c>
      <c r="K46" s="41" t="s">
        <v>15</v>
      </c>
      <c r="L46" s="16" t="s">
        <v>37</v>
      </c>
      <c r="M46" s="5" t="s">
        <v>65</v>
      </c>
      <c r="N46" s="16" t="s">
        <v>57</v>
      </c>
      <c r="O46" s="16" t="s">
        <v>46</v>
      </c>
      <c r="P46" s="42">
        <f t="shared" si="1"/>
        <v>0</v>
      </c>
      <c r="Q46" s="43">
        <f t="shared" si="2"/>
        <v>1</v>
      </c>
      <c r="R46" s="42">
        <f t="shared" si="3"/>
        <v>1</v>
      </c>
      <c r="S46" s="42">
        <f t="shared" si="4"/>
        <v>0</v>
      </c>
      <c r="T46" s="42">
        <f t="shared" si="5"/>
        <v>1</v>
      </c>
      <c r="U46" s="42">
        <f t="shared" si="6"/>
        <v>1</v>
      </c>
      <c r="V46" s="7"/>
      <c r="W46" s="7"/>
      <c r="X46" s="7"/>
      <c r="Y46" s="7"/>
      <c r="Z46" s="7"/>
      <c r="AA46" s="7"/>
      <c r="AB46" s="7"/>
      <c r="AC46" s="7"/>
    </row>
    <row r="47" ht="15.75" customHeight="1">
      <c r="A47" s="4" t="s">
        <v>621</v>
      </c>
      <c r="B47" s="5" t="s">
        <v>14</v>
      </c>
      <c r="C47" s="5" t="s">
        <v>15</v>
      </c>
      <c r="D47" s="5" t="s">
        <v>622</v>
      </c>
      <c r="E47" s="5" t="s">
        <v>623</v>
      </c>
      <c r="F47" s="5" t="s">
        <v>21</v>
      </c>
      <c r="G47" s="5" t="s">
        <v>20</v>
      </c>
      <c r="H47" s="5" t="s">
        <v>23</v>
      </c>
      <c r="I47" s="5" t="s">
        <v>132</v>
      </c>
      <c r="J47" s="40" t="s">
        <v>25</v>
      </c>
      <c r="K47" s="41" t="s">
        <v>15</v>
      </c>
      <c r="L47" s="16" t="s">
        <v>21</v>
      </c>
      <c r="M47" s="5" t="s">
        <v>20</v>
      </c>
      <c r="N47" s="16" t="s">
        <v>23</v>
      </c>
      <c r="O47" s="16" t="s">
        <v>132</v>
      </c>
      <c r="P47" s="42">
        <f t="shared" si="1"/>
        <v>1</v>
      </c>
      <c r="Q47" s="43">
        <f t="shared" si="2"/>
        <v>1</v>
      </c>
      <c r="R47" s="42">
        <f t="shared" si="3"/>
        <v>1</v>
      </c>
      <c r="S47" s="42">
        <f t="shared" si="4"/>
        <v>1</v>
      </c>
      <c r="T47" s="42">
        <f t="shared" si="5"/>
        <v>1</v>
      </c>
      <c r="U47" s="42">
        <f t="shared" si="6"/>
        <v>1</v>
      </c>
      <c r="V47" s="7"/>
      <c r="W47" s="7"/>
      <c r="X47" s="7"/>
      <c r="Y47" s="7"/>
      <c r="Z47" s="7"/>
      <c r="AA47" s="7"/>
      <c r="AB47" s="7"/>
      <c r="AC47" s="7"/>
    </row>
    <row r="48" ht="15.75" customHeight="1">
      <c r="A48" s="4" t="s">
        <v>2443</v>
      </c>
      <c r="B48" s="5" t="s">
        <v>14</v>
      </c>
      <c r="C48" s="5" t="s">
        <v>15</v>
      </c>
      <c r="D48" s="5" t="s">
        <v>2444</v>
      </c>
      <c r="E48" s="6" t="s">
        <v>2447</v>
      </c>
      <c r="F48" s="5" t="s">
        <v>30</v>
      </c>
      <c r="G48" s="5" t="s">
        <v>31</v>
      </c>
      <c r="H48" s="5" t="s">
        <v>22</v>
      </c>
      <c r="I48" s="5" t="s">
        <v>46</v>
      </c>
      <c r="J48" s="40" t="s">
        <v>25</v>
      </c>
      <c r="K48" s="41" t="s">
        <v>15</v>
      </c>
      <c r="L48" s="16" t="s">
        <v>30</v>
      </c>
      <c r="M48" s="5" t="s">
        <v>31</v>
      </c>
      <c r="N48" s="16" t="s">
        <v>46</v>
      </c>
      <c r="O48" s="16" t="s">
        <v>22</v>
      </c>
      <c r="P48" s="42">
        <f t="shared" si="1"/>
        <v>1</v>
      </c>
      <c r="Q48" s="43">
        <f t="shared" si="2"/>
        <v>1</v>
      </c>
      <c r="R48" s="42">
        <f t="shared" si="3"/>
        <v>0</v>
      </c>
      <c r="S48" s="42">
        <f t="shared" si="4"/>
        <v>1</v>
      </c>
      <c r="T48" s="42">
        <f t="shared" si="5"/>
        <v>1</v>
      </c>
      <c r="U48" s="42">
        <f t="shared" si="6"/>
        <v>1</v>
      </c>
      <c r="V48" s="7"/>
      <c r="W48" s="7"/>
      <c r="X48" s="7"/>
      <c r="Y48" s="7"/>
      <c r="Z48" s="7"/>
      <c r="AA48" s="7"/>
      <c r="AB48" s="7"/>
      <c r="AC48" s="7"/>
    </row>
    <row r="49" ht="15.75" customHeight="1">
      <c r="A49" s="16" t="s">
        <v>1958</v>
      </c>
      <c r="B49" s="5" t="s">
        <v>14</v>
      </c>
      <c r="C49" s="5" t="s">
        <v>15</v>
      </c>
      <c r="D49" s="6" t="s">
        <v>1959</v>
      </c>
      <c r="E49" s="6" t="s">
        <v>1962</v>
      </c>
      <c r="F49" s="5" t="s">
        <v>45</v>
      </c>
      <c r="G49" s="5" t="s">
        <v>20</v>
      </c>
      <c r="H49" s="5" t="s">
        <v>22</v>
      </c>
      <c r="I49" s="5" t="s">
        <v>66</v>
      </c>
      <c r="J49" s="40" t="s">
        <v>25</v>
      </c>
      <c r="K49" s="41" t="s">
        <v>15</v>
      </c>
      <c r="L49" s="16" t="s">
        <v>45</v>
      </c>
      <c r="M49" s="5" t="s">
        <v>31</v>
      </c>
      <c r="N49" s="16" t="s">
        <v>46</v>
      </c>
      <c r="O49" s="16" t="s">
        <v>66</v>
      </c>
      <c r="P49" s="42">
        <f t="shared" si="1"/>
        <v>1</v>
      </c>
      <c r="Q49" s="43">
        <f t="shared" si="2"/>
        <v>0</v>
      </c>
      <c r="R49" s="42">
        <f t="shared" si="3"/>
        <v>0</v>
      </c>
      <c r="S49" s="42">
        <f t="shared" si="4"/>
        <v>0</v>
      </c>
      <c r="T49" s="42">
        <f t="shared" si="5"/>
        <v>1</v>
      </c>
      <c r="U49" s="42">
        <f t="shared" si="6"/>
        <v>1</v>
      </c>
      <c r="V49" s="53"/>
      <c r="W49" s="53"/>
      <c r="X49" s="53"/>
      <c r="Y49" s="53"/>
      <c r="Z49" s="53"/>
      <c r="AA49" s="53"/>
      <c r="AB49" s="53"/>
      <c r="AC49" s="53"/>
    </row>
    <row r="50" ht="21.75" customHeight="1">
      <c r="A50" s="4" t="s">
        <v>1792</v>
      </c>
      <c r="B50" s="5" t="s">
        <v>14</v>
      </c>
      <c r="C50" s="5" t="s">
        <v>15</v>
      </c>
      <c r="D50" s="5" t="s">
        <v>1793</v>
      </c>
      <c r="E50" s="5" t="s">
        <v>1795</v>
      </c>
      <c r="F50" s="5" t="s">
        <v>20</v>
      </c>
      <c r="G50" s="5" t="s">
        <v>31</v>
      </c>
      <c r="H50" s="5" t="s">
        <v>132</v>
      </c>
      <c r="I50" s="5" t="s">
        <v>38</v>
      </c>
      <c r="J50" s="40" t="s">
        <v>25</v>
      </c>
      <c r="K50" s="41" t="s">
        <v>15</v>
      </c>
      <c r="L50" s="16" t="s">
        <v>20</v>
      </c>
      <c r="M50" s="5" t="s">
        <v>31</v>
      </c>
      <c r="N50" s="16" t="s">
        <v>46</v>
      </c>
      <c r="O50" s="16" t="s">
        <v>66</v>
      </c>
      <c r="P50" s="42">
        <f t="shared" si="1"/>
        <v>1</v>
      </c>
      <c r="Q50" s="43">
        <f t="shared" si="2"/>
        <v>1</v>
      </c>
      <c r="R50" s="42">
        <f t="shared" si="3"/>
        <v>0</v>
      </c>
      <c r="S50" s="42">
        <f t="shared" si="4"/>
        <v>0</v>
      </c>
      <c r="T50" s="42">
        <f t="shared" si="5"/>
        <v>1</v>
      </c>
      <c r="U50" s="42">
        <f t="shared" si="6"/>
        <v>0</v>
      </c>
      <c r="V50" s="7"/>
      <c r="W50" s="7"/>
      <c r="X50" s="7"/>
      <c r="Y50" s="7"/>
      <c r="Z50" s="7"/>
      <c r="AA50" s="7"/>
      <c r="AB50" s="7"/>
      <c r="AC50" s="7"/>
    </row>
    <row r="51" ht="15.75" customHeight="1">
      <c r="A51" s="4" t="s">
        <v>586</v>
      </c>
      <c r="B51" s="5" t="s">
        <v>14</v>
      </c>
      <c r="C51" s="5" t="s">
        <v>15</v>
      </c>
      <c r="D51" s="5" t="s">
        <v>587</v>
      </c>
      <c r="E51" s="5" t="s">
        <v>589</v>
      </c>
      <c r="F51" s="5" t="s">
        <v>21</v>
      </c>
      <c r="G51" s="5" t="s">
        <v>20</v>
      </c>
      <c r="H51" s="5" t="s">
        <v>38</v>
      </c>
      <c r="I51" s="5" t="s">
        <v>22</v>
      </c>
      <c r="J51" s="40" t="s">
        <v>25</v>
      </c>
      <c r="K51" s="41" t="s">
        <v>15</v>
      </c>
      <c r="L51" s="16" t="s">
        <v>21</v>
      </c>
      <c r="M51" s="5" t="s">
        <v>20</v>
      </c>
      <c r="N51" s="16" t="s">
        <v>38</v>
      </c>
      <c r="O51" s="16" t="s">
        <v>22</v>
      </c>
      <c r="P51" s="42">
        <f t="shared" si="1"/>
        <v>1</v>
      </c>
      <c r="Q51" s="43">
        <f t="shared" si="2"/>
        <v>1</v>
      </c>
      <c r="R51" s="42">
        <f t="shared" si="3"/>
        <v>1</v>
      </c>
      <c r="S51" s="42">
        <f t="shared" si="4"/>
        <v>1</v>
      </c>
      <c r="T51" s="42">
        <f t="shared" si="5"/>
        <v>1</v>
      </c>
      <c r="U51" s="42">
        <f t="shared" si="6"/>
        <v>1</v>
      </c>
      <c r="V51" s="7"/>
      <c r="W51" s="7"/>
      <c r="X51" s="7"/>
      <c r="Y51" s="7"/>
      <c r="Z51" s="7"/>
      <c r="AA51" s="7"/>
      <c r="AB51" s="7"/>
      <c r="AC51" s="7"/>
    </row>
    <row r="52" ht="15.75" customHeight="1">
      <c r="A52" s="54" t="s">
        <v>2556</v>
      </c>
      <c r="B52" s="13"/>
      <c r="C52" s="13"/>
      <c r="D52" s="13"/>
      <c r="E52" s="13"/>
      <c r="F52" s="13"/>
      <c r="G52" s="13"/>
      <c r="H52" s="13"/>
      <c r="I52" s="13"/>
      <c r="J52" s="55"/>
      <c r="K52" s="56"/>
      <c r="L52" s="14"/>
      <c r="M52" s="13"/>
      <c r="N52" s="14"/>
      <c r="O52" s="14"/>
      <c r="P52" s="57">
        <f t="shared" ref="P52:U52" si="7">COUNTIF(P2:P51,1)/COUNTA(P2:P51)</f>
        <v>0.88</v>
      </c>
      <c r="Q52" s="58">
        <f t="shared" si="7"/>
        <v>0.76</v>
      </c>
      <c r="R52" s="57">
        <f t="shared" si="7"/>
        <v>0.88</v>
      </c>
      <c r="S52" s="57">
        <f t="shared" si="7"/>
        <v>0.82</v>
      </c>
      <c r="T52" s="57">
        <f t="shared" si="7"/>
        <v>1</v>
      </c>
      <c r="U52" s="57">
        <f t="shared" si="7"/>
        <v>0.96</v>
      </c>
      <c r="V52" s="7"/>
      <c r="W52" s="7"/>
      <c r="X52" s="7"/>
      <c r="Y52" s="7"/>
      <c r="Z52" s="7"/>
      <c r="AA52" s="7"/>
      <c r="AB52" s="7"/>
      <c r="AC52" s="7"/>
    </row>
    <row r="53">
      <c r="P53" s="59">
        <f t="shared" ref="P53:U53" si="8">P52*100</f>
        <v>88</v>
      </c>
      <c r="Q53" s="60">
        <f t="shared" si="8"/>
        <v>76</v>
      </c>
      <c r="R53" s="59">
        <f t="shared" si="8"/>
        <v>88</v>
      </c>
      <c r="S53" s="59">
        <f t="shared" si="8"/>
        <v>82</v>
      </c>
      <c r="T53" s="59">
        <f t="shared" si="8"/>
        <v>100</v>
      </c>
      <c r="U53" s="59">
        <f t="shared" si="8"/>
        <v>96</v>
      </c>
    </row>
    <row r="54">
      <c r="P54" s="61"/>
      <c r="Q54" s="62"/>
      <c r="R54" s="61"/>
      <c r="S54" s="61"/>
      <c r="T54" s="61"/>
      <c r="U54" s="61"/>
    </row>
    <row r="55">
      <c r="P55" s="61"/>
      <c r="Q55" s="62"/>
      <c r="R55" s="61"/>
      <c r="S55" s="61"/>
      <c r="T55" s="61"/>
      <c r="U55" s="61"/>
    </row>
    <row r="56">
      <c r="P56" s="61"/>
      <c r="Q56" s="62"/>
      <c r="R56" s="61"/>
      <c r="S56" s="61"/>
      <c r="T56" s="61"/>
      <c r="U56" s="61"/>
    </row>
    <row r="57">
      <c r="P57" s="61"/>
      <c r="Q57" s="62"/>
      <c r="R57" s="61"/>
      <c r="S57" s="61"/>
      <c r="T57" s="61"/>
      <c r="U57" s="61"/>
    </row>
    <row r="58">
      <c r="P58" s="61"/>
      <c r="Q58" s="62"/>
      <c r="R58" s="61"/>
      <c r="S58" s="61"/>
      <c r="T58" s="61"/>
      <c r="U58" s="61"/>
    </row>
    <row r="59">
      <c r="P59" s="61"/>
      <c r="Q59" s="62"/>
      <c r="R59" s="61"/>
      <c r="S59" s="61"/>
      <c r="T59" s="61"/>
      <c r="U59" s="61"/>
    </row>
    <row r="60">
      <c r="P60" s="61"/>
      <c r="Q60" s="62"/>
      <c r="R60" s="61"/>
      <c r="S60" s="61"/>
      <c r="T60" s="61"/>
      <c r="U60" s="61"/>
    </row>
    <row r="61">
      <c r="P61" s="61"/>
      <c r="Q61" s="62"/>
      <c r="R61" s="61"/>
      <c r="S61" s="61"/>
      <c r="T61" s="61"/>
      <c r="U61" s="61"/>
    </row>
    <row r="62">
      <c r="P62" s="61"/>
      <c r="Q62" s="62"/>
      <c r="R62" s="61"/>
      <c r="S62" s="61"/>
      <c r="T62" s="61"/>
      <c r="U62" s="61"/>
    </row>
    <row r="63">
      <c r="P63" s="61"/>
      <c r="Q63" s="62"/>
      <c r="R63" s="61"/>
      <c r="S63" s="61"/>
      <c r="T63" s="61"/>
      <c r="U63" s="61"/>
    </row>
    <row r="64">
      <c r="P64" s="61"/>
      <c r="Q64" s="62"/>
      <c r="R64" s="61"/>
      <c r="S64" s="61"/>
      <c r="T64" s="61"/>
      <c r="U64" s="61"/>
    </row>
    <row r="65">
      <c r="P65" s="61"/>
      <c r="Q65" s="62"/>
      <c r="R65" s="61"/>
      <c r="S65" s="61"/>
      <c r="T65" s="61"/>
      <c r="U65" s="61"/>
    </row>
    <row r="66">
      <c r="P66" s="61"/>
      <c r="Q66" s="62"/>
      <c r="R66" s="61"/>
      <c r="S66" s="61"/>
      <c r="T66" s="61"/>
      <c r="U66" s="61"/>
    </row>
    <row r="67">
      <c r="P67" s="61"/>
      <c r="Q67" s="62"/>
      <c r="R67" s="61"/>
      <c r="S67" s="61"/>
      <c r="T67" s="61"/>
      <c r="U67" s="61"/>
    </row>
    <row r="68">
      <c r="P68" s="61"/>
      <c r="Q68" s="62"/>
      <c r="R68" s="61"/>
      <c r="S68" s="61"/>
      <c r="T68" s="61"/>
      <c r="U68" s="61"/>
    </row>
    <row r="69">
      <c r="P69" s="61"/>
      <c r="Q69" s="62"/>
      <c r="R69" s="61"/>
      <c r="S69" s="61"/>
      <c r="T69" s="61"/>
      <c r="U69" s="61"/>
    </row>
    <row r="70">
      <c r="P70" s="61"/>
      <c r="Q70" s="62"/>
      <c r="R70" s="61"/>
      <c r="S70" s="61"/>
      <c r="T70" s="61"/>
      <c r="U70" s="61"/>
    </row>
    <row r="71">
      <c r="P71" s="61"/>
      <c r="Q71" s="62"/>
      <c r="R71" s="61"/>
      <c r="S71" s="61"/>
      <c r="T71" s="61"/>
      <c r="U71" s="61"/>
    </row>
    <row r="72">
      <c r="P72" s="61"/>
      <c r="Q72" s="62"/>
      <c r="R72" s="61"/>
      <c r="S72" s="61"/>
      <c r="T72" s="61"/>
      <c r="U72" s="61"/>
    </row>
    <row r="73">
      <c r="P73" s="61"/>
      <c r="Q73" s="62"/>
      <c r="R73" s="61"/>
      <c r="S73" s="61"/>
      <c r="T73" s="61"/>
      <c r="U73" s="61"/>
    </row>
    <row r="74">
      <c r="P74" s="61"/>
      <c r="Q74" s="62"/>
      <c r="R74" s="61"/>
      <c r="S74" s="61"/>
      <c r="T74" s="61"/>
      <c r="U74" s="61"/>
    </row>
    <row r="75">
      <c r="P75" s="61"/>
      <c r="Q75" s="62"/>
      <c r="R75" s="61"/>
      <c r="S75" s="61"/>
      <c r="T75" s="61"/>
      <c r="U75" s="61"/>
    </row>
    <row r="76">
      <c r="P76" s="61"/>
      <c r="Q76" s="62"/>
      <c r="R76" s="61"/>
      <c r="S76" s="61"/>
      <c r="T76" s="61"/>
      <c r="U76" s="61"/>
    </row>
    <row r="77">
      <c r="P77" s="61"/>
      <c r="Q77" s="62"/>
      <c r="R77" s="61"/>
      <c r="S77" s="61"/>
      <c r="T77" s="61"/>
      <c r="U77" s="61"/>
    </row>
    <row r="78">
      <c r="P78" s="61"/>
      <c r="Q78" s="62"/>
      <c r="R78" s="61"/>
      <c r="S78" s="61"/>
      <c r="T78" s="61"/>
      <c r="U78" s="61"/>
    </row>
    <row r="79">
      <c r="P79" s="61"/>
      <c r="Q79" s="62"/>
      <c r="R79" s="61"/>
      <c r="S79" s="61"/>
      <c r="T79" s="61"/>
      <c r="U79" s="61"/>
    </row>
    <row r="80">
      <c r="P80" s="61"/>
      <c r="Q80" s="62"/>
      <c r="R80" s="61"/>
      <c r="S80" s="61"/>
      <c r="T80" s="61"/>
      <c r="U80" s="61"/>
    </row>
    <row r="81">
      <c r="P81" s="61"/>
      <c r="Q81" s="62"/>
      <c r="R81" s="61"/>
      <c r="S81" s="61"/>
      <c r="T81" s="61"/>
      <c r="U81" s="61"/>
    </row>
    <row r="82">
      <c r="P82" s="61"/>
      <c r="Q82" s="62"/>
      <c r="R82" s="61"/>
      <c r="S82" s="61"/>
      <c r="T82" s="61"/>
      <c r="U82" s="61"/>
    </row>
    <row r="83">
      <c r="P83" s="61"/>
      <c r="Q83" s="62"/>
      <c r="R83" s="61"/>
      <c r="S83" s="61"/>
      <c r="T83" s="61"/>
      <c r="U83" s="61"/>
    </row>
    <row r="84">
      <c r="P84" s="61"/>
      <c r="Q84" s="62"/>
      <c r="R84" s="61"/>
      <c r="S84" s="61"/>
      <c r="T84" s="61"/>
      <c r="U84" s="61"/>
    </row>
    <row r="85">
      <c r="P85" s="61"/>
      <c r="Q85" s="62"/>
      <c r="R85" s="61"/>
      <c r="S85" s="61"/>
      <c r="T85" s="61"/>
      <c r="U85" s="61"/>
    </row>
    <row r="86">
      <c r="P86" s="61"/>
      <c r="Q86" s="62"/>
      <c r="R86" s="61"/>
      <c r="S86" s="61"/>
      <c r="T86" s="61"/>
      <c r="U86" s="61"/>
    </row>
    <row r="87">
      <c r="P87" s="61"/>
      <c r="Q87" s="62"/>
      <c r="R87" s="61"/>
      <c r="S87" s="61"/>
      <c r="T87" s="61"/>
      <c r="U87" s="61"/>
    </row>
    <row r="88">
      <c r="P88" s="61"/>
      <c r="Q88" s="62"/>
      <c r="R88" s="61"/>
      <c r="S88" s="61"/>
      <c r="T88" s="61"/>
      <c r="U88" s="61"/>
    </row>
    <row r="89">
      <c r="P89" s="61"/>
      <c r="Q89" s="62"/>
      <c r="R89" s="61"/>
      <c r="S89" s="61"/>
      <c r="T89" s="61"/>
      <c r="U89" s="61"/>
    </row>
    <row r="90">
      <c r="P90" s="61"/>
      <c r="Q90" s="62"/>
      <c r="R90" s="61"/>
      <c r="S90" s="61"/>
      <c r="T90" s="61"/>
      <c r="U90" s="61"/>
    </row>
    <row r="91">
      <c r="P91" s="61"/>
      <c r="Q91" s="62"/>
      <c r="R91" s="61"/>
      <c r="S91" s="61"/>
      <c r="T91" s="61"/>
      <c r="U91" s="61"/>
    </row>
    <row r="92">
      <c r="P92" s="61"/>
      <c r="Q92" s="62"/>
      <c r="R92" s="61"/>
      <c r="S92" s="61"/>
      <c r="T92" s="61"/>
      <c r="U92" s="61"/>
    </row>
    <row r="93">
      <c r="P93" s="61"/>
      <c r="Q93" s="62"/>
      <c r="R93" s="61"/>
      <c r="S93" s="61"/>
      <c r="T93" s="61"/>
      <c r="U93" s="61"/>
    </row>
    <row r="94">
      <c r="P94" s="61"/>
      <c r="Q94" s="62"/>
      <c r="R94" s="61"/>
      <c r="S94" s="61"/>
      <c r="T94" s="61"/>
      <c r="U94" s="61"/>
    </row>
    <row r="95">
      <c r="P95" s="61"/>
      <c r="Q95" s="62"/>
      <c r="R95" s="61"/>
      <c r="S95" s="61"/>
      <c r="T95" s="61"/>
      <c r="U95" s="61"/>
    </row>
    <row r="96">
      <c r="P96" s="61"/>
      <c r="Q96" s="62"/>
      <c r="R96" s="61"/>
      <c r="S96" s="61"/>
      <c r="T96" s="61"/>
      <c r="U96" s="61"/>
    </row>
    <row r="97">
      <c r="P97" s="61"/>
      <c r="Q97" s="62"/>
      <c r="R97" s="61"/>
      <c r="S97" s="61"/>
      <c r="T97" s="61"/>
      <c r="U97" s="61"/>
    </row>
    <row r="98">
      <c r="P98" s="61"/>
      <c r="Q98" s="62"/>
      <c r="R98" s="61"/>
      <c r="S98" s="61"/>
      <c r="T98" s="61"/>
      <c r="U98" s="61"/>
    </row>
    <row r="99">
      <c r="P99" s="61"/>
      <c r="Q99" s="62"/>
      <c r="R99" s="61"/>
      <c r="S99" s="61"/>
      <c r="T99" s="61"/>
      <c r="U99" s="61"/>
    </row>
    <row r="100">
      <c r="P100" s="61"/>
      <c r="Q100" s="62"/>
      <c r="R100" s="61"/>
      <c r="S100" s="61"/>
      <c r="T100" s="61"/>
      <c r="U100" s="61"/>
    </row>
    <row r="101">
      <c r="P101" s="61"/>
      <c r="Q101" s="62"/>
      <c r="R101" s="61"/>
      <c r="S101" s="61"/>
      <c r="T101" s="61"/>
      <c r="U101" s="61"/>
    </row>
    <row r="102">
      <c r="P102" s="61"/>
      <c r="Q102" s="62"/>
      <c r="R102" s="61"/>
      <c r="S102" s="61"/>
      <c r="T102" s="61"/>
      <c r="U102" s="61"/>
    </row>
    <row r="103">
      <c r="P103" s="61"/>
      <c r="Q103" s="62"/>
      <c r="R103" s="61"/>
      <c r="S103" s="61"/>
      <c r="T103" s="61"/>
      <c r="U103" s="61"/>
    </row>
    <row r="104">
      <c r="P104" s="61"/>
      <c r="Q104" s="62"/>
      <c r="R104" s="61"/>
      <c r="S104" s="61"/>
      <c r="T104" s="61"/>
      <c r="U104" s="61"/>
    </row>
    <row r="105">
      <c r="P105" s="61"/>
      <c r="Q105" s="62"/>
      <c r="R105" s="61"/>
      <c r="S105" s="61"/>
      <c r="T105" s="61"/>
      <c r="U105" s="61"/>
    </row>
    <row r="106">
      <c r="P106" s="61"/>
      <c r="Q106" s="62"/>
      <c r="R106" s="61"/>
      <c r="S106" s="61"/>
      <c r="T106" s="61"/>
      <c r="U106" s="61"/>
    </row>
    <row r="107">
      <c r="P107" s="61"/>
      <c r="Q107" s="62"/>
      <c r="R107" s="61"/>
      <c r="S107" s="61"/>
      <c r="T107" s="61"/>
      <c r="U107" s="61"/>
    </row>
    <row r="108">
      <c r="P108" s="61"/>
      <c r="Q108" s="62"/>
      <c r="R108" s="61"/>
      <c r="S108" s="61"/>
      <c r="T108" s="61"/>
      <c r="U108" s="61"/>
    </row>
    <row r="109">
      <c r="P109" s="61"/>
      <c r="Q109" s="62"/>
      <c r="R109" s="61"/>
      <c r="S109" s="61"/>
      <c r="T109" s="61"/>
      <c r="U109" s="61"/>
    </row>
    <row r="110">
      <c r="P110" s="61"/>
      <c r="Q110" s="62"/>
      <c r="R110" s="61"/>
      <c r="S110" s="61"/>
      <c r="T110" s="61"/>
      <c r="U110" s="61"/>
    </row>
    <row r="111">
      <c r="P111" s="61"/>
      <c r="Q111" s="62"/>
      <c r="R111" s="61"/>
      <c r="S111" s="61"/>
      <c r="T111" s="61"/>
      <c r="U111" s="61"/>
    </row>
    <row r="112">
      <c r="P112" s="61"/>
      <c r="Q112" s="62"/>
      <c r="R112" s="61"/>
      <c r="S112" s="61"/>
      <c r="T112" s="61"/>
      <c r="U112" s="61"/>
    </row>
    <row r="113">
      <c r="P113" s="61"/>
      <c r="Q113" s="62"/>
      <c r="R113" s="61"/>
      <c r="S113" s="61"/>
      <c r="T113" s="61"/>
      <c r="U113" s="61"/>
    </row>
    <row r="114">
      <c r="P114" s="61"/>
      <c r="Q114" s="62"/>
      <c r="R114" s="61"/>
      <c r="S114" s="61"/>
      <c r="T114" s="61"/>
      <c r="U114" s="61"/>
    </row>
    <row r="115">
      <c r="P115" s="61"/>
      <c r="Q115" s="62"/>
      <c r="R115" s="61"/>
      <c r="S115" s="61"/>
      <c r="T115" s="61"/>
      <c r="U115" s="61"/>
    </row>
    <row r="116">
      <c r="P116" s="61"/>
      <c r="Q116" s="62"/>
      <c r="R116" s="61"/>
      <c r="S116" s="61"/>
      <c r="T116" s="61"/>
      <c r="U116" s="61"/>
    </row>
    <row r="117">
      <c r="P117" s="61"/>
      <c r="Q117" s="62"/>
      <c r="R117" s="61"/>
      <c r="S117" s="61"/>
      <c r="T117" s="61"/>
      <c r="U117" s="61"/>
    </row>
    <row r="118">
      <c r="P118" s="61"/>
      <c r="Q118" s="62"/>
      <c r="R118" s="61"/>
      <c r="S118" s="61"/>
      <c r="T118" s="61"/>
      <c r="U118" s="61"/>
    </row>
    <row r="119">
      <c r="P119" s="61"/>
      <c r="Q119" s="62"/>
      <c r="R119" s="61"/>
      <c r="S119" s="61"/>
      <c r="T119" s="61"/>
      <c r="U119" s="61"/>
    </row>
    <row r="120">
      <c r="P120" s="61"/>
      <c r="Q120" s="62"/>
      <c r="R120" s="61"/>
      <c r="S120" s="61"/>
      <c r="T120" s="61"/>
      <c r="U120" s="61"/>
    </row>
    <row r="121">
      <c r="P121" s="61"/>
      <c r="Q121" s="62"/>
      <c r="R121" s="61"/>
      <c r="S121" s="61"/>
      <c r="T121" s="61"/>
      <c r="U121" s="61"/>
    </row>
    <row r="122">
      <c r="P122" s="61"/>
      <c r="Q122" s="62"/>
      <c r="R122" s="61"/>
      <c r="S122" s="61"/>
      <c r="T122" s="61"/>
      <c r="U122" s="61"/>
    </row>
    <row r="123">
      <c r="P123" s="61"/>
      <c r="Q123" s="62"/>
      <c r="R123" s="61"/>
      <c r="S123" s="61"/>
      <c r="T123" s="61"/>
      <c r="U123" s="61"/>
    </row>
    <row r="124">
      <c r="P124" s="61"/>
      <c r="Q124" s="62"/>
      <c r="R124" s="61"/>
      <c r="S124" s="61"/>
      <c r="T124" s="61"/>
      <c r="U124" s="61"/>
    </row>
    <row r="125">
      <c r="P125" s="61"/>
      <c r="Q125" s="62"/>
      <c r="R125" s="61"/>
      <c r="S125" s="61"/>
      <c r="T125" s="61"/>
      <c r="U125" s="61"/>
    </row>
    <row r="126">
      <c r="P126" s="61"/>
      <c r="Q126" s="62"/>
      <c r="R126" s="61"/>
      <c r="S126" s="61"/>
      <c r="T126" s="61"/>
      <c r="U126" s="61"/>
    </row>
    <row r="127">
      <c r="P127" s="61"/>
      <c r="Q127" s="62"/>
      <c r="R127" s="61"/>
      <c r="S127" s="61"/>
      <c r="T127" s="61"/>
      <c r="U127" s="61"/>
    </row>
    <row r="128">
      <c r="P128" s="61"/>
      <c r="Q128" s="62"/>
      <c r="R128" s="61"/>
      <c r="S128" s="61"/>
      <c r="T128" s="61"/>
      <c r="U128" s="61"/>
    </row>
    <row r="129">
      <c r="P129" s="61"/>
      <c r="Q129" s="62"/>
      <c r="R129" s="61"/>
      <c r="S129" s="61"/>
      <c r="T129" s="61"/>
      <c r="U129" s="61"/>
    </row>
    <row r="130">
      <c r="P130" s="61"/>
      <c r="Q130" s="62"/>
      <c r="R130" s="61"/>
      <c r="S130" s="61"/>
      <c r="T130" s="61"/>
      <c r="U130" s="61"/>
    </row>
    <row r="131">
      <c r="P131" s="61"/>
      <c r="Q131" s="62"/>
      <c r="R131" s="61"/>
      <c r="S131" s="61"/>
      <c r="T131" s="61"/>
      <c r="U131" s="61"/>
    </row>
    <row r="132">
      <c r="P132" s="61"/>
      <c r="Q132" s="62"/>
      <c r="R132" s="61"/>
      <c r="S132" s="61"/>
      <c r="T132" s="61"/>
      <c r="U132" s="61"/>
    </row>
    <row r="133">
      <c r="P133" s="61"/>
      <c r="Q133" s="62"/>
      <c r="R133" s="61"/>
      <c r="S133" s="61"/>
      <c r="T133" s="61"/>
      <c r="U133" s="61"/>
    </row>
    <row r="134">
      <c r="P134" s="61"/>
      <c r="Q134" s="62"/>
      <c r="R134" s="61"/>
      <c r="S134" s="61"/>
      <c r="T134" s="61"/>
      <c r="U134" s="61"/>
    </row>
    <row r="135">
      <c r="P135" s="61"/>
      <c r="Q135" s="62"/>
      <c r="R135" s="61"/>
      <c r="S135" s="61"/>
      <c r="T135" s="61"/>
      <c r="U135" s="61"/>
    </row>
    <row r="136">
      <c r="P136" s="61"/>
      <c r="Q136" s="62"/>
      <c r="R136" s="61"/>
      <c r="S136" s="61"/>
      <c r="T136" s="61"/>
      <c r="U136" s="61"/>
    </row>
    <row r="137">
      <c r="P137" s="61"/>
      <c r="Q137" s="62"/>
      <c r="R137" s="61"/>
      <c r="S137" s="61"/>
      <c r="T137" s="61"/>
      <c r="U137" s="61"/>
    </row>
    <row r="138">
      <c r="P138" s="61"/>
      <c r="Q138" s="62"/>
      <c r="R138" s="61"/>
      <c r="S138" s="61"/>
      <c r="T138" s="61"/>
      <c r="U138" s="61"/>
    </row>
    <row r="139">
      <c r="P139" s="61"/>
      <c r="Q139" s="62"/>
      <c r="R139" s="61"/>
      <c r="S139" s="61"/>
      <c r="T139" s="61"/>
      <c r="U139" s="61"/>
    </row>
    <row r="140">
      <c r="P140" s="61"/>
      <c r="Q140" s="62"/>
      <c r="R140" s="61"/>
      <c r="S140" s="61"/>
      <c r="T140" s="61"/>
      <c r="U140" s="61"/>
    </row>
    <row r="141">
      <c r="P141" s="61"/>
      <c r="Q141" s="62"/>
      <c r="R141" s="61"/>
      <c r="S141" s="61"/>
      <c r="T141" s="61"/>
      <c r="U141" s="61"/>
    </row>
    <row r="142">
      <c r="P142" s="61"/>
      <c r="Q142" s="62"/>
      <c r="R142" s="61"/>
      <c r="S142" s="61"/>
      <c r="T142" s="61"/>
      <c r="U142" s="61"/>
    </row>
    <row r="143">
      <c r="P143" s="61"/>
      <c r="Q143" s="62"/>
      <c r="R143" s="61"/>
      <c r="S143" s="61"/>
      <c r="T143" s="61"/>
      <c r="U143" s="61"/>
    </row>
    <row r="144">
      <c r="P144" s="61"/>
      <c r="Q144" s="62"/>
      <c r="R144" s="61"/>
      <c r="S144" s="61"/>
      <c r="T144" s="61"/>
      <c r="U144" s="61"/>
    </row>
    <row r="145">
      <c r="P145" s="61"/>
      <c r="Q145" s="62"/>
      <c r="R145" s="61"/>
      <c r="S145" s="61"/>
      <c r="T145" s="61"/>
      <c r="U145" s="61"/>
    </row>
    <row r="146">
      <c r="P146" s="61"/>
      <c r="Q146" s="62"/>
      <c r="R146" s="61"/>
      <c r="S146" s="61"/>
      <c r="T146" s="61"/>
      <c r="U146" s="61"/>
    </row>
    <row r="147">
      <c r="P147" s="61"/>
      <c r="Q147" s="62"/>
      <c r="R147" s="61"/>
      <c r="S147" s="61"/>
      <c r="T147" s="61"/>
      <c r="U147" s="61"/>
    </row>
    <row r="148">
      <c r="P148" s="61"/>
      <c r="Q148" s="62"/>
      <c r="R148" s="61"/>
      <c r="S148" s="61"/>
      <c r="T148" s="61"/>
      <c r="U148" s="61"/>
    </row>
    <row r="149">
      <c r="P149" s="61"/>
      <c r="Q149" s="62"/>
      <c r="R149" s="61"/>
      <c r="S149" s="61"/>
      <c r="T149" s="61"/>
      <c r="U149" s="61"/>
    </row>
    <row r="150">
      <c r="P150" s="61"/>
      <c r="Q150" s="62"/>
      <c r="R150" s="61"/>
      <c r="S150" s="61"/>
      <c r="T150" s="61"/>
      <c r="U150" s="61"/>
    </row>
    <row r="151">
      <c r="P151" s="61"/>
      <c r="Q151" s="62"/>
      <c r="R151" s="61"/>
      <c r="S151" s="61"/>
      <c r="T151" s="61"/>
      <c r="U151" s="61"/>
    </row>
    <row r="152">
      <c r="P152" s="61"/>
      <c r="Q152" s="62"/>
      <c r="R152" s="61"/>
      <c r="S152" s="61"/>
      <c r="T152" s="61"/>
      <c r="U152" s="61"/>
    </row>
    <row r="153">
      <c r="P153" s="61"/>
      <c r="Q153" s="62"/>
      <c r="R153" s="61"/>
      <c r="S153" s="61"/>
      <c r="T153" s="61"/>
      <c r="U153" s="61"/>
    </row>
    <row r="154">
      <c r="P154" s="61"/>
      <c r="Q154" s="62"/>
      <c r="R154" s="61"/>
      <c r="S154" s="61"/>
      <c r="T154" s="61"/>
      <c r="U154" s="61"/>
    </row>
    <row r="155">
      <c r="P155" s="61"/>
      <c r="Q155" s="62"/>
      <c r="R155" s="61"/>
      <c r="S155" s="61"/>
      <c r="T155" s="61"/>
      <c r="U155" s="61"/>
    </row>
    <row r="156">
      <c r="P156" s="61"/>
      <c r="Q156" s="62"/>
      <c r="R156" s="61"/>
      <c r="S156" s="61"/>
      <c r="T156" s="61"/>
      <c r="U156" s="61"/>
    </row>
    <row r="157">
      <c r="P157" s="61"/>
      <c r="Q157" s="62"/>
      <c r="R157" s="61"/>
      <c r="S157" s="61"/>
      <c r="T157" s="61"/>
      <c r="U157" s="61"/>
    </row>
    <row r="158">
      <c r="P158" s="61"/>
      <c r="Q158" s="62"/>
      <c r="R158" s="61"/>
      <c r="S158" s="61"/>
      <c r="T158" s="61"/>
      <c r="U158" s="61"/>
    </row>
    <row r="159">
      <c r="P159" s="61"/>
      <c r="Q159" s="62"/>
      <c r="R159" s="61"/>
      <c r="S159" s="61"/>
      <c r="T159" s="61"/>
      <c r="U159" s="61"/>
    </row>
    <row r="160">
      <c r="P160" s="61"/>
      <c r="Q160" s="62"/>
      <c r="R160" s="61"/>
      <c r="S160" s="61"/>
      <c r="T160" s="61"/>
      <c r="U160" s="61"/>
    </row>
    <row r="161">
      <c r="P161" s="61"/>
      <c r="Q161" s="62"/>
      <c r="R161" s="61"/>
      <c r="S161" s="61"/>
      <c r="T161" s="61"/>
      <c r="U161" s="61"/>
    </row>
    <row r="162">
      <c r="P162" s="61"/>
      <c r="Q162" s="62"/>
      <c r="R162" s="61"/>
      <c r="S162" s="61"/>
      <c r="T162" s="61"/>
      <c r="U162" s="61"/>
    </row>
    <row r="163">
      <c r="P163" s="61"/>
      <c r="Q163" s="62"/>
      <c r="R163" s="61"/>
      <c r="S163" s="61"/>
      <c r="T163" s="61"/>
      <c r="U163" s="61"/>
    </row>
    <row r="164">
      <c r="P164" s="61"/>
      <c r="Q164" s="62"/>
      <c r="R164" s="61"/>
      <c r="S164" s="61"/>
      <c r="T164" s="61"/>
      <c r="U164" s="61"/>
    </row>
    <row r="165">
      <c r="P165" s="61"/>
      <c r="Q165" s="62"/>
      <c r="R165" s="61"/>
      <c r="S165" s="61"/>
      <c r="T165" s="61"/>
      <c r="U165" s="61"/>
    </row>
    <row r="166">
      <c r="P166" s="61"/>
      <c r="Q166" s="62"/>
      <c r="R166" s="61"/>
      <c r="S166" s="61"/>
      <c r="T166" s="61"/>
      <c r="U166" s="61"/>
    </row>
    <row r="167">
      <c r="P167" s="61"/>
      <c r="Q167" s="62"/>
      <c r="R167" s="61"/>
      <c r="S167" s="61"/>
      <c r="T167" s="61"/>
      <c r="U167" s="61"/>
    </row>
    <row r="168">
      <c r="P168" s="61"/>
      <c r="Q168" s="62"/>
      <c r="R168" s="61"/>
      <c r="S168" s="61"/>
      <c r="T168" s="61"/>
      <c r="U168" s="61"/>
    </row>
    <row r="169">
      <c r="P169" s="61"/>
      <c r="Q169" s="62"/>
      <c r="R169" s="61"/>
      <c r="S169" s="61"/>
      <c r="T169" s="61"/>
      <c r="U169" s="61"/>
    </row>
    <row r="170">
      <c r="P170" s="61"/>
      <c r="Q170" s="62"/>
      <c r="R170" s="61"/>
      <c r="S170" s="61"/>
      <c r="T170" s="61"/>
      <c r="U170" s="61"/>
    </row>
    <row r="171">
      <c r="P171" s="61"/>
      <c r="Q171" s="62"/>
      <c r="R171" s="61"/>
      <c r="S171" s="61"/>
      <c r="T171" s="61"/>
      <c r="U171" s="61"/>
    </row>
    <row r="172">
      <c r="P172" s="61"/>
      <c r="Q172" s="62"/>
      <c r="R172" s="61"/>
      <c r="S172" s="61"/>
      <c r="T172" s="61"/>
      <c r="U172" s="61"/>
    </row>
    <row r="173">
      <c r="P173" s="61"/>
      <c r="Q173" s="62"/>
      <c r="R173" s="61"/>
      <c r="S173" s="61"/>
      <c r="T173" s="61"/>
      <c r="U173" s="61"/>
    </row>
    <row r="174">
      <c r="P174" s="61"/>
      <c r="Q174" s="62"/>
      <c r="R174" s="61"/>
      <c r="S174" s="61"/>
      <c r="T174" s="61"/>
      <c r="U174" s="61"/>
    </row>
    <row r="175">
      <c r="P175" s="61"/>
      <c r="Q175" s="62"/>
      <c r="R175" s="61"/>
      <c r="S175" s="61"/>
      <c r="T175" s="61"/>
      <c r="U175" s="61"/>
    </row>
    <row r="176">
      <c r="P176" s="61"/>
      <c r="Q176" s="62"/>
      <c r="R176" s="61"/>
      <c r="S176" s="61"/>
      <c r="T176" s="61"/>
      <c r="U176" s="61"/>
    </row>
    <row r="177">
      <c r="P177" s="61"/>
      <c r="Q177" s="62"/>
      <c r="R177" s="61"/>
      <c r="S177" s="61"/>
      <c r="T177" s="61"/>
      <c r="U177" s="61"/>
    </row>
    <row r="178">
      <c r="P178" s="61"/>
      <c r="Q178" s="62"/>
      <c r="R178" s="61"/>
      <c r="S178" s="61"/>
      <c r="T178" s="61"/>
      <c r="U178" s="61"/>
    </row>
    <row r="179">
      <c r="P179" s="61"/>
      <c r="Q179" s="62"/>
      <c r="R179" s="61"/>
      <c r="S179" s="61"/>
      <c r="T179" s="61"/>
      <c r="U179" s="61"/>
    </row>
    <row r="180">
      <c r="P180" s="61"/>
      <c r="Q180" s="62"/>
      <c r="R180" s="61"/>
      <c r="S180" s="61"/>
      <c r="T180" s="61"/>
      <c r="U180" s="61"/>
    </row>
    <row r="181">
      <c r="P181" s="61"/>
      <c r="Q181" s="62"/>
      <c r="R181" s="61"/>
      <c r="S181" s="61"/>
      <c r="T181" s="61"/>
      <c r="U181" s="61"/>
    </row>
    <row r="182">
      <c r="P182" s="61"/>
      <c r="Q182" s="62"/>
      <c r="R182" s="61"/>
      <c r="S182" s="61"/>
      <c r="T182" s="61"/>
      <c r="U182" s="61"/>
    </row>
    <row r="183">
      <c r="P183" s="61"/>
      <c r="Q183" s="62"/>
      <c r="R183" s="61"/>
      <c r="S183" s="61"/>
      <c r="T183" s="61"/>
      <c r="U183" s="61"/>
    </row>
    <row r="184">
      <c r="P184" s="61"/>
      <c r="Q184" s="62"/>
      <c r="R184" s="61"/>
      <c r="S184" s="61"/>
      <c r="T184" s="61"/>
      <c r="U184" s="61"/>
    </row>
    <row r="185">
      <c r="P185" s="61"/>
      <c r="Q185" s="62"/>
      <c r="R185" s="61"/>
      <c r="S185" s="61"/>
      <c r="T185" s="61"/>
      <c r="U185" s="61"/>
    </row>
    <row r="186">
      <c r="P186" s="61"/>
      <c r="Q186" s="62"/>
      <c r="R186" s="61"/>
      <c r="S186" s="61"/>
      <c r="T186" s="61"/>
      <c r="U186" s="61"/>
    </row>
    <row r="187">
      <c r="P187" s="61"/>
      <c r="Q187" s="62"/>
      <c r="R187" s="61"/>
      <c r="S187" s="61"/>
      <c r="T187" s="61"/>
      <c r="U187" s="61"/>
    </row>
    <row r="188">
      <c r="P188" s="61"/>
      <c r="Q188" s="62"/>
      <c r="R188" s="61"/>
      <c r="S188" s="61"/>
      <c r="T188" s="61"/>
      <c r="U188" s="61"/>
    </row>
    <row r="189">
      <c r="P189" s="61"/>
      <c r="Q189" s="62"/>
      <c r="R189" s="61"/>
      <c r="S189" s="61"/>
      <c r="T189" s="61"/>
      <c r="U189" s="61"/>
    </row>
    <row r="190">
      <c r="P190" s="61"/>
      <c r="Q190" s="62"/>
      <c r="R190" s="61"/>
      <c r="S190" s="61"/>
      <c r="T190" s="61"/>
      <c r="U190" s="61"/>
    </row>
    <row r="191">
      <c r="P191" s="61"/>
      <c r="Q191" s="62"/>
      <c r="R191" s="61"/>
      <c r="S191" s="61"/>
      <c r="T191" s="61"/>
      <c r="U191" s="61"/>
    </row>
    <row r="192">
      <c r="P192" s="61"/>
      <c r="Q192" s="62"/>
      <c r="R192" s="61"/>
      <c r="S192" s="61"/>
      <c r="T192" s="61"/>
      <c r="U192" s="61"/>
    </row>
    <row r="193">
      <c r="P193" s="61"/>
      <c r="Q193" s="62"/>
      <c r="R193" s="61"/>
      <c r="S193" s="61"/>
      <c r="T193" s="61"/>
      <c r="U193" s="61"/>
    </row>
    <row r="194">
      <c r="P194" s="61"/>
      <c r="Q194" s="62"/>
      <c r="R194" s="61"/>
      <c r="S194" s="61"/>
      <c r="T194" s="61"/>
      <c r="U194" s="61"/>
    </row>
    <row r="195">
      <c r="P195" s="61"/>
      <c r="Q195" s="62"/>
      <c r="R195" s="61"/>
      <c r="S195" s="61"/>
      <c r="T195" s="61"/>
      <c r="U195" s="61"/>
    </row>
    <row r="196">
      <c r="P196" s="61"/>
      <c r="Q196" s="62"/>
      <c r="R196" s="61"/>
      <c r="S196" s="61"/>
      <c r="T196" s="61"/>
      <c r="U196" s="61"/>
    </row>
    <row r="197">
      <c r="P197" s="61"/>
      <c r="Q197" s="62"/>
      <c r="R197" s="61"/>
      <c r="S197" s="61"/>
      <c r="T197" s="61"/>
      <c r="U197" s="61"/>
    </row>
    <row r="198">
      <c r="P198" s="61"/>
      <c r="Q198" s="62"/>
      <c r="R198" s="61"/>
      <c r="S198" s="61"/>
      <c r="T198" s="61"/>
      <c r="U198" s="61"/>
    </row>
    <row r="199">
      <c r="P199" s="61"/>
      <c r="Q199" s="62"/>
      <c r="R199" s="61"/>
      <c r="S199" s="61"/>
      <c r="T199" s="61"/>
      <c r="U199" s="61"/>
    </row>
    <row r="200">
      <c r="P200" s="61"/>
      <c r="Q200" s="62"/>
      <c r="R200" s="61"/>
      <c r="S200" s="61"/>
      <c r="T200" s="61"/>
      <c r="U200" s="61"/>
    </row>
    <row r="201">
      <c r="P201" s="61"/>
      <c r="Q201" s="62"/>
      <c r="R201" s="61"/>
      <c r="S201" s="61"/>
      <c r="T201" s="61"/>
      <c r="U201" s="61"/>
    </row>
    <row r="202">
      <c r="P202" s="61"/>
      <c r="Q202" s="62"/>
      <c r="R202" s="61"/>
      <c r="S202" s="61"/>
      <c r="T202" s="61"/>
      <c r="U202" s="61"/>
    </row>
    <row r="203">
      <c r="P203" s="61"/>
      <c r="Q203" s="62"/>
      <c r="R203" s="61"/>
      <c r="S203" s="61"/>
      <c r="T203" s="61"/>
      <c r="U203" s="61"/>
    </row>
    <row r="204">
      <c r="P204" s="61"/>
      <c r="Q204" s="62"/>
      <c r="R204" s="61"/>
      <c r="S204" s="61"/>
      <c r="T204" s="61"/>
      <c r="U204" s="61"/>
    </row>
    <row r="205">
      <c r="P205" s="61"/>
      <c r="Q205" s="62"/>
      <c r="R205" s="61"/>
      <c r="S205" s="61"/>
      <c r="T205" s="61"/>
      <c r="U205" s="61"/>
    </row>
    <row r="206">
      <c r="P206" s="61"/>
      <c r="Q206" s="62"/>
      <c r="R206" s="61"/>
      <c r="S206" s="61"/>
      <c r="T206" s="61"/>
      <c r="U206" s="61"/>
    </row>
    <row r="207">
      <c r="P207" s="61"/>
      <c r="Q207" s="62"/>
      <c r="R207" s="61"/>
      <c r="S207" s="61"/>
      <c r="T207" s="61"/>
      <c r="U207" s="61"/>
    </row>
    <row r="208">
      <c r="P208" s="61"/>
      <c r="Q208" s="62"/>
      <c r="R208" s="61"/>
      <c r="S208" s="61"/>
      <c r="T208" s="61"/>
      <c r="U208" s="61"/>
    </row>
    <row r="209">
      <c r="P209" s="61"/>
      <c r="Q209" s="62"/>
      <c r="R209" s="61"/>
      <c r="S209" s="61"/>
      <c r="T209" s="61"/>
      <c r="U209" s="61"/>
    </row>
    <row r="210">
      <c r="P210" s="61"/>
      <c r="Q210" s="62"/>
      <c r="R210" s="61"/>
      <c r="S210" s="61"/>
      <c r="T210" s="61"/>
      <c r="U210" s="61"/>
    </row>
    <row r="211">
      <c r="P211" s="61"/>
      <c r="Q211" s="62"/>
      <c r="R211" s="61"/>
      <c r="S211" s="61"/>
      <c r="T211" s="61"/>
      <c r="U211" s="61"/>
    </row>
    <row r="212">
      <c r="P212" s="61"/>
      <c r="Q212" s="62"/>
      <c r="R212" s="61"/>
      <c r="S212" s="61"/>
      <c r="T212" s="61"/>
      <c r="U212" s="61"/>
    </row>
    <row r="213">
      <c r="P213" s="61"/>
      <c r="Q213" s="62"/>
      <c r="R213" s="61"/>
      <c r="S213" s="61"/>
      <c r="T213" s="61"/>
      <c r="U213" s="61"/>
    </row>
    <row r="214">
      <c r="P214" s="61"/>
      <c r="Q214" s="62"/>
      <c r="R214" s="61"/>
      <c r="S214" s="61"/>
      <c r="T214" s="61"/>
      <c r="U214" s="61"/>
    </row>
    <row r="215">
      <c r="P215" s="61"/>
      <c r="Q215" s="62"/>
      <c r="R215" s="61"/>
      <c r="S215" s="61"/>
      <c r="T215" s="61"/>
      <c r="U215" s="61"/>
    </row>
    <row r="216">
      <c r="P216" s="61"/>
      <c r="Q216" s="62"/>
      <c r="R216" s="61"/>
      <c r="S216" s="61"/>
      <c r="T216" s="61"/>
      <c r="U216" s="61"/>
    </row>
    <row r="217">
      <c r="P217" s="61"/>
      <c r="Q217" s="62"/>
      <c r="R217" s="61"/>
      <c r="S217" s="61"/>
      <c r="T217" s="61"/>
      <c r="U217" s="61"/>
    </row>
    <row r="218">
      <c r="P218" s="61"/>
      <c r="Q218" s="62"/>
      <c r="R218" s="61"/>
      <c r="S218" s="61"/>
      <c r="T218" s="61"/>
      <c r="U218" s="61"/>
    </row>
    <row r="219">
      <c r="P219" s="61"/>
      <c r="Q219" s="62"/>
      <c r="R219" s="61"/>
      <c r="S219" s="61"/>
      <c r="T219" s="61"/>
      <c r="U219" s="61"/>
    </row>
    <row r="220">
      <c r="P220" s="61"/>
      <c r="Q220" s="62"/>
      <c r="R220" s="61"/>
      <c r="S220" s="61"/>
      <c r="T220" s="61"/>
      <c r="U220" s="61"/>
    </row>
    <row r="221">
      <c r="P221" s="61"/>
      <c r="Q221" s="62"/>
      <c r="R221" s="61"/>
      <c r="S221" s="61"/>
      <c r="T221" s="61"/>
      <c r="U221" s="61"/>
    </row>
    <row r="222">
      <c r="P222" s="61"/>
      <c r="Q222" s="62"/>
      <c r="R222" s="61"/>
      <c r="S222" s="61"/>
      <c r="T222" s="61"/>
      <c r="U222" s="61"/>
    </row>
    <row r="223">
      <c r="P223" s="61"/>
      <c r="Q223" s="62"/>
      <c r="R223" s="61"/>
      <c r="S223" s="61"/>
      <c r="T223" s="61"/>
      <c r="U223" s="61"/>
    </row>
    <row r="224">
      <c r="P224" s="61"/>
      <c r="Q224" s="62"/>
      <c r="R224" s="61"/>
      <c r="S224" s="61"/>
      <c r="T224" s="61"/>
      <c r="U224" s="61"/>
    </row>
    <row r="225">
      <c r="P225" s="61"/>
      <c r="Q225" s="62"/>
      <c r="R225" s="61"/>
      <c r="S225" s="61"/>
      <c r="T225" s="61"/>
      <c r="U225" s="61"/>
    </row>
    <row r="226">
      <c r="P226" s="61"/>
      <c r="Q226" s="62"/>
      <c r="R226" s="61"/>
      <c r="S226" s="61"/>
      <c r="T226" s="61"/>
      <c r="U226" s="61"/>
    </row>
    <row r="227">
      <c r="P227" s="61"/>
      <c r="Q227" s="62"/>
      <c r="R227" s="61"/>
      <c r="S227" s="61"/>
      <c r="T227" s="61"/>
      <c r="U227" s="61"/>
    </row>
    <row r="228">
      <c r="P228" s="61"/>
      <c r="Q228" s="62"/>
      <c r="R228" s="61"/>
      <c r="S228" s="61"/>
      <c r="T228" s="61"/>
      <c r="U228" s="61"/>
    </row>
    <row r="229">
      <c r="P229" s="61"/>
      <c r="Q229" s="62"/>
      <c r="R229" s="61"/>
      <c r="S229" s="61"/>
      <c r="T229" s="61"/>
      <c r="U229" s="61"/>
    </row>
    <row r="230">
      <c r="P230" s="61"/>
      <c r="Q230" s="62"/>
      <c r="R230" s="61"/>
      <c r="S230" s="61"/>
      <c r="T230" s="61"/>
      <c r="U230" s="61"/>
    </row>
    <row r="231">
      <c r="P231" s="61"/>
      <c r="Q231" s="62"/>
      <c r="R231" s="61"/>
      <c r="S231" s="61"/>
      <c r="T231" s="61"/>
      <c r="U231" s="61"/>
    </row>
    <row r="232">
      <c r="P232" s="61"/>
      <c r="Q232" s="62"/>
      <c r="R232" s="61"/>
      <c r="S232" s="61"/>
      <c r="T232" s="61"/>
      <c r="U232" s="61"/>
    </row>
    <row r="233">
      <c r="P233" s="61"/>
      <c r="Q233" s="62"/>
      <c r="R233" s="61"/>
      <c r="S233" s="61"/>
      <c r="T233" s="61"/>
      <c r="U233" s="61"/>
    </row>
    <row r="234">
      <c r="P234" s="61"/>
      <c r="Q234" s="62"/>
      <c r="R234" s="61"/>
      <c r="S234" s="61"/>
      <c r="T234" s="61"/>
      <c r="U234" s="61"/>
    </row>
    <row r="235">
      <c r="P235" s="61"/>
      <c r="Q235" s="62"/>
      <c r="R235" s="61"/>
      <c r="S235" s="61"/>
      <c r="T235" s="61"/>
      <c r="U235" s="61"/>
    </row>
    <row r="236">
      <c r="P236" s="61"/>
      <c r="Q236" s="62"/>
      <c r="R236" s="61"/>
      <c r="S236" s="61"/>
      <c r="T236" s="61"/>
      <c r="U236" s="61"/>
    </row>
    <row r="237">
      <c r="P237" s="61"/>
      <c r="Q237" s="62"/>
      <c r="R237" s="61"/>
      <c r="S237" s="61"/>
      <c r="T237" s="61"/>
      <c r="U237" s="61"/>
    </row>
    <row r="238">
      <c r="P238" s="61"/>
      <c r="Q238" s="62"/>
      <c r="R238" s="61"/>
      <c r="S238" s="61"/>
      <c r="T238" s="61"/>
      <c r="U238" s="61"/>
    </row>
    <row r="239">
      <c r="P239" s="61"/>
      <c r="Q239" s="62"/>
      <c r="R239" s="61"/>
      <c r="S239" s="61"/>
      <c r="T239" s="61"/>
      <c r="U239" s="61"/>
    </row>
    <row r="240">
      <c r="P240" s="61"/>
      <c r="Q240" s="62"/>
      <c r="R240" s="61"/>
      <c r="S240" s="61"/>
      <c r="T240" s="61"/>
      <c r="U240" s="61"/>
    </row>
    <row r="241">
      <c r="P241" s="61"/>
      <c r="Q241" s="62"/>
      <c r="R241" s="61"/>
      <c r="S241" s="61"/>
      <c r="T241" s="61"/>
      <c r="U241" s="61"/>
    </row>
    <row r="242">
      <c r="P242" s="61"/>
      <c r="Q242" s="62"/>
      <c r="R242" s="61"/>
      <c r="S242" s="61"/>
      <c r="T242" s="61"/>
      <c r="U242" s="61"/>
    </row>
    <row r="243">
      <c r="P243" s="61"/>
      <c r="Q243" s="62"/>
      <c r="R243" s="61"/>
      <c r="S243" s="61"/>
      <c r="T243" s="61"/>
      <c r="U243" s="61"/>
    </row>
    <row r="244">
      <c r="P244" s="61"/>
      <c r="Q244" s="62"/>
      <c r="R244" s="61"/>
      <c r="S244" s="61"/>
      <c r="T244" s="61"/>
      <c r="U244" s="61"/>
    </row>
    <row r="245">
      <c r="P245" s="61"/>
      <c r="Q245" s="62"/>
      <c r="R245" s="61"/>
      <c r="S245" s="61"/>
      <c r="T245" s="61"/>
      <c r="U245" s="61"/>
    </row>
    <row r="246">
      <c r="P246" s="61"/>
      <c r="Q246" s="62"/>
      <c r="R246" s="61"/>
      <c r="S246" s="61"/>
      <c r="T246" s="61"/>
      <c r="U246" s="61"/>
    </row>
    <row r="247">
      <c r="P247" s="61"/>
      <c r="Q247" s="62"/>
      <c r="R247" s="61"/>
      <c r="S247" s="61"/>
      <c r="T247" s="61"/>
      <c r="U247" s="61"/>
    </row>
    <row r="248">
      <c r="P248" s="61"/>
      <c r="Q248" s="62"/>
      <c r="R248" s="61"/>
      <c r="S248" s="61"/>
      <c r="T248" s="61"/>
      <c r="U248" s="61"/>
    </row>
    <row r="249">
      <c r="P249" s="61"/>
      <c r="Q249" s="62"/>
      <c r="R249" s="61"/>
      <c r="S249" s="61"/>
      <c r="T249" s="61"/>
      <c r="U249" s="61"/>
    </row>
    <row r="250">
      <c r="P250" s="61"/>
      <c r="Q250" s="62"/>
      <c r="R250" s="61"/>
      <c r="S250" s="61"/>
      <c r="T250" s="61"/>
      <c r="U250" s="61"/>
    </row>
    <row r="251">
      <c r="P251" s="61"/>
      <c r="Q251" s="62"/>
      <c r="R251" s="61"/>
      <c r="S251" s="61"/>
      <c r="T251" s="61"/>
      <c r="U251" s="61"/>
    </row>
    <row r="252">
      <c r="P252" s="61"/>
      <c r="Q252" s="62"/>
      <c r="R252" s="61"/>
      <c r="S252" s="61"/>
      <c r="T252" s="61"/>
      <c r="U252" s="61"/>
    </row>
    <row r="253">
      <c r="P253" s="61"/>
      <c r="Q253" s="62"/>
      <c r="R253" s="61"/>
      <c r="S253" s="61"/>
      <c r="T253" s="61"/>
      <c r="U253" s="61"/>
    </row>
    <row r="254">
      <c r="P254" s="61"/>
      <c r="Q254" s="62"/>
      <c r="R254" s="61"/>
      <c r="S254" s="61"/>
      <c r="T254" s="61"/>
      <c r="U254" s="61"/>
    </row>
    <row r="255">
      <c r="P255" s="61"/>
      <c r="Q255" s="62"/>
      <c r="R255" s="61"/>
      <c r="S255" s="61"/>
      <c r="T255" s="61"/>
      <c r="U255" s="61"/>
    </row>
    <row r="256">
      <c r="P256" s="61"/>
      <c r="Q256" s="62"/>
      <c r="R256" s="61"/>
      <c r="S256" s="61"/>
      <c r="T256" s="61"/>
      <c r="U256" s="61"/>
    </row>
    <row r="257">
      <c r="P257" s="61"/>
      <c r="Q257" s="62"/>
      <c r="R257" s="61"/>
      <c r="S257" s="61"/>
      <c r="T257" s="61"/>
      <c r="U257" s="61"/>
    </row>
    <row r="258">
      <c r="P258" s="61"/>
      <c r="Q258" s="62"/>
      <c r="R258" s="61"/>
      <c r="S258" s="61"/>
      <c r="T258" s="61"/>
      <c r="U258" s="61"/>
    </row>
    <row r="259">
      <c r="P259" s="61"/>
      <c r="Q259" s="62"/>
      <c r="R259" s="61"/>
      <c r="S259" s="61"/>
      <c r="T259" s="61"/>
      <c r="U259" s="61"/>
    </row>
    <row r="260">
      <c r="P260" s="61"/>
      <c r="Q260" s="62"/>
      <c r="R260" s="61"/>
      <c r="S260" s="61"/>
      <c r="T260" s="61"/>
      <c r="U260" s="61"/>
    </row>
    <row r="261">
      <c r="P261" s="61"/>
      <c r="Q261" s="62"/>
      <c r="R261" s="61"/>
      <c r="S261" s="61"/>
      <c r="T261" s="61"/>
      <c r="U261" s="61"/>
    </row>
    <row r="262">
      <c r="P262" s="61"/>
      <c r="Q262" s="62"/>
      <c r="R262" s="61"/>
      <c r="S262" s="61"/>
      <c r="T262" s="61"/>
      <c r="U262" s="61"/>
    </row>
    <row r="263">
      <c r="P263" s="61"/>
      <c r="Q263" s="62"/>
      <c r="R263" s="61"/>
      <c r="S263" s="61"/>
      <c r="T263" s="61"/>
      <c r="U263" s="61"/>
    </row>
    <row r="264">
      <c r="P264" s="61"/>
      <c r="Q264" s="62"/>
      <c r="R264" s="61"/>
      <c r="S264" s="61"/>
      <c r="T264" s="61"/>
      <c r="U264" s="61"/>
    </row>
    <row r="265">
      <c r="P265" s="61"/>
      <c r="Q265" s="62"/>
      <c r="R265" s="61"/>
      <c r="S265" s="61"/>
      <c r="T265" s="61"/>
      <c r="U265" s="61"/>
    </row>
    <row r="266">
      <c r="P266" s="61"/>
      <c r="Q266" s="62"/>
      <c r="R266" s="61"/>
      <c r="S266" s="61"/>
      <c r="T266" s="61"/>
      <c r="U266" s="61"/>
    </row>
    <row r="267">
      <c r="P267" s="61"/>
      <c r="Q267" s="62"/>
      <c r="R267" s="61"/>
      <c r="S267" s="61"/>
      <c r="T267" s="61"/>
      <c r="U267" s="61"/>
    </row>
    <row r="268">
      <c r="P268" s="61"/>
      <c r="Q268" s="62"/>
      <c r="R268" s="61"/>
      <c r="S268" s="61"/>
      <c r="T268" s="61"/>
      <c r="U268" s="61"/>
    </row>
    <row r="269">
      <c r="P269" s="61"/>
      <c r="Q269" s="62"/>
      <c r="R269" s="61"/>
      <c r="S269" s="61"/>
      <c r="T269" s="61"/>
      <c r="U269" s="61"/>
    </row>
    <row r="270">
      <c r="P270" s="61"/>
      <c r="Q270" s="62"/>
      <c r="R270" s="61"/>
      <c r="S270" s="61"/>
      <c r="T270" s="61"/>
      <c r="U270" s="61"/>
    </row>
    <row r="271">
      <c r="P271" s="61"/>
      <c r="Q271" s="62"/>
      <c r="R271" s="61"/>
      <c r="S271" s="61"/>
      <c r="T271" s="61"/>
      <c r="U271" s="61"/>
    </row>
    <row r="272">
      <c r="P272" s="61"/>
      <c r="Q272" s="62"/>
      <c r="R272" s="61"/>
      <c r="S272" s="61"/>
      <c r="T272" s="61"/>
      <c r="U272" s="61"/>
    </row>
    <row r="273">
      <c r="P273" s="61"/>
      <c r="Q273" s="62"/>
      <c r="R273" s="61"/>
      <c r="S273" s="61"/>
      <c r="T273" s="61"/>
      <c r="U273" s="61"/>
    </row>
    <row r="274">
      <c r="P274" s="61"/>
      <c r="Q274" s="62"/>
      <c r="R274" s="61"/>
      <c r="S274" s="61"/>
      <c r="T274" s="61"/>
      <c r="U274" s="61"/>
    </row>
    <row r="275">
      <c r="P275" s="61"/>
      <c r="Q275" s="62"/>
      <c r="R275" s="61"/>
      <c r="S275" s="61"/>
      <c r="T275" s="61"/>
      <c r="U275" s="61"/>
    </row>
    <row r="276">
      <c r="P276" s="61"/>
      <c r="Q276" s="62"/>
      <c r="R276" s="61"/>
      <c r="S276" s="61"/>
      <c r="T276" s="61"/>
      <c r="U276" s="61"/>
    </row>
    <row r="277">
      <c r="P277" s="61"/>
      <c r="Q277" s="62"/>
      <c r="R277" s="61"/>
      <c r="S277" s="61"/>
      <c r="T277" s="61"/>
      <c r="U277" s="61"/>
    </row>
    <row r="278">
      <c r="P278" s="61"/>
      <c r="Q278" s="62"/>
      <c r="R278" s="61"/>
      <c r="S278" s="61"/>
      <c r="T278" s="61"/>
      <c r="U278" s="61"/>
    </row>
    <row r="279">
      <c r="P279" s="61"/>
      <c r="Q279" s="62"/>
      <c r="R279" s="61"/>
      <c r="S279" s="61"/>
      <c r="T279" s="61"/>
      <c r="U279" s="61"/>
    </row>
    <row r="280">
      <c r="P280" s="61"/>
      <c r="Q280" s="62"/>
      <c r="R280" s="61"/>
      <c r="S280" s="61"/>
      <c r="T280" s="61"/>
      <c r="U280" s="61"/>
    </row>
    <row r="281">
      <c r="P281" s="61"/>
      <c r="Q281" s="62"/>
      <c r="R281" s="61"/>
      <c r="S281" s="61"/>
      <c r="T281" s="61"/>
      <c r="U281" s="61"/>
    </row>
    <row r="282">
      <c r="P282" s="61"/>
      <c r="Q282" s="62"/>
      <c r="R282" s="61"/>
      <c r="S282" s="61"/>
      <c r="T282" s="61"/>
      <c r="U282" s="61"/>
    </row>
    <row r="283">
      <c r="P283" s="61"/>
      <c r="Q283" s="62"/>
      <c r="R283" s="61"/>
      <c r="S283" s="61"/>
      <c r="T283" s="61"/>
      <c r="U283" s="61"/>
    </row>
    <row r="284">
      <c r="P284" s="61"/>
      <c r="Q284" s="62"/>
      <c r="R284" s="61"/>
      <c r="S284" s="61"/>
      <c r="T284" s="61"/>
      <c r="U284" s="61"/>
    </row>
    <row r="285">
      <c r="P285" s="61"/>
      <c r="Q285" s="62"/>
      <c r="R285" s="61"/>
      <c r="S285" s="61"/>
      <c r="T285" s="61"/>
      <c r="U285" s="61"/>
    </row>
    <row r="286">
      <c r="P286" s="61"/>
      <c r="Q286" s="62"/>
      <c r="R286" s="61"/>
      <c r="S286" s="61"/>
      <c r="T286" s="61"/>
      <c r="U286" s="61"/>
    </row>
    <row r="287">
      <c r="P287" s="61"/>
      <c r="Q287" s="62"/>
      <c r="R287" s="61"/>
      <c r="S287" s="61"/>
      <c r="T287" s="61"/>
      <c r="U287" s="61"/>
    </row>
    <row r="288">
      <c r="P288" s="61"/>
      <c r="Q288" s="62"/>
      <c r="R288" s="61"/>
      <c r="S288" s="61"/>
      <c r="T288" s="61"/>
      <c r="U288" s="61"/>
    </row>
    <row r="289">
      <c r="P289" s="61"/>
      <c r="Q289" s="62"/>
      <c r="R289" s="61"/>
      <c r="S289" s="61"/>
      <c r="T289" s="61"/>
      <c r="U289" s="61"/>
    </row>
    <row r="290">
      <c r="P290" s="61"/>
      <c r="Q290" s="62"/>
      <c r="R290" s="61"/>
      <c r="S290" s="61"/>
      <c r="T290" s="61"/>
      <c r="U290" s="61"/>
    </row>
    <row r="291">
      <c r="P291" s="61"/>
      <c r="Q291" s="62"/>
      <c r="R291" s="61"/>
      <c r="S291" s="61"/>
      <c r="T291" s="61"/>
      <c r="U291" s="61"/>
    </row>
    <row r="292">
      <c r="P292" s="61"/>
      <c r="Q292" s="62"/>
      <c r="R292" s="61"/>
      <c r="S292" s="61"/>
      <c r="T292" s="61"/>
      <c r="U292" s="61"/>
    </row>
    <row r="293">
      <c r="P293" s="61"/>
      <c r="Q293" s="62"/>
      <c r="R293" s="61"/>
      <c r="S293" s="61"/>
      <c r="T293" s="61"/>
      <c r="U293" s="61"/>
    </row>
    <row r="294">
      <c r="P294" s="61"/>
      <c r="Q294" s="62"/>
      <c r="R294" s="61"/>
      <c r="S294" s="61"/>
      <c r="T294" s="61"/>
      <c r="U294" s="61"/>
    </row>
    <row r="295">
      <c r="P295" s="61"/>
      <c r="Q295" s="62"/>
      <c r="R295" s="61"/>
      <c r="S295" s="61"/>
      <c r="T295" s="61"/>
      <c r="U295" s="61"/>
    </row>
    <row r="296">
      <c r="P296" s="61"/>
      <c r="Q296" s="62"/>
      <c r="R296" s="61"/>
      <c r="S296" s="61"/>
      <c r="T296" s="61"/>
      <c r="U296" s="61"/>
    </row>
    <row r="297">
      <c r="P297" s="61"/>
      <c r="Q297" s="62"/>
      <c r="R297" s="61"/>
      <c r="S297" s="61"/>
      <c r="T297" s="61"/>
      <c r="U297" s="61"/>
    </row>
    <row r="298">
      <c r="P298" s="61"/>
      <c r="Q298" s="62"/>
      <c r="R298" s="61"/>
      <c r="S298" s="61"/>
      <c r="T298" s="61"/>
      <c r="U298" s="61"/>
    </row>
    <row r="299">
      <c r="P299" s="61"/>
      <c r="Q299" s="62"/>
      <c r="R299" s="61"/>
      <c r="S299" s="61"/>
      <c r="T299" s="61"/>
      <c r="U299" s="61"/>
    </row>
    <row r="300">
      <c r="P300" s="61"/>
      <c r="Q300" s="62"/>
      <c r="R300" s="61"/>
      <c r="S300" s="61"/>
      <c r="T300" s="61"/>
      <c r="U300" s="61"/>
    </row>
    <row r="301">
      <c r="P301" s="61"/>
      <c r="Q301" s="62"/>
      <c r="R301" s="61"/>
      <c r="S301" s="61"/>
      <c r="T301" s="61"/>
      <c r="U301" s="61"/>
    </row>
    <row r="302">
      <c r="P302" s="61"/>
      <c r="Q302" s="62"/>
      <c r="R302" s="61"/>
      <c r="S302" s="61"/>
      <c r="T302" s="61"/>
      <c r="U302" s="61"/>
    </row>
    <row r="303">
      <c r="P303" s="61"/>
      <c r="Q303" s="62"/>
      <c r="R303" s="61"/>
      <c r="S303" s="61"/>
      <c r="T303" s="61"/>
      <c r="U303" s="61"/>
    </row>
    <row r="304">
      <c r="P304" s="61"/>
      <c r="Q304" s="62"/>
      <c r="R304" s="61"/>
      <c r="S304" s="61"/>
      <c r="T304" s="61"/>
      <c r="U304" s="61"/>
    </row>
    <row r="305">
      <c r="P305" s="61"/>
      <c r="Q305" s="62"/>
      <c r="R305" s="61"/>
      <c r="S305" s="61"/>
      <c r="T305" s="61"/>
      <c r="U305" s="61"/>
    </row>
    <row r="306">
      <c r="P306" s="61"/>
      <c r="Q306" s="62"/>
      <c r="R306" s="61"/>
      <c r="S306" s="61"/>
      <c r="T306" s="61"/>
      <c r="U306" s="61"/>
    </row>
    <row r="307">
      <c r="P307" s="61"/>
      <c r="Q307" s="62"/>
      <c r="R307" s="61"/>
      <c r="S307" s="61"/>
      <c r="T307" s="61"/>
      <c r="U307" s="61"/>
    </row>
    <row r="308">
      <c r="P308" s="61"/>
      <c r="Q308" s="62"/>
      <c r="R308" s="61"/>
      <c r="S308" s="61"/>
      <c r="T308" s="61"/>
      <c r="U308" s="61"/>
    </row>
    <row r="309">
      <c r="P309" s="61"/>
      <c r="Q309" s="62"/>
      <c r="R309" s="61"/>
      <c r="S309" s="61"/>
      <c r="T309" s="61"/>
      <c r="U309" s="61"/>
    </row>
    <row r="310">
      <c r="P310" s="61"/>
      <c r="Q310" s="62"/>
      <c r="R310" s="61"/>
      <c r="S310" s="61"/>
      <c r="T310" s="61"/>
      <c r="U310" s="61"/>
    </row>
    <row r="311">
      <c r="P311" s="61"/>
      <c r="Q311" s="62"/>
      <c r="R311" s="61"/>
      <c r="S311" s="61"/>
      <c r="T311" s="61"/>
      <c r="U311" s="61"/>
    </row>
    <row r="312">
      <c r="P312" s="61"/>
      <c r="Q312" s="62"/>
      <c r="R312" s="61"/>
      <c r="S312" s="61"/>
      <c r="T312" s="61"/>
      <c r="U312" s="61"/>
    </row>
    <row r="313">
      <c r="P313" s="61"/>
      <c r="Q313" s="62"/>
      <c r="R313" s="61"/>
      <c r="S313" s="61"/>
      <c r="T313" s="61"/>
      <c r="U313" s="61"/>
    </row>
    <row r="314">
      <c r="P314" s="61"/>
      <c r="Q314" s="62"/>
      <c r="R314" s="61"/>
      <c r="S314" s="61"/>
      <c r="T314" s="61"/>
      <c r="U314" s="61"/>
    </row>
    <row r="315">
      <c r="P315" s="61"/>
      <c r="Q315" s="62"/>
      <c r="R315" s="61"/>
      <c r="S315" s="61"/>
      <c r="T315" s="61"/>
      <c r="U315" s="61"/>
    </row>
    <row r="316">
      <c r="P316" s="61"/>
      <c r="Q316" s="62"/>
      <c r="R316" s="61"/>
      <c r="S316" s="61"/>
      <c r="T316" s="61"/>
      <c r="U316" s="61"/>
    </row>
    <row r="317">
      <c r="P317" s="61"/>
      <c r="Q317" s="62"/>
      <c r="R317" s="61"/>
      <c r="S317" s="61"/>
      <c r="T317" s="61"/>
      <c r="U317" s="61"/>
    </row>
    <row r="318">
      <c r="P318" s="61"/>
      <c r="Q318" s="62"/>
      <c r="R318" s="61"/>
      <c r="S318" s="61"/>
      <c r="T318" s="61"/>
      <c r="U318" s="61"/>
    </row>
    <row r="319">
      <c r="P319" s="61"/>
      <c r="Q319" s="62"/>
      <c r="R319" s="61"/>
      <c r="S319" s="61"/>
      <c r="T319" s="61"/>
      <c r="U319" s="61"/>
    </row>
    <row r="320">
      <c r="P320" s="61"/>
      <c r="Q320" s="62"/>
      <c r="R320" s="61"/>
      <c r="S320" s="61"/>
      <c r="T320" s="61"/>
      <c r="U320" s="61"/>
    </row>
    <row r="321">
      <c r="P321" s="61"/>
      <c r="Q321" s="62"/>
      <c r="R321" s="61"/>
      <c r="S321" s="61"/>
      <c r="T321" s="61"/>
      <c r="U321" s="61"/>
    </row>
    <row r="322">
      <c r="P322" s="61"/>
      <c r="Q322" s="62"/>
      <c r="R322" s="61"/>
      <c r="S322" s="61"/>
      <c r="T322" s="61"/>
      <c r="U322" s="61"/>
    </row>
    <row r="323">
      <c r="P323" s="61"/>
      <c r="Q323" s="62"/>
      <c r="R323" s="61"/>
      <c r="S323" s="61"/>
      <c r="T323" s="61"/>
      <c r="U323" s="61"/>
    </row>
    <row r="324">
      <c r="P324" s="61"/>
      <c r="Q324" s="62"/>
      <c r="R324" s="61"/>
      <c r="S324" s="61"/>
      <c r="T324" s="61"/>
      <c r="U324" s="61"/>
    </row>
    <row r="325">
      <c r="P325" s="61"/>
      <c r="Q325" s="62"/>
      <c r="R325" s="61"/>
      <c r="S325" s="61"/>
      <c r="T325" s="61"/>
      <c r="U325" s="61"/>
    </row>
    <row r="326">
      <c r="P326" s="61"/>
      <c r="Q326" s="62"/>
      <c r="R326" s="61"/>
      <c r="S326" s="61"/>
      <c r="T326" s="61"/>
      <c r="U326" s="61"/>
    </row>
    <row r="327">
      <c r="P327" s="61"/>
      <c r="Q327" s="62"/>
      <c r="R327" s="61"/>
      <c r="S327" s="61"/>
      <c r="T327" s="61"/>
      <c r="U327" s="61"/>
    </row>
    <row r="328">
      <c r="P328" s="61"/>
      <c r="Q328" s="62"/>
      <c r="R328" s="61"/>
      <c r="S328" s="61"/>
      <c r="T328" s="61"/>
      <c r="U328" s="61"/>
    </row>
    <row r="329">
      <c r="P329" s="61"/>
      <c r="Q329" s="62"/>
      <c r="R329" s="61"/>
      <c r="S329" s="61"/>
      <c r="T329" s="61"/>
      <c r="U329" s="61"/>
    </row>
    <row r="330">
      <c r="P330" s="61"/>
      <c r="Q330" s="62"/>
      <c r="R330" s="61"/>
      <c r="S330" s="61"/>
      <c r="T330" s="61"/>
      <c r="U330" s="61"/>
    </row>
    <row r="331">
      <c r="P331" s="61"/>
      <c r="Q331" s="62"/>
      <c r="R331" s="61"/>
      <c r="S331" s="61"/>
      <c r="T331" s="61"/>
      <c r="U331" s="61"/>
    </row>
    <row r="332">
      <c r="P332" s="61"/>
      <c r="Q332" s="62"/>
      <c r="R332" s="61"/>
      <c r="S332" s="61"/>
      <c r="T332" s="61"/>
      <c r="U332" s="61"/>
    </row>
    <row r="333">
      <c r="P333" s="61"/>
      <c r="Q333" s="62"/>
      <c r="R333" s="61"/>
      <c r="S333" s="61"/>
      <c r="T333" s="61"/>
      <c r="U333" s="61"/>
    </row>
    <row r="334">
      <c r="P334" s="61"/>
      <c r="Q334" s="62"/>
      <c r="R334" s="61"/>
      <c r="S334" s="61"/>
      <c r="T334" s="61"/>
      <c r="U334" s="61"/>
    </row>
    <row r="335">
      <c r="P335" s="61"/>
      <c r="Q335" s="62"/>
      <c r="R335" s="61"/>
      <c r="S335" s="61"/>
      <c r="T335" s="61"/>
      <c r="U335" s="61"/>
    </row>
    <row r="336">
      <c r="P336" s="61"/>
      <c r="Q336" s="62"/>
      <c r="R336" s="61"/>
      <c r="S336" s="61"/>
      <c r="T336" s="61"/>
      <c r="U336" s="61"/>
    </row>
    <row r="337">
      <c r="P337" s="61"/>
      <c r="Q337" s="62"/>
      <c r="R337" s="61"/>
      <c r="S337" s="61"/>
      <c r="T337" s="61"/>
      <c r="U337" s="61"/>
    </row>
    <row r="338">
      <c r="P338" s="61"/>
      <c r="Q338" s="62"/>
      <c r="R338" s="61"/>
      <c r="S338" s="61"/>
      <c r="T338" s="61"/>
      <c r="U338" s="61"/>
    </row>
    <row r="339">
      <c r="P339" s="61"/>
      <c r="Q339" s="62"/>
      <c r="R339" s="61"/>
      <c r="S339" s="61"/>
      <c r="T339" s="61"/>
      <c r="U339" s="61"/>
    </row>
    <row r="340">
      <c r="P340" s="61"/>
      <c r="Q340" s="62"/>
      <c r="R340" s="61"/>
      <c r="S340" s="61"/>
      <c r="T340" s="61"/>
      <c r="U340" s="61"/>
    </row>
    <row r="341">
      <c r="P341" s="61"/>
      <c r="Q341" s="62"/>
      <c r="R341" s="61"/>
      <c r="S341" s="61"/>
      <c r="T341" s="61"/>
      <c r="U341" s="61"/>
    </row>
    <row r="342">
      <c r="P342" s="61"/>
      <c r="Q342" s="62"/>
      <c r="R342" s="61"/>
      <c r="S342" s="61"/>
      <c r="T342" s="61"/>
      <c r="U342" s="61"/>
    </row>
    <row r="343">
      <c r="P343" s="61"/>
      <c r="Q343" s="62"/>
      <c r="R343" s="61"/>
      <c r="S343" s="61"/>
      <c r="T343" s="61"/>
      <c r="U343" s="61"/>
    </row>
    <row r="344">
      <c r="P344" s="61"/>
      <c r="Q344" s="62"/>
      <c r="R344" s="61"/>
      <c r="S344" s="61"/>
      <c r="T344" s="61"/>
      <c r="U344" s="61"/>
    </row>
    <row r="345">
      <c r="P345" s="61"/>
      <c r="Q345" s="62"/>
      <c r="R345" s="61"/>
      <c r="S345" s="61"/>
      <c r="T345" s="61"/>
      <c r="U345" s="61"/>
    </row>
    <row r="346">
      <c r="P346" s="61"/>
      <c r="Q346" s="62"/>
      <c r="R346" s="61"/>
      <c r="S346" s="61"/>
      <c r="T346" s="61"/>
      <c r="U346" s="61"/>
    </row>
    <row r="347">
      <c r="P347" s="61"/>
      <c r="Q347" s="62"/>
      <c r="R347" s="61"/>
      <c r="S347" s="61"/>
      <c r="T347" s="61"/>
      <c r="U347" s="61"/>
    </row>
    <row r="348">
      <c r="P348" s="61"/>
      <c r="Q348" s="62"/>
      <c r="R348" s="61"/>
      <c r="S348" s="61"/>
      <c r="T348" s="61"/>
      <c r="U348" s="61"/>
    </row>
    <row r="349">
      <c r="P349" s="61"/>
      <c r="Q349" s="62"/>
      <c r="R349" s="61"/>
      <c r="S349" s="61"/>
      <c r="T349" s="61"/>
      <c r="U349" s="61"/>
    </row>
    <row r="350">
      <c r="P350" s="61"/>
      <c r="Q350" s="62"/>
      <c r="R350" s="61"/>
      <c r="S350" s="61"/>
      <c r="T350" s="61"/>
      <c r="U350" s="61"/>
    </row>
    <row r="351">
      <c r="P351" s="61"/>
      <c r="Q351" s="62"/>
      <c r="R351" s="61"/>
      <c r="S351" s="61"/>
      <c r="T351" s="61"/>
      <c r="U351" s="61"/>
    </row>
    <row r="352">
      <c r="P352" s="61"/>
      <c r="Q352" s="62"/>
      <c r="R352" s="61"/>
      <c r="S352" s="61"/>
      <c r="T352" s="61"/>
      <c r="U352" s="61"/>
    </row>
    <row r="353">
      <c r="P353" s="61"/>
      <c r="Q353" s="62"/>
      <c r="R353" s="61"/>
      <c r="S353" s="61"/>
      <c r="T353" s="61"/>
      <c r="U353" s="61"/>
    </row>
    <row r="354">
      <c r="P354" s="61"/>
      <c r="Q354" s="62"/>
      <c r="R354" s="61"/>
      <c r="S354" s="61"/>
      <c r="T354" s="61"/>
      <c r="U354" s="61"/>
    </row>
    <row r="355">
      <c r="P355" s="61"/>
      <c r="Q355" s="62"/>
      <c r="R355" s="61"/>
      <c r="S355" s="61"/>
      <c r="T355" s="61"/>
      <c r="U355" s="61"/>
    </row>
    <row r="356">
      <c r="P356" s="61"/>
      <c r="Q356" s="62"/>
      <c r="R356" s="61"/>
      <c r="S356" s="61"/>
      <c r="T356" s="61"/>
      <c r="U356" s="61"/>
    </row>
    <row r="357">
      <c r="P357" s="61"/>
      <c r="Q357" s="62"/>
      <c r="R357" s="61"/>
      <c r="S357" s="61"/>
      <c r="T357" s="61"/>
      <c r="U357" s="61"/>
    </row>
    <row r="358">
      <c r="P358" s="61"/>
      <c r="Q358" s="62"/>
      <c r="R358" s="61"/>
      <c r="S358" s="61"/>
      <c r="T358" s="61"/>
      <c r="U358" s="61"/>
    </row>
    <row r="359">
      <c r="P359" s="61"/>
      <c r="Q359" s="62"/>
      <c r="R359" s="61"/>
      <c r="S359" s="61"/>
      <c r="T359" s="61"/>
      <c r="U359" s="61"/>
    </row>
    <row r="360">
      <c r="P360" s="61"/>
      <c r="Q360" s="62"/>
      <c r="R360" s="61"/>
      <c r="S360" s="61"/>
      <c r="T360" s="61"/>
      <c r="U360" s="61"/>
    </row>
    <row r="361">
      <c r="P361" s="61"/>
      <c r="Q361" s="62"/>
      <c r="R361" s="61"/>
      <c r="S361" s="61"/>
      <c r="T361" s="61"/>
      <c r="U361" s="61"/>
    </row>
    <row r="362">
      <c r="P362" s="61"/>
      <c r="Q362" s="62"/>
      <c r="R362" s="61"/>
      <c r="S362" s="61"/>
      <c r="T362" s="61"/>
      <c r="U362" s="61"/>
    </row>
    <row r="363">
      <c r="P363" s="61"/>
      <c r="Q363" s="62"/>
      <c r="R363" s="61"/>
      <c r="S363" s="61"/>
      <c r="T363" s="61"/>
      <c r="U363" s="61"/>
    </row>
    <row r="364">
      <c r="P364" s="61"/>
      <c r="Q364" s="62"/>
      <c r="R364" s="61"/>
      <c r="S364" s="61"/>
      <c r="T364" s="61"/>
      <c r="U364" s="61"/>
    </row>
    <row r="365">
      <c r="P365" s="61"/>
      <c r="Q365" s="62"/>
      <c r="R365" s="61"/>
      <c r="S365" s="61"/>
      <c r="T365" s="61"/>
      <c r="U365" s="61"/>
    </row>
    <row r="366">
      <c r="P366" s="61"/>
      <c r="Q366" s="62"/>
      <c r="R366" s="61"/>
      <c r="S366" s="61"/>
      <c r="T366" s="61"/>
      <c r="U366" s="61"/>
    </row>
    <row r="367">
      <c r="P367" s="61"/>
      <c r="Q367" s="62"/>
      <c r="R367" s="61"/>
      <c r="S367" s="61"/>
      <c r="T367" s="61"/>
      <c r="U367" s="61"/>
    </row>
    <row r="368">
      <c r="P368" s="61"/>
      <c r="Q368" s="62"/>
      <c r="R368" s="61"/>
      <c r="S368" s="61"/>
      <c r="T368" s="61"/>
      <c r="U368" s="61"/>
    </row>
    <row r="369">
      <c r="P369" s="61"/>
      <c r="Q369" s="62"/>
      <c r="R369" s="61"/>
      <c r="S369" s="61"/>
      <c r="T369" s="61"/>
      <c r="U369" s="61"/>
    </row>
    <row r="370">
      <c r="P370" s="61"/>
      <c r="Q370" s="62"/>
      <c r="R370" s="61"/>
      <c r="S370" s="61"/>
      <c r="T370" s="61"/>
      <c r="U370" s="61"/>
    </row>
    <row r="371">
      <c r="P371" s="61"/>
      <c r="Q371" s="62"/>
      <c r="R371" s="61"/>
      <c r="S371" s="61"/>
      <c r="T371" s="61"/>
      <c r="U371" s="61"/>
    </row>
    <row r="372">
      <c r="P372" s="61"/>
      <c r="Q372" s="62"/>
      <c r="R372" s="61"/>
      <c r="S372" s="61"/>
      <c r="T372" s="61"/>
      <c r="U372" s="61"/>
    </row>
    <row r="373">
      <c r="P373" s="61"/>
      <c r="Q373" s="62"/>
      <c r="R373" s="61"/>
      <c r="S373" s="61"/>
      <c r="T373" s="61"/>
      <c r="U373" s="61"/>
    </row>
    <row r="374">
      <c r="P374" s="61"/>
      <c r="Q374" s="62"/>
      <c r="R374" s="61"/>
      <c r="S374" s="61"/>
      <c r="T374" s="61"/>
      <c r="U374" s="61"/>
    </row>
    <row r="375">
      <c r="P375" s="61"/>
      <c r="Q375" s="62"/>
      <c r="R375" s="61"/>
      <c r="S375" s="61"/>
      <c r="T375" s="61"/>
      <c r="U375" s="61"/>
    </row>
    <row r="376">
      <c r="P376" s="61"/>
      <c r="Q376" s="62"/>
      <c r="R376" s="61"/>
      <c r="S376" s="61"/>
      <c r="T376" s="61"/>
      <c r="U376" s="61"/>
    </row>
    <row r="377">
      <c r="P377" s="61"/>
      <c r="Q377" s="62"/>
      <c r="R377" s="61"/>
      <c r="S377" s="61"/>
      <c r="T377" s="61"/>
      <c r="U377" s="61"/>
    </row>
    <row r="378">
      <c r="P378" s="61"/>
      <c r="Q378" s="62"/>
      <c r="R378" s="61"/>
      <c r="S378" s="61"/>
      <c r="T378" s="61"/>
      <c r="U378" s="61"/>
    </row>
    <row r="379">
      <c r="P379" s="61"/>
      <c r="Q379" s="62"/>
      <c r="R379" s="61"/>
      <c r="S379" s="61"/>
      <c r="T379" s="61"/>
      <c r="U379" s="61"/>
    </row>
    <row r="380">
      <c r="P380" s="61"/>
      <c r="Q380" s="62"/>
      <c r="R380" s="61"/>
      <c r="S380" s="61"/>
      <c r="T380" s="61"/>
      <c r="U380" s="61"/>
    </row>
    <row r="381">
      <c r="P381" s="61"/>
      <c r="Q381" s="62"/>
      <c r="R381" s="61"/>
      <c r="S381" s="61"/>
      <c r="T381" s="61"/>
      <c r="U381" s="61"/>
    </row>
    <row r="382">
      <c r="P382" s="61"/>
      <c r="Q382" s="62"/>
      <c r="R382" s="61"/>
      <c r="S382" s="61"/>
      <c r="T382" s="61"/>
      <c r="U382" s="61"/>
    </row>
    <row r="383">
      <c r="P383" s="61"/>
      <c r="Q383" s="62"/>
      <c r="R383" s="61"/>
      <c r="S383" s="61"/>
      <c r="T383" s="61"/>
      <c r="U383" s="61"/>
    </row>
    <row r="384">
      <c r="P384" s="61"/>
      <c r="Q384" s="62"/>
      <c r="R384" s="61"/>
      <c r="S384" s="61"/>
      <c r="T384" s="61"/>
      <c r="U384" s="61"/>
    </row>
    <row r="385">
      <c r="P385" s="61"/>
      <c r="Q385" s="62"/>
      <c r="R385" s="61"/>
      <c r="S385" s="61"/>
      <c r="T385" s="61"/>
      <c r="U385" s="61"/>
    </row>
    <row r="386">
      <c r="P386" s="61"/>
      <c r="Q386" s="62"/>
      <c r="R386" s="61"/>
      <c r="S386" s="61"/>
      <c r="T386" s="61"/>
      <c r="U386" s="61"/>
    </row>
    <row r="387">
      <c r="P387" s="61"/>
      <c r="Q387" s="62"/>
      <c r="R387" s="61"/>
      <c r="S387" s="61"/>
      <c r="T387" s="61"/>
      <c r="U387" s="61"/>
    </row>
    <row r="388">
      <c r="P388" s="61"/>
      <c r="Q388" s="62"/>
      <c r="R388" s="61"/>
      <c r="S388" s="61"/>
      <c r="T388" s="61"/>
      <c r="U388" s="61"/>
    </row>
    <row r="389">
      <c r="P389" s="61"/>
      <c r="Q389" s="62"/>
      <c r="R389" s="61"/>
      <c r="S389" s="61"/>
      <c r="T389" s="61"/>
      <c r="U389" s="61"/>
    </row>
    <row r="390">
      <c r="P390" s="61"/>
      <c r="Q390" s="62"/>
      <c r="R390" s="61"/>
      <c r="S390" s="61"/>
      <c r="T390" s="61"/>
      <c r="U390" s="61"/>
    </row>
    <row r="391">
      <c r="P391" s="61"/>
      <c r="Q391" s="62"/>
      <c r="R391" s="61"/>
      <c r="S391" s="61"/>
      <c r="T391" s="61"/>
      <c r="U391" s="61"/>
    </row>
    <row r="392">
      <c r="P392" s="61"/>
      <c r="Q392" s="62"/>
      <c r="R392" s="61"/>
      <c r="S392" s="61"/>
      <c r="T392" s="61"/>
      <c r="U392" s="61"/>
    </row>
    <row r="393">
      <c r="P393" s="61"/>
      <c r="Q393" s="62"/>
      <c r="R393" s="61"/>
      <c r="S393" s="61"/>
      <c r="T393" s="61"/>
      <c r="U393" s="61"/>
    </row>
    <row r="394">
      <c r="P394" s="61"/>
      <c r="Q394" s="62"/>
      <c r="R394" s="61"/>
      <c r="S394" s="61"/>
      <c r="T394" s="61"/>
      <c r="U394" s="61"/>
    </row>
    <row r="395">
      <c r="P395" s="61"/>
      <c r="Q395" s="62"/>
      <c r="R395" s="61"/>
      <c r="S395" s="61"/>
      <c r="T395" s="61"/>
      <c r="U395" s="61"/>
    </row>
    <row r="396">
      <c r="P396" s="61"/>
      <c r="Q396" s="62"/>
      <c r="R396" s="61"/>
      <c r="S396" s="61"/>
      <c r="T396" s="61"/>
      <c r="U396" s="61"/>
    </row>
    <row r="397">
      <c r="P397" s="61"/>
      <c r="Q397" s="62"/>
      <c r="R397" s="61"/>
      <c r="S397" s="61"/>
      <c r="T397" s="61"/>
      <c r="U397" s="61"/>
    </row>
    <row r="398">
      <c r="P398" s="61"/>
      <c r="Q398" s="62"/>
      <c r="R398" s="61"/>
      <c r="S398" s="61"/>
      <c r="T398" s="61"/>
      <c r="U398" s="61"/>
    </row>
    <row r="399">
      <c r="P399" s="61"/>
      <c r="Q399" s="62"/>
      <c r="R399" s="61"/>
      <c r="S399" s="61"/>
      <c r="T399" s="61"/>
      <c r="U399" s="61"/>
    </row>
    <row r="400">
      <c r="P400" s="61"/>
      <c r="Q400" s="62"/>
      <c r="R400" s="61"/>
      <c r="S400" s="61"/>
      <c r="T400" s="61"/>
      <c r="U400" s="61"/>
    </row>
    <row r="401">
      <c r="P401" s="61"/>
      <c r="Q401" s="62"/>
      <c r="R401" s="61"/>
      <c r="S401" s="61"/>
      <c r="T401" s="61"/>
      <c r="U401" s="61"/>
    </row>
    <row r="402">
      <c r="P402" s="61"/>
      <c r="Q402" s="62"/>
      <c r="R402" s="61"/>
      <c r="S402" s="61"/>
      <c r="T402" s="61"/>
      <c r="U402" s="61"/>
    </row>
    <row r="403">
      <c r="P403" s="61"/>
      <c r="Q403" s="62"/>
      <c r="R403" s="61"/>
      <c r="S403" s="61"/>
      <c r="T403" s="61"/>
      <c r="U403" s="61"/>
    </row>
    <row r="404">
      <c r="P404" s="61"/>
      <c r="Q404" s="62"/>
      <c r="R404" s="61"/>
      <c r="S404" s="61"/>
      <c r="T404" s="61"/>
      <c r="U404" s="61"/>
    </row>
    <row r="405">
      <c r="P405" s="61"/>
      <c r="Q405" s="62"/>
      <c r="R405" s="61"/>
      <c r="S405" s="61"/>
      <c r="T405" s="61"/>
      <c r="U405" s="61"/>
    </row>
    <row r="406">
      <c r="P406" s="61"/>
      <c r="Q406" s="62"/>
      <c r="R406" s="61"/>
      <c r="S406" s="61"/>
      <c r="T406" s="61"/>
      <c r="U406" s="61"/>
    </row>
    <row r="407">
      <c r="P407" s="61"/>
      <c r="Q407" s="62"/>
      <c r="R407" s="61"/>
      <c r="S407" s="61"/>
      <c r="T407" s="61"/>
      <c r="U407" s="61"/>
    </row>
    <row r="408">
      <c r="P408" s="61"/>
      <c r="Q408" s="62"/>
      <c r="R408" s="61"/>
      <c r="S408" s="61"/>
      <c r="T408" s="61"/>
      <c r="U408" s="61"/>
    </row>
    <row r="409">
      <c r="P409" s="61"/>
      <c r="Q409" s="62"/>
      <c r="R409" s="61"/>
      <c r="S409" s="61"/>
      <c r="T409" s="61"/>
      <c r="U409" s="61"/>
    </row>
    <row r="410">
      <c r="P410" s="61"/>
      <c r="Q410" s="62"/>
      <c r="R410" s="61"/>
      <c r="S410" s="61"/>
      <c r="T410" s="61"/>
      <c r="U410" s="61"/>
    </row>
    <row r="411">
      <c r="P411" s="61"/>
      <c r="Q411" s="62"/>
      <c r="R411" s="61"/>
      <c r="S411" s="61"/>
      <c r="T411" s="61"/>
      <c r="U411" s="61"/>
    </row>
    <row r="412">
      <c r="P412" s="61"/>
      <c r="Q412" s="62"/>
      <c r="R412" s="61"/>
      <c r="S412" s="61"/>
      <c r="T412" s="61"/>
      <c r="U412" s="61"/>
    </row>
    <row r="413">
      <c r="P413" s="61"/>
      <c r="Q413" s="62"/>
      <c r="R413" s="61"/>
      <c r="S413" s="61"/>
      <c r="T413" s="61"/>
      <c r="U413" s="61"/>
    </row>
    <row r="414">
      <c r="P414" s="61"/>
      <c r="Q414" s="62"/>
      <c r="R414" s="61"/>
      <c r="S414" s="61"/>
      <c r="T414" s="61"/>
      <c r="U414" s="61"/>
    </row>
    <row r="415">
      <c r="P415" s="61"/>
      <c r="Q415" s="62"/>
      <c r="R415" s="61"/>
      <c r="S415" s="61"/>
      <c r="T415" s="61"/>
      <c r="U415" s="61"/>
    </row>
    <row r="416">
      <c r="P416" s="61"/>
      <c r="Q416" s="62"/>
      <c r="R416" s="61"/>
      <c r="S416" s="61"/>
      <c r="T416" s="61"/>
      <c r="U416" s="61"/>
    </row>
    <row r="417">
      <c r="P417" s="61"/>
      <c r="Q417" s="62"/>
      <c r="R417" s="61"/>
      <c r="S417" s="61"/>
      <c r="T417" s="61"/>
      <c r="U417" s="61"/>
    </row>
    <row r="418">
      <c r="P418" s="61"/>
      <c r="Q418" s="62"/>
      <c r="R418" s="61"/>
      <c r="S418" s="61"/>
      <c r="T418" s="61"/>
      <c r="U418" s="61"/>
    </row>
    <row r="419">
      <c r="P419" s="61"/>
      <c r="Q419" s="62"/>
      <c r="R419" s="61"/>
      <c r="S419" s="61"/>
      <c r="T419" s="61"/>
      <c r="U419" s="61"/>
    </row>
    <row r="420">
      <c r="P420" s="61"/>
      <c r="Q420" s="62"/>
      <c r="R420" s="61"/>
      <c r="S420" s="61"/>
      <c r="T420" s="61"/>
      <c r="U420" s="61"/>
    </row>
    <row r="421">
      <c r="P421" s="61"/>
      <c r="Q421" s="62"/>
      <c r="R421" s="61"/>
      <c r="S421" s="61"/>
      <c r="T421" s="61"/>
      <c r="U421" s="61"/>
    </row>
    <row r="422">
      <c r="P422" s="61"/>
      <c r="Q422" s="62"/>
      <c r="R422" s="61"/>
      <c r="S422" s="61"/>
      <c r="T422" s="61"/>
      <c r="U422" s="61"/>
    </row>
    <row r="423">
      <c r="P423" s="61"/>
      <c r="Q423" s="62"/>
      <c r="R423" s="61"/>
      <c r="S423" s="61"/>
      <c r="T423" s="61"/>
      <c r="U423" s="61"/>
    </row>
    <row r="424">
      <c r="P424" s="61"/>
      <c r="Q424" s="62"/>
      <c r="R424" s="61"/>
      <c r="S424" s="61"/>
      <c r="T424" s="61"/>
      <c r="U424" s="61"/>
    </row>
    <row r="425">
      <c r="P425" s="61"/>
      <c r="Q425" s="62"/>
      <c r="R425" s="61"/>
      <c r="S425" s="61"/>
      <c r="T425" s="61"/>
      <c r="U425" s="61"/>
    </row>
    <row r="426">
      <c r="P426" s="61"/>
      <c r="Q426" s="62"/>
      <c r="R426" s="61"/>
      <c r="S426" s="61"/>
      <c r="T426" s="61"/>
      <c r="U426" s="61"/>
    </row>
    <row r="427">
      <c r="P427" s="61"/>
      <c r="Q427" s="62"/>
      <c r="R427" s="61"/>
      <c r="S427" s="61"/>
      <c r="T427" s="61"/>
      <c r="U427" s="61"/>
    </row>
    <row r="428">
      <c r="P428" s="61"/>
      <c r="Q428" s="62"/>
      <c r="R428" s="61"/>
      <c r="S428" s="61"/>
      <c r="T428" s="61"/>
      <c r="U428" s="61"/>
    </row>
    <row r="429">
      <c r="P429" s="61"/>
      <c r="Q429" s="62"/>
      <c r="R429" s="61"/>
      <c r="S429" s="61"/>
      <c r="T429" s="61"/>
      <c r="U429" s="61"/>
    </row>
    <row r="430">
      <c r="P430" s="61"/>
      <c r="Q430" s="62"/>
      <c r="R430" s="61"/>
      <c r="S430" s="61"/>
      <c r="T430" s="61"/>
      <c r="U430" s="61"/>
    </row>
    <row r="431">
      <c r="P431" s="61"/>
      <c r="Q431" s="62"/>
      <c r="R431" s="61"/>
      <c r="S431" s="61"/>
      <c r="T431" s="61"/>
      <c r="U431" s="61"/>
    </row>
    <row r="432">
      <c r="P432" s="61"/>
      <c r="Q432" s="62"/>
      <c r="R432" s="61"/>
      <c r="S432" s="61"/>
      <c r="T432" s="61"/>
      <c r="U432" s="61"/>
    </row>
    <row r="433">
      <c r="P433" s="61"/>
      <c r="Q433" s="62"/>
      <c r="R433" s="61"/>
      <c r="S433" s="61"/>
      <c r="T433" s="61"/>
      <c r="U433" s="61"/>
    </row>
    <row r="434">
      <c r="P434" s="61"/>
      <c r="Q434" s="62"/>
      <c r="R434" s="61"/>
      <c r="S434" s="61"/>
      <c r="T434" s="61"/>
      <c r="U434" s="61"/>
    </row>
    <row r="435">
      <c r="P435" s="61"/>
      <c r="Q435" s="62"/>
      <c r="R435" s="61"/>
      <c r="S435" s="61"/>
      <c r="T435" s="61"/>
      <c r="U435" s="61"/>
    </row>
    <row r="436">
      <c r="P436" s="61"/>
      <c r="Q436" s="62"/>
      <c r="R436" s="61"/>
      <c r="S436" s="61"/>
      <c r="T436" s="61"/>
      <c r="U436" s="61"/>
    </row>
    <row r="437">
      <c r="P437" s="61"/>
      <c r="Q437" s="62"/>
      <c r="R437" s="61"/>
      <c r="S437" s="61"/>
      <c r="T437" s="61"/>
      <c r="U437" s="61"/>
    </row>
    <row r="438">
      <c r="P438" s="61"/>
      <c r="Q438" s="62"/>
      <c r="R438" s="61"/>
      <c r="S438" s="61"/>
      <c r="T438" s="61"/>
      <c r="U438" s="61"/>
    </row>
    <row r="439">
      <c r="P439" s="61"/>
      <c r="Q439" s="62"/>
      <c r="R439" s="61"/>
      <c r="S439" s="61"/>
      <c r="T439" s="61"/>
      <c r="U439" s="61"/>
    </row>
    <row r="440">
      <c r="P440" s="61"/>
      <c r="Q440" s="62"/>
      <c r="R440" s="61"/>
      <c r="S440" s="61"/>
      <c r="T440" s="61"/>
      <c r="U440" s="61"/>
    </row>
    <row r="441">
      <c r="P441" s="61"/>
      <c r="Q441" s="62"/>
      <c r="R441" s="61"/>
      <c r="S441" s="61"/>
      <c r="T441" s="61"/>
      <c r="U441" s="61"/>
    </row>
    <row r="442">
      <c r="P442" s="61"/>
      <c r="Q442" s="62"/>
      <c r="R442" s="61"/>
      <c r="S442" s="61"/>
      <c r="T442" s="61"/>
      <c r="U442" s="61"/>
    </row>
    <row r="443">
      <c r="P443" s="61"/>
      <c r="Q443" s="62"/>
      <c r="R443" s="61"/>
      <c r="S443" s="61"/>
      <c r="T443" s="61"/>
      <c r="U443" s="61"/>
    </row>
    <row r="444">
      <c r="P444" s="61"/>
      <c r="Q444" s="62"/>
      <c r="R444" s="61"/>
      <c r="S444" s="61"/>
      <c r="T444" s="61"/>
      <c r="U444" s="61"/>
    </row>
    <row r="445">
      <c r="P445" s="61"/>
      <c r="Q445" s="62"/>
      <c r="R445" s="61"/>
      <c r="S445" s="61"/>
      <c r="T445" s="61"/>
      <c r="U445" s="61"/>
    </row>
    <row r="446">
      <c r="P446" s="61"/>
      <c r="Q446" s="62"/>
      <c r="R446" s="61"/>
      <c r="S446" s="61"/>
      <c r="T446" s="61"/>
      <c r="U446" s="61"/>
    </row>
    <row r="447">
      <c r="P447" s="61"/>
      <c r="Q447" s="62"/>
      <c r="R447" s="61"/>
      <c r="S447" s="61"/>
      <c r="T447" s="61"/>
      <c r="U447" s="61"/>
    </row>
    <row r="448">
      <c r="P448" s="61"/>
      <c r="Q448" s="62"/>
      <c r="R448" s="61"/>
      <c r="S448" s="61"/>
      <c r="T448" s="61"/>
      <c r="U448" s="61"/>
    </row>
    <row r="449">
      <c r="P449" s="61"/>
      <c r="Q449" s="62"/>
      <c r="R449" s="61"/>
      <c r="S449" s="61"/>
      <c r="T449" s="61"/>
      <c r="U449" s="61"/>
    </row>
    <row r="450">
      <c r="P450" s="61"/>
      <c r="Q450" s="62"/>
      <c r="R450" s="61"/>
      <c r="S450" s="61"/>
      <c r="T450" s="61"/>
      <c r="U450" s="61"/>
    </row>
    <row r="451">
      <c r="P451" s="61"/>
      <c r="Q451" s="62"/>
      <c r="R451" s="61"/>
      <c r="S451" s="61"/>
      <c r="T451" s="61"/>
      <c r="U451" s="61"/>
    </row>
    <row r="452">
      <c r="P452" s="61"/>
      <c r="Q452" s="62"/>
      <c r="R452" s="61"/>
      <c r="S452" s="61"/>
      <c r="T452" s="61"/>
      <c r="U452" s="61"/>
    </row>
    <row r="453">
      <c r="P453" s="61"/>
      <c r="Q453" s="62"/>
      <c r="R453" s="61"/>
      <c r="S453" s="61"/>
      <c r="T453" s="61"/>
      <c r="U453" s="61"/>
    </row>
    <row r="454">
      <c r="P454" s="61"/>
      <c r="Q454" s="62"/>
      <c r="R454" s="61"/>
      <c r="S454" s="61"/>
      <c r="T454" s="61"/>
      <c r="U454" s="61"/>
    </row>
    <row r="455">
      <c r="P455" s="61"/>
      <c r="Q455" s="62"/>
      <c r="R455" s="61"/>
      <c r="S455" s="61"/>
      <c r="T455" s="61"/>
      <c r="U455" s="61"/>
    </row>
    <row r="456">
      <c r="P456" s="61"/>
      <c r="Q456" s="62"/>
      <c r="R456" s="61"/>
      <c r="S456" s="61"/>
      <c r="T456" s="61"/>
      <c r="U456" s="61"/>
    </row>
    <row r="457">
      <c r="P457" s="61"/>
      <c r="Q457" s="62"/>
      <c r="R457" s="61"/>
      <c r="S457" s="61"/>
      <c r="T457" s="61"/>
      <c r="U457" s="61"/>
    </row>
    <row r="458">
      <c r="P458" s="61"/>
      <c r="Q458" s="62"/>
      <c r="R458" s="61"/>
      <c r="S458" s="61"/>
      <c r="T458" s="61"/>
      <c r="U458" s="61"/>
    </row>
    <row r="459">
      <c r="P459" s="61"/>
      <c r="Q459" s="62"/>
      <c r="R459" s="61"/>
      <c r="S459" s="61"/>
      <c r="T459" s="61"/>
      <c r="U459" s="61"/>
    </row>
    <row r="460">
      <c r="P460" s="61"/>
      <c r="Q460" s="62"/>
      <c r="R460" s="61"/>
      <c r="S460" s="61"/>
      <c r="T460" s="61"/>
      <c r="U460" s="61"/>
    </row>
    <row r="461">
      <c r="P461" s="61"/>
      <c r="Q461" s="62"/>
      <c r="R461" s="61"/>
      <c r="S461" s="61"/>
      <c r="T461" s="61"/>
      <c r="U461" s="61"/>
    </row>
    <row r="462">
      <c r="P462" s="61"/>
      <c r="Q462" s="62"/>
      <c r="R462" s="61"/>
      <c r="S462" s="61"/>
      <c r="T462" s="61"/>
      <c r="U462" s="61"/>
    </row>
    <row r="463">
      <c r="P463" s="61"/>
      <c r="Q463" s="62"/>
      <c r="R463" s="61"/>
      <c r="S463" s="61"/>
      <c r="T463" s="61"/>
      <c r="U463" s="61"/>
    </row>
    <row r="464">
      <c r="P464" s="61"/>
      <c r="Q464" s="62"/>
      <c r="R464" s="61"/>
      <c r="S464" s="61"/>
      <c r="T464" s="61"/>
      <c r="U464" s="61"/>
    </row>
    <row r="465">
      <c r="P465" s="61"/>
      <c r="Q465" s="62"/>
      <c r="R465" s="61"/>
      <c r="S465" s="61"/>
      <c r="T465" s="61"/>
      <c r="U465" s="61"/>
    </row>
    <row r="466">
      <c r="P466" s="61"/>
      <c r="Q466" s="62"/>
      <c r="R466" s="61"/>
      <c r="S466" s="61"/>
      <c r="T466" s="61"/>
      <c r="U466" s="61"/>
    </row>
    <row r="467">
      <c r="P467" s="61"/>
      <c r="Q467" s="62"/>
      <c r="R467" s="61"/>
      <c r="S467" s="61"/>
      <c r="T467" s="61"/>
      <c r="U467" s="61"/>
    </row>
    <row r="468">
      <c r="P468" s="61"/>
      <c r="Q468" s="62"/>
      <c r="R468" s="61"/>
      <c r="S468" s="61"/>
      <c r="T468" s="61"/>
      <c r="U468" s="61"/>
    </row>
    <row r="469">
      <c r="P469" s="61"/>
      <c r="Q469" s="62"/>
      <c r="R469" s="61"/>
      <c r="S469" s="61"/>
      <c r="T469" s="61"/>
      <c r="U469" s="61"/>
    </row>
    <row r="470">
      <c r="P470" s="61"/>
      <c r="Q470" s="62"/>
      <c r="R470" s="61"/>
      <c r="S470" s="61"/>
      <c r="T470" s="61"/>
      <c r="U470" s="61"/>
    </row>
    <row r="471">
      <c r="P471" s="61"/>
      <c r="Q471" s="62"/>
      <c r="R471" s="61"/>
      <c r="S471" s="61"/>
      <c r="T471" s="61"/>
      <c r="U471" s="61"/>
    </row>
    <row r="472">
      <c r="P472" s="61"/>
      <c r="Q472" s="62"/>
      <c r="R472" s="61"/>
      <c r="S472" s="61"/>
      <c r="T472" s="61"/>
      <c r="U472" s="61"/>
    </row>
    <row r="473">
      <c r="P473" s="61"/>
      <c r="Q473" s="62"/>
      <c r="R473" s="61"/>
      <c r="S473" s="61"/>
      <c r="T473" s="61"/>
      <c r="U473" s="61"/>
    </row>
    <row r="474">
      <c r="P474" s="61"/>
      <c r="Q474" s="62"/>
      <c r="R474" s="61"/>
      <c r="S474" s="61"/>
      <c r="T474" s="61"/>
      <c r="U474" s="61"/>
    </row>
    <row r="475">
      <c r="P475" s="61"/>
      <c r="Q475" s="62"/>
      <c r="R475" s="61"/>
      <c r="S475" s="61"/>
      <c r="T475" s="61"/>
      <c r="U475" s="61"/>
    </row>
    <row r="476">
      <c r="P476" s="61"/>
      <c r="Q476" s="62"/>
      <c r="R476" s="61"/>
      <c r="S476" s="61"/>
      <c r="T476" s="61"/>
      <c r="U476" s="61"/>
    </row>
    <row r="477">
      <c r="P477" s="61"/>
      <c r="Q477" s="62"/>
      <c r="R477" s="61"/>
      <c r="S477" s="61"/>
      <c r="T477" s="61"/>
      <c r="U477" s="61"/>
    </row>
    <row r="478">
      <c r="P478" s="61"/>
      <c r="Q478" s="62"/>
      <c r="R478" s="61"/>
      <c r="S478" s="61"/>
      <c r="T478" s="61"/>
      <c r="U478" s="61"/>
    </row>
    <row r="479">
      <c r="P479" s="61"/>
      <c r="Q479" s="62"/>
      <c r="R479" s="61"/>
      <c r="S479" s="61"/>
      <c r="T479" s="61"/>
      <c r="U479" s="61"/>
    </row>
    <row r="480">
      <c r="P480" s="61"/>
      <c r="Q480" s="62"/>
      <c r="R480" s="61"/>
      <c r="S480" s="61"/>
      <c r="T480" s="61"/>
      <c r="U480" s="61"/>
    </row>
    <row r="481">
      <c r="P481" s="61"/>
      <c r="Q481" s="62"/>
      <c r="R481" s="61"/>
      <c r="S481" s="61"/>
      <c r="T481" s="61"/>
      <c r="U481" s="61"/>
    </row>
    <row r="482">
      <c r="P482" s="61"/>
      <c r="Q482" s="62"/>
      <c r="R482" s="61"/>
      <c r="S482" s="61"/>
      <c r="T482" s="61"/>
      <c r="U482" s="61"/>
    </row>
    <row r="483">
      <c r="P483" s="61"/>
      <c r="Q483" s="62"/>
      <c r="R483" s="61"/>
      <c r="S483" s="61"/>
      <c r="T483" s="61"/>
      <c r="U483" s="61"/>
    </row>
    <row r="484">
      <c r="P484" s="61"/>
      <c r="Q484" s="62"/>
      <c r="R484" s="61"/>
      <c r="S484" s="61"/>
      <c r="T484" s="61"/>
      <c r="U484" s="61"/>
    </row>
    <row r="485">
      <c r="P485" s="61"/>
      <c r="Q485" s="62"/>
      <c r="R485" s="61"/>
      <c r="S485" s="61"/>
      <c r="T485" s="61"/>
      <c r="U485" s="61"/>
    </row>
    <row r="486">
      <c r="P486" s="61"/>
      <c r="Q486" s="62"/>
      <c r="R486" s="61"/>
      <c r="S486" s="61"/>
      <c r="T486" s="61"/>
      <c r="U486" s="61"/>
    </row>
    <row r="487">
      <c r="P487" s="61"/>
      <c r="Q487" s="62"/>
      <c r="R487" s="61"/>
      <c r="S487" s="61"/>
      <c r="T487" s="61"/>
      <c r="U487" s="61"/>
    </row>
    <row r="488">
      <c r="P488" s="61"/>
      <c r="Q488" s="62"/>
      <c r="R488" s="61"/>
      <c r="S488" s="61"/>
      <c r="T488" s="61"/>
      <c r="U488" s="61"/>
    </row>
    <row r="489">
      <c r="P489" s="61"/>
      <c r="Q489" s="62"/>
      <c r="R489" s="61"/>
      <c r="S489" s="61"/>
      <c r="T489" s="61"/>
      <c r="U489" s="61"/>
    </row>
    <row r="490">
      <c r="P490" s="61"/>
      <c r="Q490" s="62"/>
      <c r="R490" s="61"/>
      <c r="S490" s="61"/>
      <c r="T490" s="61"/>
      <c r="U490" s="61"/>
    </row>
    <row r="491">
      <c r="P491" s="61"/>
      <c r="Q491" s="62"/>
      <c r="R491" s="61"/>
      <c r="S491" s="61"/>
      <c r="T491" s="61"/>
      <c r="U491" s="61"/>
    </row>
    <row r="492">
      <c r="P492" s="61"/>
      <c r="Q492" s="62"/>
      <c r="R492" s="61"/>
      <c r="S492" s="61"/>
      <c r="T492" s="61"/>
      <c r="U492" s="61"/>
    </row>
    <row r="493">
      <c r="P493" s="61"/>
      <c r="Q493" s="62"/>
      <c r="R493" s="61"/>
      <c r="S493" s="61"/>
      <c r="T493" s="61"/>
      <c r="U493" s="61"/>
    </row>
    <row r="494">
      <c r="P494" s="61"/>
      <c r="Q494" s="62"/>
      <c r="R494" s="61"/>
      <c r="S494" s="61"/>
      <c r="T494" s="61"/>
      <c r="U494" s="61"/>
    </row>
    <row r="495">
      <c r="P495" s="61"/>
      <c r="Q495" s="62"/>
      <c r="R495" s="61"/>
      <c r="S495" s="61"/>
      <c r="T495" s="61"/>
      <c r="U495" s="61"/>
    </row>
    <row r="496">
      <c r="P496" s="61"/>
      <c r="Q496" s="62"/>
      <c r="R496" s="61"/>
      <c r="S496" s="61"/>
      <c r="T496" s="61"/>
      <c r="U496" s="61"/>
    </row>
    <row r="497">
      <c r="P497" s="61"/>
      <c r="Q497" s="62"/>
      <c r="R497" s="61"/>
      <c r="S497" s="61"/>
      <c r="T497" s="61"/>
      <c r="U497" s="61"/>
    </row>
    <row r="498">
      <c r="P498" s="61"/>
      <c r="Q498" s="62"/>
      <c r="R498" s="61"/>
      <c r="S498" s="61"/>
      <c r="T498" s="61"/>
      <c r="U498" s="61"/>
    </row>
    <row r="499">
      <c r="P499" s="61"/>
      <c r="Q499" s="62"/>
      <c r="R499" s="61"/>
      <c r="S499" s="61"/>
      <c r="T499" s="61"/>
      <c r="U499" s="61"/>
    </row>
    <row r="500">
      <c r="P500" s="61"/>
      <c r="Q500" s="62"/>
      <c r="R500" s="61"/>
      <c r="S500" s="61"/>
      <c r="T500" s="61"/>
      <c r="U500" s="61"/>
    </row>
    <row r="501">
      <c r="P501" s="61"/>
      <c r="Q501" s="62"/>
      <c r="R501" s="61"/>
      <c r="S501" s="61"/>
      <c r="T501" s="61"/>
      <c r="U501" s="61"/>
    </row>
    <row r="502">
      <c r="P502" s="61"/>
      <c r="Q502" s="62"/>
      <c r="R502" s="61"/>
      <c r="S502" s="61"/>
      <c r="T502" s="61"/>
      <c r="U502" s="61"/>
    </row>
    <row r="503">
      <c r="P503" s="61"/>
      <c r="Q503" s="62"/>
      <c r="R503" s="61"/>
      <c r="S503" s="61"/>
      <c r="T503" s="61"/>
      <c r="U503" s="61"/>
    </row>
    <row r="504">
      <c r="P504" s="61"/>
      <c r="Q504" s="62"/>
      <c r="R504" s="61"/>
      <c r="S504" s="61"/>
      <c r="T504" s="61"/>
      <c r="U504" s="61"/>
    </row>
    <row r="505">
      <c r="P505" s="61"/>
      <c r="Q505" s="62"/>
      <c r="R505" s="61"/>
      <c r="S505" s="61"/>
      <c r="T505" s="61"/>
      <c r="U505" s="61"/>
    </row>
    <row r="506">
      <c r="P506" s="61"/>
      <c r="Q506" s="62"/>
      <c r="R506" s="61"/>
      <c r="S506" s="61"/>
      <c r="T506" s="61"/>
      <c r="U506" s="61"/>
    </row>
    <row r="507">
      <c r="P507" s="61"/>
      <c r="Q507" s="62"/>
      <c r="R507" s="61"/>
      <c r="S507" s="61"/>
      <c r="T507" s="61"/>
      <c r="U507" s="61"/>
    </row>
    <row r="508">
      <c r="P508" s="61"/>
      <c r="Q508" s="62"/>
      <c r="R508" s="61"/>
      <c r="S508" s="61"/>
      <c r="T508" s="61"/>
      <c r="U508" s="61"/>
    </row>
    <row r="509">
      <c r="P509" s="61"/>
      <c r="Q509" s="62"/>
      <c r="R509" s="61"/>
      <c r="S509" s="61"/>
      <c r="T509" s="61"/>
      <c r="U509" s="61"/>
    </row>
    <row r="510">
      <c r="P510" s="61"/>
      <c r="Q510" s="62"/>
      <c r="R510" s="61"/>
      <c r="S510" s="61"/>
      <c r="T510" s="61"/>
      <c r="U510" s="61"/>
    </row>
    <row r="511">
      <c r="P511" s="61"/>
      <c r="Q511" s="62"/>
      <c r="R511" s="61"/>
      <c r="S511" s="61"/>
      <c r="T511" s="61"/>
      <c r="U511" s="61"/>
    </row>
    <row r="512">
      <c r="P512" s="61"/>
      <c r="Q512" s="62"/>
      <c r="R512" s="61"/>
      <c r="S512" s="61"/>
      <c r="T512" s="61"/>
      <c r="U512" s="61"/>
    </row>
    <row r="513">
      <c r="P513" s="61"/>
      <c r="Q513" s="62"/>
      <c r="R513" s="61"/>
      <c r="S513" s="61"/>
      <c r="T513" s="61"/>
      <c r="U513" s="61"/>
    </row>
    <row r="514">
      <c r="P514" s="61"/>
      <c r="Q514" s="62"/>
      <c r="R514" s="61"/>
      <c r="S514" s="61"/>
      <c r="T514" s="61"/>
      <c r="U514" s="61"/>
    </row>
    <row r="515">
      <c r="P515" s="61"/>
      <c r="Q515" s="62"/>
      <c r="R515" s="61"/>
      <c r="S515" s="61"/>
      <c r="T515" s="61"/>
      <c r="U515" s="61"/>
    </row>
    <row r="516">
      <c r="P516" s="61"/>
      <c r="Q516" s="62"/>
      <c r="R516" s="61"/>
      <c r="S516" s="61"/>
      <c r="T516" s="61"/>
      <c r="U516" s="61"/>
    </row>
    <row r="517">
      <c r="P517" s="61"/>
      <c r="Q517" s="62"/>
      <c r="R517" s="61"/>
      <c r="S517" s="61"/>
      <c r="T517" s="61"/>
      <c r="U517" s="61"/>
    </row>
    <row r="518">
      <c r="P518" s="61"/>
      <c r="Q518" s="62"/>
      <c r="R518" s="61"/>
      <c r="S518" s="61"/>
      <c r="T518" s="61"/>
      <c r="U518" s="61"/>
    </row>
    <row r="519">
      <c r="P519" s="61"/>
      <c r="Q519" s="62"/>
      <c r="R519" s="61"/>
      <c r="S519" s="61"/>
      <c r="T519" s="61"/>
      <c r="U519" s="61"/>
    </row>
    <row r="520">
      <c r="P520" s="61"/>
      <c r="Q520" s="62"/>
      <c r="R520" s="61"/>
      <c r="S520" s="61"/>
      <c r="T520" s="61"/>
      <c r="U520" s="61"/>
    </row>
    <row r="521">
      <c r="P521" s="61"/>
      <c r="Q521" s="62"/>
      <c r="R521" s="61"/>
      <c r="S521" s="61"/>
      <c r="T521" s="61"/>
      <c r="U521" s="61"/>
    </row>
    <row r="522">
      <c r="P522" s="61"/>
      <c r="Q522" s="62"/>
      <c r="R522" s="61"/>
      <c r="S522" s="61"/>
      <c r="T522" s="61"/>
      <c r="U522" s="61"/>
    </row>
    <row r="523">
      <c r="P523" s="61"/>
      <c r="Q523" s="62"/>
      <c r="R523" s="61"/>
      <c r="S523" s="61"/>
      <c r="T523" s="61"/>
      <c r="U523" s="61"/>
    </row>
    <row r="524">
      <c r="P524" s="61"/>
      <c r="Q524" s="62"/>
      <c r="R524" s="61"/>
      <c r="S524" s="61"/>
      <c r="T524" s="61"/>
      <c r="U524" s="61"/>
    </row>
    <row r="525">
      <c r="P525" s="61"/>
      <c r="Q525" s="62"/>
      <c r="R525" s="61"/>
      <c r="S525" s="61"/>
      <c r="T525" s="61"/>
      <c r="U525" s="61"/>
    </row>
    <row r="526">
      <c r="P526" s="61"/>
      <c r="Q526" s="62"/>
      <c r="R526" s="61"/>
      <c r="S526" s="61"/>
      <c r="T526" s="61"/>
      <c r="U526" s="61"/>
    </row>
    <row r="527">
      <c r="P527" s="61"/>
      <c r="Q527" s="62"/>
      <c r="R527" s="61"/>
      <c r="S527" s="61"/>
      <c r="T527" s="61"/>
      <c r="U527" s="61"/>
    </row>
    <row r="528">
      <c r="P528" s="61"/>
      <c r="Q528" s="62"/>
      <c r="R528" s="61"/>
      <c r="S528" s="61"/>
      <c r="T528" s="61"/>
      <c r="U528" s="61"/>
    </row>
    <row r="529">
      <c r="P529" s="61"/>
      <c r="Q529" s="62"/>
      <c r="R529" s="61"/>
      <c r="S529" s="61"/>
      <c r="T529" s="61"/>
      <c r="U529" s="61"/>
    </row>
    <row r="530">
      <c r="P530" s="61"/>
      <c r="Q530" s="62"/>
      <c r="R530" s="61"/>
      <c r="S530" s="61"/>
      <c r="T530" s="61"/>
      <c r="U530" s="61"/>
    </row>
    <row r="531">
      <c r="P531" s="61"/>
      <c r="Q531" s="62"/>
      <c r="R531" s="61"/>
      <c r="S531" s="61"/>
      <c r="T531" s="61"/>
      <c r="U531" s="61"/>
    </row>
    <row r="532">
      <c r="P532" s="61"/>
      <c r="Q532" s="62"/>
      <c r="R532" s="61"/>
      <c r="S532" s="61"/>
      <c r="T532" s="61"/>
      <c r="U532" s="61"/>
    </row>
    <row r="533">
      <c r="P533" s="61"/>
      <c r="Q533" s="62"/>
      <c r="R533" s="61"/>
      <c r="S533" s="61"/>
      <c r="T533" s="61"/>
      <c r="U533" s="61"/>
    </row>
    <row r="534">
      <c r="P534" s="61"/>
      <c r="Q534" s="62"/>
      <c r="R534" s="61"/>
      <c r="S534" s="61"/>
      <c r="T534" s="61"/>
      <c r="U534" s="61"/>
    </row>
    <row r="535">
      <c r="P535" s="61"/>
      <c r="Q535" s="62"/>
      <c r="R535" s="61"/>
      <c r="S535" s="61"/>
      <c r="T535" s="61"/>
      <c r="U535" s="61"/>
    </row>
    <row r="536">
      <c r="P536" s="61"/>
      <c r="Q536" s="62"/>
      <c r="R536" s="61"/>
      <c r="S536" s="61"/>
      <c r="T536" s="61"/>
      <c r="U536" s="61"/>
    </row>
    <row r="537">
      <c r="P537" s="61"/>
      <c r="Q537" s="62"/>
      <c r="R537" s="61"/>
      <c r="S537" s="61"/>
      <c r="T537" s="61"/>
      <c r="U537" s="61"/>
    </row>
    <row r="538">
      <c r="P538" s="61"/>
      <c r="Q538" s="62"/>
      <c r="R538" s="61"/>
      <c r="S538" s="61"/>
      <c r="T538" s="61"/>
      <c r="U538" s="61"/>
    </row>
    <row r="539">
      <c r="P539" s="61"/>
      <c r="Q539" s="62"/>
      <c r="R539" s="61"/>
      <c r="S539" s="61"/>
      <c r="T539" s="61"/>
      <c r="U539" s="61"/>
    </row>
    <row r="540">
      <c r="P540" s="61"/>
      <c r="Q540" s="62"/>
      <c r="R540" s="61"/>
      <c r="S540" s="61"/>
      <c r="T540" s="61"/>
      <c r="U540" s="61"/>
    </row>
    <row r="541">
      <c r="P541" s="61"/>
      <c r="Q541" s="62"/>
      <c r="R541" s="61"/>
      <c r="S541" s="61"/>
      <c r="T541" s="61"/>
      <c r="U541" s="61"/>
    </row>
    <row r="542">
      <c r="P542" s="61"/>
      <c r="Q542" s="62"/>
      <c r="R542" s="61"/>
      <c r="S542" s="61"/>
      <c r="T542" s="61"/>
      <c r="U542" s="61"/>
    </row>
    <row r="543">
      <c r="P543" s="61"/>
      <c r="Q543" s="62"/>
      <c r="R543" s="61"/>
      <c r="S543" s="61"/>
      <c r="T543" s="61"/>
      <c r="U543" s="61"/>
    </row>
    <row r="544">
      <c r="P544" s="61"/>
      <c r="Q544" s="62"/>
      <c r="R544" s="61"/>
      <c r="S544" s="61"/>
      <c r="T544" s="61"/>
      <c r="U544" s="61"/>
    </row>
    <row r="545">
      <c r="P545" s="61"/>
      <c r="Q545" s="62"/>
      <c r="R545" s="61"/>
      <c r="S545" s="61"/>
      <c r="T545" s="61"/>
      <c r="U545" s="61"/>
    </row>
    <row r="546">
      <c r="P546" s="61"/>
      <c r="Q546" s="62"/>
      <c r="R546" s="61"/>
      <c r="S546" s="61"/>
      <c r="T546" s="61"/>
      <c r="U546" s="61"/>
    </row>
    <row r="547">
      <c r="P547" s="61"/>
      <c r="Q547" s="62"/>
      <c r="R547" s="61"/>
      <c r="S547" s="61"/>
      <c r="T547" s="61"/>
      <c r="U547" s="61"/>
    </row>
    <row r="548">
      <c r="P548" s="61"/>
      <c r="Q548" s="62"/>
      <c r="R548" s="61"/>
      <c r="S548" s="61"/>
      <c r="T548" s="61"/>
      <c r="U548" s="61"/>
    </row>
    <row r="549">
      <c r="P549" s="61"/>
      <c r="Q549" s="62"/>
      <c r="R549" s="61"/>
      <c r="S549" s="61"/>
      <c r="T549" s="61"/>
      <c r="U549" s="61"/>
    </row>
    <row r="550">
      <c r="P550" s="61"/>
      <c r="Q550" s="62"/>
      <c r="R550" s="61"/>
      <c r="S550" s="61"/>
      <c r="T550" s="61"/>
      <c r="U550" s="61"/>
    </row>
    <row r="551">
      <c r="P551" s="61"/>
      <c r="Q551" s="62"/>
      <c r="R551" s="61"/>
      <c r="S551" s="61"/>
      <c r="T551" s="61"/>
      <c r="U551" s="61"/>
    </row>
    <row r="552">
      <c r="P552" s="61"/>
      <c r="Q552" s="62"/>
      <c r="R552" s="61"/>
      <c r="S552" s="61"/>
      <c r="T552" s="61"/>
      <c r="U552" s="61"/>
    </row>
    <row r="553">
      <c r="P553" s="61"/>
      <c r="Q553" s="62"/>
      <c r="R553" s="61"/>
      <c r="S553" s="61"/>
      <c r="T553" s="61"/>
      <c r="U553" s="61"/>
    </row>
    <row r="554">
      <c r="P554" s="61"/>
      <c r="Q554" s="62"/>
      <c r="R554" s="61"/>
      <c r="S554" s="61"/>
      <c r="T554" s="61"/>
      <c r="U554" s="61"/>
    </row>
    <row r="555">
      <c r="P555" s="61"/>
      <c r="Q555" s="62"/>
      <c r="R555" s="61"/>
      <c r="S555" s="61"/>
      <c r="T555" s="61"/>
      <c r="U555" s="61"/>
    </row>
    <row r="556">
      <c r="P556" s="61"/>
      <c r="Q556" s="62"/>
      <c r="R556" s="61"/>
      <c r="S556" s="61"/>
      <c r="T556" s="61"/>
      <c r="U556" s="61"/>
    </row>
    <row r="557">
      <c r="P557" s="61"/>
      <c r="Q557" s="62"/>
      <c r="R557" s="61"/>
      <c r="S557" s="61"/>
      <c r="T557" s="61"/>
      <c r="U557" s="61"/>
    </row>
    <row r="558">
      <c r="P558" s="61"/>
      <c r="Q558" s="62"/>
      <c r="R558" s="61"/>
      <c r="S558" s="61"/>
      <c r="T558" s="61"/>
      <c r="U558" s="61"/>
    </row>
    <row r="559">
      <c r="P559" s="61"/>
      <c r="Q559" s="62"/>
      <c r="R559" s="61"/>
      <c r="S559" s="61"/>
      <c r="T559" s="61"/>
      <c r="U559" s="61"/>
    </row>
    <row r="560">
      <c r="P560" s="61"/>
      <c r="Q560" s="62"/>
      <c r="R560" s="61"/>
      <c r="S560" s="61"/>
      <c r="T560" s="61"/>
      <c r="U560" s="61"/>
    </row>
    <row r="561">
      <c r="P561" s="61"/>
      <c r="Q561" s="62"/>
      <c r="R561" s="61"/>
      <c r="S561" s="61"/>
      <c r="T561" s="61"/>
      <c r="U561" s="61"/>
    </row>
    <row r="562">
      <c r="P562" s="61"/>
      <c r="Q562" s="62"/>
      <c r="R562" s="61"/>
      <c r="S562" s="61"/>
      <c r="T562" s="61"/>
      <c r="U562" s="61"/>
    </row>
    <row r="563">
      <c r="P563" s="61"/>
      <c r="Q563" s="62"/>
      <c r="R563" s="61"/>
      <c r="S563" s="61"/>
      <c r="T563" s="61"/>
      <c r="U563" s="61"/>
    </row>
    <row r="564">
      <c r="P564" s="61"/>
      <c r="Q564" s="62"/>
      <c r="R564" s="61"/>
      <c r="S564" s="61"/>
      <c r="T564" s="61"/>
      <c r="U564" s="61"/>
    </row>
    <row r="565">
      <c r="P565" s="61"/>
      <c r="Q565" s="62"/>
      <c r="R565" s="61"/>
      <c r="S565" s="61"/>
      <c r="T565" s="61"/>
      <c r="U565" s="61"/>
    </row>
    <row r="566">
      <c r="P566" s="61"/>
      <c r="Q566" s="62"/>
      <c r="R566" s="61"/>
      <c r="S566" s="61"/>
      <c r="T566" s="61"/>
      <c r="U566" s="61"/>
    </row>
    <row r="567">
      <c r="P567" s="61"/>
      <c r="Q567" s="62"/>
      <c r="R567" s="61"/>
      <c r="S567" s="61"/>
      <c r="T567" s="61"/>
      <c r="U567" s="61"/>
    </row>
    <row r="568">
      <c r="P568" s="61"/>
      <c r="Q568" s="62"/>
      <c r="R568" s="61"/>
      <c r="S568" s="61"/>
      <c r="T568" s="61"/>
      <c r="U568" s="61"/>
    </row>
    <row r="569">
      <c r="P569" s="61"/>
      <c r="Q569" s="62"/>
      <c r="R569" s="61"/>
      <c r="S569" s="61"/>
      <c r="T569" s="61"/>
      <c r="U569" s="61"/>
    </row>
    <row r="570">
      <c r="P570" s="61"/>
      <c r="Q570" s="62"/>
      <c r="R570" s="61"/>
      <c r="S570" s="61"/>
      <c r="T570" s="61"/>
      <c r="U570" s="61"/>
    </row>
    <row r="571">
      <c r="P571" s="61"/>
      <c r="Q571" s="62"/>
      <c r="R571" s="61"/>
      <c r="S571" s="61"/>
      <c r="T571" s="61"/>
      <c r="U571" s="61"/>
    </row>
    <row r="572">
      <c r="P572" s="61"/>
      <c r="Q572" s="62"/>
      <c r="R572" s="61"/>
      <c r="S572" s="61"/>
      <c r="T572" s="61"/>
      <c r="U572" s="61"/>
    </row>
    <row r="573">
      <c r="P573" s="61"/>
      <c r="Q573" s="62"/>
      <c r="R573" s="61"/>
      <c r="S573" s="61"/>
      <c r="T573" s="61"/>
      <c r="U573" s="61"/>
    </row>
    <row r="574">
      <c r="P574" s="61"/>
      <c r="Q574" s="62"/>
      <c r="R574" s="61"/>
      <c r="S574" s="61"/>
      <c r="T574" s="61"/>
      <c r="U574" s="61"/>
    </row>
    <row r="575">
      <c r="P575" s="61"/>
      <c r="Q575" s="62"/>
      <c r="R575" s="61"/>
      <c r="S575" s="61"/>
      <c r="T575" s="61"/>
      <c r="U575" s="61"/>
    </row>
    <row r="576">
      <c r="P576" s="61"/>
      <c r="Q576" s="62"/>
      <c r="R576" s="61"/>
      <c r="S576" s="61"/>
      <c r="T576" s="61"/>
      <c r="U576" s="61"/>
    </row>
    <row r="577">
      <c r="P577" s="61"/>
      <c r="Q577" s="62"/>
      <c r="R577" s="61"/>
      <c r="S577" s="61"/>
      <c r="T577" s="61"/>
      <c r="U577" s="61"/>
    </row>
    <row r="578">
      <c r="P578" s="61"/>
      <c r="Q578" s="62"/>
      <c r="R578" s="61"/>
      <c r="S578" s="61"/>
      <c r="T578" s="61"/>
      <c r="U578" s="61"/>
    </row>
    <row r="579">
      <c r="P579" s="61"/>
      <c r="Q579" s="62"/>
      <c r="R579" s="61"/>
      <c r="S579" s="61"/>
      <c r="T579" s="61"/>
      <c r="U579" s="61"/>
    </row>
    <row r="580">
      <c r="P580" s="61"/>
      <c r="Q580" s="62"/>
      <c r="R580" s="61"/>
      <c r="S580" s="61"/>
      <c r="T580" s="61"/>
      <c r="U580" s="61"/>
    </row>
    <row r="581">
      <c r="P581" s="61"/>
      <c r="Q581" s="62"/>
      <c r="R581" s="61"/>
      <c r="S581" s="61"/>
      <c r="T581" s="61"/>
      <c r="U581" s="61"/>
    </row>
    <row r="582">
      <c r="P582" s="61"/>
      <c r="Q582" s="62"/>
      <c r="R582" s="61"/>
      <c r="S582" s="61"/>
      <c r="T582" s="61"/>
      <c r="U582" s="61"/>
    </row>
    <row r="583">
      <c r="P583" s="61"/>
      <c r="Q583" s="62"/>
      <c r="R583" s="61"/>
      <c r="S583" s="61"/>
      <c r="T583" s="61"/>
      <c r="U583" s="61"/>
    </row>
    <row r="584">
      <c r="P584" s="61"/>
      <c r="Q584" s="62"/>
      <c r="R584" s="61"/>
      <c r="S584" s="61"/>
      <c r="T584" s="61"/>
      <c r="U584" s="61"/>
    </row>
    <row r="585">
      <c r="P585" s="61"/>
      <c r="Q585" s="62"/>
      <c r="R585" s="61"/>
      <c r="S585" s="61"/>
      <c r="T585" s="61"/>
      <c r="U585" s="61"/>
    </row>
    <row r="586">
      <c r="P586" s="61"/>
      <c r="Q586" s="62"/>
      <c r="R586" s="61"/>
      <c r="S586" s="61"/>
      <c r="T586" s="61"/>
      <c r="U586" s="61"/>
    </row>
    <row r="587">
      <c r="P587" s="61"/>
      <c r="Q587" s="62"/>
      <c r="R587" s="61"/>
      <c r="S587" s="61"/>
      <c r="T587" s="61"/>
      <c r="U587" s="61"/>
    </row>
    <row r="588">
      <c r="P588" s="61"/>
      <c r="Q588" s="62"/>
      <c r="R588" s="61"/>
      <c r="S588" s="61"/>
      <c r="T588" s="61"/>
      <c r="U588" s="61"/>
    </row>
    <row r="589">
      <c r="P589" s="61"/>
      <c r="Q589" s="62"/>
      <c r="R589" s="61"/>
      <c r="S589" s="61"/>
      <c r="T589" s="61"/>
      <c r="U589" s="61"/>
    </row>
    <row r="590">
      <c r="P590" s="61"/>
      <c r="Q590" s="62"/>
      <c r="R590" s="61"/>
      <c r="S590" s="61"/>
      <c r="T590" s="61"/>
      <c r="U590" s="61"/>
    </row>
    <row r="591">
      <c r="P591" s="61"/>
      <c r="Q591" s="62"/>
      <c r="R591" s="61"/>
      <c r="S591" s="61"/>
      <c r="T591" s="61"/>
      <c r="U591" s="61"/>
    </row>
    <row r="592">
      <c r="P592" s="61"/>
      <c r="Q592" s="62"/>
      <c r="R592" s="61"/>
      <c r="S592" s="61"/>
      <c r="T592" s="61"/>
      <c r="U592" s="61"/>
    </row>
    <row r="593">
      <c r="P593" s="61"/>
      <c r="Q593" s="62"/>
      <c r="R593" s="61"/>
      <c r="S593" s="61"/>
      <c r="T593" s="61"/>
      <c r="U593" s="61"/>
    </row>
    <row r="594">
      <c r="P594" s="61"/>
      <c r="Q594" s="62"/>
      <c r="R594" s="61"/>
      <c r="S594" s="61"/>
      <c r="T594" s="61"/>
      <c r="U594" s="61"/>
    </row>
    <row r="595">
      <c r="P595" s="61"/>
      <c r="Q595" s="62"/>
      <c r="R595" s="61"/>
      <c r="S595" s="61"/>
      <c r="T595" s="61"/>
      <c r="U595" s="61"/>
    </row>
    <row r="596">
      <c r="P596" s="61"/>
      <c r="Q596" s="62"/>
      <c r="R596" s="61"/>
      <c r="S596" s="61"/>
      <c r="T596" s="61"/>
      <c r="U596" s="61"/>
    </row>
    <row r="597">
      <c r="P597" s="61"/>
      <c r="Q597" s="62"/>
      <c r="R597" s="61"/>
      <c r="S597" s="61"/>
      <c r="T597" s="61"/>
      <c r="U597" s="61"/>
    </row>
    <row r="598">
      <c r="P598" s="61"/>
      <c r="Q598" s="62"/>
      <c r="R598" s="61"/>
      <c r="S598" s="61"/>
      <c r="T598" s="61"/>
      <c r="U598" s="61"/>
    </row>
    <row r="599">
      <c r="P599" s="61"/>
      <c r="Q599" s="62"/>
      <c r="R599" s="61"/>
      <c r="S599" s="61"/>
      <c r="T599" s="61"/>
      <c r="U599" s="61"/>
    </row>
    <row r="600">
      <c r="P600" s="61"/>
      <c r="Q600" s="62"/>
      <c r="R600" s="61"/>
      <c r="S600" s="61"/>
      <c r="T600" s="61"/>
      <c r="U600" s="61"/>
    </row>
    <row r="601">
      <c r="P601" s="61"/>
      <c r="Q601" s="62"/>
      <c r="R601" s="61"/>
      <c r="S601" s="61"/>
      <c r="T601" s="61"/>
      <c r="U601" s="61"/>
    </row>
    <row r="602">
      <c r="P602" s="61"/>
      <c r="Q602" s="62"/>
      <c r="R602" s="61"/>
      <c r="S602" s="61"/>
      <c r="T602" s="61"/>
      <c r="U602" s="61"/>
    </row>
    <row r="603">
      <c r="P603" s="61"/>
      <c r="Q603" s="62"/>
      <c r="R603" s="61"/>
      <c r="S603" s="61"/>
      <c r="T603" s="61"/>
      <c r="U603" s="61"/>
    </row>
    <row r="604">
      <c r="P604" s="61"/>
      <c r="Q604" s="62"/>
      <c r="R604" s="61"/>
      <c r="S604" s="61"/>
      <c r="T604" s="61"/>
      <c r="U604" s="61"/>
    </row>
    <row r="605">
      <c r="P605" s="61"/>
      <c r="Q605" s="62"/>
      <c r="R605" s="61"/>
      <c r="S605" s="61"/>
      <c r="T605" s="61"/>
      <c r="U605" s="61"/>
    </row>
    <row r="606">
      <c r="P606" s="61"/>
      <c r="Q606" s="62"/>
      <c r="R606" s="61"/>
      <c r="S606" s="61"/>
      <c r="T606" s="61"/>
      <c r="U606" s="61"/>
    </row>
    <row r="607">
      <c r="P607" s="61"/>
      <c r="Q607" s="62"/>
      <c r="R607" s="61"/>
      <c r="S607" s="61"/>
      <c r="T607" s="61"/>
      <c r="U607" s="61"/>
    </row>
    <row r="608">
      <c r="P608" s="61"/>
      <c r="Q608" s="62"/>
      <c r="R608" s="61"/>
      <c r="S608" s="61"/>
      <c r="T608" s="61"/>
      <c r="U608" s="61"/>
    </row>
    <row r="609">
      <c r="P609" s="61"/>
      <c r="Q609" s="62"/>
      <c r="R609" s="61"/>
      <c r="S609" s="61"/>
      <c r="T609" s="61"/>
      <c r="U609" s="61"/>
    </row>
    <row r="610">
      <c r="P610" s="61"/>
      <c r="Q610" s="62"/>
      <c r="R610" s="61"/>
      <c r="S610" s="61"/>
      <c r="T610" s="61"/>
      <c r="U610" s="61"/>
    </row>
    <row r="611">
      <c r="P611" s="61"/>
      <c r="Q611" s="62"/>
      <c r="R611" s="61"/>
      <c r="S611" s="61"/>
      <c r="T611" s="61"/>
      <c r="U611" s="61"/>
    </row>
    <row r="612">
      <c r="P612" s="61"/>
      <c r="Q612" s="62"/>
      <c r="R612" s="61"/>
      <c r="S612" s="61"/>
      <c r="T612" s="61"/>
      <c r="U612" s="61"/>
    </row>
    <row r="613">
      <c r="P613" s="61"/>
      <c r="Q613" s="62"/>
      <c r="R613" s="61"/>
      <c r="S613" s="61"/>
      <c r="T613" s="61"/>
      <c r="U613" s="61"/>
    </row>
    <row r="614">
      <c r="P614" s="61"/>
      <c r="Q614" s="62"/>
      <c r="R614" s="61"/>
      <c r="S614" s="61"/>
      <c r="T614" s="61"/>
      <c r="U614" s="61"/>
    </row>
    <row r="615">
      <c r="P615" s="61"/>
      <c r="Q615" s="62"/>
      <c r="R615" s="61"/>
      <c r="S615" s="61"/>
      <c r="T615" s="61"/>
      <c r="U615" s="61"/>
    </row>
    <row r="616">
      <c r="P616" s="61"/>
      <c r="Q616" s="62"/>
      <c r="R616" s="61"/>
      <c r="S616" s="61"/>
      <c r="T616" s="61"/>
      <c r="U616" s="61"/>
    </row>
    <row r="617">
      <c r="P617" s="61"/>
      <c r="Q617" s="62"/>
      <c r="R617" s="61"/>
      <c r="S617" s="61"/>
      <c r="T617" s="61"/>
      <c r="U617" s="61"/>
    </row>
    <row r="618">
      <c r="P618" s="61"/>
      <c r="Q618" s="62"/>
      <c r="R618" s="61"/>
      <c r="S618" s="61"/>
      <c r="T618" s="61"/>
      <c r="U618" s="61"/>
    </row>
    <row r="619">
      <c r="P619" s="61"/>
      <c r="Q619" s="62"/>
      <c r="R619" s="61"/>
      <c r="S619" s="61"/>
      <c r="T619" s="61"/>
      <c r="U619" s="61"/>
    </row>
    <row r="620">
      <c r="P620" s="61"/>
      <c r="Q620" s="62"/>
      <c r="R620" s="61"/>
      <c r="S620" s="61"/>
      <c r="T620" s="61"/>
      <c r="U620" s="61"/>
    </row>
    <row r="621">
      <c r="P621" s="61"/>
      <c r="Q621" s="62"/>
      <c r="R621" s="61"/>
      <c r="S621" s="61"/>
      <c r="T621" s="61"/>
      <c r="U621" s="61"/>
    </row>
    <row r="622">
      <c r="P622" s="61"/>
      <c r="Q622" s="62"/>
      <c r="R622" s="61"/>
      <c r="S622" s="61"/>
      <c r="T622" s="61"/>
      <c r="U622" s="61"/>
    </row>
    <row r="623">
      <c r="P623" s="61"/>
      <c r="Q623" s="62"/>
      <c r="R623" s="61"/>
      <c r="S623" s="61"/>
      <c r="T623" s="61"/>
      <c r="U623" s="61"/>
    </row>
    <row r="624">
      <c r="P624" s="61"/>
      <c r="Q624" s="62"/>
      <c r="R624" s="61"/>
      <c r="S624" s="61"/>
      <c r="T624" s="61"/>
      <c r="U624" s="61"/>
    </row>
    <row r="625">
      <c r="P625" s="61"/>
      <c r="Q625" s="62"/>
      <c r="R625" s="61"/>
      <c r="S625" s="61"/>
      <c r="T625" s="61"/>
      <c r="U625" s="61"/>
    </row>
    <row r="626">
      <c r="P626" s="61"/>
      <c r="Q626" s="62"/>
      <c r="R626" s="61"/>
      <c r="S626" s="61"/>
      <c r="T626" s="61"/>
      <c r="U626" s="61"/>
    </row>
    <row r="627">
      <c r="P627" s="61"/>
      <c r="Q627" s="62"/>
      <c r="R627" s="61"/>
      <c r="S627" s="61"/>
      <c r="T627" s="61"/>
      <c r="U627" s="61"/>
    </row>
    <row r="628">
      <c r="P628" s="61"/>
      <c r="Q628" s="62"/>
      <c r="R628" s="61"/>
      <c r="S628" s="61"/>
      <c r="T628" s="61"/>
      <c r="U628" s="61"/>
    </row>
    <row r="629">
      <c r="P629" s="61"/>
      <c r="Q629" s="62"/>
      <c r="R629" s="61"/>
      <c r="S629" s="61"/>
      <c r="T629" s="61"/>
      <c r="U629" s="61"/>
    </row>
    <row r="630">
      <c r="P630" s="61"/>
      <c r="Q630" s="62"/>
      <c r="R630" s="61"/>
      <c r="S630" s="61"/>
      <c r="T630" s="61"/>
      <c r="U630" s="61"/>
    </row>
    <row r="631">
      <c r="P631" s="61"/>
      <c r="Q631" s="62"/>
      <c r="R631" s="61"/>
      <c r="S631" s="61"/>
      <c r="T631" s="61"/>
      <c r="U631" s="61"/>
    </row>
    <row r="632">
      <c r="P632" s="61"/>
      <c r="Q632" s="62"/>
      <c r="R632" s="61"/>
      <c r="S632" s="61"/>
      <c r="T632" s="61"/>
      <c r="U632" s="61"/>
    </row>
    <row r="633">
      <c r="P633" s="61"/>
      <c r="Q633" s="62"/>
      <c r="R633" s="61"/>
      <c r="S633" s="61"/>
      <c r="T633" s="61"/>
      <c r="U633" s="61"/>
    </row>
    <row r="634">
      <c r="P634" s="61"/>
      <c r="Q634" s="62"/>
      <c r="R634" s="61"/>
      <c r="S634" s="61"/>
      <c r="T634" s="61"/>
      <c r="U634" s="61"/>
    </row>
    <row r="635">
      <c r="P635" s="61"/>
      <c r="Q635" s="62"/>
      <c r="R635" s="61"/>
      <c r="S635" s="61"/>
      <c r="T635" s="61"/>
      <c r="U635" s="61"/>
    </row>
    <row r="636">
      <c r="P636" s="61"/>
      <c r="Q636" s="62"/>
      <c r="R636" s="61"/>
      <c r="S636" s="61"/>
      <c r="T636" s="61"/>
      <c r="U636" s="61"/>
    </row>
    <row r="637">
      <c r="P637" s="61"/>
      <c r="Q637" s="62"/>
      <c r="R637" s="61"/>
      <c r="S637" s="61"/>
      <c r="T637" s="61"/>
      <c r="U637" s="61"/>
    </row>
    <row r="638">
      <c r="P638" s="61"/>
      <c r="Q638" s="62"/>
      <c r="R638" s="61"/>
      <c r="S638" s="61"/>
      <c r="T638" s="61"/>
      <c r="U638" s="61"/>
    </row>
    <row r="639">
      <c r="P639" s="61"/>
      <c r="Q639" s="62"/>
      <c r="R639" s="61"/>
      <c r="S639" s="61"/>
      <c r="T639" s="61"/>
      <c r="U639" s="61"/>
    </row>
    <row r="640">
      <c r="P640" s="61"/>
      <c r="Q640" s="62"/>
      <c r="R640" s="61"/>
      <c r="S640" s="61"/>
      <c r="T640" s="61"/>
      <c r="U640" s="61"/>
    </row>
    <row r="641">
      <c r="P641" s="61"/>
      <c r="Q641" s="62"/>
      <c r="R641" s="61"/>
      <c r="S641" s="61"/>
      <c r="T641" s="61"/>
      <c r="U641" s="61"/>
    </row>
    <row r="642">
      <c r="P642" s="61"/>
      <c r="Q642" s="62"/>
      <c r="R642" s="61"/>
      <c r="S642" s="61"/>
      <c r="T642" s="61"/>
      <c r="U642" s="61"/>
    </row>
    <row r="643">
      <c r="P643" s="61"/>
      <c r="Q643" s="62"/>
      <c r="R643" s="61"/>
      <c r="S643" s="61"/>
      <c r="T643" s="61"/>
      <c r="U643" s="61"/>
    </row>
    <row r="644">
      <c r="P644" s="61"/>
      <c r="Q644" s="62"/>
      <c r="R644" s="61"/>
      <c r="S644" s="61"/>
      <c r="T644" s="61"/>
      <c r="U644" s="61"/>
    </row>
    <row r="645">
      <c r="P645" s="61"/>
      <c r="Q645" s="62"/>
      <c r="R645" s="61"/>
      <c r="S645" s="61"/>
      <c r="T645" s="61"/>
      <c r="U645" s="61"/>
    </row>
    <row r="646">
      <c r="P646" s="61"/>
      <c r="Q646" s="62"/>
      <c r="R646" s="61"/>
      <c r="S646" s="61"/>
      <c r="T646" s="61"/>
      <c r="U646" s="61"/>
    </row>
    <row r="647">
      <c r="P647" s="61"/>
      <c r="Q647" s="62"/>
      <c r="R647" s="61"/>
      <c r="S647" s="61"/>
      <c r="T647" s="61"/>
      <c r="U647" s="61"/>
    </row>
    <row r="648">
      <c r="P648" s="61"/>
      <c r="Q648" s="62"/>
      <c r="R648" s="61"/>
      <c r="S648" s="61"/>
      <c r="T648" s="61"/>
      <c r="U648" s="61"/>
    </row>
    <row r="649">
      <c r="P649" s="61"/>
      <c r="Q649" s="62"/>
      <c r="R649" s="61"/>
      <c r="S649" s="61"/>
      <c r="T649" s="61"/>
      <c r="U649" s="61"/>
    </row>
    <row r="650">
      <c r="P650" s="61"/>
      <c r="Q650" s="62"/>
      <c r="R650" s="61"/>
      <c r="S650" s="61"/>
      <c r="T650" s="61"/>
      <c r="U650" s="61"/>
    </row>
    <row r="651">
      <c r="P651" s="61"/>
      <c r="Q651" s="62"/>
      <c r="R651" s="61"/>
      <c r="S651" s="61"/>
      <c r="T651" s="61"/>
      <c r="U651" s="61"/>
    </row>
    <row r="652">
      <c r="P652" s="61"/>
      <c r="Q652" s="62"/>
      <c r="R652" s="61"/>
      <c r="S652" s="61"/>
      <c r="T652" s="61"/>
      <c r="U652" s="61"/>
    </row>
    <row r="653">
      <c r="P653" s="61"/>
      <c r="Q653" s="62"/>
      <c r="R653" s="61"/>
      <c r="S653" s="61"/>
      <c r="T653" s="61"/>
      <c r="U653" s="61"/>
    </row>
    <row r="654">
      <c r="P654" s="61"/>
      <c r="Q654" s="62"/>
      <c r="R654" s="61"/>
      <c r="S654" s="61"/>
      <c r="T654" s="61"/>
      <c r="U654" s="61"/>
    </row>
    <row r="655">
      <c r="P655" s="61"/>
      <c r="Q655" s="62"/>
      <c r="R655" s="61"/>
      <c r="S655" s="61"/>
      <c r="T655" s="61"/>
      <c r="U655" s="61"/>
    </row>
    <row r="656">
      <c r="P656" s="61"/>
      <c r="Q656" s="62"/>
      <c r="R656" s="61"/>
      <c r="S656" s="61"/>
      <c r="T656" s="61"/>
      <c r="U656" s="61"/>
    </row>
    <row r="657">
      <c r="P657" s="61"/>
      <c r="Q657" s="62"/>
      <c r="R657" s="61"/>
      <c r="S657" s="61"/>
      <c r="T657" s="61"/>
      <c r="U657" s="61"/>
    </row>
    <row r="658">
      <c r="P658" s="61"/>
      <c r="Q658" s="62"/>
      <c r="R658" s="61"/>
      <c r="S658" s="61"/>
      <c r="T658" s="61"/>
      <c r="U658" s="61"/>
    </row>
    <row r="659">
      <c r="P659" s="61"/>
      <c r="Q659" s="62"/>
      <c r="R659" s="61"/>
      <c r="S659" s="61"/>
      <c r="T659" s="61"/>
      <c r="U659" s="61"/>
    </row>
    <row r="660">
      <c r="P660" s="61"/>
      <c r="Q660" s="62"/>
      <c r="R660" s="61"/>
      <c r="S660" s="61"/>
      <c r="T660" s="61"/>
      <c r="U660" s="61"/>
    </row>
    <row r="661">
      <c r="P661" s="61"/>
      <c r="Q661" s="62"/>
      <c r="R661" s="61"/>
      <c r="S661" s="61"/>
      <c r="T661" s="61"/>
      <c r="U661" s="61"/>
    </row>
    <row r="662">
      <c r="P662" s="61"/>
      <c r="Q662" s="62"/>
      <c r="R662" s="61"/>
      <c r="S662" s="61"/>
      <c r="T662" s="61"/>
      <c r="U662" s="61"/>
    </row>
    <row r="663">
      <c r="P663" s="61"/>
      <c r="Q663" s="62"/>
      <c r="R663" s="61"/>
      <c r="S663" s="61"/>
      <c r="T663" s="61"/>
      <c r="U663" s="61"/>
    </row>
    <row r="664">
      <c r="P664" s="61"/>
      <c r="Q664" s="62"/>
      <c r="R664" s="61"/>
      <c r="S664" s="61"/>
      <c r="T664" s="61"/>
      <c r="U664" s="61"/>
    </row>
    <row r="665">
      <c r="P665" s="61"/>
      <c r="Q665" s="62"/>
      <c r="R665" s="61"/>
      <c r="S665" s="61"/>
      <c r="T665" s="61"/>
      <c r="U665" s="61"/>
    </row>
    <row r="666">
      <c r="P666" s="61"/>
      <c r="Q666" s="62"/>
      <c r="R666" s="61"/>
      <c r="S666" s="61"/>
      <c r="T666" s="61"/>
      <c r="U666" s="61"/>
    </row>
    <row r="667">
      <c r="P667" s="61"/>
      <c r="Q667" s="62"/>
      <c r="R667" s="61"/>
      <c r="S667" s="61"/>
      <c r="T667" s="61"/>
      <c r="U667" s="61"/>
    </row>
    <row r="668">
      <c r="P668" s="61"/>
      <c r="Q668" s="62"/>
      <c r="R668" s="61"/>
      <c r="S668" s="61"/>
      <c r="T668" s="61"/>
      <c r="U668" s="61"/>
    </row>
    <row r="669">
      <c r="P669" s="61"/>
      <c r="Q669" s="62"/>
      <c r="R669" s="61"/>
      <c r="S669" s="61"/>
      <c r="T669" s="61"/>
      <c r="U669" s="61"/>
    </row>
    <row r="670">
      <c r="P670" s="61"/>
      <c r="Q670" s="62"/>
      <c r="R670" s="61"/>
      <c r="S670" s="61"/>
      <c r="T670" s="61"/>
      <c r="U670" s="61"/>
    </row>
    <row r="671">
      <c r="P671" s="61"/>
      <c r="Q671" s="62"/>
      <c r="R671" s="61"/>
      <c r="S671" s="61"/>
      <c r="T671" s="61"/>
      <c r="U671" s="61"/>
    </row>
    <row r="672">
      <c r="P672" s="61"/>
      <c r="Q672" s="62"/>
      <c r="R672" s="61"/>
      <c r="S672" s="61"/>
      <c r="T672" s="61"/>
      <c r="U672" s="61"/>
    </row>
    <row r="673">
      <c r="P673" s="61"/>
      <c r="Q673" s="62"/>
      <c r="R673" s="61"/>
      <c r="S673" s="61"/>
      <c r="T673" s="61"/>
      <c r="U673" s="61"/>
    </row>
    <row r="674">
      <c r="P674" s="61"/>
      <c r="Q674" s="62"/>
      <c r="R674" s="61"/>
      <c r="S674" s="61"/>
      <c r="T674" s="61"/>
      <c r="U674" s="61"/>
    </row>
    <row r="675">
      <c r="P675" s="61"/>
      <c r="Q675" s="62"/>
      <c r="R675" s="61"/>
      <c r="S675" s="61"/>
      <c r="T675" s="61"/>
      <c r="U675" s="61"/>
    </row>
    <row r="676">
      <c r="P676" s="61"/>
      <c r="Q676" s="62"/>
      <c r="R676" s="61"/>
      <c r="S676" s="61"/>
      <c r="T676" s="61"/>
      <c r="U676" s="61"/>
    </row>
    <row r="677">
      <c r="P677" s="61"/>
      <c r="Q677" s="62"/>
      <c r="R677" s="61"/>
      <c r="S677" s="61"/>
      <c r="T677" s="61"/>
      <c r="U677" s="61"/>
    </row>
    <row r="678">
      <c r="P678" s="61"/>
      <c r="Q678" s="62"/>
      <c r="R678" s="61"/>
      <c r="S678" s="61"/>
      <c r="T678" s="61"/>
      <c r="U678" s="61"/>
    </row>
    <row r="679">
      <c r="P679" s="61"/>
      <c r="Q679" s="62"/>
      <c r="R679" s="61"/>
      <c r="S679" s="61"/>
      <c r="T679" s="61"/>
      <c r="U679" s="61"/>
    </row>
    <row r="680">
      <c r="P680" s="61"/>
      <c r="Q680" s="62"/>
      <c r="R680" s="61"/>
      <c r="S680" s="61"/>
      <c r="T680" s="61"/>
      <c r="U680" s="61"/>
    </row>
    <row r="681">
      <c r="P681" s="61"/>
      <c r="Q681" s="62"/>
      <c r="R681" s="61"/>
      <c r="S681" s="61"/>
      <c r="T681" s="61"/>
      <c r="U681" s="61"/>
    </row>
    <row r="682">
      <c r="P682" s="61"/>
      <c r="Q682" s="62"/>
      <c r="R682" s="61"/>
      <c r="S682" s="61"/>
      <c r="T682" s="61"/>
      <c r="U682" s="61"/>
    </row>
    <row r="683">
      <c r="P683" s="61"/>
      <c r="Q683" s="62"/>
      <c r="R683" s="61"/>
      <c r="S683" s="61"/>
      <c r="T683" s="61"/>
      <c r="U683" s="61"/>
    </row>
    <row r="684">
      <c r="P684" s="61"/>
      <c r="Q684" s="62"/>
      <c r="R684" s="61"/>
      <c r="S684" s="61"/>
      <c r="T684" s="61"/>
      <c r="U684" s="61"/>
    </row>
    <row r="685">
      <c r="P685" s="61"/>
      <c r="Q685" s="62"/>
      <c r="R685" s="61"/>
      <c r="S685" s="61"/>
      <c r="T685" s="61"/>
      <c r="U685" s="61"/>
    </row>
    <row r="686">
      <c r="P686" s="61"/>
      <c r="Q686" s="62"/>
      <c r="R686" s="61"/>
      <c r="S686" s="61"/>
      <c r="T686" s="61"/>
      <c r="U686" s="61"/>
    </row>
    <row r="687">
      <c r="P687" s="61"/>
      <c r="Q687" s="62"/>
      <c r="R687" s="61"/>
      <c r="S687" s="61"/>
      <c r="T687" s="61"/>
      <c r="U687" s="61"/>
    </row>
    <row r="688">
      <c r="P688" s="61"/>
      <c r="Q688" s="62"/>
      <c r="R688" s="61"/>
      <c r="S688" s="61"/>
      <c r="T688" s="61"/>
      <c r="U688" s="61"/>
    </row>
    <row r="689">
      <c r="P689" s="61"/>
      <c r="Q689" s="62"/>
      <c r="R689" s="61"/>
      <c r="S689" s="61"/>
      <c r="T689" s="61"/>
      <c r="U689" s="61"/>
    </row>
    <row r="690">
      <c r="P690" s="61"/>
      <c r="Q690" s="62"/>
      <c r="R690" s="61"/>
      <c r="S690" s="61"/>
      <c r="T690" s="61"/>
      <c r="U690" s="61"/>
    </row>
    <row r="691">
      <c r="P691" s="61"/>
      <c r="Q691" s="62"/>
      <c r="R691" s="61"/>
      <c r="S691" s="61"/>
      <c r="T691" s="61"/>
      <c r="U691" s="61"/>
    </row>
    <row r="692">
      <c r="P692" s="61"/>
      <c r="Q692" s="62"/>
      <c r="R692" s="61"/>
      <c r="S692" s="61"/>
      <c r="T692" s="61"/>
      <c r="U692" s="61"/>
    </row>
    <row r="693">
      <c r="P693" s="61"/>
      <c r="Q693" s="62"/>
      <c r="R693" s="61"/>
      <c r="S693" s="61"/>
      <c r="T693" s="61"/>
      <c r="U693" s="61"/>
    </row>
    <row r="694">
      <c r="P694" s="61"/>
      <c r="Q694" s="62"/>
      <c r="R694" s="61"/>
      <c r="S694" s="61"/>
      <c r="T694" s="61"/>
      <c r="U694" s="61"/>
    </row>
    <row r="695">
      <c r="P695" s="61"/>
      <c r="Q695" s="62"/>
      <c r="R695" s="61"/>
      <c r="S695" s="61"/>
      <c r="T695" s="61"/>
      <c r="U695" s="61"/>
    </row>
    <row r="696">
      <c r="P696" s="61"/>
      <c r="Q696" s="62"/>
      <c r="R696" s="61"/>
      <c r="S696" s="61"/>
      <c r="T696" s="61"/>
      <c r="U696" s="61"/>
    </row>
    <row r="697">
      <c r="P697" s="61"/>
      <c r="Q697" s="62"/>
      <c r="R697" s="61"/>
      <c r="S697" s="61"/>
      <c r="T697" s="61"/>
      <c r="U697" s="61"/>
    </row>
    <row r="698">
      <c r="P698" s="61"/>
      <c r="Q698" s="62"/>
      <c r="R698" s="61"/>
      <c r="S698" s="61"/>
      <c r="T698" s="61"/>
      <c r="U698" s="61"/>
    </row>
    <row r="699">
      <c r="P699" s="61"/>
      <c r="Q699" s="62"/>
      <c r="R699" s="61"/>
      <c r="S699" s="61"/>
      <c r="T699" s="61"/>
      <c r="U699" s="61"/>
    </row>
    <row r="700">
      <c r="P700" s="61"/>
      <c r="Q700" s="62"/>
      <c r="R700" s="61"/>
      <c r="S700" s="61"/>
      <c r="T700" s="61"/>
      <c r="U700" s="61"/>
    </row>
    <row r="701">
      <c r="P701" s="61"/>
      <c r="Q701" s="62"/>
      <c r="R701" s="61"/>
      <c r="S701" s="61"/>
      <c r="T701" s="61"/>
      <c r="U701" s="61"/>
    </row>
    <row r="702">
      <c r="P702" s="61"/>
      <c r="Q702" s="62"/>
      <c r="R702" s="61"/>
      <c r="S702" s="61"/>
      <c r="T702" s="61"/>
      <c r="U702" s="61"/>
    </row>
    <row r="703">
      <c r="P703" s="61"/>
      <c r="Q703" s="62"/>
      <c r="R703" s="61"/>
      <c r="S703" s="61"/>
      <c r="T703" s="61"/>
      <c r="U703" s="61"/>
    </row>
    <row r="704">
      <c r="P704" s="61"/>
      <c r="Q704" s="62"/>
      <c r="R704" s="61"/>
      <c r="S704" s="61"/>
      <c r="T704" s="61"/>
      <c r="U704" s="61"/>
    </row>
    <row r="705">
      <c r="P705" s="61"/>
      <c r="Q705" s="62"/>
      <c r="R705" s="61"/>
      <c r="S705" s="61"/>
      <c r="T705" s="61"/>
      <c r="U705" s="61"/>
    </row>
    <row r="706">
      <c r="P706" s="61"/>
      <c r="Q706" s="62"/>
      <c r="R706" s="61"/>
      <c r="S706" s="61"/>
      <c r="T706" s="61"/>
      <c r="U706" s="61"/>
    </row>
    <row r="707">
      <c r="P707" s="61"/>
      <c r="Q707" s="62"/>
      <c r="R707" s="61"/>
      <c r="S707" s="61"/>
      <c r="T707" s="61"/>
      <c r="U707" s="61"/>
    </row>
    <row r="708">
      <c r="P708" s="61"/>
      <c r="Q708" s="62"/>
      <c r="R708" s="61"/>
      <c r="S708" s="61"/>
      <c r="T708" s="61"/>
      <c r="U708" s="61"/>
    </row>
    <row r="709">
      <c r="P709" s="61"/>
      <c r="Q709" s="62"/>
      <c r="R709" s="61"/>
      <c r="S709" s="61"/>
      <c r="T709" s="61"/>
      <c r="U709" s="61"/>
    </row>
    <row r="710">
      <c r="P710" s="61"/>
      <c r="Q710" s="62"/>
      <c r="R710" s="61"/>
      <c r="S710" s="61"/>
      <c r="T710" s="61"/>
      <c r="U710" s="61"/>
    </row>
    <row r="711">
      <c r="P711" s="61"/>
      <c r="Q711" s="62"/>
      <c r="R711" s="61"/>
      <c r="S711" s="61"/>
      <c r="T711" s="61"/>
      <c r="U711" s="61"/>
    </row>
    <row r="712">
      <c r="P712" s="61"/>
      <c r="Q712" s="62"/>
      <c r="R712" s="61"/>
      <c r="S712" s="61"/>
      <c r="T712" s="61"/>
      <c r="U712" s="61"/>
    </row>
    <row r="713">
      <c r="P713" s="61"/>
      <c r="Q713" s="62"/>
      <c r="R713" s="61"/>
      <c r="S713" s="61"/>
      <c r="T713" s="61"/>
      <c r="U713" s="61"/>
    </row>
    <row r="714">
      <c r="P714" s="61"/>
      <c r="Q714" s="62"/>
      <c r="R714" s="61"/>
      <c r="S714" s="61"/>
      <c r="T714" s="61"/>
      <c r="U714" s="61"/>
    </row>
    <row r="715">
      <c r="P715" s="61"/>
      <c r="Q715" s="62"/>
      <c r="R715" s="61"/>
      <c r="S715" s="61"/>
      <c r="T715" s="61"/>
      <c r="U715" s="61"/>
    </row>
    <row r="716">
      <c r="P716" s="61"/>
      <c r="Q716" s="62"/>
      <c r="R716" s="61"/>
      <c r="S716" s="61"/>
      <c r="T716" s="61"/>
      <c r="U716" s="61"/>
    </row>
    <row r="717">
      <c r="P717" s="61"/>
      <c r="Q717" s="62"/>
      <c r="R717" s="61"/>
      <c r="S717" s="61"/>
      <c r="T717" s="61"/>
      <c r="U717" s="61"/>
    </row>
    <row r="718">
      <c r="P718" s="61"/>
      <c r="Q718" s="62"/>
      <c r="R718" s="61"/>
      <c r="S718" s="61"/>
      <c r="T718" s="61"/>
      <c r="U718" s="61"/>
    </row>
    <row r="719">
      <c r="P719" s="61"/>
      <c r="Q719" s="62"/>
      <c r="R719" s="61"/>
      <c r="S719" s="61"/>
      <c r="T719" s="61"/>
      <c r="U719" s="61"/>
    </row>
    <row r="720">
      <c r="P720" s="61"/>
      <c r="Q720" s="62"/>
      <c r="R720" s="61"/>
      <c r="S720" s="61"/>
      <c r="T720" s="61"/>
      <c r="U720" s="61"/>
    </row>
    <row r="721">
      <c r="P721" s="61"/>
      <c r="Q721" s="62"/>
      <c r="R721" s="61"/>
      <c r="S721" s="61"/>
      <c r="T721" s="61"/>
      <c r="U721" s="61"/>
    </row>
    <row r="722">
      <c r="P722" s="61"/>
      <c r="Q722" s="62"/>
      <c r="R722" s="61"/>
      <c r="S722" s="61"/>
      <c r="T722" s="61"/>
      <c r="U722" s="61"/>
    </row>
    <row r="723">
      <c r="P723" s="61"/>
      <c r="Q723" s="62"/>
      <c r="R723" s="61"/>
      <c r="S723" s="61"/>
      <c r="T723" s="61"/>
      <c r="U723" s="61"/>
    </row>
    <row r="724">
      <c r="P724" s="61"/>
      <c r="Q724" s="62"/>
      <c r="R724" s="61"/>
      <c r="S724" s="61"/>
      <c r="T724" s="61"/>
      <c r="U724" s="61"/>
    </row>
    <row r="725">
      <c r="P725" s="61"/>
      <c r="Q725" s="62"/>
      <c r="R725" s="61"/>
      <c r="S725" s="61"/>
      <c r="T725" s="61"/>
      <c r="U725" s="61"/>
    </row>
    <row r="726">
      <c r="P726" s="61"/>
      <c r="Q726" s="62"/>
      <c r="R726" s="61"/>
      <c r="S726" s="61"/>
      <c r="T726" s="61"/>
      <c r="U726" s="61"/>
    </row>
    <row r="727">
      <c r="P727" s="61"/>
      <c r="Q727" s="62"/>
      <c r="R727" s="61"/>
      <c r="S727" s="61"/>
      <c r="T727" s="61"/>
      <c r="U727" s="61"/>
    </row>
    <row r="728">
      <c r="P728" s="61"/>
      <c r="Q728" s="62"/>
      <c r="R728" s="61"/>
      <c r="S728" s="61"/>
      <c r="T728" s="61"/>
      <c r="U728" s="61"/>
    </row>
    <row r="729">
      <c r="P729" s="61"/>
      <c r="Q729" s="62"/>
      <c r="R729" s="61"/>
      <c r="S729" s="61"/>
      <c r="T729" s="61"/>
      <c r="U729" s="61"/>
    </row>
    <row r="730">
      <c r="P730" s="61"/>
      <c r="Q730" s="62"/>
      <c r="R730" s="61"/>
      <c r="S730" s="61"/>
      <c r="T730" s="61"/>
      <c r="U730" s="61"/>
    </row>
    <row r="731">
      <c r="P731" s="61"/>
      <c r="Q731" s="62"/>
      <c r="R731" s="61"/>
      <c r="S731" s="61"/>
      <c r="T731" s="61"/>
      <c r="U731" s="61"/>
    </row>
    <row r="732">
      <c r="P732" s="61"/>
      <c r="Q732" s="62"/>
      <c r="R732" s="61"/>
      <c r="S732" s="61"/>
      <c r="T732" s="61"/>
      <c r="U732" s="61"/>
    </row>
    <row r="733">
      <c r="P733" s="61"/>
      <c r="Q733" s="62"/>
      <c r="R733" s="61"/>
      <c r="S733" s="61"/>
      <c r="T733" s="61"/>
      <c r="U733" s="61"/>
    </row>
    <row r="734">
      <c r="P734" s="61"/>
      <c r="Q734" s="62"/>
      <c r="R734" s="61"/>
      <c r="S734" s="61"/>
      <c r="T734" s="61"/>
      <c r="U734" s="61"/>
    </row>
    <row r="735">
      <c r="P735" s="61"/>
      <c r="Q735" s="62"/>
      <c r="R735" s="61"/>
      <c r="S735" s="61"/>
      <c r="T735" s="61"/>
      <c r="U735" s="61"/>
    </row>
    <row r="736">
      <c r="P736" s="61"/>
      <c r="Q736" s="62"/>
      <c r="R736" s="61"/>
      <c r="S736" s="61"/>
      <c r="T736" s="61"/>
      <c r="U736" s="61"/>
    </row>
    <row r="737">
      <c r="P737" s="61"/>
      <c r="Q737" s="62"/>
      <c r="R737" s="61"/>
      <c r="S737" s="61"/>
      <c r="T737" s="61"/>
      <c r="U737" s="61"/>
    </row>
    <row r="738">
      <c r="P738" s="61"/>
      <c r="Q738" s="62"/>
      <c r="R738" s="61"/>
      <c r="S738" s="61"/>
      <c r="T738" s="61"/>
      <c r="U738" s="61"/>
    </row>
    <row r="739">
      <c r="P739" s="61"/>
      <c r="Q739" s="62"/>
      <c r="R739" s="61"/>
      <c r="S739" s="61"/>
      <c r="T739" s="61"/>
      <c r="U739" s="61"/>
    </row>
    <row r="740">
      <c r="P740" s="61"/>
      <c r="Q740" s="62"/>
      <c r="R740" s="61"/>
      <c r="S740" s="61"/>
      <c r="T740" s="61"/>
      <c r="U740" s="61"/>
    </row>
    <row r="741">
      <c r="P741" s="61"/>
      <c r="Q741" s="62"/>
      <c r="R741" s="61"/>
      <c r="S741" s="61"/>
      <c r="T741" s="61"/>
      <c r="U741" s="61"/>
    </row>
    <row r="742">
      <c r="P742" s="61"/>
      <c r="Q742" s="62"/>
      <c r="R742" s="61"/>
      <c r="S742" s="61"/>
      <c r="T742" s="61"/>
      <c r="U742" s="61"/>
    </row>
    <row r="743">
      <c r="P743" s="61"/>
      <c r="Q743" s="62"/>
      <c r="R743" s="61"/>
      <c r="S743" s="61"/>
      <c r="T743" s="61"/>
      <c r="U743" s="61"/>
    </row>
    <row r="744">
      <c r="P744" s="61"/>
      <c r="Q744" s="62"/>
      <c r="R744" s="61"/>
      <c r="S744" s="61"/>
      <c r="T744" s="61"/>
      <c r="U744" s="61"/>
    </row>
    <row r="745">
      <c r="P745" s="61"/>
      <c r="Q745" s="62"/>
      <c r="R745" s="61"/>
      <c r="S745" s="61"/>
      <c r="T745" s="61"/>
      <c r="U745" s="61"/>
    </row>
    <row r="746">
      <c r="P746" s="61"/>
      <c r="Q746" s="62"/>
      <c r="R746" s="61"/>
      <c r="S746" s="61"/>
      <c r="T746" s="61"/>
      <c r="U746" s="61"/>
    </row>
    <row r="747">
      <c r="P747" s="61"/>
      <c r="Q747" s="62"/>
      <c r="R747" s="61"/>
      <c r="S747" s="61"/>
      <c r="T747" s="61"/>
      <c r="U747" s="61"/>
    </row>
    <row r="748">
      <c r="P748" s="61"/>
      <c r="Q748" s="62"/>
      <c r="R748" s="61"/>
      <c r="S748" s="61"/>
      <c r="T748" s="61"/>
      <c r="U748" s="61"/>
    </row>
    <row r="749">
      <c r="P749" s="61"/>
      <c r="Q749" s="62"/>
      <c r="R749" s="61"/>
      <c r="S749" s="61"/>
      <c r="T749" s="61"/>
      <c r="U749" s="61"/>
    </row>
    <row r="750">
      <c r="P750" s="61"/>
      <c r="Q750" s="62"/>
      <c r="R750" s="61"/>
      <c r="S750" s="61"/>
      <c r="T750" s="61"/>
      <c r="U750" s="61"/>
    </row>
    <row r="751">
      <c r="P751" s="61"/>
      <c r="Q751" s="62"/>
      <c r="R751" s="61"/>
      <c r="S751" s="61"/>
      <c r="T751" s="61"/>
      <c r="U751" s="61"/>
    </row>
    <row r="752">
      <c r="P752" s="61"/>
      <c r="Q752" s="62"/>
      <c r="R752" s="61"/>
      <c r="S752" s="61"/>
      <c r="T752" s="61"/>
      <c r="U752" s="61"/>
    </row>
    <row r="753">
      <c r="P753" s="61"/>
      <c r="Q753" s="62"/>
      <c r="R753" s="61"/>
      <c r="S753" s="61"/>
      <c r="T753" s="61"/>
      <c r="U753" s="61"/>
    </row>
    <row r="754">
      <c r="P754" s="61"/>
      <c r="Q754" s="62"/>
      <c r="R754" s="61"/>
      <c r="S754" s="61"/>
      <c r="T754" s="61"/>
      <c r="U754" s="61"/>
    </row>
    <row r="755">
      <c r="P755" s="61"/>
      <c r="Q755" s="62"/>
      <c r="R755" s="61"/>
      <c r="S755" s="61"/>
      <c r="T755" s="61"/>
      <c r="U755" s="61"/>
    </row>
    <row r="756">
      <c r="P756" s="61"/>
      <c r="Q756" s="62"/>
      <c r="R756" s="61"/>
      <c r="S756" s="61"/>
      <c r="T756" s="61"/>
      <c r="U756" s="61"/>
    </row>
    <row r="757">
      <c r="P757" s="61"/>
      <c r="Q757" s="62"/>
      <c r="R757" s="61"/>
      <c r="S757" s="61"/>
      <c r="T757" s="61"/>
      <c r="U757" s="61"/>
    </row>
    <row r="758">
      <c r="P758" s="61"/>
      <c r="Q758" s="62"/>
      <c r="R758" s="61"/>
      <c r="S758" s="61"/>
      <c r="T758" s="61"/>
      <c r="U758" s="61"/>
    </row>
    <row r="759">
      <c r="P759" s="61"/>
      <c r="Q759" s="62"/>
      <c r="R759" s="61"/>
      <c r="S759" s="61"/>
      <c r="T759" s="61"/>
      <c r="U759" s="61"/>
    </row>
    <row r="760">
      <c r="P760" s="61"/>
      <c r="Q760" s="62"/>
      <c r="R760" s="61"/>
      <c r="S760" s="61"/>
      <c r="T760" s="61"/>
      <c r="U760" s="61"/>
    </row>
    <row r="761">
      <c r="P761" s="61"/>
      <c r="Q761" s="62"/>
      <c r="R761" s="61"/>
      <c r="S761" s="61"/>
      <c r="T761" s="61"/>
      <c r="U761" s="61"/>
    </row>
    <row r="762">
      <c r="P762" s="61"/>
      <c r="Q762" s="62"/>
      <c r="R762" s="61"/>
      <c r="S762" s="61"/>
      <c r="T762" s="61"/>
      <c r="U762" s="61"/>
    </row>
    <row r="763">
      <c r="P763" s="61"/>
      <c r="Q763" s="62"/>
      <c r="R763" s="61"/>
      <c r="S763" s="61"/>
      <c r="T763" s="61"/>
      <c r="U763" s="61"/>
    </row>
    <row r="764">
      <c r="P764" s="61"/>
      <c r="Q764" s="62"/>
      <c r="R764" s="61"/>
      <c r="S764" s="61"/>
      <c r="T764" s="61"/>
      <c r="U764" s="61"/>
    </row>
    <row r="765">
      <c r="P765" s="61"/>
      <c r="Q765" s="62"/>
      <c r="R765" s="61"/>
      <c r="S765" s="61"/>
      <c r="T765" s="61"/>
      <c r="U765" s="61"/>
    </row>
    <row r="766">
      <c r="P766" s="61"/>
      <c r="Q766" s="62"/>
      <c r="R766" s="61"/>
      <c r="S766" s="61"/>
      <c r="T766" s="61"/>
      <c r="U766" s="61"/>
    </row>
    <row r="767">
      <c r="P767" s="61"/>
      <c r="Q767" s="62"/>
      <c r="R767" s="61"/>
      <c r="S767" s="61"/>
      <c r="T767" s="61"/>
      <c r="U767" s="61"/>
    </row>
    <row r="768">
      <c r="P768" s="61"/>
      <c r="Q768" s="62"/>
      <c r="R768" s="61"/>
      <c r="S768" s="61"/>
      <c r="T768" s="61"/>
      <c r="U768" s="61"/>
    </row>
    <row r="769">
      <c r="P769" s="61"/>
      <c r="Q769" s="62"/>
      <c r="R769" s="61"/>
      <c r="S769" s="61"/>
      <c r="T769" s="61"/>
      <c r="U769" s="61"/>
    </row>
    <row r="770">
      <c r="P770" s="61"/>
      <c r="Q770" s="62"/>
      <c r="R770" s="61"/>
      <c r="S770" s="61"/>
      <c r="T770" s="61"/>
      <c r="U770" s="61"/>
    </row>
    <row r="771">
      <c r="P771" s="61"/>
      <c r="Q771" s="62"/>
      <c r="R771" s="61"/>
      <c r="S771" s="61"/>
      <c r="T771" s="61"/>
      <c r="U771" s="61"/>
    </row>
    <row r="772">
      <c r="P772" s="61"/>
      <c r="Q772" s="62"/>
      <c r="R772" s="61"/>
      <c r="S772" s="61"/>
      <c r="T772" s="61"/>
      <c r="U772" s="61"/>
    </row>
    <row r="773">
      <c r="P773" s="61"/>
      <c r="Q773" s="62"/>
      <c r="R773" s="61"/>
      <c r="S773" s="61"/>
      <c r="T773" s="61"/>
      <c r="U773" s="61"/>
    </row>
    <row r="774">
      <c r="P774" s="61"/>
      <c r="Q774" s="62"/>
      <c r="R774" s="61"/>
      <c r="S774" s="61"/>
      <c r="T774" s="61"/>
      <c r="U774" s="61"/>
    </row>
    <row r="775">
      <c r="P775" s="61"/>
      <c r="Q775" s="62"/>
      <c r="R775" s="61"/>
      <c r="S775" s="61"/>
      <c r="T775" s="61"/>
      <c r="U775" s="61"/>
    </row>
    <row r="776">
      <c r="P776" s="61"/>
      <c r="Q776" s="62"/>
      <c r="R776" s="61"/>
      <c r="S776" s="61"/>
      <c r="T776" s="61"/>
      <c r="U776" s="61"/>
    </row>
    <row r="777">
      <c r="P777" s="61"/>
      <c r="Q777" s="62"/>
      <c r="R777" s="61"/>
      <c r="S777" s="61"/>
      <c r="T777" s="61"/>
      <c r="U777" s="61"/>
    </row>
    <row r="778">
      <c r="P778" s="61"/>
      <c r="Q778" s="62"/>
      <c r="R778" s="61"/>
      <c r="S778" s="61"/>
      <c r="T778" s="61"/>
      <c r="U778" s="61"/>
    </row>
    <row r="779">
      <c r="P779" s="61"/>
      <c r="Q779" s="62"/>
      <c r="R779" s="61"/>
      <c r="S779" s="61"/>
      <c r="T779" s="61"/>
      <c r="U779" s="61"/>
    </row>
    <row r="780">
      <c r="P780" s="61"/>
      <c r="Q780" s="62"/>
      <c r="R780" s="61"/>
      <c r="S780" s="61"/>
      <c r="T780" s="61"/>
      <c r="U780" s="61"/>
    </row>
    <row r="781">
      <c r="P781" s="61"/>
      <c r="Q781" s="62"/>
      <c r="R781" s="61"/>
      <c r="S781" s="61"/>
      <c r="T781" s="61"/>
      <c r="U781" s="61"/>
    </row>
    <row r="782">
      <c r="P782" s="61"/>
      <c r="Q782" s="62"/>
      <c r="R782" s="61"/>
      <c r="S782" s="61"/>
      <c r="T782" s="61"/>
      <c r="U782" s="61"/>
    </row>
    <row r="783">
      <c r="P783" s="61"/>
      <c r="Q783" s="62"/>
      <c r="R783" s="61"/>
      <c r="S783" s="61"/>
      <c r="T783" s="61"/>
      <c r="U783" s="61"/>
    </row>
    <row r="784">
      <c r="P784" s="61"/>
      <c r="Q784" s="62"/>
      <c r="R784" s="61"/>
      <c r="S784" s="61"/>
      <c r="T784" s="61"/>
      <c r="U784" s="61"/>
    </row>
    <row r="785">
      <c r="P785" s="61"/>
      <c r="Q785" s="62"/>
      <c r="R785" s="61"/>
      <c r="S785" s="61"/>
      <c r="T785" s="61"/>
      <c r="U785" s="61"/>
    </row>
    <row r="786">
      <c r="P786" s="61"/>
      <c r="Q786" s="62"/>
      <c r="R786" s="61"/>
      <c r="S786" s="61"/>
      <c r="T786" s="61"/>
      <c r="U786" s="61"/>
    </row>
    <row r="787">
      <c r="P787" s="61"/>
      <c r="Q787" s="62"/>
      <c r="R787" s="61"/>
      <c r="S787" s="61"/>
      <c r="T787" s="61"/>
      <c r="U787" s="61"/>
    </row>
    <row r="788">
      <c r="P788" s="61"/>
      <c r="Q788" s="62"/>
      <c r="R788" s="61"/>
      <c r="S788" s="61"/>
      <c r="T788" s="61"/>
      <c r="U788" s="61"/>
    </row>
    <row r="789">
      <c r="P789" s="61"/>
      <c r="Q789" s="62"/>
      <c r="R789" s="61"/>
      <c r="S789" s="61"/>
      <c r="T789" s="61"/>
      <c r="U789" s="61"/>
    </row>
    <row r="790">
      <c r="P790" s="61"/>
      <c r="Q790" s="62"/>
      <c r="R790" s="61"/>
      <c r="S790" s="61"/>
      <c r="T790" s="61"/>
      <c r="U790" s="61"/>
    </row>
    <row r="791">
      <c r="P791" s="61"/>
      <c r="Q791" s="62"/>
      <c r="R791" s="61"/>
      <c r="S791" s="61"/>
      <c r="T791" s="61"/>
      <c r="U791" s="61"/>
    </row>
    <row r="792">
      <c r="P792" s="61"/>
      <c r="Q792" s="62"/>
      <c r="R792" s="61"/>
      <c r="S792" s="61"/>
      <c r="T792" s="61"/>
      <c r="U792" s="61"/>
    </row>
    <row r="793">
      <c r="P793" s="61"/>
      <c r="Q793" s="62"/>
      <c r="R793" s="61"/>
      <c r="S793" s="61"/>
      <c r="T793" s="61"/>
      <c r="U793" s="61"/>
    </row>
    <row r="794">
      <c r="P794" s="61"/>
      <c r="Q794" s="62"/>
      <c r="R794" s="61"/>
      <c r="S794" s="61"/>
      <c r="T794" s="61"/>
      <c r="U794" s="61"/>
    </row>
    <row r="795">
      <c r="P795" s="61"/>
      <c r="Q795" s="62"/>
      <c r="R795" s="61"/>
      <c r="S795" s="61"/>
      <c r="T795" s="61"/>
      <c r="U795" s="61"/>
    </row>
    <row r="796">
      <c r="P796" s="61"/>
      <c r="Q796" s="62"/>
      <c r="R796" s="61"/>
      <c r="S796" s="61"/>
      <c r="T796" s="61"/>
      <c r="U796" s="61"/>
    </row>
    <row r="797">
      <c r="P797" s="61"/>
      <c r="Q797" s="62"/>
      <c r="R797" s="61"/>
      <c r="S797" s="61"/>
      <c r="T797" s="61"/>
      <c r="U797" s="61"/>
    </row>
    <row r="798">
      <c r="P798" s="61"/>
      <c r="Q798" s="62"/>
      <c r="R798" s="61"/>
      <c r="S798" s="61"/>
      <c r="T798" s="61"/>
      <c r="U798" s="61"/>
    </row>
    <row r="799">
      <c r="P799" s="61"/>
      <c r="Q799" s="62"/>
      <c r="R799" s="61"/>
      <c r="S799" s="61"/>
      <c r="T799" s="61"/>
      <c r="U799" s="61"/>
    </row>
    <row r="800">
      <c r="P800" s="61"/>
      <c r="Q800" s="62"/>
      <c r="R800" s="61"/>
      <c r="S800" s="61"/>
      <c r="T800" s="61"/>
      <c r="U800" s="61"/>
    </row>
    <row r="801">
      <c r="P801" s="61"/>
      <c r="Q801" s="62"/>
      <c r="R801" s="61"/>
      <c r="S801" s="61"/>
      <c r="T801" s="61"/>
      <c r="U801" s="61"/>
    </row>
    <row r="802">
      <c r="P802" s="61"/>
      <c r="Q802" s="62"/>
      <c r="R802" s="61"/>
      <c r="S802" s="61"/>
      <c r="T802" s="61"/>
      <c r="U802" s="61"/>
    </row>
    <row r="803">
      <c r="P803" s="61"/>
      <c r="Q803" s="62"/>
      <c r="R803" s="61"/>
      <c r="S803" s="61"/>
      <c r="T803" s="61"/>
      <c r="U803" s="61"/>
    </row>
    <row r="804">
      <c r="P804" s="61"/>
      <c r="Q804" s="62"/>
      <c r="R804" s="61"/>
      <c r="S804" s="61"/>
      <c r="T804" s="61"/>
      <c r="U804" s="61"/>
    </row>
    <row r="805">
      <c r="P805" s="61"/>
      <c r="Q805" s="62"/>
      <c r="R805" s="61"/>
      <c r="S805" s="61"/>
      <c r="T805" s="61"/>
      <c r="U805" s="61"/>
    </row>
    <row r="806">
      <c r="P806" s="61"/>
      <c r="Q806" s="62"/>
      <c r="R806" s="61"/>
      <c r="S806" s="61"/>
      <c r="T806" s="61"/>
      <c r="U806" s="61"/>
    </row>
    <row r="807">
      <c r="P807" s="61"/>
      <c r="Q807" s="62"/>
      <c r="R807" s="61"/>
      <c r="S807" s="61"/>
      <c r="T807" s="61"/>
      <c r="U807" s="61"/>
    </row>
    <row r="808">
      <c r="P808" s="61"/>
      <c r="Q808" s="62"/>
      <c r="R808" s="61"/>
      <c r="S808" s="61"/>
      <c r="T808" s="61"/>
      <c r="U808" s="61"/>
    </row>
    <row r="809">
      <c r="P809" s="61"/>
      <c r="Q809" s="62"/>
      <c r="R809" s="61"/>
      <c r="S809" s="61"/>
      <c r="T809" s="61"/>
      <c r="U809" s="61"/>
    </row>
    <row r="810">
      <c r="P810" s="61"/>
      <c r="Q810" s="62"/>
      <c r="R810" s="61"/>
      <c r="S810" s="61"/>
      <c r="T810" s="61"/>
      <c r="U810" s="61"/>
    </row>
    <row r="811">
      <c r="P811" s="61"/>
      <c r="Q811" s="62"/>
      <c r="R811" s="61"/>
      <c r="S811" s="61"/>
      <c r="T811" s="61"/>
      <c r="U811" s="61"/>
    </row>
    <row r="812">
      <c r="P812" s="61"/>
      <c r="Q812" s="62"/>
      <c r="R812" s="61"/>
      <c r="S812" s="61"/>
      <c r="T812" s="61"/>
      <c r="U812" s="61"/>
    </row>
    <row r="813">
      <c r="P813" s="61"/>
      <c r="Q813" s="62"/>
      <c r="R813" s="61"/>
      <c r="S813" s="61"/>
      <c r="T813" s="61"/>
      <c r="U813" s="61"/>
    </row>
    <row r="814">
      <c r="P814" s="61"/>
      <c r="Q814" s="62"/>
      <c r="R814" s="61"/>
      <c r="S814" s="61"/>
      <c r="T814" s="61"/>
      <c r="U814" s="61"/>
    </row>
    <row r="815">
      <c r="P815" s="61"/>
      <c r="Q815" s="62"/>
      <c r="R815" s="61"/>
      <c r="S815" s="61"/>
      <c r="T815" s="61"/>
      <c r="U815" s="61"/>
    </row>
    <row r="816">
      <c r="P816" s="61"/>
      <c r="Q816" s="62"/>
      <c r="R816" s="61"/>
      <c r="S816" s="61"/>
      <c r="T816" s="61"/>
      <c r="U816" s="61"/>
    </row>
    <row r="817">
      <c r="P817" s="61"/>
      <c r="Q817" s="62"/>
      <c r="R817" s="61"/>
      <c r="S817" s="61"/>
      <c r="T817" s="61"/>
      <c r="U817" s="61"/>
    </row>
    <row r="818">
      <c r="P818" s="61"/>
      <c r="Q818" s="62"/>
      <c r="R818" s="61"/>
      <c r="S818" s="61"/>
      <c r="T818" s="61"/>
      <c r="U818" s="61"/>
    </row>
    <row r="819">
      <c r="P819" s="61"/>
      <c r="Q819" s="62"/>
      <c r="R819" s="61"/>
      <c r="S819" s="61"/>
      <c r="T819" s="61"/>
      <c r="U819" s="61"/>
    </row>
    <row r="820">
      <c r="P820" s="61"/>
      <c r="Q820" s="62"/>
      <c r="R820" s="61"/>
      <c r="S820" s="61"/>
      <c r="T820" s="61"/>
      <c r="U820" s="61"/>
    </row>
    <row r="821">
      <c r="P821" s="61"/>
      <c r="Q821" s="62"/>
      <c r="R821" s="61"/>
      <c r="S821" s="61"/>
      <c r="T821" s="61"/>
      <c r="U821" s="61"/>
    </row>
    <row r="822">
      <c r="P822" s="61"/>
      <c r="Q822" s="62"/>
      <c r="R822" s="61"/>
      <c r="S822" s="61"/>
      <c r="T822" s="61"/>
      <c r="U822" s="61"/>
    </row>
    <row r="823">
      <c r="P823" s="61"/>
      <c r="Q823" s="62"/>
      <c r="R823" s="61"/>
      <c r="S823" s="61"/>
      <c r="T823" s="61"/>
      <c r="U823" s="61"/>
    </row>
    <row r="824">
      <c r="P824" s="61"/>
      <c r="Q824" s="62"/>
      <c r="R824" s="61"/>
      <c r="S824" s="61"/>
      <c r="T824" s="61"/>
      <c r="U824" s="61"/>
    </row>
    <row r="825">
      <c r="P825" s="61"/>
      <c r="Q825" s="62"/>
      <c r="R825" s="61"/>
      <c r="S825" s="61"/>
      <c r="T825" s="61"/>
      <c r="U825" s="61"/>
    </row>
    <row r="826">
      <c r="P826" s="61"/>
      <c r="Q826" s="62"/>
      <c r="R826" s="61"/>
      <c r="S826" s="61"/>
      <c r="T826" s="61"/>
      <c r="U826" s="61"/>
    </row>
    <row r="827">
      <c r="P827" s="61"/>
      <c r="Q827" s="62"/>
      <c r="R827" s="61"/>
      <c r="S827" s="61"/>
      <c r="T827" s="61"/>
      <c r="U827" s="61"/>
    </row>
    <row r="828">
      <c r="P828" s="61"/>
      <c r="Q828" s="62"/>
      <c r="R828" s="61"/>
      <c r="S828" s="61"/>
      <c r="T828" s="61"/>
      <c r="U828" s="61"/>
    </row>
    <row r="829">
      <c r="P829" s="61"/>
      <c r="Q829" s="62"/>
      <c r="R829" s="61"/>
      <c r="S829" s="61"/>
      <c r="T829" s="61"/>
      <c r="U829" s="61"/>
    </row>
    <row r="830">
      <c r="P830" s="61"/>
      <c r="Q830" s="62"/>
      <c r="R830" s="61"/>
      <c r="S830" s="61"/>
      <c r="T830" s="61"/>
      <c r="U830" s="61"/>
    </row>
    <row r="831">
      <c r="P831" s="61"/>
      <c r="Q831" s="62"/>
      <c r="R831" s="61"/>
      <c r="S831" s="61"/>
      <c r="T831" s="61"/>
      <c r="U831" s="61"/>
    </row>
    <row r="832">
      <c r="P832" s="61"/>
      <c r="Q832" s="62"/>
      <c r="R832" s="61"/>
      <c r="S832" s="61"/>
      <c r="T832" s="61"/>
      <c r="U832" s="61"/>
    </row>
    <row r="833">
      <c r="P833" s="61"/>
      <c r="Q833" s="62"/>
      <c r="R833" s="61"/>
      <c r="S833" s="61"/>
      <c r="T833" s="61"/>
      <c r="U833" s="61"/>
    </row>
    <row r="834">
      <c r="P834" s="61"/>
      <c r="Q834" s="62"/>
      <c r="R834" s="61"/>
      <c r="S834" s="61"/>
      <c r="T834" s="61"/>
      <c r="U834" s="61"/>
    </row>
    <row r="835">
      <c r="P835" s="61"/>
      <c r="Q835" s="62"/>
      <c r="R835" s="61"/>
      <c r="S835" s="61"/>
      <c r="T835" s="61"/>
      <c r="U835" s="61"/>
    </row>
    <row r="836">
      <c r="P836" s="61"/>
      <c r="Q836" s="62"/>
      <c r="R836" s="61"/>
      <c r="S836" s="61"/>
      <c r="T836" s="61"/>
      <c r="U836" s="61"/>
    </row>
    <row r="837">
      <c r="P837" s="61"/>
      <c r="Q837" s="62"/>
      <c r="R837" s="61"/>
      <c r="S837" s="61"/>
      <c r="T837" s="61"/>
      <c r="U837" s="61"/>
    </row>
    <row r="838">
      <c r="P838" s="61"/>
      <c r="Q838" s="62"/>
      <c r="R838" s="61"/>
      <c r="S838" s="61"/>
      <c r="T838" s="61"/>
      <c r="U838" s="61"/>
    </row>
    <row r="839">
      <c r="P839" s="61"/>
      <c r="Q839" s="62"/>
      <c r="R839" s="61"/>
      <c r="S839" s="61"/>
      <c r="T839" s="61"/>
      <c r="U839" s="61"/>
    </row>
    <row r="840">
      <c r="P840" s="61"/>
      <c r="Q840" s="62"/>
      <c r="R840" s="61"/>
      <c r="S840" s="61"/>
      <c r="T840" s="61"/>
      <c r="U840" s="61"/>
    </row>
    <row r="841">
      <c r="P841" s="61"/>
      <c r="Q841" s="62"/>
      <c r="R841" s="61"/>
      <c r="S841" s="61"/>
      <c r="T841" s="61"/>
      <c r="U841" s="61"/>
    </row>
    <row r="842">
      <c r="P842" s="61"/>
      <c r="Q842" s="62"/>
      <c r="R842" s="61"/>
      <c r="S842" s="61"/>
      <c r="T842" s="61"/>
      <c r="U842" s="61"/>
    </row>
    <row r="843">
      <c r="P843" s="61"/>
      <c r="Q843" s="62"/>
      <c r="R843" s="61"/>
      <c r="S843" s="61"/>
      <c r="T843" s="61"/>
      <c r="U843" s="61"/>
    </row>
    <row r="844">
      <c r="P844" s="61"/>
      <c r="Q844" s="62"/>
      <c r="R844" s="61"/>
      <c r="S844" s="61"/>
      <c r="T844" s="61"/>
      <c r="U844" s="61"/>
    </row>
    <row r="845">
      <c r="P845" s="61"/>
      <c r="Q845" s="62"/>
      <c r="R845" s="61"/>
      <c r="S845" s="61"/>
      <c r="T845" s="61"/>
      <c r="U845" s="61"/>
    </row>
    <row r="846">
      <c r="P846" s="61"/>
      <c r="Q846" s="62"/>
      <c r="R846" s="61"/>
      <c r="S846" s="61"/>
      <c r="T846" s="61"/>
      <c r="U846" s="61"/>
    </row>
    <row r="847">
      <c r="P847" s="61"/>
      <c r="Q847" s="62"/>
      <c r="R847" s="61"/>
      <c r="S847" s="61"/>
      <c r="T847" s="61"/>
      <c r="U847" s="61"/>
    </row>
    <row r="848">
      <c r="P848" s="61"/>
      <c r="Q848" s="62"/>
      <c r="R848" s="61"/>
      <c r="S848" s="61"/>
      <c r="T848" s="61"/>
      <c r="U848" s="61"/>
    </row>
    <row r="849">
      <c r="P849" s="61"/>
      <c r="Q849" s="62"/>
      <c r="R849" s="61"/>
      <c r="S849" s="61"/>
      <c r="T849" s="61"/>
      <c r="U849" s="61"/>
    </row>
    <row r="850">
      <c r="P850" s="61"/>
      <c r="Q850" s="62"/>
      <c r="R850" s="61"/>
      <c r="S850" s="61"/>
      <c r="T850" s="61"/>
      <c r="U850" s="61"/>
    </row>
    <row r="851">
      <c r="P851" s="61"/>
      <c r="Q851" s="62"/>
      <c r="R851" s="61"/>
      <c r="S851" s="61"/>
      <c r="T851" s="61"/>
      <c r="U851" s="61"/>
    </row>
    <row r="852">
      <c r="P852" s="61"/>
      <c r="Q852" s="62"/>
      <c r="R852" s="61"/>
      <c r="S852" s="61"/>
      <c r="T852" s="61"/>
      <c r="U852" s="61"/>
    </row>
    <row r="853">
      <c r="P853" s="61"/>
      <c r="Q853" s="62"/>
      <c r="R853" s="61"/>
      <c r="S853" s="61"/>
      <c r="T853" s="61"/>
      <c r="U853" s="61"/>
    </row>
    <row r="854">
      <c r="P854" s="61"/>
      <c r="Q854" s="62"/>
      <c r="R854" s="61"/>
      <c r="S854" s="61"/>
      <c r="T854" s="61"/>
      <c r="U854" s="61"/>
    </row>
    <row r="855">
      <c r="P855" s="61"/>
      <c r="Q855" s="62"/>
      <c r="R855" s="61"/>
      <c r="S855" s="61"/>
      <c r="T855" s="61"/>
      <c r="U855" s="61"/>
    </row>
    <row r="856">
      <c r="P856" s="61"/>
      <c r="Q856" s="62"/>
      <c r="R856" s="61"/>
      <c r="S856" s="61"/>
      <c r="T856" s="61"/>
      <c r="U856" s="61"/>
    </row>
    <row r="857">
      <c r="P857" s="61"/>
      <c r="Q857" s="62"/>
      <c r="R857" s="61"/>
      <c r="S857" s="61"/>
      <c r="T857" s="61"/>
      <c r="U857" s="61"/>
    </row>
    <row r="858">
      <c r="P858" s="61"/>
      <c r="Q858" s="62"/>
      <c r="R858" s="61"/>
      <c r="S858" s="61"/>
      <c r="T858" s="61"/>
      <c r="U858" s="61"/>
    </row>
    <row r="859">
      <c r="P859" s="61"/>
      <c r="Q859" s="62"/>
      <c r="R859" s="61"/>
      <c r="S859" s="61"/>
      <c r="T859" s="61"/>
      <c r="U859" s="61"/>
    </row>
    <row r="860">
      <c r="P860" s="61"/>
      <c r="Q860" s="62"/>
      <c r="R860" s="61"/>
      <c r="S860" s="61"/>
      <c r="T860" s="61"/>
      <c r="U860" s="61"/>
    </row>
    <row r="861">
      <c r="P861" s="61"/>
      <c r="Q861" s="62"/>
      <c r="R861" s="61"/>
      <c r="S861" s="61"/>
      <c r="T861" s="61"/>
      <c r="U861" s="61"/>
    </row>
    <row r="862">
      <c r="P862" s="61"/>
      <c r="Q862" s="62"/>
      <c r="R862" s="61"/>
      <c r="S862" s="61"/>
      <c r="T862" s="61"/>
      <c r="U862" s="61"/>
    </row>
    <row r="863">
      <c r="P863" s="61"/>
      <c r="Q863" s="62"/>
      <c r="R863" s="61"/>
      <c r="S863" s="61"/>
      <c r="T863" s="61"/>
      <c r="U863" s="61"/>
    </row>
    <row r="864">
      <c r="P864" s="61"/>
      <c r="Q864" s="62"/>
      <c r="R864" s="61"/>
      <c r="S864" s="61"/>
      <c r="T864" s="61"/>
      <c r="U864" s="61"/>
    </row>
    <row r="865">
      <c r="P865" s="61"/>
      <c r="Q865" s="62"/>
      <c r="R865" s="61"/>
      <c r="S865" s="61"/>
      <c r="T865" s="61"/>
      <c r="U865" s="61"/>
    </row>
    <row r="866">
      <c r="P866" s="61"/>
      <c r="Q866" s="62"/>
      <c r="R866" s="61"/>
      <c r="S866" s="61"/>
      <c r="T866" s="61"/>
      <c r="U866" s="61"/>
    </row>
    <row r="867">
      <c r="P867" s="61"/>
      <c r="Q867" s="62"/>
      <c r="R867" s="61"/>
      <c r="S867" s="61"/>
      <c r="T867" s="61"/>
      <c r="U867" s="61"/>
    </row>
    <row r="868">
      <c r="P868" s="61"/>
      <c r="Q868" s="62"/>
      <c r="R868" s="61"/>
      <c r="S868" s="61"/>
      <c r="T868" s="61"/>
      <c r="U868" s="61"/>
    </row>
    <row r="869">
      <c r="P869" s="61"/>
      <c r="Q869" s="62"/>
      <c r="R869" s="61"/>
      <c r="S869" s="61"/>
      <c r="T869" s="61"/>
      <c r="U869" s="61"/>
    </row>
    <row r="870">
      <c r="P870" s="61"/>
      <c r="Q870" s="62"/>
      <c r="R870" s="61"/>
      <c r="S870" s="61"/>
      <c r="T870" s="61"/>
      <c r="U870" s="61"/>
    </row>
    <row r="871">
      <c r="P871" s="61"/>
      <c r="Q871" s="62"/>
      <c r="R871" s="61"/>
      <c r="S871" s="61"/>
      <c r="T871" s="61"/>
      <c r="U871" s="61"/>
    </row>
    <row r="872">
      <c r="P872" s="61"/>
      <c r="Q872" s="62"/>
      <c r="R872" s="61"/>
      <c r="S872" s="61"/>
      <c r="T872" s="61"/>
      <c r="U872" s="61"/>
    </row>
    <row r="873">
      <c r="P873" s="61"/>
      <c r="Q873" s="62"/>
      <c r="R873" s="61"/>
      <c r="S873" s="61"/>
      <c r="T873" s="61"/>
      <c r="U873" s="61"/>
    </row>
    <row r="874">
      <c r="P874" s="61"/>
      <c r="Q874" s="62"/>
      <c r="R874" s="61"/>
      <c r="S874" s="61"/>
      <c r="T874" s="61"/>
      <c r="U874" s="61"/>
    </row>
    <row r="875">
      <c r="P875" s="61"/>
      <c r="Q875" s="62"/>
      <c r="R875" s="61"/>
      <c r="S875" s="61"/>
      <c r="T875" s="61"/>
      <c r="U875" s="61"/>
    </row>
    <row r="876">
      <c r="P876" s="61"/>
      <c r="Q876" s="62"/>
      <c r="R876" s="61"/>
      <c r="S876" s="61"/>
      <c r="T876" s="61"/>
      <c r="U876" s="61"/>
    </row>
    <row r="877">
      <c r="P877" s="61"/>
      <c r="Q877" s="62"/>
      <c r="R877" s="61"/>
      <c r="S877" s="61"/>
      <c r="T877" s="61"/>
      <c r="U877" s="61"/>
    </row>
    <row r="878">
      <c r="P878" s="61"/>
      <c r="Q878" s="62"/>
      <c r="R878" s="61"/>
      <c r="S878" s="61"/>
      <c r="T878" s="61"/>
      <c r="U878" s="61"/>
    </row>
    <row r="879">
      <c r="P879" s="61"/>
      <c r="Q879" s="62"/>
      <c r="R879" s="61"/>
      <c r="S879" s="61"/>
      <c r="T879" s="61"/>
      <c r="U879" s="61"/>
    </row>
    <row r="880">
      <c r="P880" s="61"/>
      <c r="Q880" s="62"/>
      <c r="R880" s="61"/>
      <c r="S880" s="61"/>
      <c r="T880" s="61"/>
      <c r="U880" s="61"/>
    </row>
    <row r="881">
      <c r="P881" s="61"/>
      <c r="Q881" s="62"/>
      <c r="R881" s="61"/>
      <c r="S881" s="61"/>
      <c r="T881" s="61"/>
      <c r="U881" s="61"/>
    </row>
    <row r="882">
      <c r="P882" s="61"/>
      <c r="Q882" s="62"/>
      <c r="R882" s="61"/>
      <c r="S882" s="61"/>
      <c r="T882" s="61"/>
      <c r="U882" s="61"/>
    </row>
    <row r="883">
      <c r="P883" s="61"/>
      <c r="Q883" s="62"/>
      <c r="R883" s="61"/>
      <c r="S883" s="61"/>
      <c r="T883" s="61"/>
      <c r="U883" s="61"/>
    </row>
    <row r="884">
      <c r="P884" s="61"/>
      <c r="Q884" s="62"/>
      <c r="R884" s="61"/>
      <c r="S884" s="61"/>
      <c r="T884" s="61"/>
      <c r="U884" s="61"/>
    </row>
    <row r="885">
      <c r="P885" s="61"/>
      <c r="Q885" s="62"/>
      <c r="R885" s="61"/>
      <c r="S885" s="61"/>
      <c r="T885" s="61"/>
      <c r="U885" s="61"/>
    </row>
    <row r="886">
      <c r="P886" s="61"/>
      <c r="Q886" s="62"/>
      <c r="R886" s="61"/>
      <c r="S886" s="61"/>
      <c r="T886" s="61"/>
      <c r="U886" s="61"/>
    </row>
    <row r="887">
      <c r="P887" s="61"/>
      <c r="Q887" s="62"/>
      <c r="R887" s="61"/>
      <c r="S887" s="61"/>
      <c r="T887" s="61"/>
      <c r="U887" s="61"/>
    </row>
    <row r="888">
      <c r="P888" s="61"/>
      <c r="Q888" s="62"/>
      <c r="R888" s="61"/>
      <c r="S888" s="61"/>
      <c r="T888" s="61"/>
      <c r="U888" s="61"/>
    </row>
    <row r="889">
      <c r="P889" s="61"/>
      <c r="Q889" s="62"/>
      <c r="R889" s="61"/>
      <c r="S889" s="61"/>
      <c r="T889" s="61"/>
      <c r="U889" s="61"/>
    </row>
    <row r="890">
      <c r="P890" s="61"/>
      <c r="Q890" s="62"/>
      <c r="R890" s="61"/>
      <c r="S890" s="61"/>
      <c r="T890" s="61"/>
      <c r="U890" s="61"/>
    </row>
    <row r="891">
      <c r="P891" s="61"/>
      <c r="Q891" s="62"/>
      <c r="R891" s="61"/>
      <c r="S891" s="61"/>
      <c r="T891" s="61"/>
      <c r="U891" s="61"/>
    </row>
    <row r="892">
      <c r="P892" s="61"/>
      <c r="Q892" s="62"/>
      <c r="R892" s="61"/>
      <c r="S892" s="61"/>
      <c r="T892" s="61"/>
      <c r="U892" s="61"/>
    </row>
    <row r="893">
      <c r="P893" s="61"/>
      <c r="Q893" s="62"/>
      <c r="R893" s="61"/>
      <c r="S893" s="61"/>
      <c r="T893" s="61"/>
      <c r="U893" s="61"/>
    </row>
    <row r="894">
      <c r="P894" s="61"/>
      <c r="Q894" s="62"/>
      <c r="R894" s="61"/>
      <c r="S894" s="61"/>
      <c r="T894" s="61"/>
      <c r="U894" s="61"/>
    </row>
    <row r="895">
      <c r="P895" s="61"/>
      <c r="Q895" s="62"/>
      <c r="R895" s="61"/>
      <c r="S895" s="61"/>
      <c r="T895" s="61"/>
      <c r="U895" s="61"/>
    </row>
    <row r="896">
      <c r="P896" s="61"/>
      <c r="Q896" s="62"/>
      <c r="R896" s="61"/>
      <c r="S896" s="61"/>
      <c r="T896" s="61"/>
      <c r="U896" s="61"/>
    </row>
    <row r="897">
      <c r="P897" s="61"/>
      <c r="Q897" s="62"/>
      <c r="R897" s="61"/>
      <c r="S897" s="61"/>
      <c r="T897" s="61"/>
      <c r="U897" s="61"/>
    </row>
    <row r="898">
      <c r="P898" s="61"/>
      <c r="Q898" s="62"/>
      <c r="R898" s="61"/>
      <c r="S898" s="61"/>
      <c r="T898" s="61"/>
      <c r="U898" s="61"/>
    </row>
    <row r="899">
      <c r="P899" s="61"/>
      <c r="Q899" s="62"/>
      <c r="R899" s="61"/>
      <c r="S899" s="61"/>
      <c r="T899" s="61"/>
      <c r="U899" s="61"/>
    </row>
    <row r="900">
      <c r="P900" s="61"/>
      <c r="Q900" s="62"/>
      <c r="R900" s="61"/>
      <c r="S900" s="61"/>
      <c r="T900" s="61"/>
      <c r="U900" s="61"/>
    </row>
    <row r="901">
      <c r="P901" s="61"/>
      <c r="Q901" s="62"/>
      <c r="R901" s="61"/>
      <c r="S901" s="61"/>
      <c r="T901" s="61"/>
      <c r="U901" s="61"/>
    </row>
    <row r="902">
      <c r="P902" s="61"/>
      <c r="Q902" s="62"/>
      <c r="R902" s="61"/>
      <c r="S902" s="61"/>
      <c r="T902" s="61"/>
      <c r="U902" s="61"/>
    </row>
    <row r="903">
      <c r="P903" s="61"/>
      <c r="Q903" s="62"/>
      <c r="R903" s="61"/>
      <c r="S903" s="61"/>
      <c r="T903" s="61"/>
      <c r="U903" s="61"/>
    </row>
    <row r="904">
      <c r="P904" s="61"/>
      <c r="Q904" s="62"/>
      <c r="R904" s="61"/>
      <c r="S904" s="61"/>
      <c r="T904" s="61"/>
      <c r="U904" s="61"/>
    </row>
    <row r="905">
      <c r="P905" s="61"/>
      <c r="Q905" s="62"/>
      <c r="R905" s="61"/>
      <c r="S905" s="61"/>
      <c r="T905" s="61"/>
      <c r="U905" s="61"/>
    </row>
    <row r="906">
      <c r="P906" s="61"/>
      <c r="Q906" s="62"/>
      <c r="R906" s="61"/>
      <c r="S906" s="61"/>
      <c r="T906" s="61"/>
      <c r="U906" s="61"/>
    </row>
    <row r="907">
      <c r="P907" s="61"/>
      <c r="Q907" s="62"/>
      <c r="R907" s="61"/>
      <c r="S907" s="61"/>
      <c r="T907" s="61"/>
      <c r="U907" s="61"/>
    </row>
    <row r="908">
      <c r="P908" s="61"/>
      <c r="Q908" s="62"/>
      <c r="R908" s="61"/>
      <c r="S908" s="61"/>
      <c r="T908" s="61"/>
      <c r="U908" s="61"/>
    </row>
    <row r="909">
      <c r="P909" s="61"/>
      <c r="Q909" s="62"/>
      <c r="R909" s="61"/>
      <c r="S909" s="61"/>
      <c r="T909" s="61"/>
      <c r="U909" s="61"/>
    </row>
    <row r="910">
      <c r="P910" s="61"/>
      <c r="Q910" s="62"/>
      <c r="R910" s="61"/>
      <c r="S910" s="61"/>
      <c r="T910" s="61"/>
      <c r="U910" s="61"/>
    </row>
    <row r="911">
      <c r="P911" s="61"/>
      <c r="Q911" s="62"/>
      <c r="R911" s="61"/>
      <c r="S911" s="61"/>
      <c r="T911" s="61"/>
      <c r="U911" s="61"/>
    </row>
    <row r="912">
      <c r="P912" s="61"/>
      <c r="Q912" s="62"/>
      <c r="R912" s="61"/>
      <c r="S912" s="61"/>
      <c r="T912" s="61"/>
      <c r="U912" s="61"/>
    </row>
    <row r="913">
      <c r="P913" s="61"/>
      <c r="Q913" s="62"/>
      <c r="R913" s="61"/>
      <c r="S913" s="61"/>
      <c r="T913" s="61"/>
      <c r="U913" s="61"/>
    </row>
    <row r="914">
      <c r="P914" s="61"/>
      <c r="Q914" s="62"/>
      <c r="R914" s="61"/>
      <c r="S914" s="61"/>
      <c r="T914" s="61"/>
      <c r="U914" s="61"/>
    </row>
    <row r="915">
      <c r="P915" s="61"/>
      <c r="Q915" s="62"/>
      <c r="R915" s="61"/>
      <c r="S915" s="61"/>
      <c r="T915" s="61"/>
      <c r="U915" s="61"/>
    </row>
    <row r="916">
      <c r="P916" s="61"/>
      <c r="Q916" s="62"/>
      <c r="R916" s="61"/>
      <c r="S916" s="61"/>
      <c r="T916" s="61"/>
      <c r="U916" s="61"/>
    </row>
    <row r="917">
      <c r="P917" s="61"/>
      <c r="Q917" s="62"/>
      <c r="R917" s="61"/>
      <c r="S917" s="61"/>
      <c r="T917" s="61"/>
      <c r="U917" s="61"/>
    </row>
    <row r="918">
      <c r="P918" s="61"/>
      <c r="Q918" s="62"/>
      <c r="R918" s="61"/>
      <c r="S918" s="61"/>
      <c r="T918" s="61"/>
      <c r="U918" s="61"/>
    </row>
    <row r="919">
      <c r="P919" s="61"/>
      <c r="Q919" s="62"/>
      <c r="R919" s="61"/>
      <c r="S919" s="61"/>
      <c r="T919" s="61"/>
      <c r="U919" s="61"/>
    </row>
    <row r="920">
      <c r="P920" s="61"/>
      <c r="Q920" s="62"/>
      <c r="R920" s="61"/>
      <c r="S920" s="61"/>
      <c r="T920" s="61"/>
      <c r="U920" s="61"/>
    </row>
    <row r="921">
      <c r="P921" s="61"/>
      <c r="Q921" s="62"/>
      <c r="R921" s="61"/>
      <c r="S921" s="61"/>
      <c r="T921" s="61"/>
      <c r="U921" s="61"/>
    </row>
    <row r="922">
      <c r="P922" s="61"/>
      <c r="Q922" s="62"/>
      <c r="R922" s="61"/>
      <c r="S922" s="61"/>
      <c r="T922" s="61"/>
      <c r="U922" s="61"/>
    </row>
    <row r="923">
      <c r="P923" s="61"/>
      <c r="Q923" s="62"/>
      <c r="R923" s="61"/>
      <c r="S923" s="61"/>
      <c r="T923" s="61"/>
      <c r="U923" s="61"/>
    </row>
    <row r="924">
      <c r="P924" s="61"/>
      <c r="Q924" s="62"/>
      <c r="R924" s="61"/>
      <c r="S924" s="61"/>
      <c r="T924" s="61"/>
      <c r="U924" s="61"/>
    </row>
    <row r="925">
      <c r="P925" s="61"/>
      <c r="Q925" s="62"/>
      <c r="R925" s="61"/>
      <c r="S925" s="61"/>
      <c r="T925" s="61"/>
      <c r="U925" s="61"/>
    </row>
    <row r="926">
      <c r="P926" s="61"/>
      <c r="Q926" s="62"/>
      <c r="R926" s="61"/>
      <c r="S926" s="61"/>
      <c r="T926" s="61"/>
      <c r="U926" s="61"/>
    </row>
    <row r="927">
      <c r="P927" s="61"/>
      <c r="Q927" s="62"/>
      <c r="R927" s="61"/>
      <c r="S927" s="61"/>
      <c r="T927" s="61"/>
      <c r="U927" s="61"/>
    </row>
    <row r="928">
      <c r="P928" s="61"/>
      <c r="Q928" s="62"/>
      <c r="R928" s="61"/>
      <c r="S928" s="61"/>
      <c r="T928" s="61"/>
      <c r="U928" s="61"/>
    </row>
    <row r="929">
      <c r="P929" s="61"/>
      <c r="Q929" s="62"/>
      <c r="R929" s="61"/>
      <c r="S929" s="61"/>
      <c r="T929" s="61"/>
      <c r="U929" s="61"/>
    </row>
    <row r="930">
      <c r="P930" s="61"/>
      <c r="Q930" s="62"/>
      <c r="R930" s="61"/>
      <c r="S930" s="61"/>
      <c r="T930" s="61"/>
      <c r="U930" s="61"/>
    </row>
    <row r="931">
      <c r="P931" s="61"/>
      <c r="Q931" s="62"/>
      <c r="R931" s="61"/>
      <c r="S931" s="61"/>
      <c r="T931" s="61"/>
      <c r="U931" s="61"/>
    </row>
    <row r="932">
      <c r="P932" s="61"/>
      <c r="Q932" s="62"/>
      <c r="R932" s="61"/>
      <c r="S932" s="61"/>
      <c r="T932" s="61"/>
      <c r="U932" s="61"/>
    </row>
    <row r="933">
      <c r="P933" s="61"/>
      <c r="Q933" s="62"/>
      <c r="R933" s="61"/>
      <c r="S933" s="61"/>
      <c r="T933" s="61"/>
      <c r="U933" s="61"/>
    </row>
    <row r="934">
      <c r="P934" s="61"/>
      <c r="Q934" s="62"/>
      <c r="R934" s="61"/>
      <c r="S934" s="61"/>
      <c r="T934" s="61"/>
      <c r="U934" s="61"/>
    </row>
    <row r="935">
      <c r="P935" s="61"/>
      <c r="Q935" s="62"/>
      <c r="R935" s="61"/>
      <c r="S935" s="61"/>
      <c r="T935" s="61"/>
      <c r="U935" s="61"/>
    </row>
    <row r="936">
      <c r="P936" s="61"/>
      <c r="Q936" s="62"/>
      <c r="R936" s="61"/>
      <c r="S936" s="61"/>
      <c r="T936" s="61"/>
      <c r="U936" s="61"/>
    </row>
    <row r="937">
      <c r="P937" s="61"/>
      <c r="Q937" s="62"/>
      <c r="R937" s="61"/>
      <c r="S937" s="61"/>
      <c r="T937" s="61"/>
      <c r="U937" s="61"/>
    </row>
    <row r="938">
      <c r="P938" s="61"/>
      <c r="Q938" s="62"/>
      <c r="R938" s="61"/>
      <c r="S938" s="61"/>
      <c r="T938" s="61"/>
      <c r="U938" s="61"/>
    </row>
    <row r="939">
      <c r="P939" s="61"/>
      <c r="Q939" s="62"/>
      <c r="R939" s="61"/>
      <c r="S939" s="61"/>
      <c r="T939" s="61"/>
      <c r="U939" s="61"/>
    </row>
    <row r="940">
      <c r="P940" s="61"/>
      <c r="Q940" s="62"/>
      <c r="R940" s="61"/>
      <c r="S940" s="61"/>
      <c r="T940" s="61"/>
      <c r="U940" s="61"/>
    </row>
    <row r="941">
      <c r="P941" s="61"/>
      <c r="Q941" s="62"/>
      <c r="R941" s="61"/>
      <c r="S941" s="61"/>
      <c r="T941" s="61"/>
      <c r="U941" s="61"/>
    </row>
    <row r="942">
      <c r="P942" s="61"/>
      <c r="Q942" s="62"/>
      <c r="R942" s="61"/>
      <c r="S942" s="61"/>
      <c r="T942" s="61"/>
      <c r="U942" s="61"/>
    </row>
    <row r="943">
      <c r="P943" s="61"/>
      <c r="Q943" s="62"/>
      <c r="R943" s="61"/>
      <c r="S943" s="61"/>
      <c r="T943" s="61"/>
      <c r="U943" s="61"/>
    </row>
    <row r="944">
      <c r="P944" s="61"/>
      <c r="Q944" s="62"/>
      <c r="R944" s="61"/>
      <c r="S944" s="61"/>
      <c r="T944" s="61"/>
      <c r="U944" s="61"/>
    </row>
    <row r="945">
      <c r="P945" s="61"/>
      <c r="Q945" s="62"/>
      <c r="R945" s="61"/>
      <c r="S945" s="61"/>
      <c r="T945" s="61"/>
      <c r="U945" s="61"/>
    </row>
    <row r="946">
      <c r="P946" s="61"/>
      <c r="Q946" s="62"/>
      <c r="R946" s="61"/>
      <c r="S946" s="61"/>
      <c r="T946" s="61"/>
      <c r="U946" s="61"/>
    </row>
    <row r="947">
      <c r="P947" s="61"/>
      <c r="Q947" s="62"/>
      <c r="R947" s="61"/>
      <c r="S947" s="61"/>
      <c r="T947" s="61"/>
      <c r="U947" s="61"/>
    </row>
    <row r="948">
      <c r="P948" s="61"/>
      <c r="Q948" s="62"/>
      <c r="R948" s="61"/>
      <c r="S948" s="61"/>
      <c r="T948" s="61"/>
      <c r="U948" s="61"/>
    </row>
    <row r="949">
      <c r="P949" s="61"/>
      <c r="Q949" s="62"/>
      <c r="R949" s="61"/>
      <c r="S949" s="61"/>
      <c r="T949" s="61"/>
      <c r="U949" s="61"/>
    </row>
    <row r="950">
      <c r="P950" s="61"/>
      <c r="Q950" s="62"/>
      <c r="R950" s="61"/>
      <c r="S950" s="61"/>
      <c r="T950" s="61"/>
      <c r="U950" s="61"/>
    </row>
    <row r="951">
      <c r="P951" s="61"/>
      <c r="Q951" s="62"/>
      <c r="R951" s="61"/>
      <c r="S951" s="61"/>
      <c r="T951" s="61"/>
      <c r="U951" s="61"/>
    </row>
    <row r="952">
      <c r="P952" s="61"/>
      <c r="Q952" s="62"/>
      <c r="R952" s="61"/>
      <c r="S952" s="61"/>
      <c r="T952" s="61"/>
      <c r="U952" s="61"/>
    </row>
    <row r="953">
      <c r="P953" s="61"/>
      <c r="Q953" s="62"/>
      <c r="R953" s="61"/>
      <c r="S953" s="61"/>
      <c r="T953" s="61"/>
      <c r="U953" s="61"/>
    </row>
    <row r="954">
      <c r="P954" s="61"/>
      <c r="Q954" s="62"/>
      <c r="R954" s="61"/>
      <c r="S954" s="61"/>
      <c r="T954" s="61"/>
      <c r="U954" s="61"/>
    </row>
    <row r="955">
      <c r="P955" s="61"/>
      <c r="Q955" s="62"/>
      <c r="R955" s="61"/>
      <c r="S955" s="61"/>
      <c r="T955" s="61"/>
      <c r="U955" s="61"/>
    </row>
    <row r="956">
      <c r="P956" s="61"/>
      <c r="Q956" s="62"/>
      <c r="R956" s="61"/>
      <c r="S956" s="61"/>
      <c r="T956" s="61"/>
      <c r="U956" s="61"/>
    </row>
    <row r="957">
      <c r="P957" s="61"/>
      <c r="Q957" s="62"/>
      <c r="R957" s="61"/>
      <c r="S957" s="61"/>
      <c r="T957" s="61"/>
      <c r="U957" s="61"/>
    </row>
    <row r="958">
      <c r="P958" s="61"/>
      <c r="Q958" s="62"/>
      <c r="R958" s="61"/>
      <c r="S958" s="61"/>
      <c r="T958" s="61"/>
      <c r="U958" s="61"/>
    </row>
    <row r="959">
      <c r="P959" s="61"/>
      <c r="Q959" s="62"/>
      <c r="R959" s="61"/>
      <c r="S959" s="61"/>
      <c r="T959" s="61"/>
      <c r="U959" s="61"/>
    </row>
    <row r="960">
      <c r="P960" s="61"/>
      <c r="Q960" s="62"/>
      <c r="R960" s="61"/>
      <c r="S960" s="61"/>
      <c r="T960" s="61"/>
      <c r="U960" s="61"/>
    </row>
    <row r="961">
      <c r="P961" s="61"/>
      <c r="Q961" s="62"/>
      <c r="R961" s="61"/>
      <c r="S961" s="61"/>
      <c r="T961" s="61"/>
      <c r="U961" s="61"/>
    </row>
    <row r="962">
      <c r="P962" s="61"/>
      <c r="Q962" s="62"/>
      <c r="R962" s="61"/>
      <c r="S962" s="61"/>
      <c r="T962" s="61"/>
      <c r="U962" s="61"/>
    </row>
    <row r="963">
      <c r="P963" s="61"/>
      <c r="Q963" s="62"/>
      <c r="R963" s="61"/>
      <c r="S963" s="61"/>
      <c r="T963" s="61"/>
      <c r="U963" s="61"/>
    </row>
    <row r="964">
      <c r="P964" s="61"/>
      <c r="Q964" s="62"/>
      <c r="R964" s="61"/>
      <c r="S964" s="61"/>
      <c r="T964" s="61"/>
      <c r="U964" s="61"/>
    </row>
    <row r="965">
      <c r="P965" s="61"/>
      <c r="Q965" s="62"/>
      <c r="R965" s="61"/>
      <c r="S965" s="61"/>
      <c r="T965" s="61"/>
      <c r="U965" s="61"/>
    </row>
    <row r="966">
      <c r="P966" s="61"/>
      <c r="Q966" s="62"/>
      <c r="R966" s="61"/>
      <c r="S966" s="61"/>
      <c r="T966" s="61"/>
      <c r="U966" s="61"/>
    </row>
    <row r="967">
      <c r="P967" s="61"/>
      <c r="Q967" s="62"/>
      <c r="R967" s="61"/>
      <c r="S967" s="61"/>
      <c r="T967" s="61"/>
      <c r="U967" s="61"/>
    </row>
    <row r="968">
      <c r="P968" s="61"/>
      <c r="Q968" s="62"/>
      <c r="R968" s="61"/>
      <c r="S968" s="61"/>
      <c r="T968" s="61"/>
      <c r="U968" s="61"/>
    </row>
    <row r="969">
      <c r="P969" s="61"/>
      <c r="Q969" s="62"/>
      <c r="R969" s="61"/>
      <c r="S969" s="61"/>
      <c r="T969" s="61"/>
      <c r="U969" s="61"/>
    </row>
    <row r="970">
      <c r="P970" s="61"/>
      <c r="Q970" s="62"/>
      <c r="R970" s="61"/>
      <c r="S970" s="61"/>
      <c r="T970" s="61"/>
      <c r="U970" s="61"/>
    </row>
    <row r="971">
      <c r="P971" s="61"/>
      <c r="Q971" s="62"/>
      <c r="R971" s="61"/>
      <c r="S971" s="61"/>
      <c r="T971" s="61"/>
      <c r="U971" s="61"/>
    </row>
    <row r="972">
      <c r="P972" s="61"/>
      <c r="Q972" s="62"/>
      <c r="R972" s="61"/>
      <c r="S972" s="61"/>
      <c r="T972" s="61"/>
      <c r="U972" s="61"/>
    </row>
    <row r="973">
      <c r="P973" s="61"/>
      <c r="Q973" s="62"/>
      <c r="R973" s="61"/>
      <c r="S973" s="61"/>
      <c r="T973" s="61"/>
      <c r="U973" s="61"/>
    </row>
    <row r="974">
      <c r="P974" s="61"/>
      <c r="Q974" s="62"/>
      <c r="R974" s="61"/>
      <c r="S974" s="61"/>
      <c r="T974" s="61"/>
      <c r="U974" s="61"/>
    </row>
    <row r="975">
      <c r="P975" s="61"/>
      <c r="Q975" s="62"/>
      <c r="R975" s="61"/>
      <c r="S975" s="61"/>
      <c r="T975" s="61"/>
      <c r="U975" s="61"/>
    </row>
    <row r="976">
      <c r="P976" s="61"/>
      <c r="Q976" s="62"/>
      <c r="R976" s="61"/>
      <c r="S976" s="61"/>
      <c r="T976" s="61"/>
      <c r="U976" s="61"/>
    </row>
    <row r="977">
      <c r="P977" s="61"/>
      <c r="Q977" s="62"/>
      <c r="R977" s="61"/>
      <c r="S977" s="61"/>
      <c r="T977" s="61"/>
      <c r="U977" s="61"/>
    </row>
    <row r="978">
      <c r="P978" s="61"/>
      <c r="Q978" s="62"/>
      <c r="R978" s="61"/>
      <c r="S978" s="61"/>
      <c r="T978" s="61"/>
      <c r="U978" s="61"/>
    </row>
    <row r="979">
      <c r="P979" s="61"/>
      <c r="Q979" s="62"/>
      <c r="R979" s="61"/>
      <c r="S979" s="61"/>
      <c r="T979" s="61"/>
      <c r="U979" s="61"/>
    </row>
    <row r="980">
      <c r="P980" s="61"/>
      <c r="Q980" s="62"/>
      <c r="R980" s="61"/>
      <c r="S980" s="61"/>
      <c r="T980" s="61"/>
      <c r="U980" s="61"/>
    </row>
    <row r="981">
      <c r="P981" s="61"/>
      <c r="Q981" s="62"/>
      <c r="R981" s="61"/>
      <c r="S981" s="61"/>
      <c r="T981" s="61"/>
      <c r="U981" s="61"/>
    </row>
    <row r="982">
      <c r="P982" s="61"/>
      <c r="Q982" s="62"/>
      <c r="R982" s="61"/>
      <c r="S982" s="61"/>
      <c r="T982" s="61"/>
      <c r="U982" s="61"/>
    </row>
    <row r="983">
      <c r="P983" s="61"/>
      <c r="Q983" s="62"/>
      <c r="R983" s="61"/>
      <c r="S983" s="61"/>
      <c r="T983" s="61"/>
      <c r="U983" s="61"/>
    </row>
    <row r="984">
      <c r="P984" s="61"/>
      <c r="Q984" s="62"/>
      <c r="R984" s="61"/>
      <c r="S984" s="61"/>
      <c r="T984" s="61"/>
      <c r="U984" s="61"/>
    </row>
    <row r="985">
      <c r="P985" s="61"/>
      <c r="Q985" s="62"/>
      <c r="R985" s="61"/>
      <c r="S985" s="61"/>
      <c r="T985" s="61"/>
      <c r="U985" s="61"/>
    </row>
    <row r="986">
      <c r="P986" s="61"/>
      <c r="Q986" s="62"/>
      <c r="R986" s="61"/>
      <c r="S986" s="61"/>
      <c r="T986" s="61"/>
      <c r="U986" s="61"/>
    </row>
    <row r="987">
      <c r="P987" s="61"/>
      <c r="Q987" s="62"/>
      <c r="R987" s="61"/>
      <c r="S987" s="61"/>
      <c r="T987" s="61"/>
      <c r="U987" s="61"/>
    </row>
    <row r="988">
      <c r="P988" s="61"/>
      <c r="Q988" s="62"/>
      <c r="R988" s="61"/>
      <c r="S988" s="61"/>
      <c r="T988" s="61"/>
      <c r="U988" s="61"/>
    </row>
    <row r="989">
      <c r="P989" s="61"/>
      <c r="Q989" s="62"/>
      <c r="R989" s="61"/>
      <c r="S989" s="61"/>
      <c r="T989" s="61"/>
      <c r="U989" s="61"/>
    </row>
    <row r="990">
      <c r="P990" s="61"/>
      <c r="Q990" s="62"/>
      <c r="R990" s="61"/>
      <c r="S990" s="61"/>
      <c r="T990" s="61"/>
      <c r="U990" s="61"/>
    </row>
    <row r="991">
      <c r="P991" s="61"/>
      <c r="Q991" s="62"/>
      <c r="R991" s="61"/>
      <c r="S991" s="61"/>
      <c r="T991" s="61"/>
      <c r="U991" s="61"/>
    </row>
    <row r="992">
      <c r="P992" s="61"/>
      <c r="Q992" s="62"/>
      <c r="R992" s="61"/>
      <c r="S992" s="61"/>
      <c r="T992" s="61"/>
      <c r="U992" s="61"/>
    </row>
    <row r="993">
      <c r="P993" s="61"/>
      <c r="Q993" s="62"/>
      <c r="R993" s="61"/>
      <c r="S993" s="61"/>
      <c r="T993" s="61"/>
      <c r="U993" s="61"/>
    </row>
    <row r="994">
      <c r="P994" s="61"/>
      <c r="Q994" s="62"/>
      <c r="R994" s="61"/>
      <c r="S994" s="61"/>
      <c r="T994" s="61"/>
      <c r="U994" s="61"/>
    </row>
    <row r="995">
      <c r="P995" s="61"/>
      <c r="Q995" s="62"/>
      <c r="R995" s="61"/>
      <c r="S995" s="61"/>
      <c r="T995" s="61"/>
      <c r="U995" s="61"/>
    </row>
    <row r="996">
      <c r="P996" s="61"/>
      <c r="Q996" s="62"/>
      <c r="R996" s="61"/>
      <c r="S996" s="61"/>
      <c r="T996" s="61"/>
      <c r="U996" s="61"/>
    </row>
    <row r="997">
      <c r="P997" s="61"/>
      <c r="Q997" s="62"/>
      <c r="R997" s="61"/>
      <c r="S997" s="61"/>
      <c r="T997" s="61"/>
      <c r="U997" s="61"/>
    </row>
    <row r="998">
      <c r="P998" s="61"/>
      <c r="Q998" s="62"/>
      <c r="R998" s="61"/>
      <c r="S998" s="61"/>
      <c r="T998" s="61"/>
      <c r="U998" s="61"/>
    </row>
    <row r="999">
      <c r="P999" s="61"/>
      <c r="Q999" s="62"/>
      <c r="R999" s="61"/>
      <c r="S999" s="61"/>
      <c r="T999" s="61"/>
      <c r="U999" s="61"/>
    </row>
  </sheetData>
  <autoFilter ref="$A$1:$AC$53"/>
  <dataValidations>
    <dataValidation type="list" allowBlank="1" showErrorMessage="1" sqref="H2:I51 N2:O51">
      <formula1>Lists!$I$2:$I$10</formula1>
    </dataValidation>
    <dataValidation type="list" allowBlank="1" showErrorMessage="1" sqref="K2:K51">
      <formula1>Lists!$B$2:$B$4</formula1>
    </dataValidation>
    <dataValidation type="list" allowBlank="1" showErrorMessage="1" sqref="B2:B51 J2:J51">
      <formula1>Lists!$A$2:$A$3</formula1>
    </dataValidation>
    <dataValidation type="list" allowBlank="1" showErrorMessage="1" sqref="F2:G51 L2:M51">
      <formula1>Lists!$D$2:$D$9</formula1>
    </dataValidation>
    <dataValidation type="list" allowBlank="1" showErrorMessage="1" sqref="C2:C51">
      <formula1>Lists!$B$2:$B$4</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71"/>
    <col customWidth="1" min="2" max="2" width="19.0"/>
    <col customWidth="1" min="3" max="3" width="18.0"/>
    <col customWidth="1" min="4" max="4" width="21.57"/>
    <col customWidth="1" min="7" max="7" width="21.29"/>
    <col customWidth="1" min="8" max="8" width="20.0"/>
    <col customWidth="1" min="9" max="9" width="21.29"/>
    <col customWidth="1" min="10" max="10" width="19.0"/>
    <col customWidth="1" min="11" max="11" width="15.86"/>
    <col customWidth="1" min="12" max="12" width="16.14"/>
    <col customWidth="1" min="13" max="13" width="11.0"/>
    <col customWidth="1" min="14" max="14" width="13.86"/>
    <col customWidth="1" min="15" max="15" width="12.71"/>
    <col customWidth="1" min="16" max="16" width="14.43"/>
    <col customWidth="1" min="17" max="17" width="15.0"/>
    <col customWidth="1" min="18" max="18" width="25.0"/>
    <col customWidth="1" min="19" max="19" width="13.29"/>
    <col customWidth="1" min="20" max="20" width="15.0"/>
    <col customWidth="1" min="21" max="21" width="17.0"/>
    <col customWidth="1" min="22" max="23" width="8.71"/>
    <col customWidth="1" min="24" max="24" width="19.71"/>
    <col customWidth="1" min="25" max="25" width="19.86"/>
    <col customWidth="1" min="26" max="26" width="18.86"/>
    <col customWidth="1" min="27" max="27" width="21.0"/>
    <col customWidth="1" min="28" max="28" width="8.71"/>
  </cols>
  <sheetData>
    <row r="1" ht="22.5" customHeight="1">
      <c r="A1" s="63" t="s">
        <v>2557</v>
      </c>
      <c r="B1" s="63" t="s">
        <v>2</v>
      </c>
      <c r="D1" s="64" t="s">
        <v>2558</v>
      </c>
      <c r="E1" s="64" t="s">
        <v>2559</v>
      </c>
      <c r="F1" s="65" t="s">
        <v>2560</v>
      </c>
      <c r="G1" s="65" t="s">
        <v>2561</v>
      </c>
      <c r="H1" s="64"/>
      <c r="I1" s="64" t="s">
        <v>2562</v>
      </c>
      <c r="J1" s="64" t="s">
        <v>2563</v>
      </c>
      <c r="K1" s="65" t="s">
        <v>2560</v>
      </c>
      <c r="L1" s="65" t="s">
        <v>2564</v>
      </c>
      <c r="M1" s="66"/>
      <c r="N1" s="67" t="s">
        <v>2565</v>
      </c>
      <c r="O1" s="64" t="s">
        <v>2566</v>
      </c>
      <c r="P1" s="64" t="s">
        <v>2567</v>
      </c>
      <c r="R1" s="68" t="s">
        <v>2568</v>
      </c>
      <c r="S1" s="69" t="s">
        <v>2569</v>
      </c>
      <c r="T1" s="69" t="s">
        <v>2570</v>
      </c>
      <c r="U1" s="69" t="s">
        <v>2571</v>
      </c>
      <c r="V1" s="70" t="s">
        <v>2561</v>
      </c>
      <c r="W1" s="71"/>
      <c r="X1" s="72" t="s">
        <v>2572</v>
      </c>
      <c r="Y1" s="73" t="s">
        <v>2573</v>
      </c>
      <c r="Z1" s="73" t="s">
        <v>2574</v>
      </c>
      <c r="AA1" s="73" t="s">
        <v>2575</v>
      </c>
      <c r="AB1" s="71"/>
    </row>
    <row r="2" ht="22.5" customHeight="1">
      <c r="A2" s="71" t="s">
        <v>14</v>
      </c>
      <c r="B2" s="71" t="s">
        <v>2576</v>
      </c>
      <c r="D2" s="61" t="s">
        <v>30</v>
      </c>
      <c r="E2" s="61">
        <f>COUNTIFS(Annotations!I:I,D2,Annotations!C:C,"Done")</f>
        <v>65</v>
      </c>
      <c r="F2" s="74">
        <f t="shared" ref="F2:F9" si="1">MAX(0,$G2-E2)</f>
        <v>0</v>
      </c>
      <c r="G2" s="75">
        <v>63.0</v>
      </c>
      <c r="I2" s="61" t="s">
        <v>58</v>
      </c>
      <c r="J2" s="61">
        <f>COUNTIFS(Annotations!K:K,I2,Annotations!C:C,"Done")</f>
        <v>62</v>
      </c>
      <c r="K2" s="74">
        <f t="shared" ref="K2:K10" si="2">MAX(0,$L2-J2)</f>
        <v>0</v>
      </c>
      <c r="L2" s="75">
        <v>56.0</v>
      </c>
      <c r="M2" s="66"/>
      <c r="N2" s="76" t="s">
        <v>2577</v>
      </c>
      <c r="O2" s="77" t="s">
        <v>2578</v>
      </c>
      <c r="P2" s="77" t="s">
        <v>2579</v>
      </c>
      <c r="R2" s="53"/>
      <c r="S2" s="71" t="s">
        <v>14</v>
      </c>
      <c r="T2" s="71" t="s">
        <v>15</v>
      </c>
      <c r="U2" s="78">
        <f>COUNTIFS(Annotations!B:B,A2,Annotations!C:C,"Done")</f>
        <v>250</v>
      </c>
      <c r="V2" s="79">
        <v>250.0</v>
      </c>
      <c r="W2" s="71"/>
      <c r="X2" s="80">
        <f>COUNTIF(PAnnotations!F:F,$D$2)</f>
        <v>7</v>
      </c>
      <c r="Y2" s="81">
        <f>COUNTIF(PAnnotations!F:F,$D$2)+COUNTIF(PAnnotations!G:G,$D$2)</f>
        <v>7</v>
      </c>
      <c r="Z2" s="82">
        <f>COUNTIF(PAnnotations!H:H,I2)</f>
        <v>8</v>
      </c>
      <c r="AA2" s="81">
        <f>COUNTIF(PAnnotations!H:H,$I$2)+COUNTIF(PAnnotations!I:I,$I$2)</f>
        <v>12</v>
      </c>
      <c r="AB2" s="71"/>
    </row>
    <row r="3" ht="22.5" customHeight="1">
      <c r="A3" s="71" t="s">
        <v>25</v>
      </c>
      <c r="B3" s="71" t="s">
        <v>2580</v>
      </c>
      <c r="D3" s="62" t="s">
        <v>31</v>
      </c>
      <c r="E3" s="61">
        <f>COUNTIFS(Annotations!I:I,D3,Annotations!C:C,"Done")</f>
        <v>63</v>
      </c>
      <c r="F3" s="74">
        <f t="shared" si="1"/>
        <v>0</v>
      </c>
      <c r="G3" s="75">
        <v>63.0</v>
      </c>
      <c r="I3" s="83" t="s">
        <v>66</v>
      </c>
      <c r="J3" s="61">
        <f>COUNTIFS(Annotations!K:K,I3,Annotations!C:C,"Done")</f>
        <v>41</v>
      </c>
      <c r="K3" s="74">
        <f t="shared" si="2"/>
        <v>15</v>
      </c>
      <c r="L3" s="75">
        <v>56.0</v>
      </c>
      <c r="M3" s="66"/>
      <c r="N3" s="84" t="s">
        <v>2581</v>
      </c>
      <c r="O3" s="77" t="s">
        <v>2582</v>
      </c>
      <c r="P3" s="77" t="s">
        <v>2583</v>
      </c>
      <c r="R3" s="53"/>
      <c r="S3" s="71" t="s">
        <v>25</v>
      </c>
      <c r="T3" s="71" t="s">
        <v>15</v>
      </c>
      <c r="U3" s="85">
        <f>COUNTIFS(Annotations!B:B,A3,Annotations!C:C,"Done")</f>
        <v>251</v>
      </c>
      <c r="V3" s="79">
        <v>250.0</v>
      </c>
      <c r="W3" s="71"/>
      <c r="X3" s="80">
        <f>COUNTIF(PAnnotations!F:F,$D$3)</f>
        <v>6</v>
      </c>
      <c r="Y3" s="81">
        <f>COUNTIF(PAnnotations!F:F,$D$3)+COUNTIF(PAnnotations!G:G,$D$3)</f>
        <v>19</v>
      </c>
      <c r="Z3" s="82">
        <f>COUNTIF(PAnnotations!H:H,I3)</f>
        <v>3</v>
      </c>
      <c r="AA3" s="81">
        <f>COUNTIF(PAnnotations!H:H,$I$3)+COUNTIF(PAnnotations!I:I,$I$3)</f>
        <v>5</v>
      </c>
      <c r="AB3" s="71"/>
    </row>
    <row r="4" ht="22.5" customHeight="1">
      <c r="A4" s="71"/>
      <c r="B4" s="71" t="s">
        <v>15</v>
      </c>
      <c r="D4" s="61" t="s">
        <v>20</v>
      </c>
      <c r="E4" s="61">
        <f>COUNTIFS(Annotations!I:I,D4,Annotations!C:C,"Done")</f>
        <v>65</v>
      </c>
      <c r="F4" s="74">
        <f t="shared" si="1"/>
        <v>0</v>
      </c>
      <c r="G4" s="75">
        <v>63.0</v>
      </c>
      <c r="I4" s="61" t="s">
        <v>39</v>
      </c>
      <c r="J4" s="61">
        <f>COUNTIFS(Annotations!K:K,I4,Annotations!C:C,"Done")</f>
        <v>64</v>
      </c>
      <c r="K4" s="74">
        <f t="shared" si="2"/>
        <v>0</v>
      </c>
      <c r="L4" s="75">
        <v>56.0</v>
      </c>
      <c r="M4" s="66"/>
      <c r="N4" s="86" t="s">
        <v>2584</v>
      </c>
      <c r="O4" s="77" t="s">
        <v>2585</v>
      </c>
      <c r="P4" s="77" t="s">
        <v>2586</v>
      </c>
      <c r="R4" s="53"/>
      <c r="V4" s="87"/>
      <c r="W4" s="71"/>
      <c r="X4" s="80">
        <f>COUNTIF(PAnnotations!F:F,$D$4)</f>
        <v>5</v>
      </c>
      <c r="Y4" s="81">
        <f>COUNTIF(PAnnotations!F:F,D4)+COUNTIF(PAnnotations!G:G,D4)</f>
        <v>19</v>
      </c>
      <c r="Z4" s="82">
        <f>COUNTIF(PAnnotations!H:H,I4)</f>
        <v>4</v>
      </c>
      <c r="AA4" s="81">
        <f>COUNTIF(PAnnotations!H:H,$I$4)+COUNTIF(PAnnotations!I:I,$I$4)</f>
        <v>10</v>
      </c>
      <c r="AB4" s="71"/>
    </row>
    <row r="5" ht="22.5" customHeight="1">
      <c r="A5" s="71"/>
      <c r="B5" s="71"/>
      <c r="D5" s="61" t="s">
        <v>37</v>
      </c>
      <c r="E5" s="61">
        <f>COUNTIFS(Annotations!I:I,D5,Annotations!C:C,"Done")</f>
        <v>61</v>
      </c>
      <c r="F5" s="74">
        <f t="shared" si="1"/>
        <v>2</v>
      </c>
      <c r="G5" s="75">
        <v>63.0</v>
      </c>
      <c r="I5" s="61" t="s">
        <v>38</v>
      </c>
      <c r="J5" s="61">
        <f>COUNTIFS(Annotations!K:K,I5,Annotations!C:C,"Done")</f>
        <v>56</v>
      </c>
      <c r="K5" s="74">
        <f t="shared" si="2"/>
        <v>0</v>
      </c>
      <c r="L5" s="75">
        <v>56.0</v>
      </c>
      <c r="M5" s="66"/>
      <c r="N5" s="71"/>
      <c r="O5" s="71"/>
      <c r="P5" s="71"/>
      <c r="R5" s="68" t="s">
        <v>2587</v>
      </c>
      <c r="S5" s="69" t="s">
        <v>2569</v>
      </c>
      <c r="T5" s="69" t="s">
        <v>2570</v>
      </c>
      <c r="U5" s="69" t="s">
        <v>2571</v>
      </c>
      <c r="V5" s="70" t="s">
        <v>2561</v>
      </c>
      <c r="W5" s="71"/>
      <c r="X5" s="80">
        <f>COUNTIF(PAnnotations!F:F,$D$5)</f>
        <v>7</v>
      </c>
      <c r="Y5" s="81">
        <f>COUNTIF(PAnnotations!F:F,$D$5)+COUNTIF(PAnnotations!G:G,$D$5)</f>
        <v>13</v>
      </c>
      <c r="Z5" s="82">
        <f>COUNTIF(PAnnotations!H:H,I5)</f>
        <v>4</v>
      </c>
      <c r="AA5" s="81">
        <f>COUNTIF(PAnnotations!H:H,$I$5)+COUNTIF(PAnnotations!I:I,$I$5)</f>
        <v>6</v>
      </c>
      <c r="AB5" s="71"/>
    </row>
    <row r="6" ht="22.5" customHeight="1">
      <c r="D6" s="83" t="s">
        <v>21</v>
      </c>
      <c r="E6" s="61">
        <f>COUNTIFS(Annotations!I:I,D6,Annotations!C:C,"Done")</f>
        <v>61</v>
      </c>
      <c r="F6" s="74">
        <f t="shared" si="1"/>
        <v>2</v>
      </c>
      <c r="G6" s="75">
        <v>63.0</v>
      </c>
      <c r="I6" s="61" t="s">
        <v>132</v>
      </c>
      <c r="J6" s="61">
        <f>COUNTIFS(Annotations!K:K,I6,Annotations!C:C,"Done")</f>
        <v>61</v>
      </c>
      <c r="K6" s="74">
        <f t="shared" si="2"/>
        <v>0</v>
      </c>
      <c r="L6" s="75">
        <v>56.0</v>
      </c>
      <c r="M6" s="66"/>
      <c r="N6" s="71"/>
      <c r="O6" s="71"/>
      <c r="P6" s="71"/>
      <c r="R6" s="53"/>
      <c r="S6" s="71" t="s">
        <v>14</v>
      </c>
      <c r="T6" s="71" t="s">
        <v>15</v>
      </c>
      <c r="U6" s="88">
        <f>COUNTIFS(PAnnotations!J:J,A2,PAnnotations!K:K,"Done")</f>
        <v>25</v>
      </c>
      <c r="V6" s="79">
        <v>25.0</v>
      </c>
      <c r="W6" s="71"/>
      <c r="X6" s="80">
        <f>COUNTIF(PAnnotations!F:F,$D$6)</f>
        <v>8</v>
      </c>
      <c r="Y6" s="81">
        <f>COUNTIF(PAnnotations!F:F,$D$6)+COUNTIF(PAnnotations!G:G,$D$6)</f>
        <v>14</v>
      </c>
      <c r="Z6" s="82">
        <f>COUNTIF(PAnnotations!H:H,I6)</f>
        <v>5</v>
      </c>
      <c r="AA6" s="81">
        <f>COUNTIF(PAnnotations!H:H,$I$6)+COUNTIF(PAnnotations!I:I,$I$6)</f>
        <v>13</v>
      </c>
      <c r="AB6" s="74"/>
    </row>
    <row r="7" ht="22.5" customHeight="1">
      <c r="D7" s="61" t="s">
        <v>65</v>
      </c>
      <c r="E7" s="61">
        <f>COUNTIFS(Annotations!I:I,D7,Annotations!C:C,"Done")</f>
        <v>54</v>
      </c>
      <c r="F7" s="74">
        <f t="shared" si="1"/>
        <v>9</v>
      </c>
      <c r="G7" s="75">
        <v>63.0</v>
      </c>
      <c r="I7" s="61" t="s">
        <v>22</v>
      </c>
      <c r="J7" s="61">
        <f>COUNTIFS(Annotations!K:K,I7,Annotations!C:C,"Done")</f>
        <v>50</v>
      </c>
      <c r="K7" s="74">
        <f t="shared" si="2"/>
        <v>6</v>
      </c>
      <c r="L7" s="75">
        <v>56.0</v>
      </c>
      <c r="M7" s="66"/>
      <c r="N7" s="71"/>
      <c r="O7" s="71"/>
      <c r="P7" s="71"/>
      <c r="Q7" s="71"/>
      <c r="R7" s="53"/>
      <c r="S7" s="71" t="s">
        <v>25</v>
      </c>
      <c r="T7" s="71" t="s">
        <v>15</v>
      </c>
      <c r="U7" s="88">
        <f>COUNTIFS(PAnnotations!J:J,A3,PAnnotations!K:K,"Done")</f>
        <v>25</v>
      </c>
      <c r="V7" s="79">
        <v>25.0</v>
      </c>
      <c r="W7" s="71"/>
      <c r="X7" s="80">
        <f>COUNTIF(PAnnotations!F:F,$D$7)</f>
        <v>5</v>
      </c>
      <c r="Y7" s="81">
        <f>COUNTIF(PAnnotations!F:F,$D$7)+COUNTIF(PAnnotations!G:G,$D$7)</f>
        <v>9</v>
      </c>
      <c r="Z7" s="82">
        <f>COUNTIF(PAnnotations!H:H,I7)</f>
        <v>8</v>
      </c>
      <c r="AA7" s="81">
        <f>COUNTIF(PAnnotations!H:H,$I$7)+COUNTIF(PAnnotations!I:I,$I$7)</f>
        <v>17</v>
      </c>
      <c r="AB7" s="71"/>
    </row>
    <row r="8" ht="22.5" customHeight="1">
      <c r="D8" s="83" t="s">
        <v>64</v>
      </c>
      <c r="E8" s="61">
        <f>COUNTIFS(Annotations!I:I,D8,Annotations!C:C,"Done")</f>
        <v>62</v>
      </c>
      <c r="F8" s="74">
        <f t="shared" si="1"/>
        <v>1</v>
      </c>
      <c r="G8" s="75">
        <v>63.0</v>
      </c>
      <c r="I8" s="83" t="s">
        <v>46</v>
      </c>
      <c r="J8" s="61">
        <f>COUNTIFS(Annotations!K:K,I8,Annotations!C:C,"Done")</f>
        <v>55</v>
      </c>
      <c r="K8" s="74">
        <f t="shared" si="2"/>
        <v>1</v>
      </c>
      <c r="L8" s="75">
        <v>56.0</v>
      </c>
      <c r="M8" s="66"/>
      <c r="N8" s="71"/>
      <c r="O8" s="71"/>
      <c r="P8" s="71"/>
      <c r="Q8" s="71"/>
      <c r="R8" s="71"/>
      <c r="S8" s="71"/>
      <c r="T8" s="71"/>
      <c r="U8" s="71"/>
      <c r="V8" s="71"/>
      <c r="W8" s="71"/>
      <c r="X8" s="80">
        <f>COUNTIF(PAnnotations!F:F,$D$8)</f>
        <v>8</v>
      </c>
      <c r="Y8" s="81">
        <f>COUNTIF(PAnnotations!F:F,$D$8)+COUNTIF(PAnnotations!G:G,$D$8)</f>
        <v>9</v>
      </c>
      <c r="Z8" s="82">
        <f>COUNTIF(PAnnotations!H:H,I8)</f>
        <v>5</v>
      </c>
      <c r="AA8" s="81">
        <f>COUNTIF(PAnnotations!H:H,$I$8)+COUNTIF(PAnnotations!I:I,$I$8)</f>
        <v>18</v>
      </c>
      <c r="AB8" s="71"/>
    </row>
    <row r="9" ht="22.5" customHeight="1">
      <c r="D9" s="74" t="s">
        <v>45</v>
      </c>
      <c r="E9" s="61">
        <f>COUNTIFS(Annotations!I:I,D9,Annotations!C:C,"Done")</f>
        <v>70</v>
      </c>
      <c r="F9" s="74">
        <f t="shared" si="1"/>
        <v>0</v>
      </c>
      <c r="G9" s="75">
        <v>63.0</v>
      </c>
      <c r="I9" s="83" t="s">
        <v>23</v>
      </c>
      <c r="J9" s="61">
        <f>COUNTIFS(Annotations!K:K,I9,Annotations!C:C,"Done")</f>
        <v>57</v>
      </c>
      <c r="K9" s="74">
        <f t="shared" si="2"/>
        <v>0</v>
      </c>
      <c r="L9" s="75">
        <v>56.0</v>
      </c>
      <c r="M9" s="66"/>
      <c r="N9" s="71"/>
      <c r="O9" s="71"/>
      <c r="P9" s="71"/>
      <c r="Q9" s="71"/>
      <c r="R9" s="70" t="s">
        <v>2588</v>
      </c>
      <c r="S9" s="69" t="s">
        <v>2569</v>
      </c>
      <c r="T9" s="69" t="s">
        <v>2570</v>
      </c>
      <c r="U9" s="69" t="s">
        <v>2571</v>
      </c>
      <c r="V9" s="89" t="s">
        <v>2561</v>
      </c>
      <c r="W9" s="71"/>
      <c r="X9" s="90">
        <f>COUNTIF(PAnnotations!F:F,$D$9)</f>
        <v>4</v>
      </c>
      <c r="Y9" s="81">
        <f>COUNTIF(PAnnotations!F:F,$D$9)+COUNTIF(PAnnotations!G:G,$D$9)</f>
        <v>10</v>
      </c>
      <c r="Z9" s="91">
        <f>COUNTIF(PAnnotations!H:H,I9)</f>
        <v>5</v>
      </c>
      <c r="AA9" s="81">
        <f>COUNTIF(PAnnotations!H:H,$I$9)+COUNTIF(PAnnotations!I:I,$I$9)</f>
        <v>10</v>
      </c>
      <c r="AB9" s="71"/>
    </row>
    <row r="10" ht="22.5" customHeight="1">
      <c r="A10" s="71"/>
      <c r="B10" s="71"/>
      <c r="I10" s="83" t="s">
        <v>57</v>
      </c>
      <c r="J10" s="61">
        <f>COUNTIFS(Annotations!K:K,I10,Annotations!C:C,"Done")</f>
        <v>55</v>
      </c>
      <c r="K10" s="74">
        <f t="shared" si="2"/>
        <v>1</v>
      </c>
      <c r="L10" s="75">
        <v>56.0</v>
      </c>
      <c r="M10" s="66"/>
      <c r="N10" s="71"/>
      <c r="O10" s="71"/>
      <c r="P10" s="71"/>
      <c r="Q10" s="71"/>
      <c r="R10" s="71"/>
      <c r="S10" s="71" t="s">
        <v>14</v>
      </c>
      <c r="T10" s="71" t="s">
        <v>15</v>
      </c>
      <c r="U10" s="85">
        <f>COUNTIFS(Annotations!$B$2:$B$504,"Sabrina",Annotations!$J$2:$J$504,"&lt;&gt;",Annotations!$L$2:$L$504,"&lt;&gt;")</f>
        <v>250</v>
      </c>
      <c r="V10" s="79">
        <v>250.0</v>
      </c>
      <c r="W10" s="71"/>
      <c r="X10" s="80"/>
      <c r="Y10" s="81"/>
      <c r="Z10" s="91">
        <f>COUNTIF(PAnnotations!H:H,I10)</f>
        <v>8</v>
      </c>
      <c r="AA10" s="81">
        <f>COUNTIF(PAnnotations!H:H,$I$10)+COUNTIF(PAnnotations!I:I,$I$10)</f>
        <v>9</v>
      </c>
      <c r="AB10" s="71"/>
    </row>
    <row r="11">
      <c r="A11" s="92"/>
      <c r="B11" s="92"/>
      <c r="D11" s="93" t="s">
        <v>2589</v>
      </c>
      <c r="E11" s="94">
        <f>SUM(E2:E9)</f>
        <v>501</v>
      </c>
      <c r="F11" s="95">
        <f>504-E11</f>
        <v>3</v>
      </c>
      <c r="G11" s="96">
        <f>SUM(G2:G9)</f>
        <v>504</v>
      </c>
      <c r="I11" s="93" t="s">
        <v>2589</v>
      </c>
      <c r="J11" s="94">
        <f>SUM(J2:J10)</f>
        <v>501</v>
      </c>
      <c r="K11" s="95">
        <f>504-J11</f>
        <v>3</v>
      </c>
      <c r="L11" s="95">
        <f>SUM(L2:L10)</f>
        <v>504</v>
      </c>
      <c r="M11" s="97"/>
      <c r="N11" s="92"/>
      <c r="O11" s="92"/>
      <c r="P11" s="92"/>
      <c r="Q11" s="92"/>
      <c r="R11" s="98"/>
      <c r="S11" s="71" t="s">
        <v>25</v>
      </c>
      <c r="T11" s="71" t="s">
        <v>15</v>
      </c>
      <c r="U11" s="85">
        <f>COUNTIFS(Annotations!$B$2:$B$504,"Naomi",Annotations!$J$2:$J$504,"&lt;&gt;",Annotations!$L$2:$L$504,"&lt;&gt;")</f>
        <v>251</v>
      </c>
      <c r="V11" s="79">
        <v>250.0</v>
      </c>
      <c r="W11" s="92"/>
      <c r="X11" s="44"/>
      <c r="Y11" s="92"/>
      <c r="Z11" s="99"/>
      <c r="AA11" s="92"/>
      <c r="AB11" s="92"/>
    </row>
    <row r="12">
      <c r="A12" s="100"/>
      <c r="B12" s="100"/>
      <c r="M12" s="101"/>
      <c r="N12" s="100"/>
      <c r="O12" s="100"/>
      <c r="P12" s="100"/>
      <c r="Q12" s="100"/>
      <c r="R12" s="100"/>
      <c r="S12" s="100"/>
      <c r="T12" s="100"/>
      <c r="U12" s="100"/>
      <c r="V12" s="100"/>
      <c r="W12" s="100"/>
      <c r="X12" s="100"/>
      <c r="Y12" s="100"/>
      <c r="Z12" s="100"/>
      <c r="AA12" s="100"/>
      <c r="AB12" s="100"/>
    </row>
    <row r="13" ht="22.5" customHeight="1">
      <c r="A13" s="71"/>
      <c r="B13" s="71"/>
      <c r="C13" s="61"/>
      <c r="D13" s="61"/>
      <c r="E13" s="92"/>
      <c r="F13" s="71"/>
      <c r="G13" s="61"/>
      <c r="I13" s="61"/>
      <c r="J13" s="71"/>
      <c r="K13" s="71"/>
      <c r="L13" s="71"/>
      <c r="M13" s="71"/>
      <c r="N13" s="71"/>
      <c r="O13" s="71"/>
      <c r="P13" s="71"/>
      <c r="Q13" s="71"/>
      <c r="R13" s="71"/>
      <c r="S13" s="71"/>
      <c r="T13" s="71"/>
      <c r="U13" s="71"/>
      <c r="V13" s="71"/>
      <c r="W13" s="71"/>
      <c r="X13" s="72" t="s">
        <v>2590</v>
      </c>
      <c r="Y13" s="73" t="s">
        <v>2573</v>
      </c>
      <c r="Z13" s="73" t="s">
        <v>2591</v>
      </c>
      <c r="AA13" s="73" t="s">
        <v>2575</v>
      </c>
      <c r="AB13" s="71"/>
    </row>
    <row r="14" ht="22.5" customHeight="1">
      <c r="C14" s="102" t="s">
        <v>2592</v>
      </c>
      <c r="E14" s="92"/>
      <c r="F14" s="71"/>
      <c r="G14" s="61"/>
      <c r="H14" s="102" t="s">
        <v>2592</v>
      </c>
      <c r="J14" s="71"/>
      <c r="K14" s="71"/>
      <c r="O14" s="71"/>
      <c r="P14" s="71"/>
      <c r="Q14" s="71"/>
      <c r="R14" s="71"/>
      <c r="S14" s="71"/>
      <c r="T14" s="71"/>
      <c r="U14" s="71"/>
      <c r="V14" s="71"/>
      <c r="W14" s="71"/>
      <c r="X14" s="103">
        <f>COUNTIF(Annotations!J:J,$D$2)</f>
        <v>5</v>
      </c>
      <c r="Y14" s="104">
        <f>COUNTIF(Annotations!I:I,$D$2)+COUNTIF(Annotations!J:J,$D$2)</f>
        <v>70</v>
      </c>
      <c r="Z14" s="105">
        <f>COUNTIF(Annotations!L:L,$I$2)</f>
        <v>60</v>
      </c>
      <c r="AA14" s="104">
        <f>COUNTIF(Annotations!K:K,$I$2)+COUNTIF(Annotations!L:L,$I$2)</f>
        <v>122</v>
      </c>
      <c r="AB14" s="71"/>
    </row>
    <row r="15" ht="22.5" customHeight="1">
      <c r="C15" s="106" t="s">
        <v>2593</v>
      </c>
      <c r="E15" s="92"/>
      <c r="F15" s="71"/>
      <c r="G15" s="61"/>
      <c r="H15" s="107" t="s">
        <v>2594</v>
      </c>
      <c r="J15" s="71"/>
      <c r="K15" s="71"/>
      <c r="O15" s="71"/>
      <c r="P15" s="71"/>
      <c r="Q15" s="71"/>
      <c r="R15" s="71"/>
      <c r="S15" s="71"/>
      <c r="T15" s="71"/>
      <c r="U15" s="71"/>
      <c r="V15" s="71"/>
      <c r="W15" s="71"/>
      <c r="X15" s="103">
        <f>COUNTIF(Annotations!J:J,$D$3)</f>
        <v>113</v>
      </c>
      <c r="Y15" s="104">
        <f>COUNTIF(Annotations!I:I,$D$3)+COUNTIF(Annotations!J:J,$D$3)</f>
        <v>176</v>
      </c>
      <c r="Z15" s="105">
        <f>COUNTIF(Annotations!L:L,$I$3)</f>
        <v>25</v>
      </c>
      <c r="AA15" s="104">
        <f>COUNTIF(Annotations!K:K,$I$3)+COUNTIF(Annotations!L:L,$I$3)</f>
        <v>66</v>
      </c>
      <c r="AB15" s="71"/>
    </row>
    <row r="16" ht="22.5" customHeight="1">
      <c r="A16" s="71"/>
      <c r="B16" s="71"/>
      <c r="C16" s="61"/>
      <c r="D16" s="61"/>
      <c r="E16" s="92"/>
      <c r="F16" s="71"/>
      <c r="G16" s="61"/>
      <c r="I16" s="61"/>
      <c r="J16" s="71"/>
      <c r="K16" s="71"/>
      <c r="L16" s="71"/>
      <c r="M16" s="71"/>
      <c r="N16" s="71"/>
      <c r="O16" s="71"/>
      <c r="P16" s="71"/>
      <c r="Q16" s="71"/>
      <c r="R16" s="71"/>
      <c r="S16" s="71"/>
      <c r="T16" s="71"/>
      <c r="U16" s="71"/>
      <c r="V16" s="71"/>
      <c r="W16" s="71"/>
      <c r="X16" s="103">
        <f>COUNTIF(Annotations!J:J,$D$4)</f>
        <v>121</v>
      </c>
      <c r="Y16" s="104">
        <f>COUNTIF(Annotations!I:I,D4)+COUNTIF(Annotations!J:J,D4)</f>
        <v>186</v>
      </c>
      <c r="Z16" s="105">
        <f>COUNTIF(Annotations!L:L,$I$4)</f>
        <v>89</v>
      </c>
      <c r="AA16" s="104">
        <f>COUNTIF(Annotations!K:K,$I$4)+COUNTIF(Annotations!L:L,$I$4)</f>
        <v>153</v>
      </c>
      <c r="AB16" s="71"/>
    </row>
    <row r="17" ht="22.5" customHeight="1">
      <c r="A17" s="71"/>
      <c r="B17" s="71"/>
      <c r="C17" s="61"/>
      <c r="D17" s="61"/>
      <c r="E17" s="92"/>
      <c r="F17" s="71"/>
      <c r="G17" s="61"/>
      <c r="I17" s="61"/>
      <c r="J17" s="71"/>
      <c r="K17" s="71"/>
      <c r="L17" s="71"/>
      <c r="M17" s="71"/>
      <c r="N17" s="71"/>
      <c r="O17" s="71"/>
      <c r="P17" s="71"/>
      <c r="Q17" s="71"/>
      <c r="R17" s="71"/>
      <c r="S17" s="71"/>
      <c r="T17" s="71"/>
      <c r="U17" s="71"/>
      <c r="V17" s="71"/>
      <c r="W17" s="71"/>
      <c r="X17" s="103">
        <f>COUNTIF(Annotations!J:J,$D$5)</f>
        <v>75</v>
      </c>
      <c r="Y17" s="104">
        <f>COUNTIF(Annotations!I:I,$D$5)+COUNTIF(Annotations!J:J,$D$5)</f>
        <v>136</v>
      </c>
      <c r="Z17" s="105">
        <f>COUNTIF(Annotations!L:L,$I$5)</f>
        <v>18</v>
      </c>
      <c r="AA17" s="104">
        <f>COUNTIF(Annotations!K:K,$I$5)+COUNTIF(Annotations!L:L,$I$5)</f>
        <v>74</v>
      </c>
      <c r="AB17" s="71"/>
    </row>
    <row r="18" ht="22.5" customHeight="1">
      <c r="A18" s="71"/>
      <c r="B18" s="71"/>
      <c r="C18" s="61"/>
      <c r="D18" s="61"/>
      <c r="E18" s="92"/>
      <c r="F18" s="71"/>
      <c r="G18" s="61"/>
      <c r="I18" s="61"/>
      <c r="J18" s="71"/>
      <c r="K18" s="71"/>
      <c r="L18" s="71"/>
      <c r="M18" s="71"/>
      <c r="N18" s="71"/>
      <c r="O18" s="71"/>
      <c r="P18" s="71"/>
      <c r="Q18" s="71"/>
      <c r="R18" s="71"/>
      <c r="S18" s="71"/>
      <c r="T18" s="71"/>
      <c r="U18" s="71"/>
      <c r="V18" s="71"/>
      <c r="W18" s="71"/>
      <c r="X18" s="103">
        <f>COUNTIF(Annotations!J:J,$D$6)</f>
        <v>76</v>
      </c>
      <c r="Y18" s="104">
        <f>COUNTIF(Annotations!I:I,$D$6)+COUNTIF(Annotations!J:J,$D$6)</f>
        <v>137</v>
      </c>
      <c r="Z18" s="105">
        <f>COUNTIF(Annotations!L:L,$I$6)</f>
        <v>50</v>
      </c>
      <c r="AA18" s="104">
        <f>COUNTIF(Annotations!K:K,$I$6)+COUNTIF(Annotations!L:L,$I$6)</f>
        <v>111</v>
      </c>
      <c r="AB18" s="71"/>
    </row>
    <row r="19" ht="22.5" customHeight="1">
      <c r="A19" s="71"/>
      <c r="B19" s="71"/>
      <c r="C19" s="61"/>
      <c r="D19" s="61"/>
      <c r="E19" s="71"/>
      <c r="F19" s="71"/>
      <c r="G19" s="61"/>
      <c r="I19" s="61"/>
      <c r="J19" s="71"/>
      <c r="K19" s="71"/>
      <c r="L19" s="71"/>
      <c r="M19" s="71"/>
      <c r="N19" s="71"/>
      <c r="O19" s="71"/>
      <c r="P19" s="71"/>
      <c r="Q19" s="71"/>
      <c r="R19" s="71"/>
      <c r="S19" s="71"/>
      <c r="T19" s="71"/>
      <c r="U19" s="71"/>
      <c r="V19" s="71"/>
      <c r="W19" s="71"/>
      <c r="X19" s="103">
        <f>COUNTIF(Annotations!J:J,$D$7)</f>
        <v>34</v>
      </c>
      <c r="Y19" s="104">
        <f>COUNTIF(Annotations!I:I,$D$7)+COUNTIF(Annotations!J:J,$D$7)</f>
        <v>88</v>
      </c>
      <c r="Z19" s="105">
        <f>COUNTIF(Annotations!L:L,$I$7)</f>
        <v>70</v>
      </c>
      <c r="AA19" s="104">
        <f>COUNTIF(Annotations!K:K,$I$7)+COUNTIF(Annotations!L:L,$I$7)</f>
        <v>120</v>
      </c>
      <c r="AB19" s="71"/>
    </row>
    <row r="20" ht="22.5" customHeight="1">
      <c r="A20" s="71"/>
      <c r="B20" s="71"/>
      <c r="C20" s="61"/>
      <c r="D20" s="61"/>
      <c r="E20" s="71"/>
      <c r="F20" s="71"/>
      <c r="G20" s="61"/>
      <c r="I20" s="61"/>
      <c r="J20" s="71"/>
      <c r="K20" s="71"/>
      <c r="L20" s="71"/>
      <c r="M20" s="71"/>
      <c r="N20" s="71"/>
      <c r="O20" s="71"/>
      <c r="P20" s="71"/>
      <c r="Q20" s="71"/>
      <c r="R20" s="71"/>
      <c r="S20" s="71"/>
      <c r="T20" s="71"/>
      <c r="U20" s="71"/>
      <c r="V20" s="71"/>
      <c r="W20" s="71"/>
      <c r="X20" s="103">
        <f>COUNTIF(Annotations!J:J,$D$8)</f>
        <v>34</v>
      </c>
      <c r="Y20" s="104">
        <f>COUNTIF(Annotations!I:I,$D$8)+COUNTIF(Annotations!J:J,$D$8)</f>
        <v>96</v>
      </c>
      <c r="Z20" s="105">
        <f>COUNTIF(Annotations!L:L,$I$8)</f>
        <v>146</v>
      </c>
      <c r="AA20" s="104">
        <f>COUNTIF(Annotations!K:K,$I$8)+COUNTIF(Annotations!L:L,$I$8)</f>
        <v>201</v>
      </c>
      <c r="AB20" s="71"/>
    </row>
    <row r="21" ht="15.75" customHeight="1">
      <c r="A21" s="71"/>
      <c r="B21" s="71"/>
      <c r="C21" s="61"/>
      <c r="D21" s="61"/>
      <c r="E21" s="71"/>
      <c r="F21" s="71"/>
      <c r="G21" s="61"/>
      <c r="I21" s="61"/>
      <c r="J21" s="71"/>
      <c r="K21" s="71"/>
      <c r="L21" s="71"/>
      <c r="M21" s="71"/>
      <c r="N21" s="71"/>
      <c r="O21" s="71"/>
      <c r="P21" s="71"/>
      <c r="Q21" s="71"/>
      <c r="R21" s="71"/>
      <c r="S21" s="71"/>
      <c r="T21" s="71"/>
      <c r="U21" s="71"/>
      <c r="V21" s="71"/>
      <c r="W21" s="71"/>
      <c r="X21" s="103">
        <f>COUNTIF(Annotations!J:J,$D$9)</f>
        <v>43</v>
      </c>
      <c r="Y21" s="104">
        <f>COUNTIF(Annotations!I:I,$D$9)+COUNTIF(Annotations!J:J,$D$9)</f>
        <v>113</v>
      </c>
      <c r="Z21" s="105">
        <f>COUNTIF(Annotations!L:L,$I$9)</f>
        <v>26</v>
      </c>
      <c r="AA21" s="104">
        <f>COUNTIF(Annotations!K:K,$I$9)+COUNTIF(Annotations!L:L,$I$9)</f>
        <v>83</v>
      </c>
      <c r="AB21" s="71"/>
    </row>
    <row r="22" ht="15.75" customHeight="1">
      <c r="A22" s="71"/>
      <c r="B22" s="71"/>
      <c r="C22" s="61"/>
      <c r="D22" s="61"/>
      <c r="E22" s="71"/>
      <c r="F22" s="71"/>
      <c r="G22" s="61"/>
      <c r="I22" s="61"/>
      <c r="J22" s="71"/>
      <c r="K22" s="71"/>
      <c r="L22" s="71"/>
      <c r="M22" s="71"/>
      <c r="N22" s="71"/>
      <c r="O22" s="71"/>
      <c r="P22" s="71"/>
      <c r="Q22" s="71"/>
      <c r="R22" s="71"/>
      <c r="S22" s="71"/>
      <c r="T22" s="71"/>
      <c r="U22" s="71"/>
      <c r="V22" s="71"/>
      <c r="W22" s="71"/>
      <c r="X22" s="108"/>
      <c r="Y22" s="104"/>
      <c r="Z22" s="105">
        <f>COUNTIF(Annotations!L:L,$I$10)</f>
        <v>17</v>
      </c>
      <c r="AA22" s="104">
        <f>COUNTIF(Annotations!K:K,$I$10)+COUNTIF(Annotations!L:L,$I$10)</f>
        <v>72</v>
      </c>
      <c r="AB22" s="71"/>
    </row>
    <row r="23" ht="15.75" customHeight="1">
      <c r="A23" s="71"/>
      <c r="B23" s="71"/>
      <c r="C23" s="61"/>
      <c r="D23" s="61"/>
      <c r="E23" s="71"/>
      <c r="F23" s="71"/>
      <c r="G23" s="61"/>
      <c r="I23" s="61"/>
      <c r="J23" s="71"/>
      <c r="K23" s="71"/>
      <c r="L23" s="71"/>
      <c r="M23" s="71"/>
      <c r="N23" s="71"/>
      <c r="O23" s="71"/>
      <c r="P23" s="71"/>
      <c r="Q23" s="71"/>
      <c r="R23" s="71"/>
      <c r="S23" s="71"/>
      <c r="T23" s="71"/>
      <c r="U23" s="71"/>
      <c r="V23" s="71"/>
      <c r="W23" s="71"/>
      <c r="X23" s="71"/>
      <c r="Y23" s="71"/>
      <c r="Z23" s="71"/>
      <c r="AA23" s="71"/>
      <c r="AB23" s="71"/>
    </row>
    <row r="24" ht="15.75" customHeight="1">
      <c r="A24" s="71"/>
      <c r="B24" s="71"/>
      <c r="C24" s="61"/>
      <c r="D24" s="61"/>
      <c r="E24" s="71"/>
      <c r="F24" s="71"/>
      <c r="G24" s="61"/>
      <c r="I24" s="61"/>
      <c r="J24" s="71"/>
      <c r="K24" s="71"/>
      <c r="L24" s="71"/>
      <c r="M24" s="71"/>
      <c r="N24" s="71"/>
      <c r="O24" s="71"/>
      <c r="P24" s="71"/>
      <c r="Q24" s="71"/>
      <c r="R24" s="71"/>
      <c r="S24" s="71"/>
      <c r="T24" s="71"/>
      <c r="U24" s="71"/>
      <c r="V24" s="71"/>
      <c r="W24" s="71"/>
      <c r="X24" s="71"/>
      <c r="Y24" s="71"/>
      <c r="Z24" s="71"/>
      <c r="AA24" s="71"/>
      <c r="AB24" s="71"/>
    </row>
    <row r="25" ht="15.75" customHeight="1">
      <c r="A25" s="71"/>
      <c r="B25" s="71"/>
      <c r="C25" s="61"/>
      <c r="D25" s="61"/>
      <c r="E25" s="71"/>
      <c r="F25" s="71"/>
      <c r="G25" s="61"/>
      <c r="I25" s="61"/>
      <c r="J25" s="71"/>
      <c r="K25" s="71"/>
      <c r="L25" s="71"/>
      <c r="M25" s="71"/>
      <c r="N25" s="71"/>
      <c r="O25" s="71"/>
      <c r="P25" s="71"/>
      <c r="Q25" s="71"/>
      <c r="R25" s="71"/>
      <c r="S25" s="71"/>
      <c r="T25" s="71"/>
      <c r="U25" s="71"/>
      <c r="V25" s="71"/>
      <c r="W25" s="71"/>
      <c r="X25" s="71"/>
      <c r="Y25" s="71"/>
      <c r="Z25" s="71"/>
      <c r="AA25" s="71"/>
      <c r="AB25" s="71"/>
    </row>
    <row r="26" ht="15.75" customHeight="1">
      <c r="A26" s="71"/>
      <c r="B26" s="71"/>
      <c r="C26" s="61"/>
      <c r="D26" s="61"/>
      <c r="E26" s="71"/>
      <c r="F26" s="71"/>
      <c r="G26" s="61"/>
      <c r="I26" s="61"/>
      <c r="J26" s="71"/>
      <c r="K26" s="71"/>
      <c r="L26" s="71"/>
      <c r="M26" s="71"/>
      <c r="N26" s="71"/>
      <c r="O26" s="71"/>
      <c r="P26" s="71"/>
      <c r="Q26" s="71"/>
      <c r="R26" s="71"/>
      <c r="S26" s="71"/>
      <c r="T26" s="71"/>
      <c r="U26" s="71"/>
      <c r="V26" s="71"/>
      <c r="W26" s="71"/>
      <c r="X26" s="71"/>
      <c r="Y26" s="71"/>
      <c r="Z26" s="71"/>
      <c r="AA26" s="71"/>
      <c r="AB26" s="71"/>
    </row>
    <row r="27" ht="15.75" customHeight="1">
      <c r="A27" s="71"/>
      <c r="B27" s="71"/>
      <c r="C27" s="61"/>
      <c r="D27" s="61"/>
      <c r="E27" s="71"/>
      <c r="F27" s="71"/>
      <c r="G27" s="61"/>
      <c r="I27" s="61"/>
      <c r="J27" s="71"/>
      <c r="K27" s="71"/>
      <c r="L27" s="71"/>
      <c r="M27" s="71"/>
      <c r="N27" s="71"/>
      <c r="O27" s="71"/>
      <c r="P27" s="71"/>
      <c r="Q27" s="71"/>
      <c r="R27" s="71"/>
      <c r="S27" s="71"/>
      <c r="T27" s="71"/>
      <c r="U27" s="71"/>
      <c r="V27" s="71"/>
      <c r="W27" s="71"/>
      <c r="X27" s="71"/>
      <c r="Y27" s="71"/>
      <c r="Z27" s="71"/>
      <c r="AA27" s="71"/>
      <c r="AB27" s="71"/>
    </row>
    <row r="28" ht="15.75" customHeight="1">
      <c r="A28" s="71"/>
      <c r="B28" s="71"/>
      <c r="C28" s="61"/>
      <c r="D28" s="61"/>
      <c r="E28" s="71"/>
      <c r="F28" s="71"/>
      <c r="G28" s="61"/>
      <c r="I28" s="61"/>
      <c r="J28" s="71"/>
      <c r="K28" s="71"/>
      <c r="L28" s="71"/>
      <c r="M28" s="71"/>
      <c r="N28" s="71"/>
      <c r="O28" s="71"/>
      <c r="P28" s="71"/>
      <c r="Q28" s="71"/>
      <c r="R28" s="71"/>
      <c r="S28" s="71"/>
      <c r="T28" s="71"/>
      <c r="U28" s="71"/>
      <c r="V28" s="71"/>
      <c r="W28" s="71"/>
      <c r="X28" s="71"/>
      <c r="Y28" s="71"/>
      <c r="Z28" s="71"/>
      <c r="AA28" s="71"/>
      <c r="AB28" s="71"/>
    </row>
    <row r="29" ht="15.75" customHeight="1">
      <c r="A29" s="71"/>
      <c r="B29" s="71"/>
      <c r="C29" s="61"/>
      <c r="D29" s="61"/>
      <c r="E29" s="71"/>
      <c r="F29" s="71"/>
      <c r="G29" s="61"/>
      <c r="I29" s="61"/>
      <c r="J29" s="71"/>
      <c r="K29" s="71"/>
      <c r="L29" s="71"/>
      <c r="M29" s="71"/>
      <c r="N29" s="71"/>
      <c r="O29" s="71"/>
      <c r="P29" s="71"/>
      <c r="Q29" s="71"/>
      <c r="R29" s="71"/>
      <c r="S29" s="71"/>
      <c r="T29" s="71"/>
      <c r="U29" s="71"/>
      <c r="V29" s="71"/>
      <c r="W29" s="71"/>
      <c r="X29" s="71"/>
      <c r="Y29" s="71"/>
      <c r="Z29" s="71"/>
      <c r="AA29" s="71"/>
      <c r="AB29" s="71"/>
    </row>
    <row r="30" ht="15.75" customHeight="1">
      <c r="A30" s="71"/>
      <c r="B30" s="71"/>
      <c r="C30" s="61"/>
      <c r="D30" s="61"/>
      <c r="E30" s="71"/>
      <c r="F30" s="71"/>
      <c r="G30" s="61"/>
      <c r="I30" s="61"/>
      <c r="J30" s="71"/>
      <c r="K30" s="71"/>
      <c r="L30" s="71"/>
      <c r="M30" s="71"/>
      <c r="N30" s="71"/>
      <c r="O30" s="71"/>
      <c r="P30" s="71"/>
      <c r="Q30" s="71"/>
      <c r="R30" s="71"/>
      <c r="S30" s="71"/>
      <c r="T30" s="71"/>
      <c r="U30" s="71"/>
      <c r="V30" s="71"/>
      <c r="W30" s="71"/>
      <c r="X30" s="71"/>
      <c r="Y30" s="71"/>
      <c r="Z30" s="71"/>
      <c r="AA30" s="71"/>
      <c r="AB30" s="71"/>
    </row>
    <row r="31" ht="15.75" customHeight="1">
      <c r="A31" s="74"/>
      <c r="B31" s="71"/>
      <c r="C31" s="61"/>
      <c r="D31" s="61"/>
      <c r="E31" s="71"/>
      <c r="F31" s="71"/>
      <c r="G31" s="61"/>
      <c r="I31" s="61"/>
      <c r="J31" s="71"/>
      <c r="K31" s="71"/>
      <c r="L31" s="71"/>
      <c r="M31" s="71"/>
      <c r="N31" s="71"/>
      <c r="O31" s="71"/>
      <c r="P31" s="71"/>
      <c r="Q31" s="71"/>
      <c r="R31" s="71"/>
      <c r="S31" s="71"/>
      <c r="T31" s="71"/>
      <c r="U31" s="71"/>
      <c r="V31" s="71"/>
      <c r="W31" s="71"/>
      <c r="X31" s="71"/>
      <c r="Y31" s="71"/>
      <c r="Z31" s="71"/>
      <c r="AA31" s="71"/>
      <c r="AB31" s="71"/>
    </row>
    <row r="32" ht="15.75" customHeight="1">
      <c r="A32" s="71"/>
      <c r="B32" s="71"/>
      <c r="C32" s="61"/>
      <c r="D32" s="61"/>
      <c r="E32" s="71"/>
      <c r="F32" s="71"/>
      <c r="G32" s="61"/>
      <c r="I32" s="61"/>
      <c r="J32" s="71"/>
      <c r="K32" s="71"/>
      <c r="L32" s="71"/>
      <c r="M32" s="71"/>
      <c r="N32" s="71"/>
      <c r="O32" s="71"/>
      <c r="P32" s="71"/>
      <c r="Q32" s="71"/>
      <c r="R32" s="71"/>
      <c r="S32" s="71"/>
      <c r="T32" s="71"/>
      <c r="U32" s="71"/>
      <c r="V32" s="71"/>
      <c r="W32" s="71"/>
      <c r="X32" s="71"/>
      <c r="Y32" s="71"/>
      <c r="Z32" s="71"/>
      <c r="AA32" s="71"/>
      <c r="AB32" s="71"/>
    </row>
    <row r="33" ht="15.75" customHeight="1">
      <c r="A33" s="71"/>
      <c r="B33" s="71"/>
      <c r="C33" s="61"/>
      <c r="D33" s="61"/>
      <c r="E33" s="71"/>
      <c r="F33" s="71"/>
      <c r="G33" s="61"/>
      <c r="I33" s="61"/>
      <c r="J33" s="71"/>
      <c r="K33" s="71"/>
      <c r="L33" s="71"/>
      <c r="M33" s="71"/>
      <c r="N33" s="71"/>
      <c r="O33" s="71"/>
      <c r="P33" s="71"/>
      <c r="Q33" s="71"/>
      <c r="R33" s="71"/>
      <c r="S33" s="71"/>
      <c r="T33" s="71"/>
      <c r="U33" s="71"/>
      <c r="V33" s="71"/>
      <c r="W33" s="71"/>
      <c r="X33" s="71"/>
      <c r="Y33" s="71"/>
      <c r="Z33" s="71"/>
      <c r="AA33" s="71"/>
      <c r="AB33" s="71"/>
    </row>
    <row r="34" ht="15.75" customHeight="1">
      <c r="A34" s="71"/>
      <c r="B34" s="71"/>
      <c r="C34" s="61"/>
      <c r="D34" s="61"/>
      <c r="E34" s="71"/>
      <c r="F34" s="71"/>
      <c r="G34" s="61"/>
      <c r="I34" s="61"/>
      <c r="J34" s="71"/>
      <c r="K34" s="71"/>
      <c r="L34" s="71"/>
      <c r="M34" s="71"/>
      <c r="N34" s="71"/>
      <c r="O34" s="71"/>
      <c r="P34" s="71"/>
      <c r="Q34" s="71"/>
      <c r="R34" s="71"/>
      <c r="S34" s="71"/>
      <c r="T34" s="71"/>
      <c r="U34" s="71"/>
      <c r="V34" s="71"/>
      <c r="W34" s="71"/>
      <c r="X34" s="71"/>
      <c r="Y34" s="71"/>
      <c r="Z34" s="71"/>
      <c r="AA34" s="71"/>
      <c r="AB34" s="71"/>
    </row>
    <row r="35" ht="15.75" customHeight="1">
      <c r="A35" s="71"/>
      <c r="B35" s="71"/>
      <c r="C35" s="61"/>
      <c r="D35" s="61"/>
      <c r="E35" s="71"/>
      <c r="F35" s="71"/>
      <c r="G35" s="61"/>
      <c r="I35" s="61"/>
      <c r="J35" s="71"/>
      <c r="K35" s="71"/>
      <c r="L35" s="71"/>
      <c r="M35" s="71"/>
      <c r="N35" s="71"/>
      <c r="O35" s="71"/>
      <c r="P35" s="71"/>
      <c r="Q35" s="71"/>
      <c r="R35" s="71"/>
      <c r="S35" s="71"/>
      <c r="T35" s="71"/>
      <c r="U35" s="71"/>
      <c r="V35" s="71"/>
      <c r="W35" s="71"/>
      <c r="X35" s="71"/>
      <c r="Y35" s="71"/>
      <c r="Z35" s="71"/>
      <c r="AA35" s="71"/>
      <c r="AB35" s="71"/>
    </row>
    <row r="36" ht="15.75" customHeight="1">
      <c r="A36" s="71"/>
      <c r="B36" s="71"/>
      <c r="C36" s="61"/>
      <c r="D36" s="61"/>
      <c r="E36" s="71"/>
      <c r="F36" s="71"/>
      <c r="G36" s="61"/>
      <c r="I36" s="61"/>
      <c r="J36" s="71"/>
      <c r="K36" s="71"/>
      <c r="L36" s="71"/>
      <c r="M36" s="71"/>
      <c r="N36" s="71"/>
      <c r="O36" s="71"/>
      <c r="P36" s="71"/>
      <c r="Q36" s="71"/>
      <c r="R36" s="71"/>
      <c r="S36" s="71"/>
      <c r="T36" s="71"/>
      <c r="U36" s="71"/>
      <c r="V36" s="71"/>
      <c r="W36" s="71"/>
      <c r="X36" s="71"/>
      <c r="Y36" s="71"/>
      <c r="Z36" s="71"/>
      <c r="AA36" s="71"/>
      <c r="AB36" s="71"/>
    </row>
    <row r="37" ht="15.75" customHeight="1">
      <c r="A37" s="71"/>
      <c r="B37" s="71"/>
      <c r="C37" s="61"/>
      <c r="D37" s="61"/>
      <c r="E37" s="71"/>
      <c r="F37" s="71"/>
      <c r="G37" s="61"/>
      <c r="I37" s="61"/>
      <c r="J37" s="71"/>
      <c r="K37" s="71"/>
      <c r="L37" s="71"/>
      <c r="M37" s="71"/>
      <c r="N37" s="71"/>
      <c r="O37" s="71"/>
      <c r="P37" s="71"/>
      <c r="Q37" s="71"/>
      <c r="R37" s="71"/>
      <c r="S37" s="71"/>
      <c r="T37" s="71"/>
      <c r="U37" s="71"/>
      <c r="V37" s="71"/>
      <c r="W37" s="71"/>
      <c r="X37" s="71"/>
      <c r="Y37" s="71"/>
      <c r="Z37" s="71"/>
      <c r="AA37" s="71"/>
      <c r="AB37" s="71"/>
    </row>
    <row r="38" ht="15.75" customHeight="1">
      <c r="A38" s="71"/>
      <c r="B38" s="71"/>
      <c r="C38" s="61"/>
      <c r="D38" s="61"/>
      <c r="E38" s="71"/>
      <c r="F38" s="71"/>
      <c r="G38" s="61"/>
      <c r="I38" s="61"/>
      <c r="J38" s="71"/>
      <c r="K38" s="71"/>
      <c r="L38" s="71"/>
      <c r="M38" s="71"/>
      <c r="N38" s="71"/>
      <c r="O38" s="71"/>
      <c r="P38" s="71"/>
      <c r="Q38" s="71"/>
      <c r="R38" s="71"/>
      <c r="S38" s="71"/>
      <c r="T38" s="71"/>
      <c r="U38" s="71"/>
      <c r="V38" s="71"/>
      <c r="W38" s="71"/>
      <c r="X38" s="71"/>
      <c r="Y38" s="71"/>
      <c r="Z38" s="71"/>
      <c r="AA38" s="71"/>
      <c r="AB38" s="71"/>
    </row>
    <row r="39" ht="15.75" customHeight="1">
      <c r="A39" s="71"/>
      <c r="B39" s="71"/>
      <c r="C39" s="61"/>
      <c r="D39" s="61"/>
      <c r="E39" s="71"/>
      <c r="F39" s="71"/>
      <c r="G39" s="61"/>
      <c r="I39" s="61"/>
      <c r="J39" s="71"/>
      <c r="K39" s="71"/>
      <c r="L39" s="71"/>
      <c r="M39" s="71"/>
      <c r="N39" s="71"/>
      <c r="O39" s="71"/>
      <c r="P39" s="71"/>
      <c r="Q39" s="71"/>
      <c r="R39" s="71"/>
      <c r="S39" s="71"/>
      <c r="T39" s="71"/>
      <c r="U39" s="71"/>
      <c r="V39" s="71"/>
      <c r="W39" s="71"/>
      <c r="X39" s="71"/>
      <c r="Y39" s="71"/>
      <c r="Z39" s="71"/>
      <c r="AA39" s="71"/>
      <c r="AB39" s="71"/>
    </row>
    <row r="40" ht="15.75" customHeight="1">
      <c r="A40" s="71"/>
      <c r="B40" s="71"/>
      <c r="C40" s="61"/>
      <c r="D40" s="61"/>
      <c r="E40" s="71"/>
      <c r="F40" s="71"/>
      <c r="G40" s="61"/>
      <c r="I40" s="61"/>
      <c r="J40" s="71"/>
      <c r="K40" s="71"/>
      <c r="L40" s="71"/>
      <c r="M40" s="71"/>
      <c r="N40" s="71"/>
      <c r="O40" s="71"/>
      <c r="P40" s="71"/>
      <c r="Q40" s="71"/>
      <c r="R40" s="71"/>
      <c r="S40" s="71"/>
      <c r="T40" s="71"/>
      <c r="U40" s="71"/>
      <c r="V40" s="71"/>
      <c r="W40" s="71"/>
      <c r="X40" s="71"/>
      <c r="Y40" s="71"/>
      <c r="Z40" s="71"/>
      <c r="AA40" s="71"/>
      <c r="AB40" s="71"/>
    </row>
    <row r="41" ht="15.75" customHeight="1">
      <c r="A41" s="71"/>
      <c r="B41" s="71"/>
      <c r="C41" s="61"/>
      <c r="D41" s="61"/>
      <c r="E41" s="71"/>
      <c r="F41" s="71"/>
      <c r="G41" s="61"/>
      <c r="I41" s="61"/>
      <c r="J41" s="71"/>
      <c r="K41" s="71"/>
      <c r="L41" s="71"/>
      <c r="M41" s="71"/>
      <c r="N41" s="71"/>
      <c r="O41" s="71"/>
      <c r="P41" s="71"/>
      <c r="Q41" s="71"/>
      <c r="R41" s="71"/>
      <c r="S41" s="71"/>
      <c r="T41" s="71"/>
      <c r="U41" s="71"/>
      <c r="V41" s="71"/>
      <c r="W41" s="71"/>
      <c r="X41" s="71"/>
      <c r="Y41" s="71"/>
      <c r="Z41" s="71"/>
      <c r="AA41" s="71"/>
      <c r="AB41" s="71"/>
    </row>
    <row r="42" ht="15.75" customHeight="1">
      <c r="A42" s="71"/>
      <c r="B42" s="71"/>
      <c r="C42" s="61"/>
      <c r="D42" s="61"/>
      <c r="E42" s="71"/>
      <c r="F42" s="71"/>
      <c r="G42" s="61"/>
      <c r="I42" s="61"/>
      <c r="J42" s="71"/>
      <c r="K42" s="71"/>
      <c r="L42" s="71"/>
      <c r="M42" s="71"/>
      <c r="N42" s="71"/>
      <c r="O42" s="71"/>
      <c r="P42" s="71"/>
      <c r="Q42" s="71"/>
      <c r="R42" s="71"/>
      <c r="S42" s="71"/>
      <c r="T42" s="71"/>
      <c r="U42" s="71"/>
      <c r="V42" s="71"/>
      <c r="W42" s="71"/>
      <c r="X42" s="71"/>
      <c r="Y42" s="71"/>
      <c r="Z42" s="71"/>
      <c r="AA42" s="71"/>
      <c r="AB42" s="71"/>
    </row>
    <row r="43" ht="15.75" customHeight="1">
      <c r="A43" s="71"/>
      <c r="B43" s="71"/>
      <c r="C43" s="61"/>
      <c r="D43" s="61"/>
      <c r="E43" s="71"/>
      <c r="F43" s="71"/>
      <c r="G43" s="61"/>
      <c r="I43" s="61"/>
      <c r="J43" s="71"/>
      <c r="K43" s="71"/>
      <c r="L43" s="71"/>
      <c r="M43" s="71"/>
      <c r="N43" s="71"/>
      <c r="O43" s="71"/>
      <c r="P43" s="71"/>
      <c r="Q43" s="71"/>
      <c r="R43" s="71"/>
      <c r="S43" s="71"/>
      <c r="T43" s="71"/>
      <c r="U43" s="71"/>
      <c r="V43" s="71"/>
      <c r="W43" s="71"/>
      <c r="X43" s="71"/>
      <c r="Y43" s="71"/>
      <c r="Z43" s="71"/>
      <c r="AA43" s="71"/>
      <c r="AB43" s="71"/>
    </row>
    <row r="44" ht="15.75" customHeight="1">
      <c r="A44" s="71"/>
      <c r="B44" s="71"/>
      <c r="C44" s="61"/>
      <c r="D44" s="61"/>
      <c r="E44" s="71"/>
      <c r="F44" s="71"/>
      <c r="G44" s="61"/>
      <c r="I44" s="61"/>
      <c r="J44" s="71"/>
      <c r="K44" s="71"/>
      <c r="L44" s="71"/>
      <c r="M44" s="71"/>
      <c r="N44" s="71"/>
      <c r="O44" s="71"/>
      <c r="P44" s="71"/>
      <c r="Q44" s="71"/>
      <c r="R44" s="71"/>
      <c r="S44" s="71"/>
      <c r="T44" s="71"/>
      <c r="U44" s="71"/>
      <c r="V44" s="71"/>
      <c r="W44" s="71"/>
      <c r="X44" s="71"/>
      <c r="Y44" s="71"/>
      <c r="Z44" s="71"/>
      <c r="AA44" s="71"/>
      <c r="AB44" s="71"/>
    </row>
    <row r="45" ht="15.75" customHeight="1">
      <c r="A45" s="71"/>
      <c r="B45" s="71"/>
      <c r="C45" s="61"/>
      <c r="D45" s="61"/>
      <c r="E45" s="71"/>
      <c r="F45" s="71"/>
      <c r="G45" s="61"/>
      <c r="I45" s="61"/>
      <c r="J45" s="71"/>
      <c r="K45" s="71"/>
      <c r="L45" s="71"/>
      <c r="M45" s="71"/>
      <c r="N45" s="71"/>
      <c r="O45" s="71"/>
      <c r="P45" s="71"/>
      <c r="Q45" s="71"/>
      <c r="R45" s="71"/>
      <c r="S45" s="71"/>
      <c r="T45" s="71"/>
      <c r="U45" s="71"/>
      <c r="V45" s="71"/>
      <c r="W45" s="71"/>
      <c r="X45" s="71"/>
      <c r="Y45" s="71"/>
      <c r="Z45" s="71"/>
      <c r="AA45" s="71"/>
      <c r="AB45" s="71"/>
    </row>
    <row r="46" ht="15.75" customHeight="1">
      <c r="A46" s="71"/>
      <c r="B46" s="71"/>
      <c r="C46" s="61"/>
      <c r="D46" s="61"/>
      <c r="E46" s="71"/>
      <c r="F46" s="71"/>
      <c r="G46" s="61"/>
      <c r="I46" s="61"/>
      <c r="J46" s="71"/>
      <c r="K46" s="71"/>
      <c r="L46" s="71"/>
      <c r="M46" s="71"/>
      <c r="N46" s="71"/>
      <c r="O46" s="71"/>
      <c r="P46" s="71"/>
      <c r="Q46" s="71"/>
      <c r="R46" s="71"/>
      <c r="S46" s="71"/>
      <c r="T46" s="71"/>
      <c r="U46" s="71"/>
      <c r="V46" s="71"/>
      <c r="W46" s="71"/>
      <c r="X46" s="71"/>
      <c r="Y46" s="71"/>
      <c r="Z46" s="71"/>
      <c r="AA46" s="71"/>
      <c r="AB46" s="71"/>
    </row>
    <row r="47" ht="15.75" customHeight="1">
      <c r="A47" s="71"/>
      <c r="B47" s="71"/>
      <c r="C47" s="61"/>
      <c r="D47" s="61"/>
      <c r="E47" s="71"/>
      <c r="F47" s="71"/>
      <c r="G47" s="61"/>
      <c r="I47" s="61"/>
      <c r="J47" s="71"/>
      <c r="K47" s="71"/>
      <c r="L47" s="71"/>
      <c r="M47" s="71"/>
      <c r="N47" s="71"/>
      <c r="O47" s="71"/>
      <c r="P47" s="71"/>
      <c r="Q47" s="71"/>
      <c r="R47" s="71"/>
      <c r="S47" s="71"/>
      <c r="T47" s="71"/>
      <c r="U47" s="71"/>
      <c r="V47" s="71"/>
      <c r="W47" s="71"/>
      <c r="X47" s="71"/>
      <c r="Y47" s="71"/>
      <c r="Z47" s="71"/>
      <c r="AA47" s="71"/>
      <c r="AB47" s="71"/>
    </row>
    <row r="48" ht="15.75" customHeight="1">
      <c r="A48" s="71"/>
      <c r="B48" s="71"/>
      <c r="C48" s="61"/>
      <c r="D48" s="61"/>
      <c r="E48" s="71"/>
      <c r="F48" s="71"/>
      <c r="G48" s="61"/>
      <c r="I48" s="61"/>
      <c r="J48" s="71"/>
      <c r="K48" s="71"/>
      <c r="L48" s="71"/>
      <c r="M48" s="71"/>
      <c r="N48" s="71"/>
      <c r="O48" s="71"/>
      <c r="P48" s="71"/>
      <c r="Q48" s="71"/>
      <c r="R48" s="71"/>
      <c r="S48" s="71"/>
      <c r="T48" s="71"/>
      <c r="U48" s="71"/>
      <c r="V48" s="71"/>
      <c r="W48" s="71"/>
      <c r="X48" s="71"/>
      <c r="Y48" s="71"/>
      <c r="Z48" s="71"/>
      <c r="AA48" s="71"/>
      <c r="AB48" s="71"/>
    </row>
    <row r="49" ht="15.75" customHeight="1">
      <c r="A49" s="71"/>
      <c r="B49" s="71"/>
      <c r="C49" s="61"/>
      <c r="D49" s="61"/>
      <c r="E49" s="71"/>
      <c r="F49" s="71"/>
      <c r="G49" s="61"/>
      <c r="I49" s="61"/>
      <c r="J49" s="71"/>
      <c r="K49" s="71"/>
      <c r="L49" s="71"/>
      <c r="M49" s="71"/>
      <c r="N49" s="71"/>
      <c r="O49" s="71"/>
      <c r="P49" s="71"/>
      <c r="Q49" s="71"/>
      <c r="R49" s="71"/>
      <c r="S49" s="71"/>
      <c r="T49" s="71"/>
      <c r="U49" s="71"/>
      <c r="V49" s="71"/>
      <c r="W49" s="71"/>
      <c r="X49" s="71"/>
      <c r="Y49" s="71"/>
      <c r="Z49" s="71"/>
      <c r="AA49" s="71"/>
      <c r="AB49" s="71"/>
    </row>
    <row r="50" ht="15.75" customHeight="1">
      <c r="A50" s="71"/>
      <c r="B50" s="71"/>
      <c r="C50" s="61"/>
      <c r="D50" s="61"/>
      <c r="E50" s="71"/>
      <c r="F50" s="71"/>
      <c r="G50" s="61"/>
      <c r="I50" s="61"/>
      <c r="J50" s="71"/>
      <c r="K50" s="71"/>
      <c r="L50" s="71"/>
      <c r="M50" s="71"/>
      <c r="N50" s="71"/>
      <c r="O50" s="71"/>
      <c r="P50" s="71"/>
      <c r="Q50" s="71"/>
      <c r="R50" s="71"/>
      <c r="S50" s="71"/>
      <c r="T50" s="71"/>
      <c r="U50" s="71"/>
      <c r="V50" s="71"/>
      <c r="W50" s="71"/>
      <c r="X50" s="71"/>
      <c r="Y50" s="71"/>
      <c r="Z50" s="71"/>
      <c r="AA50" s="71"/>
      <c r="AB50" s="71"/>
    </row>
    <row r="51" ht="15.75" customHeight="1">
      <c r="A51" s="71"/>
      <c r="B51" s="71"/>
      <c r="C51" s="61"/>
      <c r="D51" s="61"/>
      <c r="E51" s="71"/>
      <c r="F51" s="71"/>
      <c r="G51" s="61"/>
      <c r="I51" s="61"/>
      <c r="J51" s="71"/>
      <c r="K51" s="71"/>
      <c r="L51" s="71"/>
      <c r="M51" s="71"/>
      <c r="N51" s="71"/>
      <c r="O51" s="71"/>
      <c r="P51" s="71"/>
      <c r="Q51" s="71"/>
      <c r="R51" s="71"/>
      <c r="S51" s="71"/>
      <c r="T51" s="71"/>
      <c r="U51" s="71"/>
      <c r="V51" s="71"/>
      <c r="W51" s="71"/>
      <c r="X51" s="71"/>
      <c r="Y51" s="71"/>
      <c r="Z51" s="71"/>
      <c r="AA51" s="71"/>
      <c r="AB51" s="71"/>
    </row>
    <row r="52" ht="15.75" customHeight="1">
      <c r="A52" s="71"/>
      <c r="B52" s="71"/>
      <c r="C52" s="61"/>
      <c r="D52" s="61"/>
      <c r="E52" s="71"/>
      <c r="F52" s="71"/>
      <c r="G52" s="61"/>
      <c r="I52" s="61"/>
      <c r="J52" s="71"/>
      <c r="K52" s="71"/>
      <c r="L52" s="71"/>
      <c r="M52" s="71"/>
      <c r="N52" s="71"/>
      <c r="O52" s="71"/>
      <c r="P52" s="71"/>
      <c r="Q52" s="71"/>
      <c r="R52" s="71"/>
      <c r="S52" s="71"/>
      <c r="T52" s="71"/>
      <c r="U52" s="71"/>
      <c r="V52" s="71"/>
      <c r="W52" s="71"/>
      <c r="X52" s="71"/>
      <c r="Y52" s="71"/>
      <c r="Z52" s="71"/>
      <c r="AA52" s="71"/>
      <c r="AB52" s="71"/>
    </row>
    <row r="53" ht="15.75" customHeight="1">
      <c r="A53" s="71"/>
      <c r="B53" s="71"/>
      <c r="C53" s="61"/>
      <c r="D53" s="61"/>
      <c r="E53" s="71"/>
      <c r="F53" s="71"/>
      <c r="G53" s="61"/>
      <c r="I53" s="61"/>
      <c r="J53" s="71"/>
      <c r="K53" s="71"/>
      <c r="L53" s="71"/>
      <c r="M53" s="71"/>
      <c r="N53" s="71"/>
      <c r="O53" s="71"/>
      <c r="P53" s="71"/>
      <c r="Q53" s="71"/>
      <c r="R53" s="71"/>
      <c r="S53" s="71"/>
      <c r="T53" s="71"/>
      <c r="U53" s="71"/>
      <c r="V53" s="71"/>
      <c r="W53" s="71"/>
      <c r="X53" s="71"/>
      <c r="Y53" s="71"/>
      <c r="Z53" s="71"/>
      <c r="AA53" s="71"/>
      <c r="AB53" s="71"/>
    </row>
    <row r="54" ht="15.75" customHeight="1">
      <c r="A54" s="71"/>
      <c r="B54" s="71"/>
      <c r="C54" s="61"/>
      <c r="D54" s="61"/>
      <c r="E54" s="71"/>
      <c r="F54" s="71"/>
      <c r="G54" s="61"/>
      <c r="I54" s="61"/>
      <c r="J54" s="71"/>
      <c r="K54" s="71"/>
      <c r="L54" s="71"/>
      <c r="M54" s="71"/>
      <c r="N54" s="71"/>
      <c r="O54" s="71"/>
      <c r="P54" s="71"/>
      <c r="Q54" s="71"/>
      <c r="R54" s="71"/>
      <c r="S54" s="71"/>
      <c r="T54" s="71"/>
      <c r="U54" s="71"/>
      <c r="V54" s="71"/>
      <c r="W54" s="71"/>
      <c r="X54" s="71"/>
      <c r="Y54" s="71"/>
      <c r="Z54" s="71"/>
      <c r="AA54" s="71"/>
      <c r="AB54" s="71"/>
    </row>
    <row r="55" ht="15.75" customHeight="1">
      <c r="A55" s="71"/>
      <c r="B55" s="71"/>
      <c r="C55" s="61"/>
      <c r="D55" s="61"/>
      <c r="E55" s="71"/>
      <c r="F55" s="71"/>
      <c r="G55" s="61"/>
      <c r="I55" s="61"/>
      <c r="J55" s="71"/>
      <c r="K55" s="71"/>
      <c r="L55" s="71"/>
      <c r="M55" s="71"/>
      <c r="N55" s="71"/>
      <c r="O55" s="71"/>
      <c r="P55" s="71"/>
      <c r="Q55" s="71"/>
      <c r="R55" s="71"/>
      <c r="S55" s="71"/>
      <c r="T55" s="71"/>
      <c r="U55" s="71"/>
      <c r="V55" s="71"/>
      <c r="W55" s="71"/>
      <c r="X55" s="71"/>
      <c r="Y55" s="71"/>
      <c r="Z55" s="71"/>
      <c r="AA55" s="71"/>
      <c r="AB55" s="71"/>
    </row>
    <row r="56" ht="15.75" customHeight="1">
      <c r="A56" s="71"/>
      <c r="B56" s="71"/>
      <c r="C56" s="61"/>
      <c r="D56" s="61"/>
      <c r="E56" s="71"/>
      <c r="F56" s="71"/>
      <c r="G56" s="61"/>
      <c r="I56" s="61"/>
      <c r="J56" s="71"/>
      <c r="K56" s="71"/>
      <c r="L56" s="71"/>
      <c r="M56" s="71"/>
      <c r="N56" s="71"/>
      <c r="O56" s="71"/>
      <c r="P56" s="71"/>
      <c r="Q56" s="71"/>
      <c r="R56" s="71"/>
      <c r="S56" s="71"/>
      <c r="T56" s="71"/>
      <c r="U56" s="71"/>
      <c r="V56" s="71"/>
      <c r="W56" s="71"/>
      <c r="X56" s="71"/>
      <c r="Y56" s="71"/>
      <c r="Z56" s="71"/>
      <c r="AA56" s="71"/>
      <c r="AB56" s="71"/>
    </row>
    <row r="57" ht="15.75" customHeight="1">
      <c r="A57" s="71"/>
      <c r="B57" s="71"/>
      <c r="C57" s="61"/>
      <c r="D57" s="61"/>
      <c r="E57" s="71"/>
      <c r="F57" s="71"/>
      <c r="G57" s="61"/>
      <c r="I57" s="61"/>
      <c r="J57" s="71"/>
      <c r="K57" s="71"/>
      <c r="L57" s="71"/>
      <c r="M57" s="71"/>
      <c r="N57" s="71"/>
      <c r="O57" s="71"/>
      <c r="P57" s="71"/>
      <c r="Q57" s="71"/>
      <c r="R57" s="71"/>
      <c r="S57" s="71"/>
      <c r="T57" s="71"/>
      <c r="U57" s="71"/>
      <c r="V57" s="71"/>
      <c r="W57" s="71"/>
      <c r="X57" s="71"/>
      <c r="Y57" s="71"/>
      <c r="Z57" s="71"/>
      <c r="AA57" s="71"/>
      <c r="AB57" s="71"/>
    </row>
    <row r="58" ht="15.75" customHeight="1">
      <c r="A58" s="71"/>
      <c r="B58" s="71"/>
      <c r="C58" s="61"/>
      <c r="D58" s="61"/>
      <c r="E58" s="71"/>
      <c r="F58" s="71"/>
      <c r="G58" s="61"/>
      <c r="I58" s="61"/>
      <c r="J58" s="71"/>
      <c r="K58" s="71"/>
      <c r="L58" s="71"/>
      <c r="M58" s="71"/>
      <c r="N58" s="71"/>
      <c r="O58" s="71"/>
      <c r="P58" s="71"/>
      <c r="Q58" s="71"/>
      <c r="R58" s="71"/>
      <c r="S58" s="71"/>
      <c r="T58" s="71"/>
      <c r="U58" s="71"/>
      <c r="V58" s="71"/>
      <c r="W58" s="71"/>
      <c r="X58" s="71"/>
      <c r="Y58" s="71"/>
      <c r="Z58" s="71"/>
      <c r="AA58" s="71"/>
      <c r="AB58" s="71"/>
    </row>
    <row r="59" ht="15.75" customHeight="1">
      <c r="A59" s="71"/>
      <c r="B59" s="71"/>
      <c r="C59" s="61"/>
      <c r="D59" s="61"/>
      <c r="E59" s="71"/>
      <c r="F59" s="71"/>
      <c r="G59" s="61"/>
      <c r="I59" s="61"/>
      <c r="J59" s="71"/>
      <c r="K59" s="71"/>
      <c r="L59" s="71"/>
      <c r="M59" s="71"/>
      <c r="N59" s="71"/>
      <c r="O59" s="71"/>
      <c r="P59" s="71"/>
      <c r="Q59" s="71"/>
      <c r="R59" s="71"/>
      <c r="S59" s="71"/>
      <c r="T59" s="71"/>
      <c r="U59" s="71"/>
      <c r="V59" s="71"/>
      <c r="W59" s="71"/>
      <c r="X59" s="71"/>
      <c r="Y59" s="71"/>
      <c r="Z59" s="71"/>
      <c r="AA59" s="71"/>
      <c r="AB59" s="71"/>
    </row>
    <row r="60" ht="15.75" customHeight="1">
      <c r="A60" s="71"/>
      <c r="B60" s="71"/>
      <c r="C60" s="61"/>
      <c r="D60" s="61"/>
      <c r="E60" s="71"/>
      <c r="F60" s="71"/>
      <c r="G60" s="61"/>
      <c r="I60" s="61"/>
      <c r="J60" s="71"/>
      <c r="K60" s="71"/>
      <c r="L60" s="71"/>
      <c r="M60" s="71"/>
      <c r="N60" s="71"/>
      <c r="O60" s="71"/>
      <c r="P60" s="71"/>
      <c r="Q60" s="71"/>
      <c r="R60" s="71"/>
      <c r="S60" s="71"/>
      <c r="T60" s="71"/>
      <c r="U60" s="71"/>
      <c r="V60" s="71"/>
      <c r="W60" s="71"/>
      <c r="X60" s="71"/>
      <c r="Y60" s="71"/>
      <c r="Z60" s="71"/>
      <c r="AA60" s="71"/>
      <c r="AB60" s="71"/>
    </row>
    <row r="61" ht="15.75" customHeight="1">
      <c r="A61" s="71"/>
      <c r="B61" s="71"/>
      <c r="C61" s="61"/>
      <c r="D61" s="61"/>
      <c r="E61" s="71"/>
      <c r="F61" s="71"/>
      <c r="G61" s="61"/>
      <c r="I61" s="61"/>
      <c r="J61" s="71"/>
      <c r="K61" s="71"/>
      <c r="L61" s="71"/>
      <c r="M61" s="71"/>
      <c r="N61" s="71"/>
      <c r="O61" s="71"/>
      <c r="P61" s="71"/>
      <c r="Q61" s="71"/>
      <c r="R61" s="71"/>
      <c r="S61" s="71"/>
      <c r="T61" s="71"/>
      <c r="U61" s="71"/>
      <c r="V61" s="71"/>
      <c r="W61" s="71"/>
      <c r="X61" s="71"/>
      <c r="Y61" s="71"/>
      <c r="Z61" s="71"/>
      <c r="AA61" s="71"/>
      <c r="AB61" s="71"/>
    </row>
    <row r="62" ht="15.75" customHeight="1">
      <c r="A62" s="71"/>
      <c r="B62" s="71"/>
      <c r="C62" s="61"/>
      <c r="D62" s="61"/>
      <c r="E62" s="71"/>
      <c r="F62" s="71"/>
      <c r="G62" s="61"/>
      <c r="I62" s="61"/>
      <c r="J62" s="71"/>
      <c r="K62" s="71"/>
      <c r="L62" s="71"/>
      <c r="M62" s="71"/>
      <c r="N62" s="71"/>
      <c r="O62" s="71"/>
      <c r="P62" s="71"/>
      <c r="Q62" s="71"/>
      <c r="R62" s="71"/>
      <c r="S62" s="71"/>
      <c r="T62" s="71"/>
      <c r="U62" s="71"/>
      <c r="V62" s="71"/>
      <c r="W62" s="71"/>
      <c r="X62" s="71"/>
      <c r="Y62" s="71"/>
      <c r="Z62" s="71"/>
      <c r="AA62" s="71"/>
      <c r="AB62" s="71"/>
    </row>
    <row r="63" ht="15.75" customHeight="1">
      <c r="A63" s="71"/>
      <c r="B63" s="71"/>
      <c r="C63" s="61"/>
      <c r="D63" s="61"/>
      <c r="E63" s="71"/>
      <c r="F63" s="71"/>
      <c r="G63" s="61"/>
      <c r="I63" s="61"/>
      <c r="J63" s="71"/>
      <c r="K63" s="71"/>
      <c r="L63" s="71"/>
      <c r="M63" s="71"/>
      <c r="N63" s="71"/>
      <c r="O63" s="71"/>
      <c r="P63" s="71"/>
      <c r="Q63" s="71"/>
      <c r="R63" s="71"/>
      <c r="S63" s="71"/>
      <c r="T63" s="71"/>
      <c r="U63" s="71"/>
      <c r="V63" s="71"/>
      <c r="W63" s="71"/>
      <c r="X63" s="71"/>
      <c r="Y63" s="71"/>
      <c r="Z63" s="71"/>
      <c r="AA63" s="71"/>
      <c r="AB63" s="71"/>
    </row>
    <row r="64" ht="15.75" customHeight="1">
      <c r="A64" s="71"/>
      <c r="B64" s="71"/>
      <c r="C64" s="61"/>
      <c r="D64" s="61"/>
      <c r="E64" s="71"/>
      <c r="F64" s="71"/>
      <c r="G64" s="61"/>
      <c r="I64" s="61"/>
      <c r="J64" s="71"/>
      <c r="K64" s="71"/>
      <c r="L64" s="71"/>
      <c r="M64" s="71"/>
      <c r="N64" s="71"/>
      <c r="O64" s="71"/>
      <c r="P64" s="71"/>
      <c r="Q64" s="71"/>
      <c r="R64" s="71"/>
      <c r="S64" s="71"/>
      <c r="T64" s="71"/>
      <c r="U64" s="71"/>
      <c r="V64" s="71"/>
      <c r="W64" s="71"/>
      <c r="X64" s="71"/>
      <c r="Y64" s="71"/>
      <c r="Z64" s="71"/>
      <c r="AA64" s="71"/>
      <c r="AB64" s="71"/>
    </row>
    <row r="65" ht="15.75" customHeight="1">
      <c r="A65" s="71"/>
      <c r="B65" s="71"/>
      <c r="C65" s="61"/>
      <c r="D65" s="61"/>
      <c r="E65" s="71"/>
      <c r="F65" s="71"/>
      <c r="G65" s="61"/>
      <c r="I65" s="61"/>
      <c r="J65" s="71"/>
      <c r="K65" s="71"/>
      <c r="L65" s="71"/>
      <c r="M65" s="71"/>
      <c r="N65" s="71"/>
      <c r="O65" s="71"/>
      <c r="P65" s="71"/>
      <c r="Q65" s="71"/>
      <c r="R65" s="71"/>
      <c r="S65" s="71"/>
      <c r="T65" s="71"/>
      <c r="U65" s="71"/>
      <c r="V65" s="71"/>
      <c r="W65" s="71"/>
      <c r="X65" s="71"/>
      <c r="Y65" s="71"/>
      <c r="Z65" s="71"/>
      <c r="AA65" s="71"/>
      <c r="AB65" s="71"/>
    </row>
    <row r="66" ht="15.75" customHeight="1">
      <c r="A66" s="71"/>
      <c r="B66" s="71"/>
      <c r="C66" s="61"/>
      <c r="D66" s="61"/>
      <c r="E66" s="71"/>
      <c r="F66" s="71"/>
      <c r="G66" s="61"/>
      <c r="I66" s="61"/>
      <c r="J66" s="71"/>
      <c r="K66" s="71"/>
      <c r="L66" s="71"/>
      <c r="M66" s="71"/>
      <c r="N66" s="71"/>
      <c r="O66" s="71"/>
      <c r="P66" s="71"/>
      <c r="Q66" s="71"/>
      <c r="R66" s="71"/>
      <c r="S66" s="71"/>
      <c r="T66" s="71"/>
      <c r="U66" s="71"/>
      <c r="V66" s="71"/>
      <c r="W66" s="71"/>
      <c r="X66" s="71"/>
      <c r="Y66" s="71"/>
      <c r="Z66" s="71"/>
      <c r="AA66" s="71"/>
      <c r="AB66" s="71"/>
    </row>
    <row r="67" ht="15.75" customHeight="1">
      <c r="A67" s="71"/>
      <c r="B67" s="71"/>
      <c r="C67" s="61"/>
      <c r="D67" s="61"/>
      <c r="E67" s="71"/>
      <c r="F67" s="71"/>
      <c r="G67" s="61"/>
      <c r="I67" s="61"/>
      <c r="J67" s="71"/>
      <c r="K67" s="71"/>
      <c r="L67" s="71"/>
      <c r="M67" s="71"/>
      <c r="N67" s="71"/>
      <c r="O67" s="71"/>
      <c r="P67" s="71"/>
      <c r="Q67" s="71"/>
      <c r="R67" s="71"/>
      <c r="S67" s="71"/>
      <c r="T67" s="71"/>
      <c r="U67" s="71"/>
      <c r="V67" s="71"/>
      <c r="W67" s="71"/>
      <c r="X67" s="71"/>
      <c r="Y67" s="71"/>
      <c r="Z67" s="71"/>
      <c r="AA67" s="71"/>
      <c r="AB67" s="71"/>
    </row>
    <row r="68" ht="15.75" customHeight="1">
      <c r="A68" s="71"/>
      <c r="B68" s="71"/>
      <c r="C68" s="61"/>
      <c r="D68" s="61"/>
      <c r="E68" s="71"/>
      <c r="F68" s="71"/>
      <c r="G68" s="61"/>
      <c r="I68" s="61"/>
      <c r="J68" s="71"/>
      <c r="K68" s="71"/>
      <c r="L68" s="71"/>
      <c r="M68" s="71"/>
      <c r="N68" s="71"/>
      <c r="O68" s="71"/>
      <c r="P68" s="71"/>
      <c r="Q68" s="71"/>
      <c r="R68" s="71"/>
      <c r="S68" s="71"/>
      <c r="T68" s="71"/>
      <c r="U68" s="71"/>
      <c r="V68" s="71"/>
      <c r="W68" s="71"/>
      <c r="X68" s="71"/>
      <c r="Y68" s="71"/>
      <c r="Z68" s="71"/>
      <c r="AA68" s="71"/>
      <c r="AB68" s="71"/>
    </row>
    <row r="69" ht="15.75" customHeight="1">
      <c r="A69" s="71"/>
      <c r="B69" s="71"/>
      <c r="C69" s="61"/>
      <c r="D69" s="61"/>
      <c r="E69" s="71"/>
      <c r="F69" s="71"/>
      <c r="G69" s="61"/>
      <c r="I69" s="61"/>
      <c r="J69" s="71"/>
      <c r="K69" s="71"/>
      <c r="L69" s="71"/>
      <c r="M69" s="71"/>
      <c r="N69" s="71"/>
      <c r="O69" s="71"/>
      <c r="P69" s="71"/>
      <c r="Q69" s="71"/>
      <c r="R69" s="71"/>
      <c r="S69" s="71"/>
      <c r="T69" s="71"/>
      <c r="U69" s="71"/>
      <c r="V69" s="71"/>
      <c r="W69" s="71"/>
      <c r="X69" s="71"/>
      <c r="Y69" s="71"/>
      <c r="Z69" s="71"/>
      <c r="AA69" s="71"/>
      <c r="AB69" s="71"/>
    </row>
    <row r="70" ht="15.75" customHeight="1">
      <c r="A70" s="71"/>
      <c r="B70" s="71"/>
      <c r="C70" s="61"/>
      <c r="D70" s="61"/>
      <c r="E70" s="71"/>
      <c r="F70" s="71"/>
      <c r="G70" s="61"/>
      <c r="I70" s="61"/>
      <c r="J70" s="71"/>
      <c r="K70" s="71"/>
      <c r="L70" s="71"/>
      <c r="M70" s="71"/>
      <c r="N70" s="71"/>
      <c r="O70" s="71"/>
      <c r="P70" s="71"/>
      <c r="Q70" s="71"/>
      <c r="R70" s="71"/>
      <c r="S70" s="71"/>
      <c r="T70" s="71"/>
      <c r="U70" s="71"/>
      <c r="V70" s="71"/>
      <c r="W70" s="71"/>
      <c r="X70" s="71"/>
      <c r="Y70" s="71"/>
      <c r="Z70" s="71"/>
      <c r="AA70" s="71"/>
      <c r="AB70" s="71"/>
    </row>
    <row r="71" ht="15.75" customHeight="1">
      <c r="A71" s="71"/>
      <c r="B71" s="71"/>
      <c r="C71" s="61"/>
      <c r="D71" s="61"/>
      <c r="E71" s="71"/>
      <c r="F71" s="71"/>
      <c r="G71" s="61"/>
      <c r="I71" s="61"/>
      <c r="J71" s="71"/>
      <c r="K71" s="71"/>
      <c r="L71" s="71"/>
      <c r="M71" s="71"/>
      <c r="N71" s="71"/>
      <c r="O71" s="71"/>
      <c r="P71" s="71"/>
      <c r="Q71" s="71"/>
      <c r="R71" s="71"/>
      <c r="S71" s="71"/>
      <c r="T71" s="71"/>
      <c r="U71" s="71"/>
      <c r="V71" s="71"/>
      <c r="W71" s="71"/>
      <c r="X71" s="71"/>
      <c r="Y71" s="71"/>
      <c r="Z71" s="71"/>
      <c r="AA71" s="71"/>
      <c r="AB71" s="71"/>
    </row>
    <row r="72" ht="15.75" customHeight="1">
      <c r="A72" s="71"/>
      <c r="B72" s="71"/>
      <c r="C72" s="61"/>
      <c r="D72" s="61"/>
      <c r="E72" s="71"/>
      <c r="F72" s="71"/>
      <c r="G72" s="61"/>
      <c r="I72" s="61"/>
      <c r="J72" s="71"/>
      <c r="K72" s="71"/>
      <c r="L72" s="71"/>
      <c r="M72" s="71"/>
      <c r="N72" s="71"/>
      <c r="O72" s="71"/>
      <c r="P72" s="71"/>
      <c r="Q72" s="71"/>
      <c r="R72" s="71"/>
      <c r="S72" s="71"/>
      <c r="T72" s="71"/>
      <c r="U72" s="71"/>
      <c r="V72" s="71"/>
      <c r="W72" s="71"/>
      <c r="X72" s="71"/>
      <c r="Y72" s="71"/>
      <c r="Z72" s="71"/>
      <c r="AA72" s="71"/>
      <c r="AB72" s="71"/>
    </row>
    <row r="73" ht="15.75" customHeight="1">
      <c r="A73" s="71"/>
      <c r="B73" s="71"/>
      <c r="C73" s="61"/>
      <c r="D73" s="61"/>
      <c r="E73" s="71"/>
      <c r="F73" s="71"/>
      <c r="G73" s="61"/>
      <c r="I73" s="61"/>
      <c r="J73" s="71"/>
      <c r="K73" s="71"/>
      <c r="L73" s="71"/>
      <c r="M73" s="71"/>
      <c r="N73" s="71"/>
      <c r="O73" s="71"/>
      <c r="P73" s="71"/>
      <c r="Q73" s="71"/>
      <c r="R73" s="71"/>
      <c r="S73" s="71"/>
      <c r="T73" s="71"/>
      <c r="U73" s="71"/>
      <c r="V73" s="71"/>
      <c r="W73" s="71"/>
      <c r="X73" s="71"/>
      <c r="Y73" s="71"/>
      <c r="Z73" s="71"/>
      <c r="AA73" s="71"/>
      <c r="AB73" s="71"/>
    </row>
    <row r="74" ht="15.75" customHeight="1">
      <c r="A74" s="71"/>
      <c r="B74" s="71"/>
      <c r="C74" s="61"/>
      <c r="D74" s="61"/>
      <c r="E74" s="71"/>
      <c r="F74" s="71"/>
      <c r="G74" s="61"/>
      <c r="I74" s="61"/>
      <c r="J74" s="71"/>
      <c r="K74" s="71"/>
      <c r="L74" s="71"/>
      <c r="M74" s="71"/>
      <c r="N74" s="71"/>
      <c r="O74" s="71"/>
      <c r="P74" s="71"/>
      <c r="Q74" s="71"/>
      <c r="R74" s="71"/>
      <c r="S74" s="71"/>
      <c r="T74" s="71"/>
      <c r="U74" s="71"/>
      <c r="V74" s="71"/>
      <c r="W74" s="71"/>
      <c r="X74" s="71"/>
      <c r="Y74" s="71"/>
      <c r="Z74" s="71"/>
      <c r="AA74" s="71"/>
      <c r="AB74" s="71"/>
    </row>
    <row r="75" ht="15.75" customHeight="1">
      <c r="A75" s="71"/>
      <c r="B75" s="71"/>
      <c r="C75" s="61"/>
      <c r="D75" s="61"/>
      <c r="E75" s="71"/>
      <c r="F75" s="71"/>
      <c r="G75" s="61"/>
      <c r="I75" s="61"/>
      <c r="J75" s="71"/>
      <c r="K75" s="71"/>
      <c r="L75" s="71"/>
      <c r="M75" s="71"/>
      <c r="N75" s="71"/>
      <c r="O75" s="71"/>
      <c r="P75" s="71"/>
      <c r="Q75" s="71"/>
      <c r="R75" s="71"/>
      <c r="S75" s="71"/>
      <c r="T75" s="71"/>
      <c r="U75" s="71"/>
      <c r="V75" s="71"/>
      <c r="W75" s="71"/>
      <c r="X75" s="71"/>
      <c r="Y75" s="71"/>
      <c r="Z75" s="71"/>
      <c r="AA75" s="71"/>
      <c r="AB75" s="71"/>
    </row>
    <row r="76" ht="15.75" customHeight="1">
      <c r="A76" s="71"/>
      <c r="B76" s="71"/>
      <c r="C76" s="61"/>
      <c r="D76" s="61"/>
      <c r="E76" s="71"/>
      <c r="F76" s="71"/>
      <c r="G76" s="61"/>
      <c r="I76" s="61"/>
      <c r="J76" s="71"/>
      <c r="K76" s="71"/>
      <c r="L76" s="71"/>
      <c r="M76" s="71"/>
      <c r="N76" s="71"/>
      <c r="O76" s="71"/>
      <c r="P76" s="71"/>
      <c r="Q76" s="71"/>
      <c r="R76" s="71"/>
      <c r="S76" s="71"/>
      <c r="T76" s="71"/>
      <c r="U76" s="71"/>
      <c r="V76" s="71"/>
      <c r="W76" s="71"/>
      <c r="X76" s="71"/>
      <c r="Y76" s="71"/>
      <c r="Z76" s="71"/>
      <c r="AA76" s="71"/>
      <c r="AB76" s="71"/>
    </row>
    <row r="77" ht="15.75" customHeight="1">
      <c r="A77" s="71"/>
      <c r="B77" s="71"/>
      <c r="C77" s="61"/>
      <c r="D77" s="61"/>
      <c r="E77" s="71"/>
      <c r="F77" s="71"/>
      <c r="G77" s="61"/>
      <c r="I77" s="61"/>
      <c r="J77" s="71"/>
      <c r="K77" s="71"/>
      <c r="L77" s="71"/>
      <c r="M77" s="71"/>
      <c r="N77" s="71"/>
      <c r="O77" s="71"/>
      <c r="P77" s="71"/>
      <c r="Q77" s="71"/>
      <c r="R77" s="71"/>
      <c r="S77" s="71"/>
      <c r="T77" s="71"/>
      <c r="U77" s="71"/>
      <c r="V77" s="71"/>
      <c r="W77" s="71"/>
      <c r="X77" s="71"/>
      <c r="Y77" s="71"/>
      <c r="Z77" s="71"/>
      <c r="AA77" s="71"/>
      <c r="AB77" s="71"/>
    </row>
    <row r="78" ht="15.75" customHeight="1">
      <c r="A78" s="71"/>
      <c r="B78" s="71"/>
      <c r="C78" s="61"/>
      <c r="D78" s="61"/>
      <c r="E78" s="71"/>
      <c r="F78" s="71"/>
      <c r="G78" s="61"/>
      <c r="I78" s="61"/>
      <c r="J78" s="71"/>
      <c r="K78" s="71"/>
      <c r="L78" s="71"/>
      <c r="M78" s="71"/>
      <c r="N78" s="71"/>
      <c r="O78" s="71"/>
      <c r="P78" s="71"/>
      <c r="Q78" s="71"/>
      <c r="R78" s="71"/>
      <c r="S78" s="71"/>
      <c r="T78" s="71"/>
      <c r="U78" s="71"/>
      <c r="V78" s="71"/>
      <c r="W78" s="71"/>
      <c r="X78" s="71"/>
      <c r="Y78" s="71"/>
      <c r="Z78" s="71"/>
      <c r="AA78" s="71"/>
      <c r="AB78" s="71"/>
    </row>
    <row r="79" ht="15.75" customHeight="1">
      <c r="A79" s="71"/>
      <c r="B79" s="71"/>
      <c r="C79" s="61"/>
      <c r="D79" s="61"/>
      <c r="E79" s="71"/>
      <c r="F79" s="71"/>
      <c r="G79" s="61"/>
      <c r="I79" s="61"/>
      <c r="J79" s="71"/>
      <c r="K79" s="71"/>
      <c r="L79" s="71"/>
      <c r="M79" s="71"/>
      <c r="N79" s="71"/>
      <c r="O79" s="71"/>
      <c r="P79" s="71"/>
      <c r="Q79" s="71"/>
      <c r="R79" s="71"/>
      <c r="S79" s="71"/>
      <c r="T79" s="71"/>
      <c r="U79" s="71"/>
      <c r="V79" s="71"/>
      <c r="W79" s="71"/>
      <c r="X79" s="71"/>
      <c r="Y79" s="71"/>
      <c r="Z79" s="71"/>
      <c r="AA79" s="71"/>
      <c r="AB79" s="71"/>
    </row>
    <row r="80" ht="15.75" customHeight="1">
      <c r="A80" s="71"/>
      <c r="B80" s="71"/>
      <c r="C80" s="61"/>
      <c r="D80" s="61"/>
      <c r="E80" s="71"/>
      <c r="F80" s="71"/>
      <c r="G80" s="61"/>
      <c r="I80" s="61"/>
      <c r="J80" s="71"/>
      <c r="K80" s="71"/>
      <c r="L80" s="71"/>
      <c r="M80" s="71"/>
      <c r="N80" s="71"/>
      <c r="O80" s="71"/>
      <c r="P80" s="71"/>
      <c r="Q80" s="71"/>
      <c r="R80" s="71"/>
      <c r="S80" s="71"/>
      <c r="T80" s="71"/>
      <c r="U80" s="71"/>
      <c r="V80" s="71"/>
      <c r="W80" s="71"/>
      <c r="X80" s="71"/>
      <c r="Y80" s="71"/>
      <c r="Z80" s="71"/>
      <c r="AA80" s="71"/>
      <c r="AB80" s="71"/>
    </row>
    <row r="81" ht="15.75" customHeight="1">
      <c r="A81" s="71"/>
      <c r="B81" s="71"/>
      <c r="C81" s="61"/>
      <c r="D81" s="61"/>
      <c r="E81" s="71"/>
      <c r="F81" s="71"/>
      <c r="G81" s="61"/>
      <c r="I81" s="61"/>
      <c r="J81" s="71"/>
      <c r="K81" s="71"/>
      <c r="L81" s="71"/>
      <c r="M81" s="71"/>
      <c r="N81" s="71"/>
      <c r="O81" s="71"/>
      <c r="P81" s="71"/>
      <c r="Q81" s="71"/>
      <c r="R81" s="71"/>
      <c r="S81" s="71"/>
      <c r="T81" s="71"/>
      <c r="U81" s="71"/>
      <c r="V81" s="71"/>
      <c r="W81" s="71"/>
      <c r="X81" s="71"/>
      <c r="Y81" s="71"/>
      <c r="Z81" s="71"/>
      <c r="AA81" s="71"/>
      <c r="AB81" s="71"/>
    </row>
    <row r="82" ht="15.75" customHeight="1">
      <c r="A82" s="71"/>
      <c r="B82" s="71"/>
      <c r="C82" s="61"/>
      <c r="D82" s="61"/>
      <c r="E82" s="71"/>
      <c r="F82" s="71"/>
      <c r="G82" s="61"/>
      <c r="I82" s="61"/>
      <c r="J82" s="71"/>
      <c r="K82" s="71"/>
      <c r="L82" s="71"/>
      <c r="M82" s="71"/>
      <c r="N82" s="71"/>
      <c r="O82" s="71"/>
      <c r="P82" s="71"/>
      <c r="Q82" s="71"/>
      <c r="R82" s="71"/>
      <c r="S82" s="71"/>
      <c r="T82" s="71"/>
      <c r="U82" s="71"/>
      <c r="V82" s="71"/>
      <c r="W82" s="71"/>
      <c r="X82" s="71"/>
      <c r="Y82" s="71"/>
      <c r="Z82" s="71"/>
      <c r="AA82" s="71"/>
      <c r="AB82" s="71"/>
    </row>
    <row r="83" ht="15.75" customHeight="1">
      <c r="A83" s="71"/>
      <c r="B83" s="71"/>
      <c r="C83" s="61"/>
      <c r="D83" s="61"/>
      <c r="E83" s="71"/>
      <c r="F83" s="71"/>
      <c r="G83" s="61"/>
      <c r="I83" s="61"/>
      <c r="J83" s="71"/>
      <c r="K83" s="71"/>
      <c r="L83" s="71"/>
      <c r="M83" s="71"/>
      <c r="N83" s="71"/>
      <c r="O83" s="71"/>
      <c r="P83" s="71"/>
      <c r="Q83" s="71"/>
      <c r="R83" s="71"/>
      <c r="S83" s="71"/>
      <c r="T83" s="71"/>
      <c r="U83" s="71"/>
      <c r="V83" s="71"/>
      <c r="W83" s="71"/>
      <c r="X83" s="71"/>
      <c r="Y83" s="71"/>
      <c r="Z83" s="71"/>
      <c r="AA83" s="71"/>
      <c r="AB83" s="71"/>
    </row>
    <row r="84" ht="15.75" customHeight="1">
      <c r="A84" s="71"/>
      <c r="B84" s="71"/>
      <c r="C84" s="61"/>
      <c r="D84" s="61"/>
      <c r="E84" s="71"/>
      <c r="F84" s="71"/>
      <c r="G84" s="61"/>
      <c r="I84" s="61"/>
      <c r="J84" s="71"/>
      <c r="K84" s="71"/>
      <c r="L84" s="71"/>
      <c r="M84" s="71"/>
      <c r="N84" s="71"/>
      <c r="O84" s="71"/>
      <c r="P84" s="71"/>
      <c r="Q84" s="71"/>
      <c r="R84" s="71"/>
      <c r="S84" s="71"/>
      <c r="T84" s="71"/>
      <c r="U84" s="71"/>
      <c r="V84" s="71"/>
      <c r="W84" s="71"/>
      <c r="X84" s="71"/>
      <c r="Y84" s="71"/>
      <c r="Z84" s="71"/>
      <c r="AA84" s="71"/>
      <c r="AB84" s="71"/>
    </row>
    <row r="85" ht="15.75" customHeight="1">
      <c r="A85" s="71"/>
      <c r="B85" s="71"/>
      <c r="C85" s="61"/>
      <c r="D85" s="61"/>
      <c r="E85" s="71"/>
      <c r="F85" s="71"/>
      <c r="G85" s="61"/>
      <c r="I85" s="61"/>
      <c r="J85" s="71"/>
      <c r="K85" s="71"/>
      <c r="L85" s="71"/>
      <c r="M85" s="71"/>
      <c r="N85" s="71"/>
      <c r="O85" s="71"/>
      <c r="P85" s="71"/>
      <c r="Q85" s="71"/>
      <c r="R85" s="71"/>
      <c r="S85" s="71"/>
      <c r="T85" s="71"/>
      <c r="U85" s="71"/>
      <c r="V85" s="71"/>
      <c r="W85" s="71"/>
      <c r="X85" s="71"/>
      <c r="Y85" s="71"/>
      <c r="Z85" s="71"/>
      <c r="AA85" s="71"/>
      <c r="AB85" s="71"/>
    </row>
    <row r="86" ht="15.75" customHeight="1">
      <c r="A86" s="71"/>
      <c r="B86" s="71"/>
      <c r="C86" s="61"/>
      <c r="D86" s="61"/>
      <c r="E86" s="71"/>
      <c r="F86" s="71"/>
      <c r="G86" s="61"/>
      <c r="I86" s="61"/>
      <c r="J86" s="71"/>
      <c r="K86" s="71"/>
      <c r="L86" s="71"/>
      <c r="M86" s="71"/>
      <c r="N86" s="71"/>
      <c r="O86" s="71"/>
      <c r="P86" s="71"/>
      <c r="Q86" s="71"/>
      <c r="R86" s="71"/>
      <c r="S86" s="71"/>
      <c r="T86" s="71"/>
      <c r="U86" s="71"/>
      <c r="V86" s="71"/>
      <c r="W86" s="71"/>
      <c r="X86" s="71"/>
      <c r="Y86" s="71"/>
      <c r="Z86" s="71"/>
      <c r="AA86" s="71"/>
      <c r="AB86" s="71"/>
    </row>
    <row r="87" ht="15.75" customHeight="1">
      <c r="A87" s="71"/>
      <c r="B87" s="71"/>
      <c r="C87" s="61"/>
      <c r="D87" s="61"/>
      <c r="E87" s="71"/>
      <c r="F87" s="71"/>
      <c r="G87" s="61"/>
      <c r="I87" s="61"/>
      <c r="J87" s="71"/>
      <c r="K87" s="71"/>
      <c r="L87" s="71"/>
      <c r="M87" s="71"/>
      <c r="N87" s="71"/>
      <c r="O87" s="71"/>
      <c r="P87" s="71"/>
      <c r="Q87" s="71"/>
      <c r="R87" s="71"/>
      <c r="S87" s="71"/>
      <c r="T87" s="71"/>
      <c r="U87" s="71"/>
      <c r="V87" s="71"/>
      <c r="W87" s="71"/>
      <c r="X87" s="71"/>
      <c r="Y87" s="71"/>
      <c r="Z87" s="71"/>
      <c r="AA87" s="71"/>
      <c r="AB87" s="71"/>
    </row>
    <row r="88" ht="15.75" customHeight="1">
      <c r="A88" s="71"/>
      <c r="B88" s="71"/>
      <c r="C88" s="61"/>
      <c r="D88" s="61"/>
      <c r="E88" s="71"/>
      <c r="F88" s="71"/>
      <c r="G88" s="61"/>
      <c r="I88" s="61"/>
      <c r="J88" s="71"/>
      <c r="K88" s="71"/>
      <c r="L88" s="71"/>
      <c r="M88" s="71"/>
      <c r="N88" s="71"/>
      <c r="O88" s="71"/>
      <c r="P88" s="71"/>
      <c r="Q88" s="71"/>
      <c r="R88" s="71"/>
      <c r="S88" s="71"/>
      <c r="T88" s="71"/>
      <c r="U88" s="71"/>
      <c r="V88" s="71"/>
      <c r="W88" s="71"/>
      <c r="X88" s="71"/>
      <c r="Y88" s="71"/>
      <c r="Z88" s="71"/>
      <c r="AA88" s="71"/>
      <c r="AB88" s="71"/>
    </row>
    <row r="89" ht="15.75" customHeight="1">
      <c r="A89" s="71"/>
      <c r="B89" s="71"/>
      <c r="C89" s="61"/>
      <c r="D89" s="61"/>
      <c r="E89" s="71"/>
      <c r="F89" s="71"/>
      <c r="G89" s="61"/>
      <c r="I89" s="61"/>
      <c r="J89" s="71"/>
      <c r="K89" s="71"/>
      <c r="L89" s="71"/>
      <c r="M89" s="71"/>
      <c r="N89" s="71"/>
      <c r="O89" s="71"/>
      <c r="P89" s="71"/>
      <c r="Q89" s="71"/>
      <c r="R89" s="71"/>
      <c r="S89" s="71"/>
      <c r="T89" s="71"/>
      <c r="U89" s="71"/>
      <c r="V89" s="71"/>
      <c r="W89" s="71"/>
      <c r="X89" s="71"/>
      <c r="Y89" s="71"/>
      <c r="Z89" s="71"/>
      <c r="AA89" s="71"/>
      <c r="AB89" s="71"/>
    </row>
    <row r="90" ht="15.75" customHeight="1">
      <c r="A90" s="71"/>
      <c r="B90" s="71"/>
      <c r="C90" s="61"/>
      <c r="D90" s="61"/>
      <c r="E90" s="71"/>
      <c r="F90" s="71"/>
      <c r="G90" s="61"/>
      <c r="I90" s="61"/>
      <c r="J90" s="71"/>
      <c r="K90" s="71"/>
      <c r="L90" s="71"/>
      <c r="M90" s="71"/>
      <c r="N90" s="71"/>
      <c r="O90" s="71"/>
      <c r="P90" s="71"/>
      <c r="Q90" s="71"/>
      <c r="R90" s="71"/>
      <c r="S90" s="71"/>
      <c r="T90" s="71"/>
      <c r="U90" s="71"/>
      <c r="V90" s="71"/>
      <c r="W90" s="71"/>
      <c r="X90" s="71"/>
      <c r="Y90" s="71"/>
      <c r="Z90" s="71"/>
      <c r="AA90" s="71"/>
      <c r="AB90" s="71"/>
    </row>
    <row r="91" ht="15.75" customHeight="1">
      <c r="A91" s="71"/>
      <c r="B91" s="71"/>
      <c r="C91" s="61"/>
      <c r="D91" s="61"/>
      <c r="E91" s="71"/>
      <c r="F91" s="71"/>
      <c r="G91" s="61"/>
      <c r="I91" s="61"/>
      <c r="J91" s="71"/>
      <c r="K91" s="71"/>
      <c r="L91" s="71"/>
      <c r="M91" s="71"/>
      <c r="N91" s="71"/>
      <c r="O91" s="71"/>
      <c r="P91" s="71"/>
      <c r="Q91" s="71"/>
      <c r="R91" s="71"/>
      <c r="S91" s="71"/>
      <c r="T91" s="71"/>
      <c r="U91" s="71"/>
      <c r="V91" s="71"/>
      <c r="W91" s="71"/>
      <c r="X91" s="71"/>
      <c r="Y91" s="71"/>
      <c r="Z91" s="71"/>
      <c r="AA91" s="71"/>
      <c r="AB91" s="71"/>
    </row>
    <row r="92" ht="15.75" customHeight="1">
      <c r="A92" s="71"/>
      <c r="B92" s="71"/>
      <c r="C92" s="61"/>
      <c r="D92" s="61"/>
      <c r="E92" s="71"/>
      <c r="F92" s="71"/>
      <c r="G92" s="61"/>
      <c r="I92" s="61"/>
      <c r="J92" s="71"/>
      <c r="K92" s="71"/>
      <c r="L92" s="71"/>
      <c r="M92" s="71"/>
      <c r="N92" s="71"/>
      <c r="O92" s="71"/>
      <c r="P92" s="71"/>
      <c r="Q92" s="71"/>
      <c r="R92" s="71"/>
      <c r="S92" s="71"/>
      <c r="T92" s="71"/>
      <c r="U92" s="71"/>
      <c r="V92" s="71"/>
      <c r="W92" s="71"/>
      <c r="X92" s="71"/>
      <c r="Y92" s="71"/>
      <c r="Z92" s="71"/>
      <c r="AA92" s="71"/>
      <c r="AB92" s="71"/>
    </row>
    <row r="93" ht="15.75" customHeight="1">
      <c r="A93" s="71"/>
      <c r="B93" s="71"/>
      <c r="C93" s="61"/>
      <c r="D93" s="61"/>
      <c r="E93" s="71"/>
      <c r="F93" s="71"/>
      <c r="G93" s="61"/>
      <c r="I93" s="61"/>
      <c r="J93" s="71"/>
      <c r="K93" s="71"/>
      <c r="L93" s="71"/>
      <c r="M93" s="71"/>
      <c r="N93" s="71"/>
      <c r="O93" s="71"/>
      <c r="P93" s="71"/>
      <c r="Q93" s="71"/>
      <c r="R93" s="71"/>
      <c r="S93" s="71"/>
      <c r="T93" s="71"/>
      <c r="U93" s="71"/>
      <c r="V93" s="71"/>
      <c r="W93" s="71"/>
      <c r="X93" s="71"/>
      <c r="Y93" s="71"/>
      <c r="Z93" s="71"/>
      <c r="AA93" s="71"/>
      <c r="AB93" s="71"/>
    </row>
    <row r="94" ht="15.75" customHeight="1">
      <c r="A94" s="71"/>
      <c r="B94" s="71"/>
      <c r="C94" s="61"/>
      <c r="D94" s="61"/>
      <c r="E94" s="71"/>
      <c r="F94" s="71"/>
      <c r="G94" s="61"/>
      <c r="I94" s="61"/>
      <c r="J94" s="71"/>
      <c r="K94" s="71"/>
      <c r="L94" s="71"/>
      <c r="M94" s="71"/>
      <c r="N94" s="71"/>
      <c r="O94" s="71"/>
      <c r="P94" s="71"/>
      <c r="Q94" s="71"/>
      <c r="R94" s="71"/>
      <c r="S94" s="71"/>
      <c r="T94" s="71"/>
      <c r="U94" s="71"/>
      <c r="V94" s="71"/>
      <c r="W94" s="71"/>
      <c r="X94" s="71"/>
      <c r="Y94" s="71"/>
      <c r="Z94" s="71"/>
      <c r="AA94" s="71"/>
      <c r="AB94" s="71"/>
    </row>
    <row r="95" ht="15.75" customHeight="1">
      <c r="A95" s="71"/>
      <c r="B95" s="71"/>
      <c r="C95" s="61"/>
      <c r="D95" s="61"/>
      <c r="E95" s="71"/>
      <c r="F95" s="71"/>
      <c r="G95" s="61"/>
      <c r="I95" s="61"/>
      <c r="J95" s="71"/>
      <c r="K95" s="71"/>
      <c r="L95" s="71"/>
      <c r="M95" s="71"/>
      <c r="N95" s="71"/>
      <c r="O95" s="71"/>
      <c r="P95" s="71"/>
      <c r="Q95" s="71"/>
      <c r="R95" s="71"/>
      <c r="S95" s="71"/>
      <c r="T95" s="71"/>
      <c r="U95" s="71"/>
      <c r="V95" s="71"/>
      <c r="W95" s="71"/>
      <c r="X95" s="71"/>
      <c r="Y95" s="71"/>
      <c r="Z95" s="71"/>
      <c r="AA95" s="71"/>
      <c r="AB95" s="71"/>
    </row>
    <row r="96" ht="15.75" customHeight="1">
      <c r="A96" s="71"/>
      <c r="B96" s="71"/>
      <c r="C96" s="61"/>
      <c r="D96" s="61"/>
      <c r="E96" s="71"/>
      <c r="F96" s="71"/>
      <c r="G96" s="61"/>
      <c r="I96" s="61"/>
      <c r="J96" s="71"/>
      <c r="K96" s="71"/>
      <c r="L96" s="71"/>
      <c r="M96" s="71"/>
      <c r="N96" s="71"/>
      <c r="O96" s="71"/>
      <c r="P96" s="71"/>
      <c r="Q96" s="71"/>
      <c r="R96" s="71"/>
      <c r="S96" s="71"/>
      <c r="T96" s="71"/>
      <c r="U96" s="71"/>
      <c r="V96" s="71"/>
      <c r="W96" s="71"/>
      <c r="X96" s="71"/>
      <c r="Y96" s="71"/>
      <c r="Z96" s="71"/>
      <c r="AA96" s="71"/>
      <c r="AB96" s="71"/>
    </row>
    <row r="97" ht="15.75" customHeight="1">
      <c r="A97" s="71"/>
      <c r="B97" s="71"/>
      <c r="C97" s="61"/>
      <c r="D97" s="61"/>
      <c r="E97" s="71"/>
      <c r="F97" s="71"/>
      <c r="G97" s="61"/>
      <c r="I97" s="61"/>
      <c r="J97" s="71"/>
      <c r="K97" s="71"/>
      <c r="L97" s="71"/>
      <c r="M97" s="71"/>
      <c r="N97" s="71"/>
      <c r="O97" s="71"/>
      <c r="P97" s="71"/>
      <c r="Q97" s="71"/>
      <c r="R97" s="71"/>
      <c r="S97" s="71"/>
      <c r="T97" s="71"/>
      <c r="U97" s="71"/>
      <c r="V97" s="71"/>
      <c r="W97" s="71"/>
      <c r="X97" s="71"/>
      <c r="Y97" s="71"/>
      <c r="Z97" s="71"/>
      <c r="AA97" s="71"/>
      <c r="AB97" s="71"/>
    </row>
    <row r="98" ht="15.75" customHeight="1">
      <c r="A98" s="71"/>
      <c r="B98" s="71"/>
      <c r="C98" s="61"/>
      <c r="D98" s="61"/>
      <c r="E98" s="71"/>
      <c r="F98" s="71"/>
      <c r="G98" s="61"/>
      <c r="I98" s="61"/>
      <c r="J98" s="71"/>
      <c r="K98" s="71"/>
      <c r="L98" s="71"/>
      <c r="M98" s="71"/>
      <c r="N98" s="71"/>
      <c r="O98" s="71"/>
      <c r="P98" s="71"/>
      <c r="Q98" s="71"/>
      <c r="R98" s="71"/>
      <c r="S98" s="71"/>
      <c r="T98" s="71"/>
      <c r="U98" s="71"/>
      <c r="V98" s="71"/>
      <c r="W98" s="71"/>
      <c r="X98" s="71"/>
      <c r="Y98" s="71"/>
      <c r="Z98" s="71"/>
      <c r="AA98" s="71"/>
      <c r="AB98" s="71"/>
    </row>
    <row r="99" ht="15.75" customHeight="1">
      <c r="A99" s="71"/>
      <c r="B99" s="71"/>
      <c r="C99" s="61"/>
      <c r="D99" s="61"/>
      <c r="E99" s="71"/>
      <c r="F99" s="71"/>
      <c r="G99" s="61"/>
      <c r="I99" s="61"/>
      <c r="J99" s="71"/>
      <c r="K99" s="71"/>
      <c r="L99" s="71"/>
      <c r="M99" s="71"/>
      <c r="N99" s="71"/>
      <c r="O99" s="71"/>
      <c r="P99" s="71"/>
      <c r="Q99" s="71"/>
      <c r="R99" s="71"/>
      <c r="S99" s="71"/>
      <c r="T99" s="71"/>
      <c r="U99" s="71"/>
      <c r="V99" s="71"/>
      <c r="W99" s="71"/>
      <c r="X99" s="71"/>
      <c r="Y99" s="71"/>
      <c r="Z99" s="71"/>
      <c r="AA99" s="71"/>
      <c r="AB99" s="71"/>
    </row>
    <row r="100" ht="15.75" customHeight="1">
      <c r="A100" s="71"/>
      <c r="B100" s="71"/>
      <c r="C100" s="61"/>
      <c r="D100" s="61"/>
      <c r="E100" s="71"/>
      <c r="F100" s="71"/>
      <c r="G100" s="61"/>
      <c r="I100" s="61"/>
      <c r="J100" s="71"/>
      <c r="K100" s="71"/>
      <c r="L100" s="71"/>
      <c r="M100" s="71"/>
      <c r="N100" s="71"/>
      <c r="O100" s="71"/>
      <c r="P100" s="71"/>
      <c r="Q100" s="71"/>
      <c r="R100" s="71"/>
      <c r="S100" s="71"/>
      <c r="T100" s="71"/>
      <c r="U100" s="71"/>
      <c r="V100" s="71"/>
      <c r="W100" s="71"/>
      <c r="X100" s="71"/>
      <c r="Y100" s="71"/>
      <c r="Z100" s="71"/>
      <c r="AA100" s="71"/>
      <c r="AB100" s="71"/>
    </row>
    <row r="101" ht="15.75" customHeight="1">
      <c r="A101" s="71"/>
      <c r="B101" s="71"/>
      <c r="C101" s="61"/>
      <c r="D101" s="61"/>
      <c r="E101" s="71"/>
      <c r="F101" s="71"/>
      <c r="G101" s="61"/>
      <c r="I101" s="61"/>
      <c r="J101" s="71"/>
      <c r="K101" s="71"/>
      <c r="L101" s="71"/>
      <c r="M101" s="71"/>
      <c r="N101" s="71"/>
      <c r="O101" s="71"/>
      <c r="P101" s="71"/>
      <c r="Q101" s="71"/>
      <c r="R101" s="71"/>
      <c r="S101" s="71"/>
      <c r="T101" s="71"/>
      <c r="U101" s="71"/>
      <c r="V101" s="71"/>
      <c r="W101" s="71"/>
      <c r="X101" s="71"/>
      <c r="Y101" s="71"/>
      <c r="Z101" s="71"/>
      <c r="AA101" s="71"/>
      <c r="AB101" s="71"/>
    </row>
    <row r="102" ht="15.75" customHeight="1">
      <c r="A102" s="71"/>
      <c r="B102" s="71"/>
      <c r="C102" s="61"/>
      <c r="D102" s="61"/>
      <c r="E102" s="71"/>
      <c r="F102" s="71"/>
      <c r="G102" s="61"/>
      <c r="I102" s="61"/>
      <c r="J102" s="71"/>
      <c r="K102" s="71"/>
      <c r="L102" s="71"/>
      <c r="M102" s="71"/>
      <c r="N102" s="71"/>
      <c r="O102" s="71"/>
      <c r="P102" s="71"/>
      <c r="Q102" s="71"/>
      <c r="R102" s="71"/>
      <c r="S102" s="71"/>
      <c r="T102" s="71"/>
      <c r="U102" s="71"/>
      <c r="V102" s="71"/>
      <c r="W102" s="71"/>
      <c r="X102" s="71"/>
      <c r="Y102" s="71"/>
      <c r="Z102" s="71"/>
      <c r="AA102" s="71"/>
      <c r="AB102" s="71"/>
    </row>
    <row r="103" ht="15.75" customHeight="1">
      <c r="A103" s="71"/>
      <c r="B103" s="71"/>
      <c r="C103" s="61"/>
      <c r="D103" s="61"/>
      <c r="E103" s="71"/>
      <c r="F103" s="71"/>
      <c r="G103" s="61"/>
      <c r="I103" s="61"/>
      <c r="J103" s="71"/>
      <c r="K103" s="71"/>
      <c r="L103" s="71"/>
      <c r="M103" s="71"/>
      <c r="N103" s="71"/>
      <c r="O103" s="71"/>
      <c r="P103" s="71"/>
      <c r="Q103" s="71"/>
      <c r="R103" s="71"/>
      <c r="S103" s="71"/>
      <c r="T103" s="71"/>
      <c r="U103" s="71"/>
      <c r="V103" s="71"/>
      <c r="W103" s="71"/>
      <c r="X103" s="71"/>
      <c r="Y103" s="71"/>
      <c r="Z103" s="71"/>
      <c r="AA103" s="71"/>
      <c r="AB103" s="71"/>
    </row>
    <row r="104" ht="15.75" customHeight="1">
      <c r="A104" s="71"/>
      <c r="B104" s="71"/>
      <c r="C104" s="61"/>
      <c r="D104" s="61"/>
      <c r="E104" s="71"/>
      <c r="F104" s="71"/>
      <c r="G104" s="61"/>
      <c r="I104" s="61"/>
      <c r="J104" s="71"/>
      <c r="K104" s="71"/>
      <c r="L104" s="71"/>
      <c r="M104" s="71"/>
      <c r="N104" s="71"/>
      <c r="O104" s="71"/>
      <c r="P104" s="71"/>
      <c r="Q104" s="71"/>
      <c r="R104" s="71"/>
      <c r="S104" s="71"/>
      <c r="T104" s="71"/>
      <c r="U104" s="71"/>
      <c r="V104" s="71"/>
      <c r="W104" s="71"/>
      <c r="X104" s="71"/>
      <c r="Y104" s="71"/>
      <c r="Z104" s="71"/>
      <c r="AA104" s="71"/>
      <c r="AB104" s="71"/>
    </row>
    <row r="105" ht="15.75" customHeight="1">
      <c r="A105" s="71"/>
      <c r="B105" s="71"/>
      <c r="C105" s="61"/>
      <c r="D105" s="61"/>
      <c r="E105" s="71"/>
      <c r="F105" s="71"/>
      <c r="G105" s="61"/>
      <c r="I105" s="61"/>
      <c r="J105" s="71"/>
      <c r="K105" s="71"/>
      <c r="L105" s="71"/>
      <c r="M105" s="71"/>
      <c r="N105" s="71"/>
      <c r="O105" s="71"/>
      <c r="P105" s="71"/>
      <c r="Q105" s="71"/>
      <c r="R105" s="71"/>
      <c r="S105" s="71"/>
      <c r="T105" s="71"/>
      <c r="U105" s="71"/>
      <c r="V105" s="71"/>
      <c r="W105" s="71"/>
      <c r="X105" s="71"/>
      <c r="Y105" s="71"/>
      <c r="Z105" s="71"/>
      <c r="AA105" s="71"/>
      <c r="AB105" s="71"/>
    </row>
    <row r="106" ht="15.75" customHeight="1">
      <c r="A106" s="71"/>
      <c r="B106" s="71"/>
      <c r="C106" s="61"/>
      <c r="D106" s="61"/>
      <c r="E106" s="71"/>
      <c r="F106" s="71"/>
      <c r="G106" s="61"/>
      <c r="I106" s="61"/>
      <c r="J106" s="71"/>
      <c r="K106" s="71"/>
      <c r="L106" s="71"/>
      <c r="M106" s="71"/>
      <c r="N106" s="71"/>
      <c r="O106" s="71"/>
      <c r="P106" s="71"/>
      <c r="Q106" s="71"/>
      <c r="R106" s="71"/>
      <c r="S106" s="71"/>
      <c r="T106" s="71"/>
      <c r="U106" s="71"/>
      <c r="V106" s="71"/>
      <c r="W106" s="71"/>
      <c r="X106" s="71"/>
      <c r="Y106" s="71"/>
      <c r="Z106" s="71"/>
      <c r="AA106" s="71"/>
      <c r="AB106" s="71"/>
    </row>
    <row r="107" ht="15.75" customHeight="1">
      <c r="A107" s="71"/>
      <c r="B107" s="71"/>
      <c r="C107" s="61"/>
      <c r="D107" s="61"/>
      <c r="E107" s="71"/>
      <c r="F107" s="71"/>
      <c r="G107" s="61"/>
      <c r="I107" s="61"/>
      <c r="J107" s="71"/>
      <c r="K107" s="71"/>
      <c r="L107" s="71"/>
      <c r="M107" s="71"/>
      <c r="N107" s="71"/>
      <c r="O107" s="71"/>
      <c r="P107" s="71"/>
      <c r="Q107" s="71"/>
      <c r="R107" s="71"/>
      <c r="S107" s="71"/>
      <c r="T107" s="71"/>
      <c r="U107" s="71"/>
      <c r="V107" s="71"/>
      <c r="W107" s="71"/>
      <c r="X107" s="71"/>
      <c r="Y107" s="71"/>
      <c r="Z107" s="71"/>
      <c r="AA107" s="71"/>
      <c r="AB107" s="71"/>
    </row>
    <row r="108" ht="15.75" customHeight="1">
      <c r="A108" s="71"/>
      <c r="B108" s="71"/>
      <c r="C108" s="61"/>
      <c r="D108" s="61"/>
      <c r="E108" s="71"/>
      <c r="F108" s="71"/>
      <c r="G108" s="61"/>
      <c r="I108" s="61"/>
      <c r="J108" s="71"/>
      <c r="K108" s="71"/>
      <c r="L108" s="71"/>
      <c r="M108" s="71"/>
      <c r="N108" s="71"/>
      <c r="O108" s="71"/>
      <c r="P108" s="71"/>
      <c r="Q108" s="71"/>
      <c r="R108" s="71"/>
      <c r="S108" s="71"/>
      <c r="T108" s="71"/>
      <c r="U108" s="71"/>
      <c r="V108" s="71"/>
      <c r="W108" s="71"/>
      <c r="X108" s="71"/>
      <c r="Y108" s="71"/>
      <c r="Z108" s="71"/>
      <c r="AA108" s="71"/>
      <c r="AB108" s="71"/>
    </row>
    <row r="109" ht="15.75" customHeight="1">
      <c r="A109" s="71"/>
      <c r="B109" s="71"/>
      <c r="C109" s="61"/>
      <c r="D109" s="61"/>
      <c r="E109" s="71"/>
      <c r="F109" s="71"/>
      <c r="G109" s="61"/>
      <c r="I109" s="61"/>
      <c r="J109" s="71"/>
      <c r="K109" s="71"/>
      <c r="L109" s="71"/>
      <c r="M109" s="71"/>
      <c r="N109" s="71"/>
      <c r="O109" s="71"/>
      <c r="P109" s="71"/>
      <c r="Q109" s="71"/>
      <c r="R109" s="71"/>
      <c r="S109" s="71"/>
      <c r="T109" s="71"/>
      <c r="U109" s="71"/>
      <c r="V109" s="71"/>
      <c r="W109" s="71"/>
      <c r="X109" s="71"/>
      <c r="Y109" s="71"/>
      <c r="Z109" s="71"/>
      <c r="AA109" s="71"/>
      <c r="AB109" s="71"/>
    </row>
    <row r="110" ht="15.75" customHeight="1">
      <c r="A110" s="71"/>
      <c r="B110" s="71"/>
      <c r="C110" s="61"/>
      <c r="D110" s="61"/>
      <c r="E110" s="71"/>
      <c r="F110" s="71"/>
      <c r="G110" s="61"/>
      <c r="I110" s="61"/>
      <c r="J110" s="71"/>
      <c r="K110" s="71"/>
      <c r="L110" s="71"/>
      <c r="M110" s="71"/>
      <c r="N110" s="71"/>
      <c r="O110" s="71"/>
      <c r="P110" s="71"/>
      <c r="Q110" s="71"/>
      <c r="R110" s="71"/>
      <c r="S110" s="71"/>
      <c r="T110" s="71"/>
      <c r="U110" s="71"/>
      <c r="V110" s="71"/>
      <c r="W110" s="71"/>
      <c r="X110" s="71"/>
      <c r="Y110" s="71"/>
      <c r="Z110" s="71"/>
      <c r="AA110" s="71"/>
      <c r="AB110" s="71"/>
    </row>
    <row r="111" ht="15.75" customHeight="1">
      <c r="A111" s="71"/>
      <c r="B111" s="71"/>
      <c r="C111" s="61"/>
      <c r="D111" s="61"/>
      <c r="E111" s="71"/>
      <c r="F111" s="71"/>
      <c r="G111" s="61"/>
      <c r="I111" s="61"/>
      <c r="J111" s="71"/>
      <c r="K111" s="71"/>
      <c r="L111" s="71"/>
      <c r="M111" s="71"/>
      <c r="N111" s="71"/>
      <c r="O111" s="71"/>
      <c r="P111" s="71"/>
      <c r="Q111" s="71"/>
      <c r="R111" s="71"/>
      <c r="S111" s="71"/>
      <c r="T111" s="71"/>
      <c r="U111" s="71"/>
      <c r="V111" s="71"/>
      <c r="W111" s="71"/>
      <c r="X111" s="71"/>
      <c r="Y111" s="71"/>
      <c r="Z111" s="71"/>
      <c r="AA111" s="71"/>
      <c r="AB111" s="71"/>
    </row>
    <row r="112" ht="15.75" customHeight="1">
      <c r="A112" s="71"/>
      <c r="B112" s="71"/>
      <c r="C112" s="61"/>
      <c r="D112" s="61"/>
      <c r="E112" s="71"/>
      <c r="F112" s="71"/>
      <c r="G112" s="61"/>
      <c r="I112" s="61"/>
      <c r="J112" s="71"/>
      <c r="K112" s="71"/>
      <c r="L112" s="71"/>
      <c r="M112" s="71"/>
      <c r="N112" s="71"/>
      <c r="O112" s="71"/>
      <c r="P112" s="71"/>
      <c r="Q112" s="71"/>
      <c r="R112" s="71"/>
      <c r="S112" s="71"/>
      <c r="T112" s="71"/>
      <c r="U112" s="71"/>
      <c r="V112" s="71"/>
      <c r="W112" s="71"/>
      <c r="X112" s="71"/>
      <c r="Y112" s="71"/>
      <c r="Z112" s="71"/>
      <c r="AA112" s="71"/>
      <c r="AB112" s="71"/>
    </row>
    <row r="113" ht="15.75" customHeight="1">
      <c r="A113" s="71"/>
      <c r="B113" s="71"/>
      <c r="C113" s="61"/>
      <c r="D113" s="61"/>
      <c r="E113" s="71"/>
      <c r="F113" s="71"/>
      <c r="G113" s="61"/>
      <c r="I113" s="61"/>
      <c r="J113" s="71"/>
      <c r="K113" s="71"/>
      <c r="L113" s="71"/>
      <c r="M113" s="71"/>
      <c r="N113" s="71"/>
      <c r="O113" s="71"/>
      <c r="P113" s="71"/>
      <c r="Q113" s="71"/>
      <c r="R113" s="71"/>
      <c r="S113" s="71"/>
      <c r="T113" s="71"/>
      <c r="U113" s="71"/>
      <c r="V113" s="71"/>
      <c r="W113" s="71"/>
      <c r="X113" s="71"/>
      <c r="Y113" s="71"/>
      <c r="Z113" s="71"/>
      <c r="AA113" s="71"/>
      <c r="AB113" s="71"/>
    </row>
    <row r="114" ht="15.75" customHeight="1">
      <c r="A114" s="71"/>
      <c r="B114" s="71"/>
      <c r="C114" s="61"/>
      <c r="D114" s="61"/>
      <c r="E114" s="71"/>
      <c r="F114" s="71"/>
      <c r="G114" s="61"/>
      <c r="I114" s="61"/>
      <c r="J114" s="71"/>
      <c r="K114" s="71"/>
      <c r="L114" s="71"/>
      <c r="M114" s="71"/>
      <c r="N114" s="71"/>
      <c r="O114" s="71"/>
      <c r="P114" s="71"/>
      <c r="Q114" s="71"/>
      <c r="R114" s="71"/>
      <c r="S114" s="71"/>
      <c r="T114" s="71"/>
      <c r="U114" s="71"/>
      <c r="V114" s="71"/>
      <c r="W114" s="71"/>
      <c r="X114" s="71"/>
      <c r="Y114" s="71"/>
      <c r="Z114" s="71"/>
      <c r="AA114" s="71"/>
      <c r="AB114" s="71"/>
    </row>
    <row r="115" ht="15.75" customHeight="1">
      <c r="A115" s="71"/>
      <c r="B115" s="71"/>
      <c r="C115" s="61"/>
      <c r="D115" s="61"/>
      <c r="E115" s="71"/>
      <c r="F115" s="71"/>
      <c r="G115" s="61"/>
      <c r="I115" s="61"/>
      <c r="J115" s="71"/>
      <c r="K115" s="71"/>
      <c r="L115" s="71"/>
      <c r="M115" s="71"/>
      <c r="N115" s="71"/>
      <c r="O115" s="71"/>
      <c r="P115" s="71"/>
      <c r="Q115" s="71"/>
      <c r="R115" s="71"/>
      <c r="S115" s="71"/>
      <c r="T115" s="71"/>
      <c r="U115" s="71"/>
      <c r="V115" s="71"/>
      <c r="W115" s="71"/>
      <c r="X115" s="71"/>
      <c r="Y115" s="71"/>
      <c r="Z115" s="71"/>
      <c r="AA115" s="71"/>
      <c r="AB115" s="71"/>
    </row>
    <row r="116" ht="15.75" customHeight="1">
      <c r="A116" s="71"/>
      <c r="B116" s="71"/>
      <c r="C116" s="61"/>
      <c r="D116" s="61"/>
      <c r="E116" s="71"/>
      <c r="F116" s="71"/>
      <c r="G116" s="61"/>
      <c r="I116" s="61"/>
      <c r="J116" s="71"/>
      <c r="K116" s="71"/>
      <c r="L116" s="71"/>
      <c r="M116" s="71"/>
      <c r="N116" s="71"/>
      <c r="O116" s="71"/>
      <c r="P116" s="71"/>
      <c r="Q116" s="71"/>
      <c r="R116" s="71"/>
      <c r="S116" s="71"/>
      <c r="T116" s="71"/>
      <c r="U116" s="71"/>
      <c r="V116" s="71"/>
      <c r="W116" s="71"/>
      <c r="X116" s="71"/>
      <c r="Y116" s="71"/>
      <c r="Z116" s="71"/>
      <c r="AA116" s="71"/>
      <c r="AB116" s="71"/>
    </row>
    <row r="117" ht="15.75" customHeight="1">
      <c r="A117" s="71"/>
      <c r="B117" s="71"/>
      <c r="C117" s="61"/>
      <c r="D117" s="61"/>
      <c r="E117" s="71"/>
      <c r="F117" s="71"/>
      <c r="G117" s="61"/>
      <c r="I117" s="61"/>
      <c r="J117" s="71"/>
      <c r="K117" s="71"/>
      <c r="L117" s="71"/>
      <c r="M117" s="71"/>
      <c r="N117" s="71"/>
      <c r="O117" s="71"/>
      <c r="P117" s="71"/>
      <c r="Q117" s="71"/>
      <c r="R117" s="71"/>
      <c r="S117" s="71"/>
      <c r="T117" s="71"/>
      <c r="U117" s="71"/>
      <c r="V117" s="71"/>
      <c r="W117" s="71"/>
      <c r="X117" s="71"/>
      <c r="Y117" s="71"/>
      <c r="Z117" s="71"/>
      <c r="AA117" s="71"/>
      <c r="AB117" s="71"/>
    </row>
    <row r="118" ht="15.75" customHeight="1">
      <c r="A118" s="71"/>
      <c r="B118" s="71"/>
      <c r="C118" s="61"/>
      <c r="D118" s="61"/>
      <c r="E118" s="71"/>
      <c r="F118" s="71"/>
      <c r="G118" s="61"/>
      <c r="I118" s="61"/>
      <c r="J118" s="71"/>
      <c r="K118" s="71"/>
      <c r="L118" s="71"/>
      <c r="M118" s="71"/>
      <c r="N118" s="71"/>
      <c r="O118" s="71"/>
      <c r="P118" s="71"/>
      <c r="Q118" s="71"/>
      <c r="R118" s="71"/>
      <c r="S118" s="71"/>
      <c r="T118" s="71"/>
      <c r="U118" s="71"/>
      <c r="V118" s="71"/>
      <c r="W118" s="71"/>
      <c r="X118" s="71"/>
      <c r="Y118" s="71"/>
      <c r="Z118" s="71"/>
      <c r="AA118" s="71"/>
      <c r="AB118" s="71"/>
    </row>
    <row r="119" ht="15.75" customHeight="1">
      <c r="A119" s="71"/>
      <c r="B119" s="71"/>
      <c r="C119" s="61"/>
      <c r="D119" s="61"/>
      <c r="E119" s="71"/>
      <c r="F119" s="71"/>
      <c r="G119" s="61"/>
      <c r="I119" s="61"/>
      <c r="J119" s="71"/>
      <c r="K119" s="71"/>
      <c r="L119" s="71"/>
      <c r="M119" s="71"/>
      <c r="N119" s="71"/>
      <c r="O119" s="71"/>
      <c r="P119" s="71"/>
      <c r="Q119" s="71"/>
      <c r="R119" s="71"/>
      <c r="S119" s="71"/>
      <c r="T119" s="71"/>
      <c r="U119" s="71"/>
      <c r="V119" s="71"/>
      <c r="W119" s="71"/>
      <c r="X119" s="71"/>
      <c r="Y119" s="71"/>
      <c r="Z119" s="71"/>
      <c r="AA119" s="71"/>
      <c r="AB119" s="71"/>
    </row>
    <row r="120" ht="15.75" customHeight="1">
      <c r="A120" s="71"/>
      <c r="B120" s="71"/>
      <c r="C120" s="61"/>
      <c r="D120" s="61"/>
      <c r="E120" s="71"/>
      <c r="F120" s="71"/>
      <c r="G120" s="61"/>
      <c r="I120" s="61"/>
      <c r="J120" s="71"/>
      <c r="K120" s="71"/>
      <c r="L120" s="71"/>
      <c r="M120" s="71"/>
      <c r="N120" s="71"/>
      <c r="O120" s="71"/>
      <c r="P120" s="71"/>
      <c r="Q120" s="71"/>
      <c r="R120" s="71"/>
      <c r="S120" s="71"/>
      <c r="T120" s="71"/>
      <c r="U120" s="71"/>
      <c r="V120" s="71"/>
      <c r="W120" s="71"/>
      <c r="X120" s="71"/>
      <c r="Y120" s="71"/>
      <c r="Z120" s="71"/>
      <c r="AA120" s="71"/>
      <c r="AB120" s="71"/>
    </row>
    <row r="121" ht="15.75" customHeight="1">
      <c r="A121" s="71"/>
      <c r="B121" s="71"/>
      <c r="C121" s="61"/>
      <c r="D121" s="61"/>
      <c r="E121" s="71"/>
      <c r="F121" s="71"/>
      <c r="G121" s="61"/>
      <c r="I121" s="61"/>
      <c r="J121" s="71"/>
      <c r="K121" s="71"/>
      <c r="L121" s="71"/>
      <c r="M121" s="71"/>
      <c r="N121" s="71"/>
      <c r="O121" s="71"/>
      <c r="P121" s="71"/>
      <c r="Q121" s="71"/>
      <c r="R121" s="71"/>
      <c r="S121" s="71"/>
      <c r="T121" s="71"/>
      <c r="U121" s="71"/>
      <c r="V121" s="71"/>
      <c r="W121" s="71"/>
      <c r="X121" s="71"/>
      <c r="Y121" s="71"/>
      <c r="Z121" s="71"/>
      <c r="AA121" s="71"/>
      <c r="AB121" s="71"/>
    </row>
    <row r="122" ht="15.75" customHeight="1">
      <c r="A122" s="71"/>
      <c r="B122" s="71"/>
      <c r="C122" s="61"/>
      <c r="D122" s="61"/>
      <c r="E122" s="71"/>
      <c r="F122" s="71"/>
      <c r="G122" s="61"/>
      <c r="I122" s="61"/>
      <c r="J122" s="71"/>
      <c r="K122" s="71"/>
      <c r="L122" s="71"/>
      <c r="M122" s="71"/>
      <c r="N122" s="71"/>
      <c r="O122" s="71"/>
      <c r="P122" s="71"/>
      <c r="Q122" s="71"/>
      <c r="R122" s="71"/>
      <c r="S122" s="71"/>
      <c r="T122" s="71"/>
      <c r="U122" s="71"/>
      <c r="V122" s="71"/>
      <c r="W122" s="71"/>
      <c r="X122" s="71"/>
      <c r="Y122" s="71"/>
      <c r="Z122" s="71"/>
      <c r="AA122" s="71"/>
      <c r="AB122" s="71"/>
    </row>
    <row r="123" ht="15.75" customHeight="1">
      <c r="A123" s="71"/>
      <c r="B123" s="71"/>
      <c r="C123" s="61"/>
      <c r="D123" s="61"/>
      <c r="E123" s="71"/>
      <c r="F123" s="71"/>
      <c r="G123" s="61"/>
      <c r="I123" s="61"/>
      <c r="J123" s="71"/>
      <c r="K123" s="71"/>
      <c r="L123" s="71"/>
      <c r="M123" s="71"/>
      <c r="N123" s="71"/>
      <c r="O123" s="71"/>
      <c r="P123" s="71"/>
      <c r="Q123" s="71"/>
      <c r="R123" s="71"/>
      <c r="S123" s="71"/>
      <c r="T123" s="71"/>
      <c r="U123" s="71"/>
      <c r="V123" s="71"/>
      <c r="W123" s="71"/>
      <c r="X123" s="71"/>
      <c r="Y123" s="71"/>
      <c r="Z123" s="71"/>
      <c r="AA123" s="71"/>
      <c r="AB123" s="71"/>
    </row>
    <row r="124" ht="15.75" customHeight="1">
      <c r="A124" s="71"/>
      <c r="B124" s="71"/>
      <c r="C124" s="61"/>
      <c r="D124" s="61"/>
      <c r="E124" s="71"/>
      <c r="F124" s="71"/>
      <c r="G124" s="61"/>
      <c r="I124" s="61"/>
      <c r="J124" s="71"/>
      <c r="K124" s="71"/>
      <c r="L124" s="71"/>
      <c r="M124" s="71"/>
      <c r="N124" s="71"/>
      <c r="O124" s="71"/>
      <c r="P124" s="71"/>
      <c r="Q124" s="71"/>
      <c r="R124" s="71"/>
      <c r="S124" s="71"/>
      <c r="T124" s="71"/>
      <c r="U124" s="71"/>
      <c r="V124" s="71"/>
      <c r="W124" s="71"/>
      <c r="X124" s="71"/>
      <c r="Y124" s="71"/>
      <c r="Z124" s="71"/>
      <c r="AA124" s="71"/>
      <c r="AB124" s="71"/>
    </row>
    <row r="125" ht="15.75" customHeight="1">
      <c r="A125" s="71"/>
      <c r="B125" s="71"/>
      <c r="C125" s="61"/>
      <c r="D125" s="61"/>
      <c r="E125" s="71"/>
      <c r="F125" s="71"/>
      <c r="G125" s="61"/>
      <c r="I125" s="61"/>
      <c r="J125" s="71"/>
      <c r="K125" s="71"/>
      <c r="L125" s="71"/>
      <c r="M125" s="71"/>
      <c r="N125" s="71"/>
      <c r="O125" s="71"/>
      <c r="P125" s="71"/>
      <c r="Q125" s="71"/>
      <c r="R125" s="71"/>
      <c r="S125" s="71"/>
      <c r="T125" s="71"/>
      <c r="U125" s="71"/>
      <c r="V125" s="71"/>
      <c r="W125" s="71"/>
      <c r="X125" s="71"/>
      <c r="Y125" s="71"/>
      <c r="Z125" s="71"/>
      <c r="AA125" s="71"/>
      <c r="AB125" s="71"/>
    </row>
    <row r="126" ht="15.75" customHeight="1">
      <c r="A126" s="71"/>
      <c r="B126" s="71"/>
      <c r="C126" s="61"/>
      <c r="D126" s="61"/>
      <c r="E126" s="71"/>
      <c r="F126" s="71"/>
      <c r="G126" s="61"/>
      <c r="I126" s="61"/>
      <c r="J126" s="71"/>
      <c r="K126" s="71"/>
      <c r="L126" s="71"/>
      <c r="M126" s="71"/>
      <c r="N126" s="71"/>
      <c r="O126" s="71"/>
      <c r="P126" s="71"/>
      <c r="Q126" s="71"/>
      <c r="R126" s="71"/>
      <c r="S126" s="71"/>
      <c r="T126" s="71"/>
      <c r="U126" s="71"/>
      <c r="V126" s="71"/>
      <c r="W126" s="71"/>
      <c r="X126" s="71"/>
      <c r="Y126" s="71"/>
      <c r="Z126" s="71"/>
      <c r="AA126" s="71"/>
      <c r="AB126" s="71"/>
    </row>
    <row r="127" ht="15.75" customHeight="1">
      <c r="A127" s="71"/>
      <c r="B127" s="71"/>
      <c r="C127" s="61"/>
      <c r="D127" s="61"/>
      <c r="E127" s="71"/>
      <c r="F127" s="71"/>
      <c r="G127" s="61"/>
      <c r="I127" s="61"/>
      <c r="J127" s="71"/>
      <c r="K127" s="71"/>
      <c r="L127" s="71"/>
      <c r="M127" s="71"/>
      <c r="N127" s="71"/>
      <c r="O127" s="71"/>
      <c r="P127" s="71"/>
      <c r="Q127" s="71"/>
      <c r="R127" s="71"/>
      <c r="S127" s="71"/>
      <c r="T127" s="71"/>
      <c r="U127" s="71"/>
      <c r="V127" s="71"/>
      <c r="W127" s="71"/>
      <c r="X127" s="71"/>
      <c r="Y127" s="71"/>
      <c r="Z127" s="71"/>
      <c r="AA127" s="71"/>
      <c r="AB127" s="71"/>
    </row>
    <row r="128" ht="15.75" customHeight="1">
      <c r="A128" s="71"/>
      <c r="B128" s="71"/>
      <c r="C128" s="61"/>
      <c r="D128" s="61"/>
      <c r="E128" s="71"/>
      <c r="F128" s="71"/>
      <c r="G128" s="61"/>
      <c r="I128" s="61"/>
      <c r="J128" s="71"/>
      <c r="K128" s="71"/>
      <c r="L128" s="71"/>
      <c r="M128" s="71"/>
      <c r="N128" s="71"/>
      <c r="O128" s="71"/>
      <c r="P128" s="71"/>
      <c r="Q128" s="71"/>
      <c r="R128" s="71"/>
      <c r="S128" s="71"/>
      <c r="T128" s="71"/>
      <c r="U128" s="71"/>
      <c r="V128" s="71"/>
      <c r="W128" s="71"/>
      <c r="X128" s="71"/>
      <c r="Y128" s="71"/>
      <c r="Z128" s="71"/>
      <c r="AA128" s="71"/>
      <c r="AB128" s="71"/>
    </row>
    <row r="129" ht="15.75" customHeight="1">
      <c r="A129" s="71"/>
      <c r="B129" s="71"/>
      <c r="C129" s="61"/>
      <c r="D129" s="61"/>
      <c r="E129" s="71"/>
      <c r="F129" s="71"/>
      <c r="G129" s="61"/>
      <c r="I129" s="61"/>
      <c r="J129" s="71"/>
      <c r="K129" s="71"/>
      <c r="L129" s="71"/>
      <c r="M129" s="71"/>
      <c r="N129" s="71"/>
      <c r="O129" s="71"/>
      <c r="P129" s="71"/>
      <c r="Q129" s="71"/>
      <c r="R129" s="71"/>
      <c r="S129" s="71"/>
      <c r="T129" s="71"/>
      <c r="U129" s="71"/>
      <c r="V129" s="71"/>
      <c r="W129" s="71"/>
      <c r="X129" s="71"/>
      <c r="Y129" s="71"/>
      <c r="Z129" s="71"/>
      <c r="AA129" s="71"/>
      <c r="AB129" s="71"/>
    </row>
    <row r="130" ht="15.75" customHeight="1">
      <c r="A130" s="71"/>
      <c r="B130" s="71"/>
      <c r="C130" s="61"/>
      <c r="D130" s="61"/>
      <c r="E130" s="71"/>
      <c r="F130" s="71"/>
      <c r="G130" s="61"/>
      <c r="I130" s="61"/>
      <c r="J130" s="71"/>
      <c r="K130" s="71"/>
      <c r="L130" s="71"/>
      <c r="M130" s="71"/>
      <c r="N130" s="71"/>
      <c r="O130" s="71"/>
      <c r="P130" s="71"/>
      <c r="Q130" s="71"/>
      <c r="R130" s="71"/>
      <c r="S130" s="71"/>
      <c r="T130" s="71"/>
      <c r="U130" s="71"/>
      <c r="V130" s="71"/>
      <c r="W130" s="71"/>
      <c r="X130" s="71"/>
      <c r="Y130" s="71"/>
      <c r="Z130" s="71"/>
      <c r="AA130" s="71"/>
      <c r="AB130" s="71"/>
    </row>
    <row r="131" ht="15.75" customHeight="1">
      <c r="A131" s="71"/>
      <c r="B131" s="71"/>
      <c r="C131" s="61"/>
      <c r="D131" s="61"/>
      <c r="E131" s="71"/>
      <c r="F131" s="71"/>
      <c r="G131" s="61"/>
      <c r="I131" s="61"/>
      <c r="J131" s="71"/>
      <c r="K131" s="71"/>
      <c r="L131" s="71"/>
      <c r="M131" s="71"/>
      <c r="N131" s="71"/>
      <c r="O131" s="71"/>
      <c r="P131" s="71"/>
      <c r="Q131" s="71"/>
      <c r="R131" s="71"/>
      <c r="S131" s="71"/>
      <c r="T131" s="71"/>
      <c r="U131" s="71"/>
      <c r="V131" s="71"/>
      <c r="W131" s="71"/>
      <c r="X131" s="71"/>
      <c r="Y131" s="71"/>
      <c r="Z131" s="71"/>
      <c r="AA131" s="71"/>
      <c r="AB131" s="71"/>
    </row>
    <row r="132" ht="15.75" customHeight="1">
      <c r="A132" s="71"/>
      <c r="B132" s="71"/>
      <c r="C132" s="61"/>
      <c r="D132" s="61"/>
      <c r="E132" s="71"/>
      <c r="F132" s="71"/>
      <c r="G132" s="61"/>
      <c r="I132" s="61"/>
      <c r="J132" s="71"/>
      <c r="K132" s="71"/>
      <c r="L132" s="71"/>
      <c r="M132" s="71"/>
      <c r="N132" s="71"/>
      <c r="O132" s="71"/>
      <c r="P132" s="71"/>
      <c r="Q132" s="71"/>
      <c r="R132" s="71"/>
      <c r="S132" s="71"/>
      <c r="T132" s="71"/>
      <c r="U132" s="71"/>
      <c r="V132" s="71"/>
      <c r="W132" s="71"/>
      <c r="X132" s="71"/>
      <c r="Y132" s="71"/>
      <c r="Z132" s="71"/>
      <c r="AA132" s="71"/>
      <c r="AB132" s="71"/>
    </row>
    <row r="133" ht="15.75" customHeight="1">
      <c r="A133" s="71"/>
      <c r="B133" s="71"/>
      <c r="C133" s="61"/>
      <c r="D133" s="61"/>
      <c r="E133" s="71"/>
      <c r="F133" s="71"/>
      <c r="G133" s="61"/>
      <c r="I133" s="61"/>
      <c r="J133" s="71"/>
      <c r="K133" s="71"/>
      <c r="L133" s="71"/>
      <c r="M133" s="71"/>
      <c r="N133" s="71"/>
      <c r="O133" s="71"/>
      <c r="P133" s="71"/>
      <c r="Q133" s="71"/>
      <c r="R133" s="71"/>
      <c r="S133" s="71"/>
      <c r="T133" s="71"/>
      <c r="U133" s="71"/>
      <c r="V133" s="71"/>
      <c r="W133" s="71"/>
      <c r="X133" s="71"/>
      <c r="Y133" s="71"/>
      <c r="Z133" s="71"/>
      <c r="AA133" s="71"/>
      <c r="AB133" s="71"/>
    </row>
    <row r="134" ht="15.75" customHeight="1">
      <c r="A134" s="71"/>
      <c r="B134" s="71"/>
      <c r="C134" s="61"/>
      <c r="D134" s="61"/>
      <c r="E134" s="71"/>
      <c r="F134" s="71"/>
      <c r="G134" s="61"/>
      <c r="I134" s="61"/>
      <c r="J134" s="71"/>
      <c r="K134" s="71"/>
      <c r="L134" s="71"/>
      <c r="M134" s="71"/>
      <c r="N134" s="71"/>
      <c r="O134" s="71"/>
      <c r="P134" s="71"/>
      <c r="Q134" s="71"/>
      <c r="R134" s="71"/>
      <c r="S134" s="71"/>
      <c r="T134" s="71"/>
      <c r="U134" s="71"/>
      <c r="V134" s="71"/>
      <c r="W134" s="71"/>
      <c r="X134" s="71"/>
      <c r="Y134" s="71"/>
      <c r="Z134" s="71"/>
      <c r="AA134" s="71"/>
      <c r="AB134" s="71"/>
    </row>
    <row r="135" ht="15.75" customHeight="1">
      <c r="A135" s="71"/>
      <c r="B135" s="71"/>
      <c r="C135" s="61"/>
      <c r="D135" s="61"/>
      <c r="E135" s="71"/>
      <c r="F135" s="71"/>
      <c r="G135" s="61"/>
      <c r="I135" s="61"/>
      <c r="J135" s="71"/>
      <c r="K135" s="71"/>
      <c r="L135" s="71"/>
      <c r="M135" s="71"/>
      <c r="N135" s="71"/>
      <c r="O135" s="71"/>
      <c r="P135" s="71"/>
      <c r="Q135" s="71"/>
      <c r="R135" s="71"/>
      <c r="S135" s="71"/>
      <c r="T135" s="71"/>
      <c r="U135" s="71"/>
      <c r="V135" s="71"/>
      <c r="W135" s="71"/>
      <c r="X135" s="71"/>
      <c r="Y135" s="71"/>
      <c r="Z135" s="71"/>
      <c r="AA135" s="71"/>
      <c r="AB135" s="71"/>
    </row>
    <row r="136" ht="15.75" customHeight="1">
      <c r="A136" s="71"/>
      <c r="B136" s="71"/>
      <c r="C136" s="61"/>
      <c r="D136" s="61"/>
      <c r="E136" s="71"/>
      <c r="F136" s="71"/>
      <c r="G136" s="61"/>
      <c r="I136" s="61"/>
      <c r="J136" s="71"/>
      <c r="K136" s="71"/>
      <c r="L136" s="71"/>
      <c r="M136" s="71"/>
      <c r="N136" s="71"/>
      <c r="O136" s="71"/>
      <c r="P136" s="71"/>
      <c r="Q136" s="71"/>
      <c r="R136" s="71"/>
      <c r="S136" s="71"/>
      <c r="T136" s="71"/>
      <c r="U136" s="71"/>
      <c r="V136" s="71"/>
      <c r="W136" s="71"/>
      <c r="X136" s="71"/>
      <c r="Y136" s="71"/>
      <c r="Z136" s="71"/>
      <c r="AA136" s="71"/>
      <c r="AB136" s="71"/>
    </row>
    <row r="137" ht="15.75" customHeight="1">
      <c r="A137" s="71"/>
      <c r="B137" s="71"/>
      <c r="C137" s="61"/>
      <c r="D137" s="61"/>
      <c r="E137" s="71"/>
      <c r="F137" s="71"/>
      <c r="G137" s="61"/>
      <c r="I137" s="61"/>
      <c r="J137" s="71"/>
      <c r="K137" s="71"/>
      <c r="L137" s="71"/>
      <c r="M137" s="71"/>
      <c r="N137" s="71"/>
      <c r="O137" s="71"/>
      <c r="P137" s="71"/>
      <c r="Q137" s="71"/>
      <c r="R137" s="71"/>
      <c r="S137" s="71"/>
      <c r="T137" s="71"/>
      <c r="U137" s="71"/>
      <c r="V137" s="71"/>
      <c r="W137" s="71"/>
      <c r="X137" s="71"/>
      <c r="Y137" s="71"/>
      <c r="Z137" s="71"/>
      <c r="AA137" s="71"/>
      <c r="AB137" s="71"/>
    </row>
    <row r="138" ht="15.75" customHeight="1">
      <c r="A138" s="71"/>
      <c r="B138" s="71"/>
      <c r="C138" s="61"/>
      <c r="D138" s="61"/>
      <c r="E138" s="71"/>
      <c r="F138" s="71"/>
      <c r="G138" s="61"/>
      <c r="I138" s="61"/>
      <c r="J138" s="71"/>
      <c r="K138" s="71"/>
      <c r="L138" s="71"/>
      <c r="M138" s="71"/>
      <c r="N138" s="71"/>
      <c r="O138" s="71"/>
      <c r="P138" s="71"/>
      <c r="Q138" s="71"/>
      <c r="R138" s="71"/>
      <c r="S138" s="71"/>
      <c r="T138" s="71"/>
      <c r="U138" s="71"/>
      <c r="V138" s="71"/>
      <c r="W138" s="71"/>
      <c r="X138" s="71"/>
      <c r="Y138" s="71"/>
      <c r="Z138" s="71"/>
      <c r="AA138" s="71"/>
      <c r="AB138" s="71"/>
    </row>
    <row r="139" ht="15.75" customHeight="1">
      <c r="A139" s="71"/>
      <c r="B139" s="71"/>
      <c r="C139" s="61"/>
      <c r="D139" s="61"/>
      <c r="E139" s="71"/>
      <c r="F139" s="71"/>
      <c r="G139" s="61"/>
      <c r="I139" s="61"/>
      <c r="J139" s="71"/>
      <c r="K139" s="71"/>
      <c r="L139" s="71"/>
      <c r="M139" s="71"/>
      <c r="N139" s="71"/>
      <c r="O139" s="71"/>
      <c r="P139" s="71"/>
      <c r="Q139" s="71"/>
      <c r="R139" s="71"/>
      <c r="S139" s="71"/>
      <c r="T139" s="71"/>
      <c r="U139" s="71"/>
      <c r="V139" s="71"/>
      <c r="W139" s="71"/>
      <c r="X139" s="71"/>
      <c r="Y139" s="71"/>
      <c r="Z139" s="71"/>
      <c r="AA139" s="71"/>
      <c r="AB139" s="71"/>
    </row>
    <row r="140" ht="15.75" customHeight="1">
      <c r="A140" s="71"/>
      <c r="B140" s="71"/>
      <c r="C140" s="61"/>
      <c r="D140" s="61"/>
      <c r="E140" s="71"/>
      <c r="F140" s="71"/>
      <c r="G140" s="61"/>
      <c r="I140" s="61"/>
      <c r="J140" s="71"/>
      <c r="K140" s="71"/>
      <c r="L140" s="71"/>
      <c r="M140" s="71"/>
      <c r="N140" s="71"/>
      <c r="O140" s="71"/>
      <c r="P140" s="71"/>
      <c r="Q140" s="71"/>
      <c r="R140" s="71"/>
      <c r="S140" s="71"/>
      <c r="T140" s="71"/>
      <c r="U140" s="71"/>
      <c r="V140" s="71"/>
      <c r="W140" s="71"/>
      <c r="X140" s="71"/>
      <c r="Y140" s="71"/>
      <c r="Z140" s="71"/>
      <c r="AA140" s="71"/>
      <c r="AB140" s="71"/>
    </row>
    <row r="141" ht="15.75" customHeight="1">
      <c r="A141" s="71"/>
      <c r="B141" s="71"/>
      <c r="C141" s="61"/>
      <c r="D141" s="61"/>
      <c r="E141" s="71"/>
      <c r="F141" s="71"/>
      <c r="G141" s="61"/>
      <c r="I141" s="61"/>
      <c r="J141" s="71"/>
      <c r="K141" s="71"/>
      <c r="L141" s="71"/>
      <c r="M141" s="71"/>
      <c r="N141" s="71"/>
      <c r="O141" s="71"/>
      <c r="P141" s="71"/>
      <c r="Q141" s="71"/>
      <c r="R141" s="71"/>
      <c r="S141" s="71"/>
      <c r="T141" s="71"/>
      <c r="U141" s="71"/>
      <c r="V141" s="71"/>
      <c r="W141" s="71"/>
      <c r="X141" s="71"/>
      <c r="Y141" s="71"/>
      <c r="Z141" s="71"/>
      <c r="AA141" s="71"/>
      <c r="AB141" s="71"/>
    </row>
    <row r="142" ht="15.75" customHeight="1">
      <c r="A142" s="71"/>
      <c r="B142" s="71"/>
      <c r="C142" s="61"/>
      <c r="D142" s="61"/>
      <c r="E142" s="71"/>
      <c r="F142" s="71"/>
      <c r="G142" s="61"/>
      <c r="I142" s="61"/>
      <c r="J142" s="71"/>
      <c r="K142" s="71"/>
      <c r="L142" s="71"/>
      <c r="M142" s="71"/>
      <c r="N142" s="71"/>
      <c r="O142" s="71"/>
      <c r="P142" s="71"/>
      <c r="Q142" s="71"/>
      <c r="R142" s="71"/>
      <c r="S142" s="71"/>
      <c r="T142" s="71"/>
      <c r="U142" s="71"/>
      <c r="V142" s="71"/>
      <c r="W142" s="71"/>
      <c r="X142" s="71"/>
      <c r="Y142" s="71"/>
      <c r="Z142" s="71"/>
      <c r="AA142" s="71"/>
      <c r="AB142" s="71"/>
    </row>
    <row r="143" ht="15.75" customHeight="1">
      <c r="A143" s="71"/>
      <c r="B143" s="71"/>
      <c r="C143" s="61"/>
      <c r="D143" s="61"/>
      <c r="E143" s="71"/>
      <c r="F143" s="71"/>
      <c r="G143" s="61"/>
      <c r="I143" s="61"/>
      <c r="J143" s="71"/>
      <c r="K143" s="71"/>
      <c r="L143" s="71"/>
      <c r="M143" s="71"/>
      <c r="N143" s="71"/>
      <c r="O143" s="71"/>
      <c r="P143" s="71"/>
      <c r="Q143" s="71"/>
      <c r="R143" s="71"/>
      <c r="S143" s="71"/>
      <c r="T143" s="71"/>
      <c r="U143" s="71"/>
      <c r="V143" s="71"/>
      <c r="W143" s="71"/>
      <c r="X143" s="71"/>
      <c r="Y143" s="71"/>
      <c r="Z143" s="71"/>
      <c r="AA143" s="71"/>
      <c r="AB143" s="71"/>
    </row>
    <row r="144" ht="15.75" customHeight="1">
      <c r="A144" s="71"/>
      <c r="B144" s="71"/>
      <c r="C144" s="61"/>
      <c r="D144" s="61"/>
      <c r="E144" s="71"/>
      <c r="F144" s="71"/>
      <c r="G144" s="61"/>
      <c r="I144" s="61"/>
      <c r="J144" s="71"/>
      <c r="K144" s="71"/>
      <c r="L144" s="71"/>
      <c r="M144" s="71"/>
      <c r="N144" s="71"/>
      <c r="O144" s="71"/>
      <c r="P144" s="71"/>
      <c r="Q144" s="71"/>
      <c r="R144" s="71"/>
      <c r="S144" s="71"/>
      <c r="T144" s="71"/>
      <c r="U144" s="71"/>
      <c r="V144" s="71"/>
      <c r="W144" s="71"/>
      <c r="X144" s="71"/>
      <c r="Y144" s="71"/>
      <c r="Z144" s="71"/>
      <c r="AA144" s="71"/>
      <c r="AB144" s="71"/>
    </row>
    <row r="145" ht="15.75" customHeight="1">
      <c r="A145" s="71"/>
      <c r="B145" s="71"/>
      <c r="C145" s="61"/>
      <c r="D145" s="61"/>
      <c r="E145" s="71"/>
      <c r="F145" s="71"/>
      <c r="G145" s="61"/>
      <c r="I145" s="61"/>
      <c r="J145" s="71"/>
      <c r="K145" s="71"/>
      <c r="L145" s="71"/>
      <c r="M145" s="71"/>
      <c r="N145" s="71"/>
      <c r="O145" s="71"/>
      <c r="P145" s="71"/>
      <c r="Q145" s="71"/>
      <c r="R145" s="71"/>
      <c r="S145" s="71"/>
      <c r="T145" s="71"/>
      <c r="U145" s="71"/>
      <c r="V145" s="71"/>
      <c r="W145" s="71"/>
      <c r="X145" s="71"/>
      <c r="Y145" s="71"/>
      <c r="Z145" s="71"/>
      <c r="AA145" s="71"/>
      <c r="AB145" s="71"/>
    </row>
    <row r="146" ht="15.75" customHeight="1">
      <c r="A146" s="71"/>
      <c r="B146" s="71"/>
      <c r="C146" s="61"/>
      <c r="D146" s="61"/>
      <c r="E146" s="71"/>
      <c r="F146" s="71"/>
      <c r="G146" s="61"/>
      <c r="I146" s="61"/>
      <c r="J146" s="71"/>
      <c r="K146" s="71"/>
      <c r="L146" s="71"/>
      <c r="M146" s="71"/>
      <c r="N146" s="71"/>
      <c r="O146" s="71"/>
      <c r="P146" s="71"/>
      <c r="Q146" s="71"/>
      <c r="R146" s="71"/>
      <c r="S146" s="71"/>
      <c r="T146" s="71"/>
      <c r="U146" s="71"/>
      <c r="V146" s="71"/>
      <c r="W146" s="71"/>
      <c r="X146" s="71"/>
      <c r="Y146" s="71"/>
      <c r="Z146" s="71"/>
      <c r="AA146" s="71"/>
      <c r="AB146" s="71"/>
    </row>
    <row r="147" ht="15.75" customHeight="1">
      <c r="A147" s="71"/>
      <c r="B147" s="71"/>
      <c r="C147" s="61"/>
      <c r="D147" s="61"/>
      <c r="E147" s="71"/>
      <c r="F147" s="71"/>
      <c r="G147" s="61"/>
      <c r="I147" s="61"/>
      <c r="J147" s="71"/>
      <c r="K147" s="71"/>
      <c r="L147" s="71"/>
      <c r="M147" s="71"/>
      <c r="N147" s="71"/>
      <c r="O147" s="71"/>
      <c r="P147" s="71"/>
      <c r="Q147" s="71"/>
      <c r="R147" s="71"/>
      <c r="S147" s="71"/>
      <c r="T147" s="71"/>
      <c r="U147" s="71"/>
      <c r="V147" s="71"/>
      <c r="W147" s="71"/>
      <c r="X147" s="71"/>
      <c r="Y147" s="71"/>
      <c r="Z147" s="71"/>
      <c r="AA147" s="71"/>
      <c r="AB147" s="71"/>
    </row>
    <row r="148" ht="15.75" customHeight="1">
      <c r="A148" s="71"/>
      <c r="B148" s="71"/>
      <c r="C148" s="61"/>
      <c r="D148" s="61"/>
      <c r="E148" s="71"/>
      <c r="F148" s="71"/>
      <c r="G148" s="61"/>
      <c r="I148" s="61"/>
      <c r="J148" s="71"/>
      <c r="K148" s="71"/>
      <c r="L148" s="71"/>
      <c r="M148" s="71"/>
      <c r="N148" s="71"/>
      <c r="O148" s="71"/>
      <c r="P148" s="71"/>
      <c r="Q148" s="71"/>
      <c r="R148" s="71"/>
      <c r="S148" s="71"/>
      <c r="T148" s="71"/>
      <c r="U148" s="71"/>
      <c r="V148" s="71"/>
      <c r="W148" s="71"/>
      <c r="X148" s="71"/>
      <c r="Y148" s="71"/>
      <c r="Z148" s="71"/>
      <c r="AA148" s="71"/>
      <c r="AB148" s="71"/>
    </row>
    <row r="149" ht="15.75" customHeight="1">
      <c r="A149" s="71"/>
      <c r="B149" s="71"/>
      <c r="C149" s="61"/>
      <c r="D149" s="61"/>
      <c r="E149" s="71"/>
      <c r="F149" s="71"/>
      <c r="G149" s="61"/>
      <c r="I149" s="61"/>
      <c r="J149" s="71"/>
      <c r="K149" s="71"/>
      <c r="L149" s="71"/>
      <c r="M149" s="71"/>
      <c r="N149" s="71"/>
      <c r="O149" s="71"/>
      <c r="P149" s="71"/>
      <c r="Q149" s="71"/>
      <c r="R149" s="71"/>
      <c r="S149" s="71"/>
      <c r="T149" s="71"/>
      <c r="U149" s="71"/>
      <c r="V149" s="71"/>
      <c r="W149" s="71"/>
      <c r="X149" s="71"/>
      <c r="Y149" s="71"/>
      <c r="Z149" s="71"/>
      <c r="AA149" s="71"/>
      <c r="AB149" s="71"/>
    </row>
    <row r="150" ht="15.75" customHeight="1">
      <c r="A150" s="71"/>
      <c r="B150" s="71"/>
      <c r="C150" s="61"/>
      <c r="D150" s="61"/>
      <c r="E150" s="71"/>
      <c r="F150" s="71"/>
      <c r="G150" s="61"/>
      <c r="I150" s="61"/>
      <c r="J150" s="71"/>
      <c r="K150" s="71"/>
      <c r="L150" s="71"/>
      <c r="M150" s="71"/>
      <c r="N150" s="71"/>
      <c r="O150" s="71"/>
      <c r="P150" s="71"/>
      <c r="Q150" s="71"/>
      <c r="R150" s="71"/>
      <c r="S150" s="71"/>
      <c r="T150" s="71"/>
      <c r="U150" s="71"/>
      <c r="V150" s="71"/>
      <c r="W150" s="71"/>
      <c r="X150" s="71"/>
      <c r="Y150" s="71"/>
      <c r="Z150" s="71"/>
      <c r="AA150" s="71"/>
      <c r="AB150" s="71"/>
    </row>
    <row r="151" ht="15.75" customHeight="1">
      <c r="A151" s="71"/>
      <c r="B151" s="71"/>
      <c r="C151" s="61"/>
      <c r="D151" s="61"/>
      <c r="E151" s="71"/>
      <c r="F151" s="71"/>
      <c r="G151" s="61"/>
      <c r="I151" s="61"/>
      <c r="J151" s="71"/>
      <c r="K151" s="71"/>
      <c r="L151" s="71"/>
      <c r="M151" s="71"/>
      <c r="N151" s="71"/>
      <c r="O151" s="71"/>
      <c r="P151" s="71"/>
      <c r="Q151" s="71"/>
      <c r="R151" s="71"/>
      <c r="S151" s="71"/>
      <c r="T151" s="71"/>
      <c r="U151" s="71"/>
      <c r="V151" s="71"/>
      <c r="W151" s="71"/>
      <c r="X151" s="71"/>
      <c r="Y151" s="71"/>
      <c r="Z151" s="71"/>
      <c r="AA151" s="71"/>
      <c r="AB151" s="71"/>
    </row>
    <row r="152" ht="15.75" customHeight="1">
      <c r="A152" s="71"/>
      <c r="B152" s="71"/>
      <c r="C152" s="61"/>
      <c r="D152" s="61"/>
      <c r="E152" s="71"/>
      <c r="F152" s="71"/>
      <c r="G152" s="61"/>
      <c r="I152" s="61"/>
      <c r="J152" s="71"/>
      <c r="K152" s="71"/>
      <c r="L152" s="71"/>
      <c r="M152" s="71"/>
      <c r="N152" s="71"/>
      <c r="O152" s="71"/>
      <c r="P152" s="71"/>
      <c r="Q152" s="71"/>
      <c r="R152" s="71"/>
      <c r="S152" s="71"/>
      <c r="T152" s="71"/>
      <c r="U152" s="71"/>
      <c r="V152" s="71"/>
      <c r="W152" s="71"/>
      <c r="X152" s="71"/>
      <c r="Y152" s="71"/>
      <c r="Z152" s="71"/>
      <c r="AA152" s="71"/>
      <c r="AB152" s="71"/>
    </row>
    <row r="153" ht="15.75" customHeight="1">
      <c r="A153" s="71"/>
      <c r="B153" s="71"/>
      <c r="C153" s="61"/>
      <c r="D153" s="61"/>
      <c r="E153" s="71"/>
      <c r="F153" s="71"/>
      <c r="G153" s="61"/>
      <c r="I153" s="61"/>
      <c r="J153" s="71"/>
      <c r="K153" s="71"/>
      <c r="L153" s="71"/>
      <c r="M153" s="71"/>
      <c r="N153" s="71"/>
      <c r="O153" s="71"/>
      <c r="P153" s="71"/>
      <c r="Q153" s="71"/>
      <c r="R153" s="71"/>
      <c r="S153" s="71"/>
      <c r="T153" s="71"/>
      <c r="U153" s="71"/>
      <c r="V153" s="71"/>
      <c r="W153" s="71"/>
      <c r="X153" s="71"/>
      <c r="Y153" s="71"/>
      <c r="Z153" s="71"/>
      <c r="AA153" s="71"/>
      <c r="AB153" s="71"/>
    </row>
    <row r="154" ht="15.75" customHeight="1">
      <c r="A154" s="71"/>
      <c r="B154" s="71"/>
      <c r="C154" s="61"/>
      <c r="D154" s="61"/>
      <c r="E154" s="71"/>
      <c r="F154" s="71"/>
      <c r="G154" s="61"/>
      <c r="I154" s="61"/>
      <c r="J154" s="71"/>
      <c r="K154" s="71"/>
      <c r="L154" s="71"/>
      <c r="M154" s="71"/>
      <c r="N154" s="71"/>
      <c r="O154" s="71"/>
      <c r="P154" s="71"/>
      <c r="Q154" s="71"/>
      <c r="R154" s="71"/>
      <c r="S154" s="71"/>
      <c r="T154" s="71"/>
      <c r="U154" s="71"/>
      <c r="V154" s="71"/>
      <c r="W154" s="71"/>
      <c r="X154" s="71"/>
      <c r="Y154" s="71"/>
      <c r="Z154" s="71"/>
      <c r="AA154" s="71"/>
      <c r="AB154" s="71"/>
    </row>
    <row r="155" ht="15.75" customHeight="1">
      <c r="A155" s="71"/>
      <c r="B155" s="71"/>
      <c r="C155" s="61"/>
      <c r="D155" s="61"/>
      <c r="E155" s="71"/>
      <c r="F155" s="71"/>
      <c r="G155" s="61"/>
      <c r="I155" s="61"/>
      <c r="J155" s="71"/>
      <c r="K155" s="71"/>
      <c r="L155" s="71"/>
      <c r="M155" s="71"/>
      <c r="N155" s="71"/>
      <c r="O155" s="71"/>
      <c r="P155" s="71"/>
      <c r="Q155" s="71"/>
      <c r="R155" s="71"/>
      <c r="S155" s="71"/>
      <c r="T155" s="71"/>
      <c r="U155" s="71"/>
      <c r="V155" s="71"/>
      <c r="W155" s="71"/>
      <c r="X155" s="71"/>
      <c r="Y155" s="71"/>
      <c r="Z155" s="71"/>
      <c r="AA155" s="71"/>
      <c r="AB155" s="71"/>
    </row>
    <row r="156" ht="15.75" customHeight="1">
      <c r="A156" s="71"/>
      <c r="B156" s="71"/>
      <c r="C156" s="61"/>
      <c r="D156" s="61"/>
      <c r="E156" s="71"/>
      <c r="F156" s="71"/>
      <c r="G156" s="61"/>
      <c r="I156" s="61"/>
      <c r="J156" s="71"/>
      <c r="K156" s="71"/>
      <c r="L156" s="71"/>
      <c r="M156" s="71"/>
      <c r="N156" s="71"/>
      <c r="O156" s="71"/>
      <c r="P156" s="71"/>
      <c r="Q156" s="71"/>
      <c r="R156" s="71"/>
      <c r="S156" s="71"/>
      <c r="T156" s="71"/>
      <c r="U156" s="71"/>
      <c r="V156" s="71"/>
      <c r="W156" s="71"/>
      <c r="X156" s="71"/>
      <c r="Y156" s="71"/>
      <c r="Z156" s="71"/>
      <c r="AA156" s="71"/>
      <c r="AB156" s="71"/>
    </row>
    <row r="157" ht="15.75" customHeight="1">
      <c r="A157" s="71"/>
      <c r="B157" s="71"/>
      <c r="C157" s="61"/>
      <c r="D157" s="61"/>
      <c r="E157" s="71"/>
      <c r="F157" s="71"/>
      <c r="G157" s="61"/>
      <c r="I157" s="61"/>
      <c r="J157" s="71"/>
      <c r="K157" s="71"/>
      <c r="L157" s="71"/>
      <c r="M157" s="71"/>
      <c r="N157" s="71"/>
      <c r="O157" s="71"/>
      <c r="P157" s="71"/>
      <c r="Q157" s="71"/>
      <c r="R157" s="71"/>
      <c r="S157" s="71"/>
      <c r="T157" s="71"/>
      <c r="U157" s="71"/>
      <c r="V157" s="71"/>
      <c r="W157" s="71"/>
      <c r="X157" s="71"/>
      <c r="Y157" s="71"/>
      <c r="Z157" s="71"/>
      <c r="AA157" s="71"/>
      <c r="AB157" s="71"/>
    </row>
    <row r="158" ht="15.75" customHeight="1">
      <c r="A158" s="71"/>
      <c r="B158" s="71"/>
      <c r="C158" s="61"/>
      <c r="D158" s="61"/>
      <c r="E158" s="71"/>
      <c r="F158" s="71"/>
      <c r="G158" s="61"/>
      <c r="I158" s="61"/>
      <c r="J158" s="71"/>
      <c r="K158" s="71"/>
      <c r="L158" s="71"/>
      <c r="M158" s="71"/>
      <c r="N158" s="71"/>
      <c r="O158" s="71"/>
      <c r="P158" s="71"/>
      <c r="Q158" s="71"/>
      <c r="R158" s="71"/>
      <c r="S158" s="71"/>
      <c r="T158" s="71"/>
      <c r="U158" s="71"/>
      <c r="V158" s="71"/>
      <c r="W158" s="71"/>
      <c r="X158" s="71"/>
      <c r="Y158" s="71"/>
      <c r="Z158" s="71"/>
      <c r="AA158" s="71"/>
      <c r="AB158" s="71"/>
    </row>
    <row r="159" ht="15.75" customHeight="1">
      <c r="A159" s="71"/>
      <c r="B159" s="71"/>
      <c r="C159" s="61"/>
      <c r="D159" s="61"/>
      <c r="E159" s="71"/>
      <c r="F159" s="71"/>
      <c r="G159" s="61"/>
      <c r="I159" s="61"/>
      <c r="J159" s="71"/>
      <c r="K159" s="71"/>
      <c r="L159" s="71"/>
      <c r="M159" s="71"/>
      <c r="N159" s="71"/>
      <c r="O159" s="71"/>
      <c r="P159" s="71"/>
      <c r="Q159" s="71"/>
      <c r="R159" s="71"/>
      <c r="S159" s="71"/>
      <c r="T159" s="71"/>
      <c r="U159" s="71"/>
      <c r="V159" s="71"/>
      <c r="W159" s="71"/>
      <c r="X159" s="71"/>
      <c r="Y159" s="71"/>
      <c r="Z159" s="71"/>
      <c r="AA159" s="71"/>
      <c r="AB159" s="71"/>
    </row>
    <row r="160" ht="15.75" customHeight="1">
      <c r="A160" s="71"/>
      <c r="B160" s="71"/>
      <c r="C160" s="61"/>
      <c r="D160" s="61"/>
      <c r="E160" s="71"/>
      <c r="F160" s="71"/>
      <c r="G160" s="61"/>
      <c r="I160" s="61"/>
      <c r="J160" s="71"/>
      <c r="K160" s="71"/>
      <c r="L160" s="71"/>
      <c r="M160" s="71"/>
      <c r="N160" s="71"/>
      <c r="O160" s="71"/>
      <c r="P160" s="71"/>
      <c r="Q160" s="71"/>
      <c r="R160" s="71"/>
      <c r="S160" s="71"/>
      <c r="T160" s="71"/>
      <c r="U160" s="71"/>
      <c r="V160" s="71"/>
      <c r="W160" s="71"/>
      <c r="X160" s="71"/>
      <c r="Y160" s="71"/>
      <c r="Z160" s="71"/>
      <c r="AA160" s="71"/>
      <c r="AB160" s="71"/>
    </row>
    <row r="161" ht="15.75" customHeight="1">
      <c r="A161" s="71"/>
      <c r="B161" s="71"/>
      <c r="C161" s="61"/>
      <c r="D161" s="61"/>
      <c r="E161" s="71"/>
      <c r="F161" s="71"/>
      <c r="G161" s="61"/>
      <c r="I161" s="61"/>
      <c r="J161" s="71"/>
      <c r="K161" s="71"/>
      <c r="L161" s="71"/>
      <c r="M161" s="71"/>
      <c r="N161" s="71"/>
      <c r="O161" s="71"/>
      <c r="P161" s="71"/>
      <c r="Q161" s="71"/>
      <c r="R161" s="71"/>
      <c r="S161" s="71"/>
      <c r="T161" s="71"/>
      <c r="U161" s="71"/>
      <c r="V161" s="71"/>
      <c r="W161" s="71"/>
      <c r="X161" s="71"/>
      <c r="Y161" s="71"/>
      <c r="Z161" s="71"/>
      <c r="AA161" s="71"/>
      <c r="AB161" s="71"/>
    </row>
    <row r="162" ht="15.75" customHeight="1">
      <c r="A162" s="71"/>
      <c r="B162" s="71"/>
      <c r="C162" s="61"/>
      <c r="D162" s="61"/>
      <c r="E162" s="71"/>
      <c r="F162" s="71"/>
      <c r="G162" s="61"/>
      <c r="I162" s="61"/>
      <c r="J162" s="71"/>
      <c r="K162" s="71"/>
      <c r="L162" s="71"/>
      <c r="M162" s="71"/>
      <c r="N162" s="71"/>
      <c r="O162" s="71"/>
      <c r="P162" s="71"/>
      <c r="Q162" s="71"/>
      <c r="R162" s="71"/>
      <c r="S162" s="71"/>
      <c r="T162" s="71"/>
      <c r="U162" s="71"/>
      <c r="V162" s="71"/>
      <c r="W162" s="71"/>
      <c r="X162" s="71"/>
      <c r="Y162" s="71"/>
      <c r="Z162" s="71"/>
      <c r="AA162" s="71"/>
      <c r="AB162" s="71"/>
    </row>
    <row r="163" ht="15.75" customHeight="1">
      <c r="A163" s="71"/>
      <c r="B163" s="71"/>
      <c r="C163" s="61"/>
      <c r="D163" s="61"/>
      <c r="E163" s="71"/>
      <c r="F163" s="71"/>
      <c r="G163" s="61"/>
      <c r="I163" s="61"/>
      <c r="J163" s="71"/>
      <c r="K163" s="71"/>
      <c r="L163" s="71"/>
      <c r="M163" s="71"/>
      <c r="N163" s="71"/>
      <c r="O163" s="71"/>
      <c r="P163" s="71"/>
      <c r="Q163" s="71"/>
      <c r="R163" s="71"/>
      <c r="S163" s="71"/>
      <c r="T163" s="71"/>
      <c r="U163" s="71"/>
      <c r="V163" s="71"/>
      <c r="W163" s="71"/>
      <c r="X163" s="71"/>
      <c r="Y163" s="71"/>
      <c r="Z163" s="71"/>
      <c r="AA163" s="71"/>
      <c r="AB163" s="71"/>
    </row>
    <row r="164" ht="15.75" customHeight="1">
      <c r="A164" s="71"/>
      <c r="B164" s="71"/>
      <c r="C164" s="61"/>
      <c r="D164" s="61"/>
      <c r="E164" s="71"/>
      <c r="F164" s="71"/>
      <c r="G164" s="61"/>
      <c r="I164" s="61"/>
      <c r="J164" s="71"/>
      <c r="K164" s="71"/>
      <c r="L164" s="71"/>
      <c r="M164" s="71"/>
      <c r="N164" s="71"/>
      <c r="O164" s="71"/>
      <c r="P164" s="71"/>
      <c r="Q164" s="71"/>
      <c r="R164" s="71"/>
      <c r="S164" s="71"/>
      <c r="T164" s="71"/>
      <c r="U164" s="71"/>
      <c r="V164" s="71"/>
      <c r="W164" s="71"/>
      <c r="X164" s="71"/>
      <c r="Y164" s="71"/>
      <c r="Z164" s="71"/>
      <c r="AA164" s="71"/>
      <c r="AB164" s="71"/>
    </row>
    <row r="165" ht="15.75" customHeight="1">
      <c r="A165" s="71"/>
      <c r="B165" s="71"/>
      <c r="C165" s="61"/>
      <c r="D165" s="61"/>
      <c r="E165" s="71"/>
      <c r="F165" s="71"/>
      <c r="G165" s="61"/>
      <c r="I165" s="61"/>
      <c r="J165" s="71"/>
      <c r="K165" s="71"/>
      <c r="L165" s="71"/>
      <c r="M165" s="71"/>
      <c r="N165" s="71"/>
      <c r="O165" s="71"/>
      <c r="P165" s="71"/>
      <c r="Q165" s="71"/>
      <c r="R165" s="71"/>
      <c r="S165" s="71"/>
      <c r="T165" s="71"/>
      <c r="U165" s="71"/>
      <c r="V165" s="71"/>
      <c r="W165" s="71"/>
      <c r="X165" s="71"/>
      <c r="Y165" s="71"/>
      <c r="Z165" s="71"/>
      <c r="AA165" s="71"/>
      <c r="AB165" s="71"/>
    </row>
    <row r="166" ht="15.75" customHeight="1">
      <c r="A166" s="71"/>
      <c r="B166" s="71"/>
      <c r="C166" s="61"/>
      <c r="D166" s="61"/>
      <c r="E166" s="71"/>
      <c r="F166" s="71"/>
      <c r="G166" s="61"/>
      <c r="I166" s="61"/>
      <c r="J166" s="71"/>
      <c r="K166" s="71"/>
      <c r="L166" s="71"/>
      <c r="M166" s="71"/>
      <c r="N166" s="71"/>
      <c r="O166" s="71"/>
      <c r="P166" s="71"/>
      <c r="Q166" s="71"/>
      <c r="R166" s="71"/>
      <c r="S166" s="71"/>
      <c r="T166" s="71"/>
      <c r="U166" s="71"/>
      <c r="V166" s="71"/>
      <c r="W166" s="71"/>
      <c r="X166" s="71"/>
      <c r="Y166" s="71"/>
      <c r="Z166" s="71"/>
      <c r="AA166" s="71"/>
      <c r="AB166" s="71"/>
    </row>
    <row r="167" ht="15.75" customHeight="1">
      <c r="A167" s="71"/>
      <c r="B167" s="71"/>
      <c r="C167" s="61"/>
      <c r="D167" s="61"/>
      <c r="E167" s="71"/>
      <c r="F167" s="71"/>
      <c r="G167" s="61"/>
      <c r="I167" s="61"/>
      <c r="J167" s="71"/>
      <c r="K167" s="71"/>
      <c r="L167" s="71"/>
      <c r="M167" s="71"/>
      <c r="N167" s="71"/>
      <c r="O167" s="71"/>
      <c r="P167" s="71"/>
      <c r="Q167" s="71"/>
      <c r="R167" s="71"/>
      <c r="S167" s="71"/>
      <c r="T167" s="71"/>
      <c r="U167" s="71"/>
      <c r="V167" s="71"/>
      <c r="W167" s="71"/>
      <c r="X167" s="71"/>
      <c r="Y167" s="71"/>
      <c r="Z167" s="71"/>
      <c r="AA167" s="71"/>
      <c r="AB167" s="71"/>
    </row>
    <row r="168" ht="15.75" customHeight="1">
      <c r="A168" s="71"/>
      <c r="B168" s="71"/>
      <c r="C168" s="61"/>
      <c r="D168" s="61"/>
      <c r="E168" s="71"/>
      <c r="F168" s="71"/>
      <c r="G168" s="61"/>
      <c r="I168" s="61"/>
      <c r="J168" s="71"/>
      <c r="K168" s="71"/>
      <c r="L168" s="71"/>
      <c r="M168" s="71"/>
      <c r="N168" s="71"/>
      <c r="O168" s="71"/>
      <c r="P168" s="71"/>
      <c r="Q168" s="71"/>
      <c r="R168" s="71"/>
      <c r="S168" s="71"/>
      <c r="T168" s="71"/>
      <c r="U168" s="71"/>
      <c r="V168" s="71"/>
      <c r="W168" s="71"/>
      <c r="X168" s="71"/>
      <c r="Y168" s="71"/>
      <c r="Z168" s="71"/>
      <c r="AA168" s="71"/>
      <c r="AB168" s="71"/>
    </row>
    <row r="169" ht="15.75" customHeight="1">
      <c r="A169" s="71"/>
      <c r="B169" s="71"/>
      <c r="C169" s="61"/>
      <c r="D169" s="61"/>
      <c r="E169" s="71"/>
      <c r="F169" s="71"/>
      <c r="G169" s="61"/>
      <c r="I169" s="61"/>
      <c r="J169" s="71"/>
      <c r="K169" s="71"/>
      <c r="L169" s="71"/>
      <c r="M169" s="71"/>
      <c r="N169" s="71"/>
      <c r="O169" s="71"/>
      <c r="P169" s="71"/>
      <c r="Q169" s="71"/>
      <c r="R169" s="71"/>
      <c r="S169" s="71"/>
      <c r="T169" s="71"/>
      <c r="U169" s="71"/>
      <c r="V169" s="71"/>
      <c r="W169" s="71"/>
      <c r="X169" s="71"/>
      <c r="Y169" s="71"/>
      <c r="Z169" s="71"/>
      <c r="AA169" s="71"/>
      <c r="AB169" s="71"/>
    </row>
    <row r="170" ht="15.75" customHeight="1">
      <c r="A170" s="71"/>
      <c r="B170" s="71"/>
      <c r="C170" s="61"/>
      <c r="D170" s="61"/>
      <c r="E170" s="71"/>
      <c r="F170" s="71"/>
      <c r="G170" s="61"/>
      <c r="I170" s="61"/>
      <c r="J170" s="71"/>
      <c r="K170" s="71"/>
      <c r="L170" s="71"/>
      <c r="M170" s="71"/>
      <c r="N170" s="71"/>
      <c r="O170" s="71"/>
      <c r="P170" s="71"/>
      <c r="Q170" s="71"/>
      <c r="R170" s="71"/>
      <c r="S170" s="71"/>
      <c r="T170" s="71"/>
      <c r="U170" s="71"/>
      <c r="V170" s="71"/>
      <c r="W170" s="71"/>
      <c r="X170" s="71"/>
      <c r="Y170" s="71"/>
      <c r="Z170" s="71"/>
      <c r="AA170" s="71"/>
      <c r="AB170" s="71"/>
    </row>
    <row r="171" ht="15.75" customHeight="1">
      <c r="A171" s="71"/>
      <c r="B171" s="71"/>
      <c r="C171" s="61"/>
      <c r="D171" s="61"/>
      <c r="E171" s="71"/>
      <c r="F171" s="71"/>
      <c r="G171" s="61"/>
      <c r="I171" s="61"/>
      <c r="J171" s="71"/>
      <c r="K171" s="71"/>
      <c r="L171" s="71"/>
      <c r="M171" s="71"/>
      <c r="N171" s="71"/>
      <c r="O171" s="71"/>
      <c r="P171" s="71"/>
      <c r="Q171" s="71"/>
      <c r="R171" s="71"/>
      <c r="S171" s="71"/>
      <c r="T171" s="71"/>
      <c r="U171" s="71"/>
      <c r="V171" s="71"/>
      <c r="W171" s="71"/>
      <c r="X171" s="71"/>
      <c r="Y171" s="71"/>
      <c r="Z171" s="71"/>
      <c r="AA171" s="71"/>
      <c r="AB171" s="71"/>
    </row>
    <row r="172" ht="15.75" customHeight="1">
      <c r="A172" s="71"/>
      <c r="B172" s="71"/>
      <c r="C172" s="61"/>
      <c r="D172" s="61"/>
      <c r="E172" s="71"/>
      <c r="F172" s="71"/>
      <c r="G172" s="61"/>
      <c r="I172" s="61"/>
      <c r="J172" s="71"/>
      <c r="K172" s="71"/>
      <c r="L172" s="71"/>
      <c r="M172" s="71"/>
      <c r="N172" s="71"/>
      <c r="O172" s="71"/>
      <c r="P172" s="71"/>
      <c r="Q172" s="71"/>
      <c r="R172" s="71"/>
      <c r="S172" s="71"/>
      <c r="T172" s="71"/>
      <c r="U172" s="71"/>
      <c r="V172" s="71"/>
      <c r="W172" s="71"/>
      <c r="X172" s="71"/>
      <c r="Y172" s="71"/>
      <c r="Z172" s="71"/>
      <c r="AA172" s="71"/>
      <c r="AB172" s="71"/>
    </row>
    <row r="173" ht="15.75" customHeight="1">
      <c r="A173" s="71"/>
      <c r="B173" s="71"/>
      <c r="C173" s="61"/>
      <c r="D173" s="61"/>
      <c r="E173" s="71"/>
      <c r="F173" s="71"/>
      <c r="G173" s="61"/>
      <c r="I173" s="61"/>
      <c r="J173" s="71"/>
      <c r="K173" s="71"/>
      <c r="L173" s="71"/>
      <c r="M173" s="71"/>
      <c r="N173" s="71"/>
      <c r="O173" s="71"/>
      <c r="P173" s="71"/>
      <c r="Q173" s="71"/>
      <c r="R173" s="71"/>
      <c r="S173" s="71"/>
      <c r="T173" s="71"/>
      <c r="U173" s="71"/>
      <c r="V173" s="71"/>
      <c r="W173" s="71"/>
      <c r="X173" s="71"/>
      <c r="Y173" s="71"/>
      <c r="Z173" s="71"/>
      <c r="AA173" s="71"/>
      <c r="AB173" s="71"/>
    </row>
    <row r="174" ht="15.75" customHeight="1">
      <c r="A174" s="71"/>
      <c r="B174" s="71"/>
      <c r="C174" s="61"/>
      <c r="D174" s="61"/>
      <c r="E174" s="71"/>
      <c r="F174" s="71"/>
      <c r="G174" s="61"/>
      <c r="I174" s="61"/>
      <c r="J174" s="71"/>
      <c r="K174" s="71"/>
      <c r="L174" s="71"/>
      <c r="M174" s="71"/>
      <c r="N174" s="71"/>
      <c r="O174" s="71"/>
      <c r="P174" s="71"/>
      <c r="Q174" s="71"/>
      <c r="R174" s="71"/>
      <c r="S174" s="71"/>
      <c r="T174" s="71"/>
      <c r="U174" s="71"/>
      <c r="V174" s="71"/>
      <c r="W174" s="71"/>
      <c r="X174" s="71"/>
      <c r="Y174" s="71"/>
      <c r="Z174" s="71"/>
      <c r="AA174" s="71"/>
      <c r="AB174" s="71"/>
    </row>
    <row r="175" ht="15.75" customHeight="1">
      <c r="A175" s="71"/>
      <c r="B175" s="71"/>
      <c r="C175" s="61"/>
      <c r="D175" s="61"/>
      <c r="E175" s="71"/>
      <c r="F175" s="71"/>
      <c r="G175" s="61"/>
      <c r="I175" s="61"/>
      <c r="J175" s="71"/>
      <c r="K175" s="71"/>
      <c r="L175" s="71"/>
      <c r="M175" s="71"/>
      <c r="N175" s="71"/>
      <c r="O175" s="71"/>
      <c r="P175" s="71"/>
      <c r="Q175" s="71"/>
      <c r="R175" s="71"/>
      <c r="S175" s="71"/>
      <c r="T175" s="71"/>
      <c r="U175" s="71"/>
      <c r="V175" s="71"/>
      <c r="W175" s="71"/>
      <c r="X175" s="71"/>
      <c r="Y175" s="71"/>
      <c r="Z175" s="71"/>
      <c r="AA175" s="71"/>
      <c r="AB175" s="71"/>
    </row>
    <row r="176" ht="15.75" customHeight="1">
      <c r="A176" s="71"/>
      <c r="B176" s="71"/>
      <c r="C176" s="61"/>
      <c r="D176" s="61"/>
      <c r="E176" s="71"/>
      <c r="F176" s="71"/>
      <c r="G176" s="61"/>
      <c r="I176" s="61"/>
      <c r="J176" s="71"/>
      <c r="K176" s="71"/>
      <c r="L176" s="71"/>
      <c r="M176" s="71"/>
      <c r="N176" s="71"/>
      <c r="O176" s="71"/>
      <c r="P176" s="71"/>
      <c r="Q176" s="71"/>
      <c r="R176" s="71"/>
      <c r="S176" s="71"/>
      <c r="T176" s="71"/>
      <c r="U176" s="71"/>
      <c r="V176" s="71"/>
      <c r="W176" s="71"/>
      <c r="X176" s="71"/>
      <c r="Y176" s="71"/>
      <c r="Z176" s="71"/>
      <c r="AA176" s="71"/>
      <c r="AB176" s="71"/>
    </row>
    <row r="177" ht="15.75" customHeight="1">
      <c r="A177" s="71"/>
      <c r="B177" s="71"/>
      <c r="C177" s="61"/>
      <c r="D177" s="61"/>
      <c r="E177" s="71"/>
      <c r="F177" s="71"/>
      <c r="G177" s="61"/>
      <c r="I177" s="61"/>
      <c r="J177" s="71"/>
      <c r="K177" s="71"/>
      <c r="L177" s="71"/>
      <c r="M177" s="71"/>
      <c r="N177" s="71"/>
      <c r="O177" s="71"/>
      <c r="P177" s="71"/>
      <c r="Q177" s="71"/>
      <c r="R177" s="71"/>
      <c r="S177" s="71"/>
      <c r="T177" s="71"/>
      <c r="U177" s="71"/>
      <c r="V177" s="71"/>
      <c r="W177" s="71"/>
      <c r="X177" s="71"/>
      <c r="Y177" s="71"/>
      <c r="Z177" s="71"/>
      <c r="AA177" s="71"/>
      <c r="AB177" s="71"/>
    </row>
    <row r="178" ht="15.75" customHeight="1">
      <c r="A178" s="71"/>
      <c r="B178" s="71"/>
      <c r="C178" s="61"/>
      <c r="D178" s="61"/>
      <c r="E178" s="71"/>
      <c r="F178" s="71"/>
      <c r="G178" s="61"/>
      <c r="I178" s="61"/>
      <c r="J178" s="71"/>
      <c r="K178" s="71"/>
      <c r="L178" s="71"/>
      <c r="M178" s="71"/>
      <c r="N178" s="71"/>
      <c r="O178" s="71"/>
      <c r="P178" s="71"/>
      <c r="Q178" s="71"/>
      <c r="R178" s="71"/>
      <c r="S178" s="71"/>
      <c r="T178" s="71"/>
      <c r="U178" s="71"/>
      <c r="V178" s="71"/>
      <c r="W178" s="71"/>
      <c r="X178" s="71"/>
      <c r="Y178" s="71"/>
      <c r="Z178" s="71"/>
      <c r="AA178" s="71"/>
      <c r="AB178" s="71"/>
    </row>
    <row r="179" ht="15.75" customHeight="1">
      <c r="A179" s="71"/>
      <c r="B179" s="71"/>
      <c r="C179" s="61"/>
      <c r="D179" s="61"/>
      <c r="E179" s="71"/>
      <c r="F179" s="71"/>
      <c r="G179" s="61"/>
      <c r="I179" s="61"/>
      <c r="J179" s="71"/>
      <c r="K179" s="71"/>
      <c r="L179" s="71"/>
      <c r="M179" s="71"/>
      <c r="N179" s="71"/>
      <c r="O179" s="71"/>
      <c r="P179" s="71"/>
      <c r="Q179" s="71"/>
      <c r="R179" s="71"/>
      <c r="S179" s="71"/>
      <c r="T179" s="71"/>
      <c r="U179" s="71"/>
      <c r="V179" s="71"/>
      <c r="W179" s="71"/>
      <c r="X179" s="71"/>
      <c r="Y179" s="71"/>
      <c r="Z179" s="71"/>
      <c r="AA179" s="71"/>
      <c r="AB179" s="71"/>
    </row>
    <row r="180" ht="15.75" customHeight="1">
      <c r="A180" s="71"/>
      <c r="B180" s="71"/>
      <c r="C180" s="61"/>
      <c r="D180" s="61"/>
      <c r="E180" s="71"/>
      <c r="F180" s="71"/>
      <c r="G180" s="61"/>
      <c r="I180" s="61"/>
      <c r="J180" s="71"/>
      <c r="K180" s="71"/>
      <c r="L180" s="71"/>
      <c r="M180" s="71"/>
      <c r="N180" s="71"/>
      <c r="O180" s="71"/>
      <c r="P180" s="71"/>
      <c r="Q180" s="71"/>
      <c r="R180" s="71"/>
      <c r="S180" s="71"/>
      <c r="T180" s="71"/>
      <c r="U180" s="71"/>
      <c r="V180" s="71"/>
      <c r="W180" s="71"/>
      <c r="X180" s="71"/>
      <c r="Y180" s="71"/>
      <c r="Z180" s="71"/>
      <c r="AA180" s="71"/>
      <c r="AB180" s="71"/>
    </row>
    <row r="181" ht="15.75" customHeight="1">
      <c r="A181" s="71"/>
      <c r="B181" s="71"/>
      <c r="C181" s="61"/>
      <c r="D181" s="61"/>
      <c r="E181" s="71"/>
      <c r="F181" s="71"/>
      <c r="G181" s="61"/>
      <c r="I181" s="61"/>
      <c r="J181" s="71"/>
      <c r="K181" s="71"/>
      <c r="L181" s="71"/>
      <c r="M181" s="71"/>
      <c r="N181" s="71"/>
      <c r="O181" s="71"/>
      <c r="P181" s="71"/>
      <c r="Q181" s="71"/>
      <c r="R181" s="71"/>
      <c r="S181" s="71"/>
      <c r="T181" s="71"/>
      <c r="U181" s="71"/>
      <c r="V181" s="71"/>
      <c r="W181" s="71"/>
      <c r="X181" s="71"/>
      <c r="Y181" s="71"/>
      <c r="Z181" s="71"/>
      <c r="AA181" s="71"/>
      <c r="AB181" s="71"/>
    </row>
    <row r="182" ht="15.75" customHeight="1">
      <c r="A182" s="71"/>
      <c r="B182" s="71"/>
      <c r="C182" s="61"/>
      <c r="D182" s="61"/>
      <c r="E182" s="71"/>
      <c r="F182" s="71"/>
      <c r="G182" s="61"/>
      <c r="I182" s="61"/>
      <c r="J182" s="71"/>
      <c r="K182" s="71"/>
      <c r="L182" s="71"/>
      <c r="M182" s="71"/>
      <c r="N182" s="71"/>
      <c r="O182" s="71"/>
      <c r="P182" s="71"/>
      <c r="Q182" s="71"/>
      <c r="R182" s="71"/>
      <c r="S182" s="71"/>
      <c r="T182" s="71"/>
      <c r="U182" s="71"/>
      <c r="V182" s="71"/>
      <c r="W182" s="71"/>
      <c r="X182" s="71"/>
      <c r="Y182" s="71"/>
      <c r="Z182" s="71"/>
      <c r="AA182" s="71"/>
      <c r="AB182" s="71"/>
    </row>
    <row r="183" ht="15.75" customHeight="1">
      <c r="A183" s="71"/>
      <c r="B183" s="71"/>
      <c r="C183" s="61"/>
      <c r="D183" s="61"/>
      <c r="E183" s="71"/>
      <c r="F183" s="71"/>
      <c r="G183" s="61"/>
      <c r="I183" s="61"/>
      <c r="J183" s="71"/>
      <c r="K183" s="71"/>
      <c r="L183" s="71"/>
      <c r="M183" s="71"/>
      <c r="N183" s="71"/>
      <c r="O183" s="71"/>
      <c r="P183" s="71"/>
      <c r="Q183" s="71"/>
      <c r="R183" s="71"/>
      <c r="S183" s="71"/>
      <c r="T183" s="71"/>
      <c r="U183" s="71"/>
      <c r="V183" s="71"/>
      <c r="W183" s="71"/>
      <c r="X183" s="71"/>
      <c r="Y183" s="71"/>
      <c r="Z183" s="71"/>
      <c r="AA183" s="71"/>
      <c r="AB183" s="71"/>
    </row>
    <row r="184" ht="15.75" customHeight="1">
      <c r="A184" s="71"/>
      <c r="B184" s="71"/>
      <c r="C184" s="61"/>
      <c r="D184" s="61"/>
      <c r="E184" s="71"/>
      <c r="F184" s="71"/>
      <c r="G184" s="61"/>
      <c r="I184" s="61"/>
      <c r="J184" s="71"/>
      <c r="K184" s="71"/>
      <c r="L184" s="71"/>
      <c r="M184" s="71"/>
      <c r="N184" s="71"/>
      <c r="O184" s="71"/>
      <c r="P184" s="71"/>
      <c r="Q184" s="71"/>
      <c r="R184" s="71"/>
      <c r="S184" s="71"/>
      <c r="T184" s="71"/>
      <c r="U184" s="71"/>
      <c r="V184" s="71"/>
      <c r="W184" s="71"/>
      <c r="X184" s="71"/>
      <c r="Y184" s="71"/>
      <c r="Z184" s="71"/>
      <c r="AA184" s="71"/>
      <c r="AB184" s="71"/>
    </row>
    <row r="185" ht="15.75" customHeight="1">
      <c r="A185" s="71"/>
      <c r="B185" s="71"/>
      <c r="C185" s="61"/>
      <c r="D185" s="61"/>
      <c r="E185" s="71"/>
      <c r="F185" s="71"/>
      <c r="G185" s="61"/>
      <c r="I185" s="61"/>
      <c r="J185" s="71"/>
      <c r="K185" s="71"/>
      <c r="L185" s="71"/>
      <c r="M185" s="71"/>
      <c r="N185" s="71"/>
      <c r="O185" s="71"/>
      <c r="P185" s="71"/>
      <c r="Q185" s="71"/>
      <c r="R185" s="71"/>
      <c r="S185" s="71"/>
      <c r="T185" s="71"/>
      <c r="U185" s="71"/>
      <c r="V185" s="71"/>
      <c r="W185" s="71"/>
      <c r="X185" s="71"/>
      <c r="Y185" s="71"/>
      <c r="Z185" s="71"/>
      <c r="AA185" s="71"/>
      <c r="AB185" s="71"/>
    </row>
    <row r="186" ht="15.75" customHeight="1">
      <c r="A186" s="71"/>
      <c r="B186" s="71"/>
      <c r="C186" s="61"/>
      <c r="D186" s="61"/>
      <c r="E186" s="71"/>
      <c r="F186" s="71"/>
      <c r="G186" s="61"/>
      <c r="I186" s="61"/>
      <c r="J186" s="71"/>
      <c r="K186" s="71"/>
      <c r="L186" s="71"/>
      <c r="M186" s="71"/>
      <c r="N186" s="71"/>
      <c r="O186" s="71"/>
      <c r="P186" s="71"/>
      <c r="Q186" s="71"/>
      <c r="R186" s="71"/>
      <c r="S186" s="71"/>
      <c r="T186" s="71"/>
      <c r="U186" s="71"/>
      <c r="V186" s="71"/>
      <c r="W186" s="71"/>
      <c r="X186" s="71"/>
      <c r="Y186" s="71"/>
      <c r="Z186" s="71"/>
      <c r="AA186" s="71"/>
      <c r="AB186" s="71"/>
    </row>
    <row r="187" ht="15.75" customHeight="1">
      <c r="A187" s="71"/>
      <c r="B187" s="71"/>
      <c r="C187" s="61"/>
      <c r="D187" s="61"/>
      <c r="E187" s="71"/>
      <c r="F187" s="71"/>
      <c r="G187" s="61"/>
      <c r="I187" s="61"/>
      <c r="J187" s="71"/>
      <c r="K187" s="71"/>
      <c r="L187" s="71"/>
      <c r="M187" s="71"/>
      <c r="N187" s="71"/>
      <c r="O187" s="71"/>
      <c r="P187" s="71"/>
      <c r="Q187" s="71"/>
      <c r="R187" s="71"/>
      <c r="S187" s="71"/>
      <c r="T187" s="71"/>
      <c r="U187" s="71"/>
      <c r="V187" s="71"/>
      <c r="W187" s="71"/>
      <c r="X187" s="71"/>
      <c r="Y187" s="71"/>
      <c r="Z187" s="71"/>
      <c r="AA187" s="71"/>
      <c r="AB187" s="71"/>
    </row>
    <row r="188" ht="15.75" customHeight="1">
      <c r="A188" s="71"/>
      <c r="B188" s="71"/>
      <c r="C188" s="61"/>
      <c r="D188" s="61"/>
      <c r="E188" s="71"/>
      <c r="F188" s="71"/>
      <c r="G188" s="61"/>
      <c r="I188" s="61"/>
      <c r="J188" s="71"/>
      <c r="K188" s="71"/>
      <c r="L188" s="71"/>
      <c r="M188" s="71"/>
      <c r="N188" s="71"/>
      <c r="O188" s="71"/>
      <c r="P188" s="71"/>
      <c r="Q188" s="71"/>
      <c r="R188" s="71"/>
      <c r="S188" s="71"/>
      <c r="T188" s="71"/>
      <c r="U188" s="71"/>
      <c r="V188" s="71"/>
      <c r="W188" s="71"/>
      <c r="X188" s="71"/>
      <c r="Y188" s="71"/>
      <c r="Z188" s="71"/>
      <c r="AA188" s="71"/>
      <c r="AB188" s="71"/>
    </row>
    <row r="189" ht="15.75" customHeight="1">
      <c r="A189" s="71"/>
      <c r="B189" s="71"/>
      <c r="C189" s="61"/>
      <c r="D189" s="61"/>
      <c r="E189" s="71"/>
      <c r="F189" s="71"/>
      <c r="G189" s="61"/>
      <c r="I189" s="61"/>
      <c r="J189" s="71"/>
      <c r="K189" s="71"/>
      <c r="L189" s="71"/>
      <c r="M189" s="71"/>
      <c r="N189" s="71"/>
      <c r="O189" s="71"/>
      <c r="P189" s="71"/>
      <c r="Q189" s="71"/>
      <c r="R189" s="71"/>
      <c r="S189" s="71"/>
      <c r="T189" s="71"/>
      <c r="U189" s="71"/>
      <c r="V189" s="71"/>
      <c r="W189" s="71"/>
      <c r="X189" s="71"/>
      <c r="Y189" s="71"/>
      <c r="Z189" s="71"/>
      <c r="AA189" s="71"/>
      <c r="AB189" s="71"/>
    </row>
    <row r="190" ht="15.75" customHeight="1">
      <c r="A190" s="71"/>
      <c r="B190" s="71"/>
      <c r="C190" s="61"/>
      <c r="D190" s="61"/>
      <c r="E190" s="71"/>
      <c r="F190" s="71"/>
      <c r="G190" s="61"/>
      <c r="I190" s="61"/>
      <c r="J190" s="71"/>
      <c r="K190" s="71"/>
      <c r="L190" s="71"/>
      <c r="M190" s="71"/>
      <c r="N190" s="71"/>
      <c r="O190" s="71"/>
      <c r="P190" s="71"/>
      <c r="Q190" s="71"/>
      <c r="R190" s="71"/>
      <c r="S190" s="71"/>
      <c r="T190" s="71"/>
      <c r="U190" s="71"/>
      <c r="V190" s="71"/>
      <c r="W190" s="71"/>
      <c r="X190" s="71"/>
      <c r="Y190" s="71"/>
      <c r="Z190" s="71"/>
      <c r="AA190" s="71"/>
      <c r="AB190" s="71"/>
    </row>
    <row r="191" ht="15.75" customHeight="1">
      <c r="A191" s="71"/>
      <c r="B191" s="71"/>
      <c r="C191" s="61"/>
      <c r="D191" s="61"/>
      <c r="E191" s="71"/>
      <c r="F191" s="71"/>
      <c r="G191" s="61"/>
      <c r="I191" s="61"/>
      <c r="J191" s="71"/>
      <c r="K191" s="71"/>
      <c r="L191" s="71"/>
      <c r="M191" s="71"/>
      <c r="N191" s="71"/>
      <c r="O191" s="71"/>
      <c r="P191" s="71"/>
      <c r="Q191" s="71"/>
      <c r="R191" s="71"/>
      <c r="S191" s="71"/>
      <c r="T191" s="71"/>
      <c r="U191" s="71"/>
      <c r="V191" s="71"/>
      <c r="W191" s="71"/>
      <c r="X191" s="71"/>
      <c r="Y191" s="71"/>
      <c r="Z191" s="71"/>
      <c r="AA191" s="71"/>
      <c r="AB191" s="71"/>
    </row>
    <row r="192" ht="15.75" customHeight="1">
      <c r="A192" s="71"/>
      <c r="B192" s="71"/>
      <c r="C192" s="61"/>
      <c r="D192" s="61"/>
      <c r="E192" s="71"/>
      <c r="F192" s="71"/>
      <c r="G192" s="61"/>
      <c r="I192" s="61"/>
      <c r="J192" s="71"/>
      <c r="K192" s="71"/>
      <c r="L192" s="71"/>
      <c r="M192" s="71"/>
      <c r="N192" s="71"/>
      <c r="O192" s="71"/>
      <c r="P192" s="71"/>
      <c r="Q192" s="71"/>
      <c r="R192" s="71"/>
      <c r="S192" s="71"/>
      <c r="T192" s="71"/>
      <c r="U192" s="71"/>
      <c r="V192" s="71"/>
      <c r="W192" s="71"/>
      <c r="X192" s="71"/>
      <c r="Y192" s="71"/>
      <c r="Z192" s="71"/>
      <c r="AA192" s="71"/>
      <c r="AB192" s="71"/>
    </row>
    <row r="193" ht="15.75" customHeight="1">
      <c r="A193" s="71"/>
      <c r="B193" s="71"/>
      <c r="C193" s="61"/>
      <c r="D193" s="61"/>
      <c r="E193" s="71"/>
      <c r="F193" s="71"/>
      <c r="G193" s="61"/>
      <c r="I193" s="61"/>
      <c r="J193" s="71"/>
      <c r="K193" s="71"/>
      <c r="L193" s="71"/>
      <c r="M193" s="71"/>
      <c r="N193" s="71"/>
      <c r="O193" s="71"/>
      <c r="P193" s="71"/>
      <c r="Q193" s="71"/>
      <c r="R193" s="71"/>
      <c r="S193" s="71"/>
      <c r="T193" s="71"/>
      <c r="U193" s="71"/>
      <c r="V193" s="71"/>
      <c r="W193" s="71"/>
      <c r="X193" s="71"/>
      <c r="Y193" s="71"/>
      <c r="Z193" s="71"/>
      <c r="AA193" s="71"/>
      <c r="AB193" s="71"/>
    </row>
    <row r="194" ht="15.75" customHeight="1">
      <c r="A194" s="71"/>
      <c r="B194" s="71"/>
      <c r="C194" s="61"/>
      <c r="D194" s="61"/>
      <c r="E194" s="71"/>
      <c r="F194" s="71"/>
      <c r="G194" s="61"/>
      <c r="I194" s="61"/>
      <c r="J194" s="71"/>
      <c r="K194" s="71"/>
      <c r="L194" s="71"/>
      <c r="M194" s="71"/>
      <c r="N194" s="71"/>
      <c r="O194" s="71"/>
      <c r="P194" s="71"/>
      <c r="Q194" s="71"/>
      <c r="R194" s="71"/>
      <c r="S194" s="71"/>
      <c r="T194" s="71"/>
      <c r="U194" s="71"/>
      <c r="V194" s="71"/>
      <c r="W194" s="71"/>
      <c r="X194" s="71"/>
      <c r="Y194" s="71"/>
      <c r="Z194" s="71"/>
      <c r="AA194" s="71"/>
      <c r="AB194" s="71"/>
    </row>
    <row r="195" ht="15.75" customHeight="1">
      <c r="A195" s="71"/>
      <c r="B195" s="71"/>
      <c r="C195" s="61"/>
      <c r="D195" s="61"/>
      <c r="E195" s="71"/>
      <c r="F195" s="71"/>
      <c r="G195" s="61"/>
      <c r="I195" s="61"/>
      <c r="J195" s="71"/>
      <c r="K195" s="71"/>
      <c r="L195" s="71"/>
      <c r="M195" s="71"/>
      <c r="N195" s="71"/>
      <c r="O195" s="71"/>
      <c r="P195" s="71"/>
      <c r="Q195" s="71"/>
      <c r="R195" s="71"/>
      <c r="S195" s="71"/>
      <c r="T195" s="71"/>
      <c r="U195" s="71"/>
      <c r="V195" s="71"/>
      <c r="W195" s="71"/>
      <c r="X195" s="71"/>
      <c r="Y195" s="71"/>
      <c r="Z195" s="71"/>
      <c r="AA195" s="71"/>
      <c r="AB195" s="71"/>
    </row>
    <row r="196" ht="15.75" customHeight="1">
      <c r="A196" s="71"/>
      <c r="B196" s="71"/>
      <c r="C196" s="61"/>
      <c r="D196" s="61"/>
      <c r="E196" s="71"/>
      <c r="F196" s="71"/>
      <c r="G196" s="61"/>
      <c r="I196" s="61"/>
      <c r="J196" s="71"/>
      <c r="K196" s="71"/>
      <c r="L196" s="71"/>
      <c r="M196" s="71"/>
      <c r="N196" s="71"/>
      <c r="O196" s="71"/>
      <c r="P196" s="71"/>
      <c r="Q196" s="71"/>
      <c r="R196" s="71"/>
      <c r="S196" s="71"/>
      <c r="T196" s="71"/>
      <c r="U196" s="71"/>
      <c r="V196" s="71"/>
      <c r="W196" s="71"/>
      <c r="X196" s="71"/>
      <c r="Y196" s="71"/>
      <c r="Z196" s="71"/>
      <c r="AA196" s="71"/>
      <c r="AB196" s="71"/>
    </row>
    <row r="197" ht="15.75" customHeight="1">
      <c r="A197" s="71"/>
      <c r="B197" s="71"/>
      <c r="C197" s="61"/>
      <c r="D197" s="61"/>
      <c r="E197" s="71"/>
      <c r="F197" s="71"/>
      <c r="G197" s="61"/>
      <c r="I197" s="61"/>
      <c r="J197" s="71"/>
      <c r="K197" s="71"/>
      <c r="L197" s="71"/>
      <c r="M197" s="71"/>
      <c r="N197" s="71"/>
      <c r="O197" s="71"/>
      <c r="P197" s="71"/>
      <c r="Q197" s="71"/>
      <c r="R197" s="71"/>
      <c r="S197" s="71"/>
      <c r="T197" s="71"/>
      <c r="U197" s="71"/>
      <c r="V197" s="71"/>
      <c r="W197" s="71"/>
      <c r="X197" s="71"/>
      <c r="Y197" s="71"/>
      <c r="Z197" s="71"/>
      <c r="AA197" s="71"/>
      <c r="AB197" s="71"/>
    </row>
    <row r="198" ht="15.75" customHeight="1">
      <c r="A198" s="71"/>
      <c r="B198" s="71"/>
      <c r="C198" s="61"/>
      <c r="D198" s="61"/>
      <c r="E198" s="71"/>
      <c r="F198" s="71"/>
      <c r="G198" s="61"/>
      <c r="I198" s="61"/>
      <c r="J198" s="71"/>
      <c r="K198" s="71"/>
      <c r="L198" s="71"/>
      <c r="M198" s="71"/>
      <c r="N198" s="71"/>
      <c r="O198" s="71"/>
      <c r="P198" s="71"/>
      <c r="Q198" s="71"/>
      <c r="R198" s="71"/>
      <c r="S198" s="71"/>
      <c r="T198" s="71"/>
      <c r="U198" s="71"/>
      <c r="V198" s="71"/>
      <c r="W198" s="71"/>
      <c r="X198" s="71"/>
      <c r="Y198" s="71"/>
      <c r="Z198" s="71"/>
      <c r="AA198" s="71"/>
      <c r="AB198" s="71"/>
    </row>
    <row r="199" ht="15.75" customHeight="1">
      <c r="A199" s="71"/>
      <c r="B199" s="71"/>
      <c r="C199" s="61"/>
      <c r="D199" s="61"/>
      <c r="E199" s="71"/>
      <c r="F199" s="71"/>
      <c r="G199" s="61"/>
      <c r="I199" s="61"/>
      <c r="J199" s="71"/>
      <c r="K199" s="71"/>
      <c r="L199" s="71"/>
      <c r="M199" s="71"/>
      <c r="N199" s="71"/>
      <c r="O199" s="71"/>
      <c r="P199" s="71"/>
      <c r="Q199" s="71"/>
      <c r="R199" s="71"/>
      <c r="S199" s="71"/>
      <c r="T199" s="71"/>
      <c r="U199" s="71"/>
      <c r="V199" s="71"/>
      <c r="W199" s="71"/>
      <c r="X199" s="71"/>
      <c r="Y199" s="71"/>
      <c r="Z199" s="71"/>
      <c r="AA199" s="71"/>
      <c r="AB199" s="71"/>
    </row>
    <row r="200" ht="15.75" customHeight="1">
      <c r="A200" s="71"/>
      <c r="B200" s="71"/>
      <c r="C200" s="61"/>
      <c r="D200" s="61"/>
      <c r="E200" s="71"/>
      <c r="F200" s="71"/>
      <c r="G200" s="61"/>
      <c r="I200" s="61"/>
      <c r="J200" s="71"/>
      <c r="K200" s="71"/>
      <c r="L200" s="71"/>
      <c r="M200" s="71"/>
      <c r="N200" s="71"/>
      <c r="O200" s="71"/>
      <c r="P200" s="71"/>
      <c r="Q200" s="71"/>
      <c r="R200" s="71"/>
      <c r="S200" s="71"/>
      <c r="T200" s="71"/>
      <c r="U200" s="71"/>
      <c r="V200" s="71"/>
      <c r="W200" s="71"/>
      <c r="X200" s="71"/>
      <c r="Y200" s="71"/>
      <c r="Z200" s="71"/>
      <c r="AA200" s="71"/>
      <c r="AB200" s="71"/>
    </row>
    <row r="201" ht="15.75" customHeight="1">
      <c r="A201" s="71"/>
      <c r="B201" s="71"/>
      <c r="C201" s="61"/>
      <c r="D201" s="61"/>
      <c r="E201" s="71"/>
      <c r="F201" s="71"/>
      <c r="G201" s="61"/>
      <c r="I201" s="61"/>
      <c r="J201" s="71"/>
      <c r="K201" s="71"/>
      <c r="L201" s="71"/>
      <c r="M201" s="71"/>
      <c r="N201" s="71"/>
      <c r="O201" s="71"/>
      <c r="P201" s="71"/>
      <c r="Q201" s="71"/>
      <c r="R201" s="71"/>
      <c r="S201" s="71"/>
      <c r="T201" s="71"/>
      <c r="U201" s="71"/>
      <c r="V201" s="71"/>
      <c r="W201" s="71"/>
      <c r="X201" s="71"/>
      <c r="Y201" s="71"/>
      <c r="Z201" s="71"/>
      <c r="AA201" s="71"/>
      <c r="AB201" s="71"/>
    </row>
    <row r="202" ht="15.75" customHeight="1">
      <c r="A202" s="71"/>
      <c r="B202" s="71"/>
      <c r="C202" s="61"/>
      <c r="D202" s="61"/>
      <c r="E202" s="71"/>
      <c r="F202" s="71"/>
      <c r="G202" s="61"/>
      <c r="I202" s="61"/>
      <c r="J202" s="71"/>
      <c r="K202" s="71"/>
      <c r="L202" s="71"/>
      <c r="M202" s="71"/>
      <c r="N202" s="71"/>
      <c r="O202" s="71"/>
      <c r="P202" s="71"/>
      <c r="Q202" s="71"/>
      <c r="R202" s="71"/>
      <c r="S202" s="71"/>
      <c r="T202" s="71"/>
      <c r="U202" s="71"/>
      <c r="V202" s="71"/>
      <c r="W202" s="71"/>
      <c r="X202" s="71"/>
      <c r="Y202" s="71"/>
      <c r="Z202" s="71"/>
      <c r="AA202" s="71"/>
      <c r="AB202" s="71"/>
    </row>
    <row r="203" ht="15.75" customHeight="1">
      <c r="A203" s="71"/>
      <c r="B203" s="71"/>
      <c r="C203" s="61"/>
      <c r="D203" s="61"/>
      <c r="E203" s="71"/>
      <c r="F203" s="71"/>
      <c r="G203" s="61"/>
      <c r="I203" s="61"/>
      <c r="J203" s="71"/>
      <c r="K203" s="71"/>
      <c r="L203" s="71"/>
      <c r="M203" s="71"/>
      <c r="N203" s="71"/>
      <c r="O203" s="71"/>
      <c r="P203" s="71"/>
      <c r="Q203" s="71"/>
      <c r="R203" s="71"/>
      <c r="S203" s="71"/>
      <c r="T203" s="71"/>
      <c r="U203" s="71"/>
      <c r="V203" s="71"/>
      <c r="W203" s="71"/>
      <c r="X203" s="71"/>
      <c r="Y203" s="71"/>
      <c r="Z203" s="71"/>
      <c r="AA203" s="71"/>
      <c r="AB203" s="71"/>
    </row>
    <row r="204" ht="15.75" customHeight="1">
      <c r="A204" s="71"/>
      <c r="B204" s="71"/>
      <c r="C204" s="61"/>
      <c r="D204" s="61"/>
      <c r="E204" s="71"/>
      <c r="F204" s="71"/>
      <c r="G204" s="61"/>
      <c r="I204" s="61"/>
      <c r="J204" s="71"/>
      <c r="K204" s="71"/>
      <c r="L204" s="71"/>
      <c r="M204" s="71"/>
      <c r="N204" s="71"/>
      <c r="O204" s="71"/>
      <c r="P204" s="71"/>
      <c r="Q204" s="71"/>
      <c r="R204" s="71"/>
      <c r="S204" s="71"/>
      <c r="T204" s="71"/>
      <c r="U204" s="71"/>
      <c r="V204" s="71"/>
      <c r="W204" s="71"/>
      <c r="X204" s="71"/>
      <c r="Y204" s="71"/>
      <c r="Z204" s="71"/>
      <c r="AA204" s="71"/>
      <c r="AB204" s="71"/>
    </row>
    <row r="205" ht="15.75" customHeight="1">
      <c r="A205" s="71"/>
      <c r="B205" s="71"/>
      <c r="C205" s="61"/>
      <c r="D205" s="61"/>
      <c r="E205" s="71"/>
      <c r="F205" s="71"/>
      <c r="G205" s="61"/>
      <c r="I205" s="61"/>
      <c r="J205" s="71"/>
      <c r="K205" s="71"/>
      <c r="L205" s="71"/>
      <c r="M205" s="71"/>
      <c r="N205" s="71"/>
      <c r="O205" s="71"/>
      <c r="P205" s="71"/>
      <c r="Q205" s="71"/>
      <c r="R205" s="71"/>
      <c r="S205" s="71"/>
      <c r="T205" s="71"/>
      <c r="U205" s="71"/>
      <c r="V205" s="71"/>
      <c r="W205" s="71"/>
      <c r="X205" s="71"/>
      <c r="Y205" s="71"/>
      <c r="Z205" s="71"/>
      <c r="AA205" s="71"/>
      <c r="AB205" s="71"/>
    </row>
    <row r="206" ht="15.75" customHeight="1">
      <c r="A206" s="71"/>
      <c r="B206" s="71"/>
      <c r="C206" s="61"/>
      <c r="D206" s="61"/>
      <c r="E206" s="71"/>
      <c r="F206" s="71"/>
      <c r="G206" s="61"/>
      <c r="I206" s="61"/>
      <c r="J206" s="71"/>
      <c r="K206" s="71"/>
      <c r="L206" s="71"/>
      <c r="M206" s="71"/>
      <c r="N206" s="71"/>
      <c r="O206" s="71"/>
      <c r="P206" s="71"/>
      <c r="Q206" s="71"/>
      <c r="R206" s="71"/>
      <c r="S206" s="71"/>
      <c r="T206" s="71"/>
      <c r="U206" s="71"/>
      <c r="V206" s="71"/>
      <c r="W206" s="71"/>
      <c r="X206" s="71"/>
      <c r="Y206" s="71"/>
      <c r="Z206" s="71"/>
      <c r="AA206" s="71"/>
      <c r="AB206" s="71"/>
    </row>
    <row r="207" ht="15.75" customHeight="1">
      <c r="A207" s="71"/>
      <c r="B207" s="71"/>
      <c r="C207" s="61"/>
      <c r="D207" s="61"/>
      <c r="E207" s="71"/>
      <c r="F207" s="71"/>
      <c r="G207" s="61"/>
      <c r="I207" s="61"/>
      <c r="J207" s="71"/>
      <c r="K207" s="71"/>
      <c r="L207" s="71"/>
      <c r="M207" s="71"/>
      <c r="N207" s="71"/>
      <c r="O207" s="71"/>
      <c r="P207" s="71"/>
      <c r="Q207" s="71"/>
      <c r="R207" s="71"/>
      <c r="S207" s="71"/>
      <c r="T207" s="71"/>
      <c r="U207" s="71"/>
      <c r="V207" s="71"/>
      <c r="W207" s="71"/>
      <c r="X207" s="71"/>
      <c r="Y207" s="71"/>
      <c r="Z207" s="71"/>
      <c r="AA207" s="71"/>
      <c r="AB207" s="71"/>
    </row>
    <row r="208" ht="15.75" customHeight="1">
      <c r="A208" s="71"/>
      <c r="B208" s="71"/>
      <c r="C208" s="61"/>
      <c r="D208" s="61"/>
      <c r="E208" s="71"/>
      <c r="F208" s="71"/>
      <c r="G208" s="61"/>
      <c r="I208" s="61"/>
      <c r="J208" s="71"/>
      <c r="K208" s="71"/>
      <c r="L208" s="71"/>
      <c r="M208" s="71"/>
      <c r="N208" s="71"/>
      <c r="O208" s="71"/>
      <c r="P208" s="71"/>
      <c r="Q208" s="71"/>
      <c r="R208" s="71"/>
      <c r="S208" s="71"/>
      <c r="T208" s="71"/>
      <c r="U208" s="71"/>
      <c r="V208" s="71"/>
      <c r="W208" s="71"/>
      <c r="X208" s="71"/>
      <c r="Y208" s="71"/>
      <c r="Z208" s="71"/>
      <c r="AA208" s="71"/>
      <c r="AB208" s="71"/>
    </row>
    <row r="209" ht="15.75" customHeight="1">
      <c r="A209" s="71"/>
      <c r="B209" s="71"/>
      <c r="C209" s="61"/>
      <c r="D209" s="61"/>
      <c r="E209" s="71"/>
      <c r="F209" s="71"/>
      <c r="G209" s="61"/>
      <c r="I209" s="61"/>
      <c r="J209" s="71"/>
      <c r="K209" s="71"/>
      <c r="L209" s="71"/>
      <c r="M209" s="71"/>
      <c r="N209" s="71"/>
      <c r="O209" s="71"/>
      <c r="P209" s="71"/>
      <c r="Q209" s="71"/>
      <c r="R209" s="71"/>
      <c r="S209" s="71"/>
      <c r="T209" s="71"/>
      <c r="U209" s="71"/>
      <c r="V209" s="71"/>
      <c r="W209" s="71"/>
      <c r="X209" s="71"/>
      <c r="Y209" s="71"/>
      <c r="Z209" s="71"/>
      <c r="AA209" s="71"/>
      <c r="AB209" s="71"/>
    </row>
    <row r="210" ht="15.75" customHeight="1">
      <c r="A210" s="71"/>
      <c r="B210" s="71"/>
      <c r="C210" s="61"/>
      <c r="D210" s="61"/>
      <c r="E210" s="71"/>
      <c r="F210" s="71"/>
      <c r="G210" s="61"/>
      <c r="I210" s="61"/>
      <c r="J210" s="71"/>
      <c r="K210" s="71"/>
      <c r="L210" s="71"/>
      <c r="M210" s="71"/>
      <c r="N210" s="71"/>
      <c r="O210" s="71"/>
      <c r="P210" s="71"/>
      <c r="Q210" s="71"/>
      <c r="R210" s="71"/>
      <c r="S210" s="71"/>
      <c r="T210" s="71"/>
      <c r="U210" s="71"/>
      <c r="V210" s="71"/>
      <c r="W210" s="71"/>
      <c r="X210" s="71"/>
      <c r="Y210" s="71"/>
      <c r="Z210" s="71"/>
      <c r="AA210" s="71"/>
      <c r="AB210" s="71"/>
    </row>
    <row r="211" ht="15.75" customHeight="1">
      <c r="A211" s="71"/>
      <c r="B211" s="71"/>
      <c r="C211" s="61"/>
      <c r="D211" s="61"/>
      <c r="E211" s="71"/>
      <c r="F211" s="71"/>
      <c r="G211" s="61"/>
      <c r="I211" s="61"/>
      <c r="J211" s="71"/>
      <c r="K211" s="71"/>
      <c r="L211" s="71"/>
      <c r="M211" s="71"/>
      <c r="N211" s="71"/>
      <c r="O211" s="71"/>
      <c r="P211" s="71"/>
      <c r="Q211" s="71"/>
      <c r="R211" s="71"/>
      <c r="S211" s="71"/>
      <c r="T211" s="71"/>
      <c r="U211" s="71"/>
      <c r="V211" s="71"/>
      <c r="W211" s="71"/>
      <c r="X211" s="71"/>
      <c r="Y211" s="71"/>
      <c r="Z211" s="71"/>
      <c r="AA211" s="71"/>
      <c r="AB211" s="71"/>
    </row>
    <row r="212" ht="15.75" customHeight="1">
      <c r="A212" s="71"/>
      <c r="B212" s="71"/>
      <c r="C212" s="61"/>
      <c r="D212" s="61"/>
      <c r="E212" s="71"/>
      <c r="F212" s="71"/>
      <c r="G212" s="61"/>
      <c r="I212" s="61"/>
      <c r="J212" s="71"/>
      <c r="K212" s="71"/>
      <c r="L212" s="71"/>
      <c r="M212" s="71"/>
      <c r="N212" s="71"/>
      <c r="O212" s="71"/>
      <c r="P212" s="71"/>
      <c r="Q212" s="71"/>
      <c r="R212" s="71"/>
      <c r="S212" s="71"/>
      <c r="T212" s="71"/>
      <c r="U212" s="71"/>
      <c r="V212" s="71"/>
      <c r="W212" s="71"/>
      <c r="X212" s="71"/>
      <c r="Y212" s="71"/>
      <c r="Z212" s="71"/>
      <c r="AA212" s="71"/>
      <c r="AB212" s="71"/>
    </row>
    <row r="213" ht="15.75" customHeight="1">
      <c r="A213" s="71"/>
      <c r="B213" s="71"/>
      <c r="C213" s="61"/>
      <c r="D213" s="61"/>
      <c r="E213" s="71"/>
      <c r="F213" s="71"/>
      <c r="G213" s="61"/>
      <c r="I213" s="61"/>
      <c r="J213" s="71"/>
      <c r="K213" s="71"/>
      <c r="L213" s="71"/>
      <c r="M213" s="71"/>
      <c r="N213" s="71"/>
      <c r="O213" s="71"/>
      <c r="P213" s="71"/>
      <c r="Q213" s="71"/>
      <c r="R213" s="71"/>
      <c r="S213" s="71"/>
      <c r="T213" s="71"/>
      <c r="U213" s="71"/>
      <c r="V213" s="71"/>
      <c r="W213" s="71"/>
      <c r="X213" s="71"/>
      <c r="Y213" s="71"/>
      <c r="Z213" s="71"/>
      <c r="AA213" s="71"/>
      <c r="AB213" s="71"/>
    </row>
    <row r="214" ht="15.75" customHeight="1">
      <c r="A214" s="71"/>
      <c r="B214" s="71"/>
      <c r="C214" s="61"/>
      <c r="D214" s="61"/>
      <c r="E214" s="71"/>
      <c r="F214" s="71"/>
      <c r="G214" s="61"/>
      <c r="I214" s="61"/>
      <c r="J214" s="71"/>
      <c r="K214" s="71"/>
      <c r="L214" s="71"/>
      <c r="M214" s="71"/>
      <c r="N214" s="71"/>
      <c r="O214" s="71"/>
      <c r="P214" s="71"/>
      <c r="Q214" s="71"/>
      <c r="R214" s="71"/>
      <c r="S214" s="71"/>
      <c r="T214" s="71"/>
      <c r="U214" s="71"/>
      <c r="V214" s="71"/>
      <c r="W214" s="71"/>
      <c r="X214" s="71"/>
      <c r="Y214" s="71"/>
      <c r="Z214" s="71"/>
      <c r="AA214" s="71"/>
      <c r="AB214" s="71"/>
    </row>
    <row r="215" ht="15.75" customHeight="1">
      <c r="A215" s="71"/>
      <c r="B215" s="71"/>
      <c r="C215" s="61"/>
      <c r="D215" s="61"/>
      <c r="E215" s="71"/>
      <c r="F215" s="71"/>
      <c r="G215" s="61"/>
      <c r="I215" s="61"/>
      <c r="J215" s="71"/>
      <c r="K215" s="71"/>
      <c r="L215" s="71"/>
      <c r="M215" s="71"/>
      <c r="N215" s="71"/>
      <c r="O215" s="71"/>
      <c r="P215" s="71"/>
      <c r="Q215" s="71"/>
      <c r="R215" s="71"/>
      <c r="S215" s="71"/>
      <c r="T215" s="71"/>
      <c r="U215" s="71"/>
      <c r="V215" s="71"/>
      <c r="W215" s="71"/>
      <c r="X215" s="71"/>
      <c r="Y215" s="71"/>
      <c r="Z215" s="71"/>
      <c r="AA215" s="71"/>
      <c r="AB215" s="71"/>
    </row>
    <row r="216" ht="15.75" customHeight="1">
      <c r="A216" s="71"/>
      <c r="B216" s="71"/>
      <c r="C216" s="61"/>
      <c r="D216" s="61"/>
      <c r="E216" s="71"/>
      <c r="F216" s="71"/>
      <c r="G216" s="61"/>
      <c r="I216" s="61"/>
      <c r="J216" s="71"/>
      <c r="K216" s="71"/>
      <c r="L216" s="71"/>
      <c r="M216" s="71"/>
      <c r="N216" s="71"/>
      <c r="O216" s="71"/>
      <c r="P216" s="71"/>
      <c r="Q216" s="71"/>
      <c r="R216" s="71"/>
      <c r="S216" s="71"/>
      <c r="T216" s="71"/>
      <c r="U216" s="71"/>
      <c r="V216" s="71"/>
      <c r="W216" s="71"/>
      <c r="X216" s="71"/>
      <c r="Y216" s="71"/>
      <c r="Z216" s="71"/>
      <c r="AA216" s="71"/>
      <c r="AB216" s="71"/>
    </row>
    <row r="217" ht="15.75" customHeight="1">
      <c r="A217" s="71"/>
      <c r="B217" s="71"/>
      <c r="C217" s="61"/>
      <c r="D217" s="61"/>
      <c r="E217" s="71"/>
      <c r="F217" s="71"/>
      <c r="G217" s="61"/>
      <c r="I217" s="61"/>
      <c r="J217" s="71"/>
      <c r="K217" s="71"/>
      <c r="L217" s="71"/>
      <c r="M217" s="71"/>
      <c r="N217" s="71"/>
      <c r="O217" s="71"/>
      <c r="P217" s="71"/>
      <c r="Q217" s="71"/>
      <c r="R217" s="71"/>
      <c r="S217" s="71"/>
      <c r="T217" s="71"/>
      <c r="U217" s="71"/>
      <c r="V217" s="71"/>
      <c r="W217" s="71"/>
      <c r="X217" s="71"/>
      <c r="Y217" s="71"/>
      <c r="Z217" s="71"/>
      <c r="AA217" s="71"/>
      <c r="AB217" s="71"/>
    </row>
    <row r="218" ht="15.75" customHeight="1">
      <c r="A218" s="71"/>
      <c r="B218" s="71"/>
      <c r="C218" s="61"/>
      <c r="D218" s="61"/>
      <c r="E218" s="71"/>
      <c r="F218" s="71"/>
      <c r="G218" s="61"/>
      <c r="I218" s="61"/>
      <c r="J218" s="71"/>
      <c r="K218" s="71"/>
      <c r="L218" s="71"/>
      <c r="M218" s="71"/>
      <c r="N218" s="71"/>
      <c r="O218" s="71"/>
      <c r="P218" s="71"/>
      <c r="Q218" s="71"/>
      <c r="R218" s="71"/>
      <c r="S218" s="71"/>
      <c r="T218" s="71"/>
      <c r="U218" s="71"/>
      <c r="V218" s="71"/>
      <c r="W218" s="71"/>
      <c r="X218" s="71"/>
      <c r="Y218" s="71"/>
      <c r="Z218" s="71"/>
      <c r="AA218" s="71"/>
      <c r="AB218" s="71"/>
    </row>
    <row r="219" ht="15.75" customHeight="1">
      <c r="A219" s="71"/>
      <c r="B219" s="71"/>
      <c r="C219" s="61"/>
      <c r="D219" s="61"/>
      <c r="E219" s="71"/>
      <c r="F219" s="71"/>
      <c r="G219" s="61"/>
      <c r="I219" s="61"/>
      <c r="J219" s="71"/>
      <c r="K219" s="71"/>
      <c r="L219" s="71"/>
      <c r="M219" s="71"/>
      <c r="N219" s="71"/>
      <c r="O219" s="71"/>
      <c r="P219" s="71"/>
      <c r="Q219" s="71"/>
      <c r="R219" s="71"/>
      <c r="S219" s="71"/>
      <c r="T219" s="71"/>
      <c r="U219" s="71"/>
      <c r="V219" s="71"/>
      <c r="W219" s="71"/>
      <c r="X219" s="71"/>
      <c r="Y219" s="71"/>
      <c r="Z219" s="71"/>
      <c r="AA219" s="71"/>
      <c r="AB219" s="71"/>
    </row>
    <row r="220" ht="15.75" customHeight="1">
      <c r="A220" s="71"/>
      <c r="B220" s="71"/>
      <c r="C220" s="61"/>
      <c r="D220" s="61"/>
      <c r="E220" s="71"/>
      <c r="F220" s="71"/>
      <c r="G220" s="61"/>
      <c r="I220" s="61"/>
      <c r="J220" s="71"/>
      <c r="K220" s="71"/>
      <c r="L220" s="71"/>
      <c r="M220" s="71"/>
      <c r="N220" s="71"/>
      <c r="O220" s="71"/>
      <c r="P220" s="71"/>
      <c r="Q220" s="71"/>
      <c r="R220" s="71"/>
      <c r="S220" s="71"/>
      <c r="T220" s="71"/>
      <c r="U220" s="71"/>
      <c r="V220" s="71"/>
      <c r="W220" s="71"/>
      <c r="X220" s="71"/>
      <c r="Y220" s="71"/>
      <c r="Z220" s="71"/>
      <c r="AA220" s="71"/>
      <c r="AB220" s="71"/>
    </row>
    <row r="221" ht="15.75" customHeight="1">
      <c r="A221" s="71"/>
      <c r="B221" s="71"/>
      <c r="C221" s="61"/>
      <c r="D221" s="61"/>
      <c r="E221" s="71"/>
      <c r="F221" s="71"/>
      <c r="G221" s="61"/>
      <c r="I221" s="61"/>
      <c r="J221" s="71"/>
      <c r="K221" s="71"/>
      <c r="L221" s="71"/>
      <c r="M221" s="71"/>
      <c r="N221" s="71"/>
      <c r="O221" s="71"/>
      <c r="P221" s="71"/>
      <c r="Q221" s="71"/>
      <c r="R221" s="71"/>
      <c r="S221" s="71"/>
      <c r="T221" s="71"/>
      <c r="U221" s="71"/>
      <c r="V221" s="71"/>
      <c r="W221" s="71"/>
      <c r="X221" s="71"/>
      <c r="Y221" s="71"/>
      <c r="Z221" s="71"/>
      <c r="AA221" s="71"/>
      <c r="AB221" s="71"/>
    </row>
    <row r="222" ht="15.75" customHeight="1">
      <c r="A222" s="71"/>
      <c r="B222" s="71"/>
      <c r="C222" s="61"/>
      <c r="D222" s="61"/>
      <c r="E222" s="71"/>
      <c r="F222" s="71"/>
      <c r="G222" s="61"/>
      <c r="I222" s="61"/>
      <c r="J222" s="71"/>
      <c r="K222" s="71"/>
      <c r="L222" s="71"/>
      <c r="M222" s="71"/>
      <c r="N222" s="71"/>
      <c r="O222" s="71"/>
      <c r="P222" s="71"/>
      <c r="Q222" s="71"/>
      <c r="R222" s="71"/>
      <c r="S222" s="71"/>
      <c r="T222" s="71"/>
      <c r="U222" s="71"/>
      <c r="V222" s="71"/>
      <c r="W222" s="71"/>
      <c r="X222" s="71"/>
      <c r="Y222" s="71"/>
      <c r="Z222" s="71"/>
      <c r="AA222" s="71"/>
      <c r="AB222" s="71"/>
    </row>
    <row r="223" ht="15.75" customHeight="1">
      <c r="A223" s="71"/>
      <c r="B223" s="71"/>
      <c r="C223" s="61"/>
      <c r="D223" s="61"/>
      <c r="E223" s="71"/>
      <c r="F223" s="71"/>
      <c r="G223" s="61"/>
      <c r="I223" s="61"/>
      <c r="J223" s="71"/>
      <c r="K223" s="71"/>
      <c r="L223" s="71"/>
      <c r="M223" s="71"/>
      <c r="N223" s="71"/>
      <c r="O223" s="71"/>
      <c r="P223" s="71"/>
      <c r="Q223" s="71"/>
      <c r="R223" s="71"/>
      <c r="S223" s="71"/>
      <c r="T223" s="71"/>
      <c r="U223" s="71"/>
      <c r="V223" s="71"/>
      <c r="W223" s="71"/>
      <c r="X223" s="71"/>
      <c r="Y223" s="71"/>
      <c r="Z223" s="71"/>
      <c r="AA223" s="71"/>
      <c r="AB223" s="71"/>
    </row>
    <row r="224" ht="15.75" customHeight="1">
      <c r="A224" s="71"/>
      <c r="B224" s="71"/>
      <c r="C224" s="61"/>
      <c r="D224" s="61"/>
      <c r="E224" s="71"/>
      <c r="F224" s="71"/>
      <c r="G224" s="61"/>
      <c r="I224" s="61"/>
      <c r="J224" s="71"/>
      <c r="K224" s="71"/>
      <c r="L224" s="71"/>
      <c r="M224" s="71"/>
      <c r="N224" s="71"/>
      <c r="O224" s="71"/>
      <c r="P224" s="71"/>
      <c r="Q224" s="71"/>
      <c r="R224" s="71"/>
      <c r="S224" s="71"/>
      <c r="T224" s="71"/>
      <c r="U224" s="71"/>
      <c r="V224" s="71"/>
      <c r="W224" s="71"/>
      <c r="X224" s="71"/>
      <c r="Y224" s="71"/>
      <c r="Z224" s="71"/>
      <c r="AA224" s="71"/>
      <c r="AB224" s="71"/>
    </row>
    <row r="225" ht="15.75" customHeight="1">
      <c r="A225" s="71"/>
      <c r="B225" s="71"/>
      <c r="C225" s="61"/>
      <c r="D225" s="61"/>
      <c r="E225" s="71"/>
      <c r="F225" s="71"/>
      <c r="G225" s="61"/>
      <c r="I225" s="61"/>
      <c r="J225" s="71"/>
      <c r="K225" s="71"/>
      <c r="L225" s="71"/>
      <c r="M225" s="71"/>
      <c r="N225" s="71"/>
      <c r="O225" s="71"/>
      <c r="P225" s="71"/>
      <c r="Q225" s="71"/>
      <c r="R225" s="71"/>
      <c r="S225" s="71"/>
      <c r="T225" s="71"/>
      <c r="U225" s="71"/>
      <c r="V225" s="71"/>
      <c r="W225" s="71"/>
      <c r="X225" s="71"/>
      <c r="Y225" s="71"/>
      <c r="Z225" s="71"/>
      <c r="AA225" s="71"/>
      <c r="AB225" s="71"/>
    </row>
    <row r="226" ht="15.75" customHeight="1">
      <c r="A226" s="71"/>
      <c r="B226" s="71"/>
      <c r="C226" s="61"/>
      <c r="D226" s="61"/>
      <c r="E226" s="71"/>
      <c r="F226" s="71"/>
      <c r="G226" s="61"/>
      <c r="I226" s="61"/>
      <c r="J226" s="71"/>
      <c r="K226" s="71"/>
      <c r="L226" s="71"/>
      <c r="M226" s="71"/>
      <c r="N226" s="71"/>
      <c r="O226" s="71"/>
      <c r="P226" s="71"/>
      <c r="Q226" s="71"/>
      <c r="R226" s="71"/>
      <c r="S226" s="71"/>
      <c r="T226" s="71"/>
      <c r="U226" s="71"/>
      <c r="V226" s="71"/>
      <c r="W226" s="71"/>
      <c r="X226" s="71"/>
      <c r="Y226" s="71"/>
      <c r="Z226" s="71"/>
      <c r="AA226" s="71"/>
      <c r="AB226" s="71"/>
    </row>
    <row r="227" ht="15.75" customHeight="1">
      <c r="A227" s="71"/>
      <c r="B227" s="71"/>
      <c r="C227" s="61"/>
      <c r="D227" s="61"/>
      <c r="E227" s="71"/>
      <c r="F227" s="71"/>
      <c r="G227" s="61"/>
      <c r="I227" s="61"/>
      <c r="J227" s="71"/>
      <c r="K227" s="71"/>
      <c r="L227" s="71"/>
      <c r="M227" s="71"/>
      <c r="N227" s="71"/>
      <c r="O227" s="71"/>
      <c r="P227" s="71"/>
      <c r="Q227" s="71"/>
      <c r="R227" s="71"/>
      <c r="S227" s="71"/>
      <c r="T227" s="71"/>
      <c r="U227" s="71"/>
      <c r="V227" s="71"/>
      <c r="W227" s="71"/>
      <c r="X227" s="71"/>
      <c r="Y227" s="71"/>
      <c r="Z227" s="71"/>
      <c r="AA227" s="71"/>
      <c r="AB227" s="71"/>
    </row>
    <row r="228" ht="15.75" customHeight="1">
      <c r="A228" s="71"/>
      <c r="B228" s="71"/>
      <c r="C228" s="61"/>
      <c r="D228" s="61"/>
      <c r="E228" s="71"/>
      <c r="F228" s="71"/>
      <c r="G228" s="61"/>
      <c r="I228" s="61"/>
      <c r="J228" s="71"/>
      <c r="K228" s="71"/>
      <c r="L228" s="71"/>
      <c r="M228" s="71"/>
      <c r="N228" s="71"/>
      <c r="O228" s="71"/>
      <c r="P228" s="71"/>
      <c r="Q228" s="71"/>
      <c r="R228" s="71"/>
      <c r="S228" s="71"/>
      <c r="T228" s="71"/>
      <c r="U228" s="71"/>
      <c r="V228" s="71"/>
      <c r="W228" s="71"/>
      <c r="X228" s="71"/>
      <c r="Y228" s="71"/>
      <c r="Z228" s="71"/>
      <c r="AA228" s="71"/>
      <c r="AB228" s="71"/>
    </row>
    <row r="229" ht="15.75" customHeight="1">
      <c r="A229" s="71"/>
      <c r="B229" s="71"/>
      <c r="C229" s="61"/>
      <c r="D229" s="61"/>
      <c r="E229" s="71"/>
      <c r="F229" s="71"/>
      <c r="G229" s="61"/>
      <c r="I229" s="61"/>
      <c r="J229" s="71"/>
      <c r="K229" s="71"/>
      <c r="L229" s="71"/>
      <c r="M229" s="71"/>
      <c r="N229" s="71"/>
      <c r="O229" s="71"/>
      <c r="P229" s="71"/>
      <c r="Q229" s="71"/>
      <c r="R229" s="71"/>
      <c r="S229" s="71"/>
      <c r="T229" s="71"/>
      <c r="U229" s="71"/>
      <c r="V229" s="71"/>
      <c r="W229" s="71"/>
      <c r="X229" s="71"/>
      <c r="Y229" s="71"/>
      <c r="Z229" s="71"/>
      <c r="AA229" s="71"/>
      <c r="AB229" s="71"/>
    </row>
    <row r="230" ht="15.75" customHeight="1">
      <c r="A230" s="71"/>
      <c r="B230" s="71"/>
      <c r="C230" s="61"/>
      <c r="D230" s="61"/>
      <c r="E230" s="71"/>
      <c r="F230" s="71"/>
      <c r="G230" s="61"/>
      <c r="I230" s="61"/>
      <c r="J230" s="71"/>
      <c r="K230" s="71"/>
      <c r="L230" s="71"/>
      <c r="M230" s="71"/>
      <c r="N230" s="71"/>
      <c r="O230" s="71"/>
      <c r="P230" s="71"/>
      <c r="Q230" s="71"/>
      <c r="R230" s="71"/>
      <c r="S230" s="71"/>
      <c r="T230" s="71"/>
      <c r="U230" s="71"/>
      <c r="V230" s="71"/>
      <c r="W230" s="71"/>
      <c r="X230" s="71"/>
      <c r="Y230" s="71"/>
      <c r="Z230" s="71"/>
      <c r="AA230" s="71"/>
      <c r="AB230" s="71"/>
    </row>
    <row r="231" ht="15.75" customHeight="1">
      <c r="A231" s="71"/>
      <c r="B231" s="71"/>
      <c r="C231" s="61"/>
      <c r="D231" s="61"/>
      <c r="E231" s="71"/>
      <c r="F231" s="71"/>
      <c r="G231" s="61"/>
      <c r="I231" s="61"/>
      <c r="J231" s="71"/>
      <c r="K231" s="71"/>
      <c r="L231" s="71"/>
      <c r="M231" s="71"/>
      <c r="N231" s="71"/>
      <c r="O231" s="71"/>
      <c r="P231" s="71"/>
      <c r="Q231" s="71"/>
      <c r="R231" s="71"/>
      <c r="S231" s="71"/>
      <c r="T231" s="71"/>
      <c r="U231" s="71"/>
      <c r="V231" s="71"/>
      <c r="W231" s="71"/>
      <c r="X231" s="71"/>
      <c r="Y231" s="71"/>
      <c r="Z231" s="71"/>
      <c r="AA231" s="71"/>
      <c r="AB231" s="71"/>
    </row>
    <row r="232" ht="15.75" customHeight="1">
      <c r="A232" s="71"/>
      <c r="B232" s="71"/>
      <c r="C232" s="61"/>
      <c r="D232" s="61"/>
      <c r="E232" s="71"/>
      <c r="F232" s="71"/>
      <c r="G232" s="61"/>
      <c r="I232" s="61"/>
      <c r="J232" s="71"/>
      <c r="K232" s="71"/>
      <c r="L232" s="71"/>
      <c r="M232" s="71"/>
      <c r="N232" s="71"/>
      <c r="O232" s="71"/>
      <c r="P232" s="71"/>
      <c r="Q232" s="71"/>
      <c r="R232" s="71"/>
      <c r="S232" s="71"/>
      <c r="T232" s="71"/>
      <c r="U232" s="71"/>
      <c r="V232" s="71"/>
      <c r="W232" s="71"/>
      <c r="X232" s="71"/>
      <c r="Y232" s="71"/>
      <c r="Z232" s="71"/>
      <c r="AA232" s="71"/>
      <c r="AB232" s="71"/>
    </row>
    <row r="233" ht="15.75" customHeight="1">
      <c r="A233" s="71"/>
      <c r="B233" s="71"/>
      <c r="C233" s="61"/>
      <c r="D233" s="61"/>
      <c r="E233" s="71"/>
      <c r="F233" s="71"/>
      <c r="G233" s="61"/>
      <c r="I233" s="61"/>
      <c r="J233" s="71"/>
      <c r="K233" s="71"/>
      <c r="L233" s="71"/>
      <c r="M233" s="71"/>
      <c r="N233" s="71"/>
      <c r="O233" s="71"/>
      <c r="P233" s="71"/>
      <c r="Q233" s="71"/>
      <c r="R233" s="71"/>
      <c r="S233" s="71"/>
      <c r="T233" s="71"/>
      <c r="U233" s="71"/>
      <c r="V233" s="71"/>
      <c r="W233" s="71"/>
      <c r="X233" s="71"/>
      <c r="Y233" s="71"/>
      <c r="Z233" s="71"/>
      <c r="AA233" s="71"/>
      <c r="AB233" s="71"/>
    </row>
    <row r="234" ht="15.75" customHeight="1">
      <c r="A234" s="71"/>
      <c r="B234" s="71"/>
      <c r="C234" s="61"/>
      <c r="D234" s="61"/>
      <c r="E234" s="71"/>
      <c r="F234" s="71"/>
      <c r="G234" s="61"/>
      <c r="I234" s="61"/>
      <c r="J234" s="71"/>
      <c r="K234" s="71"/>
      <c r="L234" s="71"/>
      <c r="M234" s="71"/>
      <c r="N234" s="71"/>
      <c r="O234" s="71"/>
      <c r="P234" s="71"/>
      <c r="Q234" s="71"/>
      <c r="R234" s="71"/>
      <c r="S234" s="71"/>
      <c r="T234" s="71"/>
      <c r="U234" s="71"/>
      <c r="V234" s="71"/>
      <c r="W234" s="71"/>
      <c r="X234" s="71"/>
      <c r="Y234" s="71"/>
      <c r="Z234" s="71"/>
      <c r="AA234" s="71"/>
      <c r="AB234" s="71"/>
    </row>
    <row r="235" ht="15.75" customHeight="1">
      <c r="A235" s="71"/>
      <c r="B235" s="71"/>
      <c r="C235" s="61"/>
      <c r="D235" s="61"/>
      <c r="E235" s="71"/>
      <c r="F235" s="71"/>
      <c r="G235" s="61"/>
      <c r="I235" s="61"/>
      <c r="J235" s="71"/>
      <c r="K235" s="71"/>
      <c r="L235" s="71"/>
      <c r="M235" s="71"/>
      <c r="N235" s="71"/>
      <c r="O235" s="71"/>
      <c r="P235" s="71"/>
      <c r="Q235" s="71"/>
      <c r="R235" s="71"/>
      <c r="S235" s="71"/>
      <c r="T235" s="71"/>
      <c r="U235" s="71"/>
      <c r="V235" s="71"/>
      <c r="W235" s="71"/>
      <c r="X235" s="71"/>
      <c r="Y235" s="71"/>
      <c r="Z235" s="71"/>
      <c r="AA235" s="71"/>
      <c r="AB235" s="71"/>
    </row>
    <row r="236" ht="15.75" customHeight="1">
      <c r="A236" s="71"/>
      <c r="B236" s="71"/>
      <c r="C236" s="61"/>
      <c r="D236" s="61"/>
      <c r="E236" s="71"/>
      <c r="F236" s="71"/>
      <c r="G236" s="61"/>
      <c r="I236" s="61"/>
      <c r="J236" s="71"/>
      <c r="K236" s="71"/>
      <c r="L236" s="71"/>
      <c r="M236" s="71"/>
      <c r="N236" s="71"/>
      <c r="O236" s="71"/>
      <c r="P236" s="71"/>
      <c r="Q236" s="71"/>
      <c r="R236" s="71"/>
      <c r="S236" s="71"/>
      <c r="T236" s="71"/>
      <c r="U236" s="71"/>
      <c r="V236" s="71"/>
      <c r="W236" s="71"/>
      <c r="X236" s="71"/>
      <c r="Y236" s="71"/>
      <c r="Z236" s="71"/>
      <c r="AA236" s="71"/>
      <c r="AB236" s="71"/>
    </row>
    <row r="237" ht="15.75" customHeight="1">
      <c r="A237" s="71"/>
      <c r="B237" s="71"/>
      <c r="C237" s="61"/>
      <c r="D237" s="61"/>
      <c r="E237" s="71"/>
      <c r="F237" s="71"/>
      <c r="G237" s="61"/>
      <c r="I237" s="61"/>
      <c r="J237" s="71"/>
      <c r="K237" s="71"/>
      <c r="L237" s="71"/>
      <c r="M237" s="71"/>
      <c r="N237" s="71"/>
      <c r="O237" s="71"/>
      <c r="P237" s="71"/>
      <c r="Q237" s="71"/>
      <c r="R237" s="71"/>
      <c r="S237" s="71"/>
      <c r="T237" s="71"/>
      <c r="U237" s="71"/>
      <c r="V237" s="71"/>
      <c r="W237" s="71"/>
      <c r="X237" s="71"/>
      <c r="Y237" s="71"/>
      <c r="Z237" s="71"/>
      <c r="AA237" s="71"/>
      <c r="AB237" s="71"/>
    </row>
    <row r="238" ht="15.75" customHeight="1">
      <c r="A238" s="71"/>
      <c r="B238" s="71"/>
      <c r="C238" s="61"/>
      <c r="D238" s="61"/>
      <c r="E238" s="71"/>
      <c r="F238" s="71"/>
      <c r="G238" s="61"/>
      <c r="I238" s="61"/>
      <c r="J238" s="71"/>
      <c r="K238" s="71"/>
      <c r="L238" s="71"/>
      <c r="M238" s="71"/>
      <c r="N238" s="71"/>
      <c r="O238" s="71"/>
      <c r="P238" s="71"/>
      <c r="Q238" s="71"/>
      <c r="R238" s="71"/>
      <c r="S238" s="71"/>
      <c r="T238" s="71"/>
      <c r="U238" s="71"/>
      <c r="V238" s="71"/>
      <c r="W238" s="71"/>
      <c r="X238" s="71"/>
      <c r="Y238" s="71"/>
      <c r="Z238" s="71"/>
      <c r="AA238" s="71"/>
      <c r="AB238" s="71"/>
    </row>
    <row r="239" ht="15.75" customHeight="1">
      <c r="A239" s="71"/>
      <c r="B239" s="71"/>
      <c r="C239" s="61"/>
      <c r="D239" s="61"/>
      <c r="E239" s="71"/>
      <c r="F239" s="71"/>
      <c r="G239" s="61"/>
      <c r="I239" s="61"/>
      <c r="J239" s="71"/>
      <c r="K239" s="71"/>
      <c r="L239" s="71"/>
      <c r="M239" s="71"/>
      <c r="N239" s="71"/>
      <c r="O239" s="71"/>
      <c r="P239" s="71"/>
      <c r="Q239" s="71"/>
      <c r="R239" s="71"/>
      <c r="S239" s="71"/>
      <c r="T239" s="71"/>
      <c r="U239" s="71"/>
      <c r="V239" s="71"/>
      <c r="W239" s="71"/>
      <c r="X239" s="71"/>
      <c r="Y239" s="71"/>
      <c r="Z239" s="71"/>
      <c r="AA239" s="71"/>
      <c r="AB239" s="71"/>
    </row>
    <row r="240" ht="15.75" customHeight="1">
      <c r="A240" s="71"/>
      <c r="B240" s="71"/>
      <c r="C240" s="61"/>
      <c r="D240" s="61"/>
      <c r="E240" s="71"/>
      <c r="F240" s="71"/>
      <c r="G240" s="61"/>
      <c r="I240" s="61"/>
      <c r="J240" s="71"/>
      <c r="K240" s="71"/>
      <c r="L240" s="71"/>
      <c r="M240" s="71"/>
      <c r="N240" s="71"/>
      <c r="O240" s="71"/>
      <c r="P240" s="71"/>
      <c r="Q240" s="71"/>
      <c r="R240" s="71"/>
      <c r="S240" s="71"/>
      <c r="T240" s="71"/>
      <c r="U240" s="71"/>
      <c r="V240" s="71"/>
      <c r="W240" s="71"/>
      <c r="X240" s="71"/>
      <c r="Y240" s="71"/>
      <c r="Z240" s="71"/>
      <c r="AA240" s="71"/>
      <c r="AB240" s="71"/>
    </row>
    <row r="241" ht="15.75" customHeight="1">
      <c r="A241" s="71"/>
      <c r="B241" s="71"/>
      <c r="C241" s="61"/>
      <c r="D241" s="61"/>
      <c r="E241" s="71"/>
      <c r="F241" s="71"/>
      <c r="G241" s="61"/>
      <c r="I241" s="61"/>
      <c r="J241" s="71"/>
      <c r="K241" s="71"/>
      <c r="L241" s="71"/>
      <c r="M241" s="71"/>
      <c r="N241" s="71"/>
      <c r="O241" s="71"/>
      <c r="P241" s="71"/>
      <c r="Q241" s="71"/>
      <c r="R241" s="71"/>
      <c r="S241" s="71"/>
      <c r="T241" s="71"/>
      <c r="U241" s="71"/>
      <c r="V241" s="71"/>
      <c r="W241" s="71"/>
      <c r="X241" s="71"/>
      <c r="Y241" s="71"/>
      <c r="Z241" s="71"/>
      <c r="AA241" s="71"/>
      <c r="AB241" s="71"/>
    </row>
    <row r="242" ht="15.75" customHeight="1">
      <c r="A242" s="71"/>
      <c r="B242" s="71"/>
      <c r="C242" s="61"/>
      <c r="D242" s="61"/>
      <c r="E242" s="71"/>
      <c r="F242" s="71"/>
      <c r="G242" s="61"/>
      <c r="I242" s="61"/>
      <c r="J242" s="71"/>
      <c r="K242" s="71"/>
      <c r="L242" s="71"/>
      <c r="M242" s="71"/>
      <c r="N242" s="71"/>
      <c r="O242" s="71"/>
      <c r="P242" s="71"/>
      <c r="Q242" s="71"/>
      <c r="R242" s="71"/>
      <c r="S242" s="71"/>
      <c r="T242" s="71"/>
      <c r="U242" s="71"/>
      <c r="V242" s="71"/>
      <c r="W242" s="71"/>
      <c r="X242" s="71"/>
      <c r="Y242" s="71"/>
      <c r="Z242" s="71"/>
      <c r="AA242" s="71"/>
      <c r="AB242" s="71"/>
    </row>
    <row r="243" ht="15.75" customHeight="1">
      <c r="A243" s="71"/>
      <c r="B243" s="71"/>
      <c r="C243" s="61"/>
      <c r="D243" s="61"/>
      <c r="E243" s="71"/>
      <c r="F243" s="71"/>
      <c r="G243" s="61"/>
      <c r="I243" s="61"/>
      <c r="J243" s="71"/>
      <c r="K243" s="71"/>
      <c r="L243" s="71"/>
      <c r="M243" s="71"/>
      <c r="N243" s="71"/>
      <c r="O243" s="71"/>
      <c r="P243" s="71"/>
      <c r="Q243" s="71"/>
      <c r="R243" s="71"/>
      <c r="S243" s="71"/>
      <c r="T243" s="71"/>
      <c r="U243" s="71"/>
      <c r="V243" s="71"/>
      <c r="W243" s="71"/>
      <c r="X243" s="71"/>
      <c r="Y243" s="71"/>
      <c r="Z243" s="71"/>
      <c r="AA243" s="71"/>
      <c r="AB243" s="71"/>
    </row>
    <row r="244" ht="15.75" customHeight="1">
      <c r="A244" s="71"/>
      <c r="B244" s="71"/>
      <c r="C244" s="61"/>
      <c r="D244" s="61"/>
      <c r="E244" s="71"/>
      <c r="F244" s="71"/>
      <c r="G244" s="61"/>
      <c r="I244" s="61"/>
      <c r="J244" s="71"/>
      <c r="K244" s="71"/>
      <c r="L244" s="71"/>
      <c r="M244" s="71"/>
      <c r="N244" s="71"/>
      <c r="O244" s="71"/>
      <c r="P244" s="71"/>
      <c r="Q244" s="71"/>
      <c r="R244" s="71"/>
      <c r="S244" s="71"/>
      <c r="T244" s="71"/>
      <c r="U244" s="71"/>
      <c r="V244" s="71"/>
      <c r="W244" s="71"/>
      <c r="X244" s="71"/>
      <c r="Y244" s="71"/>
      <c r="Z244" s="71"/>
      <c r="AA244" s="71"/>
      <c r="AB244" s="71"/>
    </row>
    <row r="245" ht="15.75" customHeight="1">
      <c r="A245" s="71"/>
      <c r="B245" s="71"/>
      <c r="C245" s="61"/>
      <c r="D245" s="61"/>
      <c r="E245" s="71"/>
      <c r="F245" s="71"/>
      <c r="G245" s="61"/>
      <c r="I245" s="61"/>
      <c r="J245" s="71"/>
      <c r="K245" s="71"/>
      <c r="L245" s="71"/>
      <c r="M245" s="71"/>
      <c r="N245" s="71"/>
      <c r="O245" s="71"/>
      <c r="P245" s="71"/>
      <c r="Q245" s="71"/>
      <c r="R245" s="71"/>
      <c r="S245" s="71"/>
      <c r="T245" s="71"/>
      <c r="U245" s="71"/>
      <c r="V245" s="71"/>
      <c r="W245" s="71"/>
      <c r="X245" s="71"/>
      <c r="Y245" s="71"/>
      <c r="Z245" s="71"/>
      <c r="AA245" s="71"/>
      <c r="AB245" s="71"/>
    </row>
    <row r="246" ht="15.75" customHeight="1">
      <c r="A246" s="71"/>
      <c r="B246" s="71"/>
      <c r="C246" s="61"/>
      <c r="D246" s="61"/>
      <c r="E246" s="71"/>
      <c r="F246" s="71"/>
      <c r="G246" s="61"/>
      <c r="I246" s="61"/>
      <c r="J246" s="71"/>
      <c r="K246" s="71"/>
      <c r="L246" s="71"/>
      <c r="M246" s="71"/>
      <c r="N246" s="71"/>
      <c r="O246" s="71"/>
      <c r="P246" s="71"/>
      <c r="Q246" s="71"/>
      <c r="R246" s="71"/>
      <c r="S246" s="71"/>
      <c r="T246" s="71"/>
      <c r="U246" s="71"/>
      <c r="V246" s="71"/>
      <c r="W246" s="71"/>
      <c r="X246" s="71"/>
      <c r="Y246" s="71"/>
      <c r="Z246" s="71"/>
      <c r="AA246" s="71"/>
      <c r="AB246" s="71"/>
    </row>
    <row r="247" ht="15.75" customHeight="1">
      <c r="A247" s="71"/>
      <c r="B247" s="71"/>
      <c r="C247" s="61"/>
      <c r="D247" s="61"/>
      <c r="E247" s="71"/>
      <c r="F247" s="71"/>
      <c r="G247" s="61"/>
      <c r="I247" s="61"/>
      <c r="J247" s="71"/>
      <c r="K247" s="71"/>
      <c r="L247" s="71"/>
      <c r="M247" s="71"/>
      <c r="N247" s="71"/>
      <c r="O247" s="71"/>
      <c r="P247" s="71"/>
      <c r="Q247" s="71"/>
      <c r="R247" s="71"/>
      <c r="S247" s="71"/>
      <c r="T247" s="71"/>
      <c r="U247" s="71"/>
      <c r="V247" s="71"/>
      <c r="W247" s="71"/>
      <c r="X247" s="71"/>
      <c r="Y247" s="71"/>
      <c r="Z247" s="71"/>
      <c r="AA247" s="71"/>
      <c r="AB247" s="71"/>
    </row>
    <row r="248" ht="15.75" customHeight="1">
      <c r="A248" s="71"/>
      <c r="B248" s="71"/>
      <c r="C248" s="61"/>
      <c r="D248" s="61"/>
      <c r="E248" s="71"/>
      <c r="F248" s="71"/>
      <c r="G248" s="61"/>
      <c r="I248" s="61"/>
      <c r="J248" s="71"/>
      <c r="K248" s="71"/>
      <c r="L248" s="71"/>
      <c r="M248" s="71"/>
      <c r="N248" s="71"/>
      <c r="O248" s="71"/>
      <c r="P248" s="71"/>
      <c r="Q248" s="71"/>
      <c r="R248" s="71"/>
      <c r="S248" s="71"/>
      <c r="T248" s="71"/>
      <c r="U248" s="71"/>
      <c r="V248" s="71"/>
      <c r="W248" s="71"/>
      <c r="X248" s="71"/>
      <c r="Y248" s="71"/>
      <c r="Z248" s="71"/>
      <c r="AA248" s="71"/>
      <c r="AB248" s="71"/>
    </row>
    <row r="249" ht="15.75" customHeight="1">
      <c r="A249" s="71"/>
      <c r="B249" s="71"/>
      <c r="C249" s="61"/>
      <c r="D249" s="61"/>
      <c r="E249" s="71"/>
      <c r="F249" s="71"/>
      <c r="G249" s="61"/>
      <c r="I249" s="61"/>
      <c r="J249" s="71"/>
      <c r="K249" s="71"/>
      <c r="L249" s="71"/>
      <c r="M249" s="71"/>
      <c r="N249" s="71"/>
      <c r="O249" s="71"/>
      <c r="P249" s="71"/>
      <c r="Q249" s="71"/>
      <c r="R249" s="71"/>
      <c r="S249" s="71"/>
      <c r="T249" s="71"/>
      <c r="U249" s="71"/>
      <c r="V249" s="71"/>
      <c r="W249" s="71"/>
      <c r="X249" s="71"/>
      <c r="Y249" s="71"/>
      <c r="Z249" s="71"/>
      <c r="AA249" s="71"/>
      <c r="AB249" s="71"/>
    </row>
    <row r="250" ht="15.75" customHeight="1">
      <c r="A250" s="71"/>
      <c r="B250" s="71"/>
      <c r="C250" s="61"/>
      <c r="D250" s="61"/>
      <c r="E250" s="71"/>
      <c r="F250" s="71"/>
      <c r="G250" s="61"/>
      <c r="I250" s="61"/>
      <c r="J250" s="71"/>
      <c r="K250" s="71"/>
      <c r="L250" s="71"/>
      <c r="M250" s="71"/>
      <c r="N250" s="71"/>
      <c r="O250" s="71"/>
      <c r="P250" s="71"/>
      <c r="Q250" s="71"/>
      <c r="R250" s="71"/>
      <c r="S250" s="71"/>
      <c r="T250" s="71"/>
      <c r="U250" s="71"/>
      <c r="V250" s="71"/>
      <c r="W250" s="71"/>
      <c r="X250" s="71"/>
      <c r="Y250" s="71"/>
      <c r="Z250" s="71"/>
      <c r="AA250" s="71"/>
      <c r="AB250" s="71"/>
    </row>
    <row r="251" ht="15.75" customHeight="1">
      <c r="A251" s="71"/>
      <c r="B251" s="71"/>
      <c r="C251" s="61"/>
      <c r="D251" s="61"/>
      <c r="E251" s="71"/>
      <c r="F251" s="71"/>
      <c r="G251" s="61"/>
      <c r="I251" s="61"/>
      <c r="J251" s="71"/>
      <c r="K251" s="71"/>
      <c r="L251" s="71"/>
      <c r="M251" s="71"/>
      <c r="N251" s="71"/>
      <c r="O251" s="71"/>
      <c r="P251" s="71"/>
      <c r="Q251" s="71"/>
      <c r="R251" s="71"/>
      <c r="S251" s="71"/>
      <c r="T251" s="71"/>
      <c r="U251" s="71"/>
      <c r="V251" s="71"/>
      <c r="W251" s="71"/>
      <c r="X251" s="71"/>
      <c r="Y251" s="71"/>
      <c r="Z251" s="71"/>
      <c r="AA251" s="71"/>
      <c r="AB251" s="71"/>
    </row>
    <row r="252" ht="15.75" customHeight="1">
      <c r="A252" s="71"/>
      <c r="B252" s="71"/>
      <c r="C252" s="61"/>
      <c r="D252" s="61"/>
      <c r="E252" s="71"/>
      <c r="F252" s="71"/>
      <c r="G252" s="61"/>
      <c r="I252" s="61"/>
      <c r="J252" s="71"/>
      <c r="K252" s="71"/>
      <c r="L252" s="71"/>
      <c r="M252" s="71"/>
      <c r="N252" s="71"/>
      <c r="O252" s="71"/>
      <c r="P252" s="71"/>
      <c r="Q252" s="71"/>
      <c r="R252" s="71"/>
      <c r="S252" s="71"/>
      <c r="T252" s="71"/>
      <c r="U252" s="71"/>
      <c r="V252" s="71"/>
      <c r="W252" s="71"/>
      <c r="X252" s="71"/>
      <c r="Y252" s="71"/>
      <c r="Z252" s="71"/>
      <c r="AA252" s="71"/>
      <c r="AB252" s="71"/>
    </row>
    <row r="253" ht="15.75" customHeight="1">
      <c r="A253" s="71"/>
      <c r="B253" s="71"/>
      <c r="C253" s="61"/>
      <c r="D253" s="61"/>
      <c r="E253" s="71"/>
      <c r="F253" s="71"/>
      <c r="G253" s="61"/>
      <c r="I253" s="61"/>
      <c r="J253" s="71"/>
      <c r="K253" s="71"/>
      <c r="L253" s="71"/>
      <c r="M253" s="71"/>
      <c r="N253" s="71"/>
      <c r="O253" s="71"/>
      <c r="P253" s="71"/>
      <c r="Q253" s="71"/>
      <c r="R253" s="71"/>
      <c r="S253" s="71"/>
      <c r="T253" s="71"/>
      <c r="U253" s="71"/>
      <c r="V253" s="71"/>
      <c r="W253" s="71"/>
      <c r="X253" s="71"/>
      <c r="Y253" s="71"/>
      <c r="Z253" s="71"/>
      <c r="AA253" s="71"/>
      <c r="AB253" s="71"/>
    </row>
    <row r="254" ht="15.75" customHeight="1">
      <c r="A254" s="71"/>
      <c r="B254" s="71"/>
      <c r="C254" s="61"/>
      <c r="D254" s="61"/>
      <c r="E254" s="71"/>
      <c r="F254" s="71"/>
      <c r="G254" s="61"/>
      <c r="I254" s="61"/>
      <c r="J254" s="71"/>
      <c r="K254" s="71"/>
      <c r="L254" s="71"/>
      <c r="M254" s="71"/>
      <c r="N254" s="71"/>
      <c r="O254" s="71"/>
      <c r="P254" s="71"/>
      <c r="Q254" s="71"/>
      <c r="R254" s="71"/>
      <c r="S254" s="71"/>
      <c r="T254" s="71"/>
      <c r="U254" s="71"/>
      <c r="V254" s="71"/>
      <c r="W254" s="71"/>
      <c r="X254" s="71"/>
      <c r="Y254" s="71"/>
      <c r="Z254" s="71"/>
      <c r="AA254" s="71"/>
      <c r="AB254" s="71"/>
    </row>
    <row r="255" ht="15.75" customHeight="1">
      <c r="A255" s="71"/>
      <c r="B255" s="71"/>
      <c r="C255" s="61"/>
      <c r="D255" s="61"/>
      <c r="E255" s="71"/>
      <c r="F255" s="71"/>
      <c r="G255" s="61"/>
      <c r="I255" s="61"/>
      <c r="J255" s="71"/>
      <c r="K255" s="71"/>
      <c r="L255" s="71"/>
      <c r="M255" s="71"/>
      <c r="N255" s="71"/>
      <c r="O255" s="71"/>
      <c r="P255" s="71"/>
      <c r="Q255" s="71"/>
      <c r="R255" s="71"/>
      <c r="S255" s="71"/>
      <c r="T255" s="71"/>
      <c r="U255" s="71"/>
      <c r="V255" s="71"/>
      <c r="W255" s="71"/>
      <c r="X255" s="71"/>
      <c r="Y255" s="71"/>
      <c r="Z255" s="71"/>
      <c r="AA255" s="71"/>
      <c r="AB255" s="71"/>
    </row>
    <row r="256" ht="15.75" customHeight="1">
      <c r="A256" s="71"/>
      <c r="B256" s="71"/>
      <c r="C256" s="61"/>
      <c r="D256" s="61"/>
      <c r="E256" s="71"/>
      <c r="F256" s="71"/>
      <c r="G256" s="61"/>
      <c r="I256" s="61"/>
      <c r="J256" s="71"/>
      <c r="K256" s="71"/>
      <c r="L256" s="71"/>
      <c r="M256" s="71"/>
      <c r="N256" s="71"/>
      <c r="O256" s="71"/>
      <c r="P256" s="71"/>
      <c r="Q256" s="71"/>
      <c r="R256" s="71"/>
      <c r="S256" s="71"/>
      <c r="T256" s="71"/>
      <c r="U256" s="71"/>
      <c r="V256" s="71"/>
      <c r="W256" s="71"/>
      <c r="X256" s="71"/>
      <c r="Y256" s="71"/>
      <c r="Z256" s="71"/>
      <c r="AA256" s="71"/>
      <c r="AB256" s="71"/>
    </row>
    <row r="257" ht="15.75" customHeight="1">
      <c r="A257" s="71"/>
      <c r="B257" s="71"/>
      <c r="C257" s="61"/>
      <c r="D257" s="61"/>
      <c r="E257" s="71"/>
      <c r="F257" s="71"/>
      <c r="G257" s="61"/>
      <c r="I257" s="61"/>
      <c r="J257" s="71"/>
      <c r="K257" s="71"/>
      <c r="L257" s="71"/>
      <c r="M257" s="71"/>
      <c r="N257" s="71"/>
      <c r="O257" s="71"/>
      <c r="P257" s="71"/>
      <c r="Q257" s="71"/>
      <c r="R257" s="71"/>
      <c r="S257" s="71"/>
      <c r="T257" s="71"/>
      <c r="U257" s="71"/>
      <c r="V257" s="71"/>
      <c r="W257" s="71"/>
      <c r="X257" s="71"/>
      <c r="Y257" s="71"/>
      <c r="Z257" s="71"/>
      <c r="AA257" s="71"/>
      <c r="AB257" s="71"/>
    </row>
    <row r="258" ht="15.75" customHeight="1">
      <c r="A258" s="71"/>
      <c r="B258" s="71"/>
      <c r="C258" s="61"/>
      <c r="D258" s="61"/>
      <c r="E258" s="71"/>
      <c r="F258" s="71"/>
      <c r="G258" s="61"/>
      <c r="I258" s="61"/>
      <c r="J258" s="71"/>
      <c r="K258" s="71"/>
      <c r="L258" s="71"/>
      <c r="M258" s="71"/>
      <c r="N258" s="71"/>
      <c r="O258" s="71"/>
      <c r="P258" s="71"/>
      <c r="Q258" s="71"/>
      <c r="R258" s="71"/>
      <c r="S258" s="71"/>
      <c r="T258" s="71"/>
      <c r="U258" s="71"/>
      <c r="V258" s="71"/>
      <c r="W258" s="71"/>
      <c r="X258" s="71"/>
      <c r="Y258" s="71"/>
      <c r="Z258" s="71"/>
      <c r="AA258" s="71"/>
      <c r="AB258" s="71"/>
    </row>
    <row r="259" ht="15.75" customHeight="1">
      <c r="A259" s="71"/>
      <c r="B259" s="71"/>
      <c r="C259" s="61"/>
      <c r="D259" s="61"/>
      <c r="E259" s="71"/>
      <c r="F259" s="71"/>
      <c r="G259" s="61"/>
      <c r="I259" s="61"/>
      <c r="J259" s="71"/>
      <c r="K259" s="71"/>
      <c r="L259" s="71"/>
      <c r="M259" s="71"/>
      <c r="N259" s="71"/>
      <c r="O259" s="71"/>
      <c r="P259" s="71"/>
      <c r="Q259" s="71"/>
      <c r="R259" s="71"/>
      <c r="S259" s="71"/>
      <c r="T259" s="71"/>
      <c r="U259" s="71"/>
      <c r="V259" s="71"/>
      <c r="W259" s="71"/>
      <c r="X259" s="71"/>
      <c r="Y259" s="71"/>
      <c r="Z259" s="71"/>
      <c r="AA259" s="71"/>
      <c r="AB259" s="71"/>
    </row>
    <row r="260" ht="15.75" customHeight="1">
      <c r="A260" s="71"/>
      <c r="B260" s="71"/>
      <c r="C260" s="61"/>
      <c r="D260" s="61"/>
      <c r="E260" s="71"/>
      <c r="F260" s="71"/>
      <c r="G260" s="61"/>
      <c r="I260" s="61"/>
      <c r="J260" s="71"/>
      <c r="K260" s="71"/>
      <c r="L260" s="71"/>
      <c r="M260" s="71"/>
      <c r="N260" s="71"/>
      <c r="O260" s="71"/>
      <c r="P260" s="71"/>
      <c r="Q260" s="71"/>
      <c r="R260" s="71"/>
      <c r="S260" s="71"/>
      <c r="T260" s="71"/>
      <c r="U260" s="71"/>
      <c r="V260" s="71"/>
      <c r="W260" s="71"/>
      <c r="X260" s="71"/>
      <c r="Y260" s="71"/>
      <c r="Z260" s="71"/>
      <c r="AA260" s="71"/>
      <c r="AB260" s="71"/>
    </row>
    <row r="261" ht="15.75" customHeight="1">
      <c r="A261" s="71"/>
      <c r="B261" s="71"/>
      <c r="C261" s="61"/>
      <c r="D261" s="61"/>
      <c r="E261" s="71"/>
      <c r="F261" s="71"/>
      <c r="G261" s="61"/>
      <c r="I261" s="61"/>
      <c r="J261" s="71"/>
      <c r="K261" s="71"/>
      <c r="L261" s="71"/>
      <c r="M261" s="71"/>
      <c r="N261" s="71"/>
      <c r="O261" s="71"/>
      <c r="P261" s="71"/>
      <c r="Q261" s="71"/>
      <c r="R261" s="71"/>
      <c r="S261" s="71"/>
      <c r="T261" s="71"/>
      <c r="U261" s="71"/>
      <c r="V261" s="71"/>
      <c r="W261" s="71"/>
      <c r="X261" s="71"/>
      <c r="Y261" s="71"/>
      <c r="Z261" s="71"/>
      <c r="AA261" s="71"/>
      <c r="AB261" s="71"/>
    </row>
    <row r="262" ht="15.75" customHeight="1">
      <c r="A262" s="71"/>
      <c r="B262" s="71"/>
      <c r="C262" s="61"/>
      <c r="D262" s="61"/>
      <c r="E262" s="71"/>
      <c r="F262" s="71"/>
      <c r="G262" s="61"/>
      <c r="I262" s="61"/>
      <c r="J262" s="71"/>
      <c r="K262" s="71"/>
      <c r="L262" s="71"/>
      <c r="M262" s="71"/>
      <c r="N262" s="71"/>
      <c r="O262" s="71"/>
      <c r="P262" s="71"/>
      <c r="Q262" s="71"/>
      <c r="R262" s="71"/>
      <c r="S262" s="71"/>
      <c r="T262" s="71"/>
      <c r="U262" s="71"/>
      <c r="V262" s="71"/>
      <c r="W262" s="71"/>
      <c r="X262" s="71"/>
      <c r="Y262" s="71"/>
      <c r="Z262" s="71"/>
      <c r="AA262" s="71"/>
      <c r="AB262" s="71"/>
    </row>
    <row r="263" ht="15.75" customHeight="1">
      <c r="A263" s="71"/>
      <c r="B263" s="71"/>
      <c r="C263" s="61"/>
      <c r="D263" s="61"/>
      <c r="E263" s="71"/>
      <c r="F263" s="71"/>
      <c r="G263" s="61"/>
      <c r="I263" s="61"/>
      <c r="J263" s="71"/>
      <c r="K263" s="71"/>
      <c r="L263" s="71"/>
      <c r="M263" s="71"/>
      <c r="N263" s="71"/>
      <c r="O263" s="71"/>
      <c r="P263" s="71"/>
      <c r="Q263" s="71"/>
      <c r="R263" s="71"/>
      <c r="S263" s="71"/>
      <c r="T263" s="71"/>
      <c r="U263" s="71"/>
      <c r="V263" s="71"/>
      <c r="W263" s="71"/>
      <c r="X263" s="71"/>
      <c r="Y263" s="71"/>
      <c r="Z263" s="71"/>
      <c r="AA263" s="71"/>
      <c r="AB263" s="71"/>
    </row>
    <row r="264" ht="15.75" customHeight="1">
      <c r="A264" s="71"/>
      <c r="B264" s="71"/>
      <c r="C264" s="61"/>
      <c r="D264" s="61"/>
      <c r="E264" s="71"/>
      <c r="F264" s="71"/>
      <c r="G264" s="61"/>
      <c r="I264" s="61"/>
      <c r="J264" s="71"/>
      <c r="K264" s="71"/>
      <c r="L264" s="71"/>
      <c r="M264" s="71"/>
      <c r="N264" s="71"/>
      <c r="O264" s="71"/>
      <c r="P264" s="71"/>
      <c r="Q264" s="71"/>
      <c r="R264" s="71"/>
      <c r="S264" s="71"/>
      <c r="T264" s="71"/>
      <c r="U264" s="71"/>
      <c r="V264" s="71"/>
      <c r="W264" s="71"/>
      <c r="X264" s="71"/>
      <c r="Y264" s="71"/>
      <c r="Z264" s="71"/>
      <c r="AA264" s="71"/>
      <c r="AB264" s="71"/>
    </row>
    <row r="265" ht="15.75" customHeight="1">
      <c r="A265" s="71"/>
      <c r="B265" s="71"/>
      <c r="C265" s="61"/>
      <c r="D265" s="61"/>
      <c r="E265" s="71"/>
      <c r="F265" s="71"/>
      <c r="G265" s="61"/>
      <c r="I265" s="61"/>
      <c r="J265" s="71"/>
      <c r="K265" s="71"/>
      <c r="L265" s="71"/>
      <c r="M265" s="71"/>
      <c r="N265" s="71"/>
      <c r="O265" s="71"/>
      <c r="P265" s="71"/>
      <c r="Q265" s="71"/>
      <c r="R265" s="71"/>
      <c r="S265" s="71"/>
      <c r="T265" s="71"/>
      <c r="U265" s="71"/>
      <c r="V265" s="71"/>
      <c r="W265" s="71"/>
      <c r="X265" s="71"/>
      <c r="Y265" s="71"/>
      <c r="Z265" s="71"/>
      <c r="AA265" s="71"/>
      <c r="AB265" s="71"/>
    </row>
    <row r="266" ht="15.75" customHeight="1">
      <c r="A266" s="71"/>
      <c r="B266" s="71"/>
      <c r="C266" s="61"/>
      <c r="D266" s="61"/>
      <c r="E266" s="71"/>
      <c r="F266" s="71"/>
      <c r="G266" s="61"/>
      <c r="I266" s="61"/>
      <c r="J266" s="71"/>
      <c r="K266" s="71"/>
      <c r="L266" s="71"/>
      <c r="M266" s="71"/>
      <c r="N266" s="71"/>
      <c r="O266" s="71"/>
      <c r="P266" s="71"/>
      <c r="Q266" s="71"/>
      <c r="R266" s="71"/>
      <c r="S266" s="71"/>
      <c r="T266" s="71"/>
      <c r="U266" s="71"/>
      <c r="V266" s="71"/>
      <c r="W266" s="71"/>
      <c r="X266" s="71"/>
      <c r="Y266" s="71"/>
      <c r="Z266" s="71"/>
      <c r="AA266" s="71"/>
      <c r="AB266" s="71"/>
    </row>
    <row r="267" ht="15.75" customHeight="1">
      <c r="A267" s="71"/>
      <c r="B267" s="71"/>
      <c r="C267" s="61"/>
      <c r="D267" s="61"/>
      <c r="E267" s="71"/>
      <c r="F267" s="71"/>
      <c r="G267" s="61"/>
      <c r="I267" s="61"/>
      <c r="J267" s="71"/>
      <c r="K267" s="71"/>
      <c r="L267" s="71"/>
      <c r="M267" s="71"/>
      <c r="N267" s="71"/>
      <c r="O267" s="71"/>
      <c r="P267" s="71"/>
      <c r="Q267" s="71"/>
      <c r="R267" s="71"/>
      <c r="S267" s="71"/>
      <c r="T267" s="71"/>
      <c r="U267" s="71"/>
      <c r="V267" s="71"/>
      <c r="W267" s="71"/>
      <c r="X267" s="71"/>
      <c r="Y267" s="71"/>
      <c r="Z267" s="71"/>
      <c r="AA267" s="71"/>
      <c r="AB267" s="71"/>
    </row>
    <row r="268" ht="15.75" customHeight="1">
      <c r="A268" s="71"/>
      <c r="B268" s="71"/>
      <c r="C268" s="61"/>
      <c r="D268" s="61"/>
      <c r="E268" s="71"/>
      <c r="F268" s="71"/>
      <c r="G268" s="61"/>
      <c r="I268" s="61"/>
      <c r="J268" s="71"/>
      <c r="K268" s="71"/>
      <c r="L268" s="71"/>
      <c r="M268" s="71"/>
      <c r="N268" s="71"/>
      <c r="O268" s="71"/>
      <c r="P268" s="71"/>
      <c r="Q268" s="71"/>
      <c r="R268" s="71"/>
      <c r="S268" s="71"/>
      <c r="T268" s="71"/>
      <c r="U268" s="71"/>
      <c r="V268" s="71"/>
      <c r="W268" s="71"/>
      <c r="X268" s="71"/>
      <c r="Y268" s="71"/>
      <c r="Z268" s="71"/>
      <c r="AA268" s="71"/>
      <c r="AB268" s="71"/>
    </row>
    <row r="269" ht="15.75" customHeight="1">
      <c r="A269" s="71"/>
      <c r="B269" s="71"/>
      <c r="C269" s="61"/>
      <c r="D269" s="61"/>
      <c r="E269" s="71"/>
      <c r="F269" s="71"/>
      <c r="G269" s="61"/>
      <c r="I269" s="61"/>
      <c r="J269" s="71"/>
      <c r="K269" s="71"/>
      <c r="L269" s="71"/>
      <c r="M269" s="71"/>
      <c r="N269" s="71"/>
      <c r="O269" s="71"/>
      <c r="P269" s="71"/>
      <c r="Q269" s="71"/>
      <c r="R269" s="71"/>
      <c r="S269" s="71"/>
      <c r="T269" s="71"/>
      <c r="U269" s="71"/>
      <c r="V269" s="71"/>
      <c r="W269" s="71"/>
      <c r="X269" s="71"/>
      <c r="Y269" s="71"/>
      <c r="Z269" s="71"/>
      <c r="AA269" s="71"/>
      <c r="AB269" s="71"/>
    </row>
    <row r="270" ht="15.75" customHeight="1">
      <c r="A270" s="71"/>
      <c r="B270" s="71"/>
      <c r="C270" s="61"/>
      <c r="D270" s="61"/>
      <c r="E270" s="71"/>
      <c r="F270" s="71"/>
      <c r="G270" s="61"/>
      <c r="I270" s="61"/>
      <c r="J270" s="71"/>
      <c r="K270" s="71"/>
      <c r="L270" s="71"/>
      <c r="M270" s="71"/>
      <c r="N270" s="71"/>
      <c r="O270" s="71"/>
      <c r="P270" s="71"/>
      <c r="Q270" s="71"/>
      <c r="R270" s="71"/>
      <c r="S270" s="71"/>
      <c r="T270" s="71"/>
      <c r="U270" s="71"/>
      <c r="V270" s="71"/>
      <c r="W270" s="71"/>
      <c r="X270" s="71"/>
      <c r="Y270" s="71"/>
      <c r="Z270" s="71"/>
      <c r="AA270" s="71"/>
      <c r="AB270" s="71"/>
    </row>
    <row r="271" ht="15.75" customHeight="1">
      <c r="A271" s="71"/>
      <c r="B271" s="71"/>
      <c r="C271" s="61"/>
      <c r="D271" s="61"/>
      <c r="E271" s="71"/>
      <c r="F271" s="71"/>
      <c r="G271" s="61"/>
      <c r="I271" s="61"/>
      <c r="J271" s="71"/>
      <c r="K271" s="71"/>
      <c r="L271" s="71"/>
      <c r="M271" s="71"/>
      <c r="N271" s="71"/>
      <c r="O271" s="71"/>
      <c r="P271" s="71"/>
      <c r="Q271" s="71"/>
      <c r="R271" s="71"/>
      <c r="S271" s="71"/>
      <c r="T271" s="71"/>
      <c r="U271" s="71"/>
      <c r="V271" s="71"/>
      <c r="W271" s="71"/>
      <c r="X271" s="71"/>
      <c r="Y271" s="71"/>
      <c r="Z271" s="71"/>
      <c r="AA271" s="71"/>
      <c r="AB271" s="71"/>
    </row>
    <row r="272" ht="15.75" customHeight="1">
      <c r="A272" s="71"/>
      <c r="B272" s="71"/>
      <c r="C272" s="61"/>
      <c r="D272" s="61"/>
      <c r="E272" s="71"/>
      <c r="F272" s="71"/>
      <c r="G272" s="61"/>
      <c r="I272" s="61"/>
      <c r="J272" s="71"/>
      <c r="K272" s="71"/>
      <c r="L272" s="71"/>
      <c r="M272" s="71"/>
      <c r="N272" s="71"/>
      <c r="O272" s="71"/>
      <c r="P272" s="71"/>
      <c r="Q272" s="71"/>
      <c r="R272" s="71"/>
      <c r="S272" s="71"/>
      <c r="T272" s="71"/>
      <c r="U272" s="71"/>
      <c r="V272" s="71"/>
      <c r="W272" s="71"/>
      <c r="X272" s="71"/>
      <c r="Y272" s="71"/>
      <c r="Z272" s="71"/>
      <c r="AA272" s="71"/>
      <c r="AB272" s="71"/>
    </row>
    <row r="273" ht="15.75" customHeight="1">
      <c r="A273" s="71"/>
      <c r="B273" s="71"/>
      <c r="C273" s="61"/>
      <c r="D273" s="61"/>
      <c r="E273" s="71"/>
      <c r="F273" s="71"/>
      <c r="G273" s="61"/>
      <c r="I273" s="61"/>
      <c r="J273" s="71"/>
      <c r="K273" s="71"/>
      <c r="L273" s="71"/>
      <c r="M273" s="71"/>
      <c r="N273" s="71"/>
      <c r="O273" s="71"/>
      <c r="P273" s="71"/>
      <c r="Q273" s="71"/>
      <c r="R273" s="71"/>
      <c r="S273" s="71"/>
      <c r="T273" s="71"/>
      <c r="U273" s="71"/>
      <c r="V273" s="71"/>
      <c r="W273" s="71"/>
      <c r="X273" s="71"/>
      <c r="Y273" s="71"/>
      <c r="Z273" s="71"/>
      <c r="AA273" s="71"/>
      <c r="AB273" s="71"/>
    </row>
    <row r="274" ht="15.75" customHeight="1">
      <c r="A274" s="71"/>
      <c r="B274" s="71"/>
      <c r="C274" s="61"/>
      <c r="D274" s="61"/>
      <c r="E274" s="71"/>
      <c r="F274" s="71"/>
      <c r="G274" s="61"/>
      <c r="I274" s="61"/>
      <c r="J274" s="71"/>
      <c r="K274" s="71"/>
      <c r="L274" s="71"/>
      <c r="M274" s="71"/>
      <c r="N274" s="71"/>
      <c r="O274" s="71"/>
      <c r="P274" s="71"/>
      <c r="Q274" s="71"/>
      <c r="R274" s="71"/>
      <c r="S274" s="71"/>
      <c r="T274" s="71"/>
      <c r="U274" s="71"/>
      <c r="V274" s="71"/>
      <c r="W274" s="71"/>
      <c r="X274" s="71"/>
      <c r="Y274" s="71"/>
      <c r="Z274" s="71"/>
      <c r="AA274" s="71"/>
      <c r="AB274" s="71"/>
    </row>
    <row r="275" ht="15.75" customHeight="1">
      <c r="A275" s="71"/>
      <c r="B275" s="71"/>
      <c r="C275" s="61"/>
      <c r="D275" s="61"/>
      <c r="E275" s="71"/>
      <c r="F275" s="71"/>
      <c r="G275" s="61"/>
      <c r="I275" s="61"/>
      <c r="J275" s="71"/>
      <c r="K275" s="71"/>
      <c r="L275" s="71"/>
      <c r="M275" s="71"/>
      <c r="N275" s="71"/>
      <c r="O275" s="71"/>
      <c r="P275" s="71"/>
      <c r="Q275" s="71"/>
      <c r="R275" s="71"/>
      <c r="S275" s="71"/>
      <c r="T275" s="71"/>
      <c r="U275" s="71"/>
      <c r="V275" s="71"/>
      <c r="W275" s="71"/>
      <c r="X275" s="71"/>
      <c r="Y275" s="71"/>
      <c r="Z275" s="71"/>
      <c r="AA275" s="71"/>
      <c r="AB275" s="71"/>
    </row>
    <row r="276" ht="15.75" customHeight="1">
      <c r="A276" s="71"/>
      <c r="B276" s="71"/>
      <c r="C276" s="61"/>
      <c r="D276" s="61"/>
      <c r="E276" s="71"/>
      <c r="F276" s="71"/>
      <c r="G276" s="61"/>
      <c r="I276" s="61"/>
      <c r="J276" s="71"/>
      <c r="K276" s="71"/>
      <c r="L276" s="71"/>
      <c r="M276" s="71"/>
      <c r="N276" s="71"/>
      <c r="O276" s="71"/>
      <c r="P276" s="71"/>
      <c r="Q276" s="71"/>
      <c r="R276" s="71"/>
      <c r="S276" s="71"/>
      <c r="T276" s="71"/>
      <c r="U276" s="71"/>
      <c r="V276" s="71"/>
      <c r="W276" s="71"/>
      <c r="X276" s="71"/>
      <c r="Y276" s="71"/>
      <c r="Z276" s="71"/>
      <c r="AA276" s="71"/>
      <c r="AB276" s="71"/>
    </row>
    <row r="277" ht="15.75" customHeight="1">
      <c r="A277" s="71"/>
      <c r="B277" s="71"/>
      <c r="C277" s="61"/>
      <c r="D277" s="61"/>
      <c r="E277" s="71"/>
      <c r="F277" s="71"/>
      <c r="G277" s="61"/>
      <c r="I277" s="61"/>
      <c r="J277" s="71"/>
      <c r="K277" s="71"/>
      <c r="L277" s="71"/>
      <c r="M277" s="71"/>
      <c r="N277" s="71"/>
      <c r="O277" s="71"/>
      <c r="P277" s="71"/>
      <c r="Q277" s="71"/>
      <c r="R277" s="71"/>
      <c r="S277" s="71"/>
      <c r="T277" s="71"/>
      <c r="U277" s="71"/>
      <c r="V277" s="71"/>
      <c r="W277" s="71"/>
      <c r="X277" s="71"/>
      <c r="Y277" s="71"/>
      <c r="Z277" s="71"/>
      <c r="AA277" s="71"/>
      <c r="AB277" s="71"/>
    </row>
    <row r="278" ht="15.75" customHeight="1">
      <c r="A278" s="71"/>
      <c r="B278" s="71"/>
      <c r="C278" s="61"/>
      <c r="D278" s="61"/>
      <c r="E278" s="71"/>
      <c r="F278" s="71"/>
      <c r="G278" s="61"/>
      <c r="I278" s="61"/>
      <c r="J278" s="71"/>
      <c r="K278" s="71"/>
      <c r="L278" s="71"/>
      <c r="M278" s="71"/>
      <c r="N278" s="71"/>
      <c r="O278" s="71"/>
      <c r="P278" s="71"/>
      <c r="Q278" s="71"/>
      <c r="R278" s="71"/>
      <c r="S278" s="71"/>
      <c r="T278" s="71"/>
      <c r="U278" s="71"/>
      <c r="V278" s="71"/>
      <c r="W278" s="71"/>
      <c r="X278" s="71"/>
      <c r="Y278" s="71"/>
      <c r="Z278" s="71"/>
      <c r="AA278" s="71"/>
      <c r="AB278" s="71"/>
    </row>
    <row r="279" ht="15.75" customHeight="1">
      <c r="A279" s="71"/>
      <c r="B279" s="71"/>
      <c r="C279" s="61"/>
      <c r="D279" s="61"/>
      <c r="E279" s="71"/>
      <c r="F279" s="71"/>
      <c r="G279" s="61"/>
      <c r="I279" s="61"/>
      <c r="J279" s="71"/>
      <c r="K279" s="71"/>
      <c r="L279" s="71"/>
      <c r="M279" s="71"/>
      <c r="N279" s="71"/>
      <c r="O279" s="71"/>
      <c r="P279" s="71"/>
      <c r="Q279" s="71"/>
      <c r="R279" s="71"/>
      <c r="S279" s="71"/>
      <c r="T279" s="71"/>
      <c r="U279" s="71"/>
      <c r="V279" s="71"/>
      <c r="W279" s="71"/>
      <c r="X279" s="71"/>
      <c r="Y279" s="71"/>
      <c r="Z279" s="71"/>
      <c r="AA279" s="71"/>
      <c r="AB279" s="71"/>
    </row>
    <row r="280" ht="15.75" customHeight="1">
      <c r="A280" s="71"/>
      <c r="B280" s="71"/>
      <c r="C280" s="61"/>
      <c r="D280" s="61"/>
      <c r="E280" s="71"/>
      <c r="F280" s="71"/>
      <c r="G280" s="61"/>
      <c r="I280" s="61"/>
      <c r="J280" s="71"/>
      <c r="K280" s="71"/>
      <c r="L280" s="71"/>
      <c r="M280" s="71"/>
      <c r="N280" s="71"/>
      <c r="O280" s="71"/>
      <c r="P280" s="71"/>
      <c r="Q280" s="71"/>
      <c r="R280" s="71"/>
      <c r="S280" s="71"/>
      <c r="T280" s="71"/>
      <c r="U280" s="71"/>
      <c r="V280" s="71"/>
      <c r="W280" s="71"/>
      <c r="X280" s="71"/>
      <c r="Y280" s="71"/>
      <c r="Z280" s="71"/>
      <c r="AA280" s="71"/>
      <c r="AB280" s="71"/>
    </row>
    <row r="281" ht="15.75" customHeight="1">
      <c r="A281" s="71"/>
      <c r="B281" s="71"/>
      <c r="C281" s="61"/>
      <c r="D281" s="61"/>
      <c r="E281" s="71"/>
      <c r="F281" s="71"/>
      <c r="G281" s="61"/>
      <c r="I281" s="61"/>
      <c r="J281" s="71"/>
      <c r="K281" s="71"/>
      <c r="L281" s="71"/>
      <c r="M281" s="71"/>
      <c r="N281" s="71"/>
      <c r="O281" s="71"/>
      <c r="P281" s="71"/>
      <c r="Q281" s="71"/>
      <c r="R281" s="71"/>
      <c r="S281" s="71"/>
      <c r="T281" s="71"/>
      <c r="U281" s="71"/>
      <c r="V281" s="71"/>
      <c r="W281" s="71"/>
      <c r="X281" s="71"/>
      <c r="Y281" s="71"/>
      <c r="Z281" s="71"/>
      <c r="AA281" s="71"/>
      <c r="AB281" s="71"/>
    </row>
    <row r="282" ht="15.75" customHeight="1">
      <c r="A282" s="71"/>
      <c r="B282" s="71"/>
      <c r="C282" s="61"/>
      <c r="D282" s="61"/>
      <c r="E282" s="71"/>
      <c r="F282" s="71"/>
      <c r="G282" s="61"/>
      <c r="I282" s="61"/>
      <c r="J282" s="71"/>
      <c r="K282" s="71"/>
      <c r="L282" s="71"/>
      <c r="M282" s="71"/>
      <c r="N282" s="71"/>
      <c r="O282" s="71"/>
      <c r="P282" s="71"/>
      <c r="Q282" s="71"/>
      <c r="R282" s="71"/>
      <c r="S282" s="71"/>
      <c r="T282" s="71"/>
      <c r="U282" s="71"/>
      <c r="V282" s="71"/>
      <c r="W282" s="71"/>
      <c r="X282" s="71"/>
      <c r="Y282" s="71"/>
      <c r="Z282" s="71"/>
      <c r="AA282" s="71"/>
      <c r="AB282" s="71"/>
    </row>
    <row r="283" ht="15.75" customHeight="1">
      <c r="A283" s="71"/>
      <c r="B283" s="71"/>
      <c r="C283" s="61"/>
      <c r="D283" s="61"/>
      <c r="E283" s="71"/>
      <c r="F283" s="71"/>
      <c r="G283" s="61"/>
      <c r="I283" s="61"/>
      <c r="J283" s="71"/>
      <c r="K283" s="71"/>
      <c r="L283" s="71"/>
      <c r="M283" s="71"/>
      <c r="N283" s="71"/>
      <c r="O283" s="71"/>
      <c r="P283" s="71"/>
      <c r="Q283" s="71"/>
      <c r="R283" s="71"/>
      <c r="S283" s="71"/>
      <c r="T283" s="71"/>
      <c r="U283" s="71"/>
      <c r="V283" s="71"/>
      <c r="W283" s="71"/>
      <c r="X283" s="71"/>
      <c r="Y283" s="71"/>
      <c r="Z283" s="71"/>
      <c r="AA283" s="71"/>
      <c r="AB283" s="71"/>
    </row>
    <row r="284" ht="15.75" customHeight="1">
      <c r="A284" s="71"/>
      <c r="B284" s="71"/>
      <c r="C284" s="61"/>
      <c r="D284" s="61"/>
      <c r="E284" s="71"/>
      <c r="F284" s="71"/>
      <c r="G284" s="61"/>
      <c r="I284" s="61"/>
      <c r="J284" s="71"/>
      <c r="K284" s="71"/>
      <c r="L284" s="71"/>
      <c r="M284" s="71"/>
      <c r="N284" s="71"/>
      <c r="O284" s="71"/>
      <c r="P284" s="71"/>
      <c r="Q284" s="71"/>
      <c r="R284" s="71"/>
      <c r="S284" s="71"/>
      <c r="T284" s="71"/>
      <c r="U284" s="71"/>
      <c r="V284" s="71"/>
      <c r="W284" s="71"/>
      <c r="X284" s="71"/>
      <c r="Y284" s="71"/>
      <c r="Z284" s="71"/>
      <c r="AA284" s="71"/>
      <c r="AB284" s="71"/>
    </row>
    <row r="285" ht="15.75" customHeight="1">
      <c r="A285" s="71"/>
      <c r="B285" s="71"/>
      <c r="C285" s="61"/>
      <c r="D285" s="61"/>
      <c r="E285" s="71"/>
      <c r="F285" s="71"/>
      <c r="G285" s="61"/>
      <c r="I285" s="61"/>
      <c r="J285" s="71"/>
      <c r="K285" s="71"/>
      <c r="L285" s="71"/>
      <c r="M285" s="71"/>
      <c r="N285" s="71"/>
      <c r="O285" s="71"/>
      <c r="P285" s="71"/>
      <c r="Q285" s="71"/>
      <c r="R285" s="71"/>
      <c r="S285" s="71"/>
      <c r="T285" s="71"/>
      <c r="U285" s="71"/>
      <c r="V285" s="71"/>
      <c r="W285" s="71"/>
      <c r="X285" s="71"/>
      <c r="Y285" s="71"/>
      <c r="Z285" s="71"/>
      <c r="AA285" s="71"/>
      <c r="AB285" s="71"/>
    </row>
    <row r="286" ht="15.75" customHeight="1">
      <c r="A286" s="71"/>
      <c r="B286" s="71"/>
      <c r="C286" s="61"/>
      <c r="D286" s="61"/>
      <c r="E286" s="71"/>
      <c r="F286" s="71"/>
      <c r="G286" s="61"/>
      <c r="I286" s="61"/>
      <c r="J286" s="71"/>
      <c r="K286" s="71"/>
      <c r="L286" s="71"/>
      <c r="M286" s="71"/>
      <c r="N286" s="71"/>
      <c r="O286" s="71"/>
      <c r="P286" s="71"/>
      <c r="Q286" s="71"/>
      <c r="R286" s="71"/>
      <c r="S286" s="71"/>
      <c r="T286" s="71"/>
      <c r="U286" s="71"/>
      <c r="V286" s="71"/>
      <c r="W286" s="71"/>
      <c r="X286" s="71"/>
      <c r="Y286" s="71"/>
      <c r="Z286" s="71"/>
      <c r="AA286" s="71"/>
      <c r="AB286" s="71"/>
    </row>
    <row r="287" ht="15.75" customHeight="1">
      <c r="A287" s="71"/>
      <c r="B287" s="71"/>
      <c r="C287" s="61"/>
      <c r="D287" s="61"/>
      <c r="E287" s="71"/>
      <c r="F287" s="71"/>
      <c r="G287" s="61"/>
      <c r="I287" s="61"/>
      <c r="J287" s="71"/>
      <c r="K287" s="71"/>
      <c r="L287" s="71"/>
      <c r="M287" s="71"/>
      <c r="N287" s="71"/>
      <c r="O287" s="71"/>
      <c r="P287" s="71"/>
      <c r="Q287" s="71"/>
      <c r="R287" s="71"/>
      <c r="S287" s="71"/>
      <c r="T287" s="71"/>
      <c r="U287" s="71"/>
      <c r="V287" s="71"/>
      <c r="W287" s="71"/>
      <c r="X287" s="71"/>
      <c r="Y287" s="71"/>
      <c r="Z287" s="71"/>
      <c r="AA287" s="71"/>
      <c r="AB287" s="71"/>
    </row>
    <row r="288" ht="15.75" customHeight="1">
      <c r="A288" s="71"/>
      <c r="B288" s="71"/>
      <c r="C288" s="61"/>
      <c r="D288" s="61"/>
      <c r="E288" s="71"/>
      <c r="F288" s="71"/>
      <c r="G288" s="61"/>
      <c r="I288" s="61"/>
      <c r="J288" s="71"/>
      <c r="K288" s="71"/>
      <c r="L288" s="71"/>
      <c r="M288" s="71"/>
      <c r="N288" s="71"/>
      <c r="O288" s="71"/>
      <c r="P288" s="71"/>
      <c r="Q288" s="71"/>
      <c r="R288" s="71"/>
      <c r="S288" s="71"/>
      <c r="T288" s="71"/>
      <c r="U288" s="71"/>
      <c r="V288" s="71"/>
      <c r="W288" s="71"/>
      <c r="X288" s="71"/>
      <c r="Y288" s="71"/>
      <c r="Z288" s="71"/>
      <c r="AA288" s="71"/>
      <c r="AB288" s="71"/>
    </row>
    <row r="289" ht="15.75" customHeight="1">
      <c r="A289" s="71"/>
      <c r="B289" s="71"/>
      <c r="C289" s="61"/>
      <c r="D289" s="61"/>
      <c r="E289" s="71"/>
      <c r="F289" s="71"/>
      <c r="G289" s="61"/>
      <c r="I289" s="61"/>
      <c r="J289" s="71"/>
      <c r="K289" s="71"/>
      <c r="L289" s="71"/>
      <c r="M289" s="71"/>
      <c r="N289" s="71"/>
      <c r="O289" s="71"/>
      <c r="P289" s="71"/>
      <c r="Q289" s="71"/>
      <c r="R289" s="71"/>
      <c r="S289" s="71"/>
      <c r="T289" s="71"/>
      <c r="U289" s="71"/>
      <c r="V289" s="71"/>
      <c r="W289" s="71"/>
      <c r="X289" s="71"/>
      <c r="Y289" s="71"/>
      <c r="Z289" s="71"/>
      <c r="AA289" s="71"/>
      <c r="AB289" s="71"/>
    </row>
    <row r="290" ht="15.75" customHeight="1">
      <c r="A290" s="71"/>
      <c r="B290" s="71"/>
      <c r="C290" s="61"/>
      <c r="D290" s="61"/>
      <c r="E290" s="71"/>
      <c r="F290" s="71"/>
      <c r="G290" s="61"/>
      <c r="I290" s="61"/>
      <c r="J290" s="71"/>
      <c r="K290" s="71"/>
      <c r="L290" s="71"/>
      <c r="M290" s="71"/>
      <c r="N290" s="71"/>
      <c r="O290" s="71"/>
      <c r="P290" s="71"/>
      <c r="Q290" s="71"/>
      <c r="R290" s="71"/>
      <c r="S290" s="71"/>
      <c r="T290" s="71"/>
      <c r="U290" s="71"/>
      <c r="V290" s="71"/>
      <c r="W290" s="71"/>
      <c r="X290" s="71"/>
      <c r="Y290" s="71"/>
      <c r="Z290" s="71"/>
      <c r="AA290" s="71"/>
      <c r="AB290" s="71"/>
    </row>
    <row r="291" ht="15.75" customHeight="1">
      <c r="A291" s="71"/>
      <c r="B291" s="71"/>
      <c r="C291" s="61"/>
      <c r="D291" s="61"/>
      <c r="E291" s="71"/>
      <c r="F291" s="71"/>
      <c r="G291" s="61"/>
      <c r="I291" s="61"/>
      <c r="J291" s="71"/>
      <c r="K291" s="71"/>
      <c r="L291" s="71"/>
      <c r="M291" s="71"/>
      <c r="N291" s="71"/>
      <c r="O291" s="71"/>
      <c r="P291" s="71"/>
      <c r="Q291" s="71"/>
      <c r="R291" s="71"/>
      <c r="S291" s="71"/>
      <c r="T291" s="71"/>
      <c r="U291" s="71"/>
      <c r="V291" s="71"/>
      <c r="W291" s="71"/>
      <c r="X291" s="71"/>
      <c r="Y291" s="71"/>
      <c r="Z291" s="71"/>
      <c r="AA291" s="71"/>
      <c r="AB291" s="71"/>
    </row>
    <row r="292" ht="15.75" customHeight="1">
      <c r="A292" s="71"/>
      <c r="B292" s="71"/>
      <c r="C292" s="61"/>
      <c r="D292" s="61"/>
      <c r="E292" s="71"/>
      <c r="F292" s="71"/>
      <c r="G292" s="61"/>
      <c r="I292" s="61"/>
      <c r="J292" s="71"/>
      <c r="K292" s="71"/>
      <c r="L292" s="71"/>
      <c r="M292" s="71"/>
      <c r="N292" s="71"/>
      <c r="O292" s="71"/>
      <c r="P292" s="71"/>
      <c r="Q292" s="71"/>
      <c r="R292" s="71"/>
      <c r="S292" s="71"/>
      <c r="T292" s="71"/>
      <c r="U292" s="71"/>
      <c r="V292" s="71"/>
      <c r="W292" s="71"/>
      <c r="X292" s="71"/>
      <c r="Y292" s="71"/>
      <c r="Z292" s="71"/>
      <c r="AA292" s="71"/>
      <c r="AB292" s="71"/>
    </row>
    <row r="293" ht="15.75" customHeight="1">
      <c r="A293" s="71"/>
      <c r="B293" s="71"/>
      <c r="C293" s="61"/>
      <c r="D293" s="61"/>
      <c r="E293" s="71"/>
      <c r="F293" s="71"/>
      <c r="G293" s="61"/>
      <c r="I293" s="61"/>
      <c r="J293" s="71"/>
      <c r="K293" s="71"/>
      <c r="L293" s="71"/>
      <c r="M293" s="71"/>
      <c r="N293" s="71"/>
      <c r="O293" s="71"/>
      <c r="P293" s="71"/>
      <c r="Q293" s="71"/>
      <c r="R293" s="71"/>
      <c r="S293" s="71"/>
      <c r="T293" s="71"/>
      <c r="U293" s="71"/>
      <c r="V293" s="71"/>
      <c r="W293" s="71"/>
      <c r="X293" s="71"/>
      <c r="Y293" s="71"/>
      <c r="Z293" s="71"/>
      <c r="AA293" s="71"/>
      <c r="AB293" s="71"/>
    </row>
    <row r="294" ht="15.75" customHeight="1">
      <c r="A294" s="71"/>
      <c r="B294" s="71"/>
      <c r="C294" s="61"/>
      <c r="D294" s="61"/>
      <c r="E294" s="71"/>
      <c r="F294" s="71"/>
      <c r="G294" s="61"/>
      <c r="I294" s="61"/>
      <c r="J294" s="71"/>
      <c r="K294" s="71"/>
      <c r="L294" s="71"/>
      <c r="M294" s="71"/>
      <c r="N294" s="71"/>
      <c r="O294" s="71"/>
      <c r="P294" s="71"/>
      <c r="Q294" s="71"/>
      <c r="R294" s="71"/>
      <c r="S294" s="71"/>
      <c r="T294" s="71"/>
      <c r="U294" s="71"/>
      <c r="V294" s="71"/>
      <c r="W294" s="71"/>
      <c r="X294" s="71"/>
      <c r="Y294" s="71"/>
      <c r="Z294" s="71"/>
      <c r="AA294" s="71"/>
      <c r="AB294" s="71"/>
    </row>
    <row r="295" ht="15.75" customHeight="1">
      <c r="A295" s="71"/>
      <c r="B295" s="71"/>
      <c r="C295" s="61"/>
      <c r="D295" s="61"/>
      <c r="E295" s="71"/>
      <c r="F295" s="71"/>
      <c r="G295" s="61"/>
      <c r="I295" s="61"/>
      <c r="J295" s="71"/>
      <c r="K295" s="71"/>
      <c r="L295" s="71"/>
      <c r="M295" s="71"/>
      <c r="N295" s="71"/>
      <c r="O295" s="71"/>
      <c r="P295" s="71"/>
      <c r="Q295" s="71"/>
      <c r="R295" s="71"/>
      <c r="S295" s="71"/>
      <c r="T295" s="71"/>
      <c r="U295" s="71"/>
      <c r="V295" s="71"/>
      <c r="W295" s="71"/>
      <c r="X295" s="71"/>
      <c r="Y295" s="71"/>
      <c r="Z295" s="71"/>
      <c r="AA295" s="71"/>
      <c r="AB295" s="71"/>
    </row>
    <row r="296" ht="15.75" customHeight="1">
      <c r="A296" s="71"/>
      <c r="B296" s="71"/>
      <c r="C296" s="61"/>
      <c r="D296" s="61"/>
      <c r="E296" s="71"/>
      <c r="F296" s="71"/>
      <c r="G296" s="61"/>
      <c r="I296" s="61"/>
      <c r="J296" s="71"/>
      <c r="K296" s="71"/>
      <c r="L296" s="71"/>
      <c r="M296" s="71"/>
      <c r="N296" s="71"/>
      <c r="O296" s="71"/>
      <c r="P296" s="71"/>
      <c r="Q296" s="71"/>
      <c r="R296" s="71"/>
      <c r="S296" s="71"/>
      <c r="T296" s="71"/>
      <c r="U296" s="71"/>
      <c r="V296" s="71"/>
      <c r="W296" s="71"/>
      <c r="X296" s="71"/>
      <c r="Y296" s="71"/>
      <c r="Z296" s="71"/>
      <c r="AA296" s="71"/>
      <c r="AB296" s="71"/>
    </row>
    <row r="297" ht="15.75" customHeight="1">
      <c r="A297" s="71"/>
      <c r="B297" s="71"/>
      <c r="C297" s="61"/>
      <c r="D297" s="61"/>
      <c r="E297" s="71"/>
      <c r="F297" s="71"/>
      <c r="G297" s="61"/>
      <c r="I297" s="61"/>
      <c r="J297" s="71"/>
      <c r="K297" s="71"/>
      <c r="L297" s="71"/>
      <c r="M297" s="71"/>
      <c r="N297" s="71"/>
      <c r="O297" s="71"/>
      <c r="P297" s="71"/>
      <c r="Q297" s="71"/>
      <c r="R297" s="71"/>
      <c r="S297" s="71"/>
      <c r="T297" s="71"/>
      <c r="U297" s="71"/>
      <c r="V297" s="71"/>
      <c r="W297" s="71"/>
      <c r="X297" s="71"/>
      <c r="Y297" s="71"/>
      <c r="Z297" s="71"/>
      <c r="AA297" s="71"/>
      <c r="AB297" s="71"/>
    </row>
    <row r="298" ht="15.75" customHeight="1">
      <c r="A298" s="71"/>
      <c r="B298" s="71"/>
      <c r="C298" s="61"/>
      <c r="D298" s="61"/>
      <c r="E298" s="71"/>
      <c r="F298" s="71"/>
      <c r="G298" s="61"/>
      <c r="I298" s="61"/>
      <c r="J298" s="71"/>
      <c r="K298" s="71"/>
      <c r="L298" s="71"/>
      <c r="M298" s="71"/>
      <c r="N298" s="71"/>
      <c r="O298" s="71"/>
      <c r="P298" s="71"/>
      <c r="Q298" s="71"/>
      <c r="R298" s="71"/>
      <c r="S298" s="71"/>
      <c r="T298" s="71"/>
      <c r="U298" s="71"/>
      <c r="V298" s="71"/>
      <c r="W298" s="71"/>
      <c r="X298" s="71"/>
      <c r="Y298" s="71"/>
      <c r="Z298" s="71"/>
      <c r="AA298" s="71"/>
      <c r="AB298" s="71"/>
    </row>
    <row r="299" ht="15.75" customHeight="1">
      <c r="A299" s="71"/>
      <c r="B299" s="71"/>
      <c r="C299" s="61"/>
      <c r="D299" s="61"/>
      <c r="E299" s="71"/>
      <c r="F299" s="71"/>
      <c r="G299" s="61"/>
      <c r="I299" s="61"/>
      <c r="J299" s="71"/>
      <c r="K299" s="71"/>
      <c r="L299" s="71"/>
      <c r="M299" s="71"/>
      <c r="N299" s="71"/>
      <c r="O299" s="71"/>
      <c r="P299" s="71"/>
      <c r="Q299" s="71"/>
      <c r="R299" s="71"/>
      <c r="S299" s="71"/>
      <c r="T299" s="71"/>
      <c r="U299" s="71"/>
      <c r="V299" s="71"/>
      <c r="W299" s="71"/>
      <c r="X299" s="71"/>
      <c r="Y299" s="71"/>
      <c r="Z299" s="71"/>
      <c r="AA299" s="71"/>
      <c r="AB299" s="71"/>
    </row>
    <row r="300" ht="15.75" customHeight="1">
      <c r="A300" s="71"/>
      <c r="B300" s="71"/>
      <c r="C300" s="61"/>
      <c r="D300" s="61"/>
      <c r="E300" s="71"/>
      <c r="F300" s="71"/>
      <c r="G300" s="61"/>
      <c r="I300" s="61"/>
      <c r="J300" s="71"/>
      <c r="K300" s="71"/>
      <c r="L300" s="71"/>
      <c r="M300" s="71"/>
      <c r="N300" s="71"/>
      <c r="O300" s="71"/>
      <c r="P300" s="71"/>
      <c r="Q300" s="71"/>
      <c r="R300" s="71"/>
      <c r="S300" s="71"/>
      <c r="T300" s="71"/>
      <c r="U300" s="71"/>
      <c r="V300" s="71"/>
      <c r="W300" s="71"/>
      <c r="X300" s="71"/>
      <c r="Y300" s="71"/>
      <c r="Z300" s="71"/>
      <c r="AA300" s="71"/>
      <c r="AB300" s="71"/>
    </row>
    <row r="301" ht="15.75" customHeight="1">
      <c r="A301" s="71"/>
      <c r="B301" s="71"/>
      <c r="C301" s="61"/>
      <c r="D301" s="61"/>
      <c r="E301" s="71"/>
      <c r="F301" s="71"/>
      <c r="G301" s="61"/>
      <c r="I301" s="61"/>
      <c r="J301" s="71"/>
      <c r="K301" s="71"/>
      <c r="L301" s="71"/>
      <c r="M301" s="71"/>
      <c r="N301" s="71"/>
      <c r="O301" s="71"/>
      <c r="P301" s="71"/>
      <c r="Q301" s="71"/>
      <c r="R301" s="71"/>
      <c r="S301" s="71"/>
      <c r="T301" s="71"/>
      <c r="U301" s="71"/>
      <c r="V301" s="71"/>
      <c r="W301" s="71"/>
      <c r="X301" s="71"/>
      <c r="Y301" s="71"/>
      <c r="Z301" s="71"/>
      <c r="AA301" s="71"/>
      <c r="AB301" s="71"/>
    </row>
    <row r="302" ht="15.75" customHeight="1">
      <c r="A302" s="71"/>
      <c r="B302" s="71"/>
      <c r="C302" s="61"/>
      <c r="D302" s="61"/>
      <c r="E302" s="71"/>
      <c r="F302" s="71"/>
      <c r="G302" s="61"/>
      <c r="I302" s="61"/>
      <c r="J302" s="71"/>
      <c r="K302" s="71"/>
      <c r="L302" s="71"/>
      <c r="M302" s="71"/>
      <c r="N302" s="71"/>
      <c r="O302" s="71"/>
      <c r="P302" s="71"/>
      <c r="Q302" s="71"/>
      <c r="R302" s="71"/>
      <c r="S302" s="71"/>
      <c r="T302" s="71"/>
      <c r="U302" s="71"/>
      <c r="V302" s="71"/>
      <c r="W302" s="71"/>
      <c r="X302" s="71"/>
      <c r="Y302" s="71"/>
      <c r="Z302" s="71"/>
      <c r="AA302" s="71"/>
      <c r="AB302" s="71"/>
    </row>
    <row r="303" ht="15.75" customHeight="1">
      <c r="A303" s="71"/>
      <c r="B303" s="71"/>
      <c r="C303" s="61"/>
      <c r="D303" s="61"/>
      <c r="E303" s="71"/>
      <c r="F303" s="71"/>
      <c r="G303" s="61"/>
      <c r="I303" s="61"/>
      <c r="J303" s="71"/>
      <c r="K303" s="71"/>
      <c r="L303" s="71"/>
      <c r="M303" s="71"/>
      <c r="N303" s="71"/>
      <c r="O303" s="71"/>
      <c r="P303" s="71"/>
      <c r="Q303" s="71"/>
      <c r="R303" s="71"/>
      <c r="S303" s="71"/>
      <c r="T303" s="71"/>
      <c r="U303" s="71"/>
      <c r="V303" s="71"/>
      <c r="W303" s="71"/>
      <c r="X303" s="71"/>
      <c r="Y303" s="71"/>
      <c r="Z303" s="71"/>
      <c r="AA303" s="71"/>
      <c r="AB303" s="71"/>
    </row>
    <row r="304" ht="15.75" customHeight="1">
      <c r="A304" s="71"/>
      <c r="B304" s="71"/>
      <c r="C304" s="61"/>
      <c r="D304" s="61"/>
      <c r="E304" s="71"/>
      <c r="F304" s="71"/>
      <c r="G304" s="61"/>
      <c r="I304" s="61"/>
      <c r="J304" s="71"/>
      <c r="K304" s="71"/>
      <c r="L304" s="71"/>
      <c r="M304" s="71"/>
      <c r="N304" s="71"/>
      <c r="O304" s="71"/>
      <c r="P304" s="71"/>
      <c r="Q304" s="71"/>
      <c r="R304" s="71"/>
      <c r="S304" s="71"/>
      <c r="T304" s="71"/>
      <c r="U304" s="71"/>
      <c r="V304" s="71"/>
      <c r="W304" s="71"/>
      <c r="X304" s="71"/>
      <c r="Y304" s="71"/>
      <c r="Z304" s="71"/>
      <c r="AA304" s="71"/>
      <c r="AB304" s="71"/>
    </row>
    <row r="305" ht="15.75" customHeight="1">
      <c r="A305" s="71"/>
      <c r="B305" s="71"/>
      <c r="C305" s="61"/>
      <c r="D305" s="61"/>
      <c r="E305" s="71"/>
      <c r="F305" s="71"/>
      <c r="G305" s="61"/>
      <c r="I305" s="61"/>
      <c r="J305" s="71"/>
      <c r="K305" s="71"/>
      <c r="L305" s="71"/>
      <c r="M305" s="71"/>
      <c r="N305" s="71"/>
      <c r="O305" s="71"/>
      <c r="P305" s="71"/>
      <c r="Q305" s="71"/>
      <c r="R305" s="71"/>
      <c r="S305" s="71"/>
      <c r="T305" s="71"/>
      <c r="U305" s="71"/>
      <c r="V305" s="71"/>
      <c r="W305" s="71"/>
      <c r="X305" s="71"/>
      <c r="Y305" s="71"/>
      <c r="Z305" s="71"/>
      <c r="AA305" s="71"/>
      <c r="AB305" s="71"/>
    </row>
    <row r="306" ht="15.75" customHeight="1">
      <c r="A306" s="71"/>
      <c r="B306" s="71"/>
      <c r="C306" s="61"/>
      <c r="D306" s="61"/>
      <c r="E306" s="71"/>
      <c r="F306" s="71"/>
      <c r="G306" s="61"/>
      <c r="I306" s="61"/>
      <c r="J306" s="71"/>
      <c r="K306" s="71"/>
      <c r="L306" s="71"/>
      <c r="M306" s="71"/>
      <c r="N306" s="71"/>
      <c r="O306" s="71"/>
      <c r="P306" s="71"/>
      <c r="Q306" s="71"/>
      <c r="R306" s="71"/>
      <c r="S306" s="71"/>
      <c r="T306" s="71"/>
      <c r="U306" s="71"/>
      <c r="V306" s="71"/>
      <c r="W306" s="71"/>
      <c r="X306" s="71"/>
      <c r="Y306" s="71"/>
      <c r="Z306" s="71"/>
      <c r="AA306" s="71"/>
      <c r="AB306" s="71"/>
    </row>
    <row r="307" ht="15.75" customHeight="1">
      <c r="A307" s="71"/>
      <c r="B307" s="71"/>
      <c r="C307" s="61"/>
      <c r="D307" s="61"/>
      <c r="E307" s="71"/>
      <c r="F307" s="71"/>
      <c r="G307" s="61"/>
      <c r="I307" s="61"/>
      <c r="J307" s="71"/>
      <c r="K307" s="71"/>
      <c r="L307" s="71"/>
      <c r="M307" s="71"/>
      <c r="N307" s="71"/>
      <c r="O307" s="71"/>
      <c r="P307" s="71"/>
      <c r="Q307" s="71"/>
      <c r="R307" s="71"/>
      <c r="S307" s="71"/>
      <c r="T307" s="71"/>
      <c r="U307" s="71"/>
      <c r="V307" s="71"/>
      <c r="W307" s="71"/>
      <c r="X307" s="71"/>
      <c r="Y307" s="71"/>
      <c r="Z307" s="71"/>
      <c r="AA307" s="71"/>
      <c r="AB307" s="71"/>
    </row>
    <row r="308" ht="15.75" customHeight="1">
      <c r="A308" s="71"/>
      <c r="B308" s="71"/>
      <c r="C308" s="61"/>
      <c r="D308" s="61"/>
      <c r="E308" s="71"/>
      <c r="F308" s="71"/>
      <c r="G308" s="61"/>
      <c r="I308" s="61"/>
      <c r="J308" s="71"/>
      <c r="K308" s="71"/>
      <c r="L308" s="71"/>
      <c r="M308" s="71"/>
      <c r="N308" s="71"/>
      <c r="O308" s="71"/>
      <c r="P308" s="71"/>
      <c r="Q308" s="71"/>
      <c r="R308" s="71"/>
      <c r="S308" s="71"/>
      <c r="T308" s="71"/>
      <c r="U308" s="71"/>
      <c r="V308" s="71"/>
      <c r="W308" s="71"/>
      <c r="X308" s="71"/>
      <c r="Y308" s="71"/>
      <c r="Z308" s="71"/>
      <c r="AA308" s="71"/>
      <c r="AB308" s="71"/>
    </row>
    <row r="309" ht="15.75" customHeight="1">
      <c r="A309" s="71"/>
      <c r="B309" s="71"/>
      <c r="C309" s="61"/>
      <c r="D309" s="61"/>
      <c r="E309" s="71"/>
      <c r="F309" s="71"/>
      <c r="G309" s="61"/>
      <c r="I309" s="61"/>
      <c r="J309" s="71"/>
      <c r="K309" s="71"/>
      <c r="L309" s="71"/>
      <c r="M309" s="71"/>
      <c r="N309" s="71"/>
      <c r="O309" s="71"/>
      <c r="P309" s="71"/>
      <c r="Q309" s="71"/>
      <c r="R309" s="71"/>
      <c r="S309" s="71"/>
      <c r="T309" s="71"/>
      <c r="U309" s="71"/>
      <c r="V309" s="71"/>
      <c r="W309" s="71"/>
      <c r="X309" s="71"/>
      <c r="Y309" s="71"/>
      <c r="Z309" s="71"/>
      <c r="AA309" s="71"/>
      <c r="AB309" s="71"/>
    </row>
    <row r="310" ht="15.75" customHeight="1">
      <c r="A310" s="71"/>
      <c r="B310" s="71"/>
      <c r="C310" s="61"/>
      <c r="D310" s="61"/>
      <c r="E310" s="71"/>
      <c r="F310" s="71"/>
      <c r="G310" s="61"/>
      <c r="I310" s="61"/>
      <c r="J310" s="71"/>
      <c r="K310" s="71"/>
      <c r="L310" s="71"/>
      <c r="M310" s="71"/>
      <c r="N310" s="71"/>
      <c r="O310" s="71"/>
      <c r="P310" s="71"/>
      <c r="Q310" s="71"/>
      <c r="R310" s="71"/>
      <c r="S310" s="71"/>
      <c r="T310" s="71"/>
      <c r="U310" s="71"/>
      <c r="V310" s="71"/>
      <c r="W310" s="71"/>
      <c r="X310" s="71"/>
      <c r="Y310" s="71"/>
      <c r="Z310" s="71"/>
      <c r="AA310" s="71"/>
      <c r="AB310" s="71"/>
    </row>
    <row r="311" ht="15.75" customHeight="1">
      <c r="A311" s="71"/>
      <c r="B311" s="71"/>
      <c r="C311" s="61"/>
      <c r="D311" s="61"/>
      <c r="E311" s="71"/>
      <c r="F311" s="71"/>
      <c r="G311" s="61"/>
      <c r="I311" s="61"/>
      <c r="J311" s="71"/>
      <c r="K311" s="71"/>
      <c r="L311" s="71"/>
      <c r="M311" s="71"/>
      <c r="N311" s="71"/>
      <c r="O311" s="71"/>
      <c r="P311" s="71"/>
      <c r="Q311" s="71"/>
      <c r="R311" s="71"/>
      <c r="S311" s="71"/>
      <c r="T311" s="71"/>
      <c r="U311" s="71"/>
      <c r="V311" s="71"/>
      <c r="W311" s="71"/>
      <c r="X311" s="71"/>
      <c r="Y311" s="71"/>
      <c r="Z311" s="71"/>
      <c r="AA311" s="71"/>
      <c r="AB311" s="71"/>
    </row>
    <row r="312" ht="15.75" customHeight="1">
      <c r="A312" s="71"/>
      <c r="B312" s="71"/>
      <c r="C312" s="61"/>
      <c r="D312" s="61"/>
      <c r="E312" s="71"/>
      <c r="F312" s="71"/>
      <c r="G312" s="61"/>
      <c r="I312" s="61"/>
      <c r="J312" s="71"/>
      <c r="K312" s="71"/>
      <c r="L312" s="71"/>
      <c r="M312" s="71"/>
      <c r="N312" s="71"/>
      <c r="O312" s="71"/>
      <c r="P312" s="71"/>
      <c r="Q312" s="71"/>
      <c r="R312" s="71"/>
      <c r="S312" s="71"/>
      <c r="T312" s="71"/>
      <c r="U312" s="71"/>
      <c r="V312" s="71"/>
      <c r="W312" s="71"/>
      <c r="X312" s="71"/>
      <c r="Y312" s="71"/>
      <c r="Z312" s="71"/>
      <c r="AA312" s="71"/>
      <c r="AB312" s="71"/>
    </row>
    <row r="313" ht="15.75" customHeight="1">
      <c r="A313" s="71"/>
      <c r="B313" s="71"/>
      <c r="C313" s="61"/>
      <c r="D313" s="61"/>
      <c r="E313" s="71"/>
      <c r="F313" s="71"/>
      <c r="G313" s="61"/>
      <c r="I313" s="61"/>
      <c r="J313" s="71"/>
      <c r="K313" s="71"/>
      <c r="L313" s="71"/>
      <c r="M313" s="71"/>
      <c r="N313" s="71"/>
      <c r="O313" s="71"/>
      <c r="P313" s="71"/>
      <c r="Q313" s="71"/>
      <c r="R313" s="71"/>
      <c r="S313" s="71"/>
      <c r="T313" s="71"/>
      <c r="U313" s="71"/>
      <c r="V313" s="71"/>
      <c r="W313" s="71"/>
      <c r="X313" s="71"/>
      <c r="Y313" s="71"/>
      <c r="Z313" s="71"/>
      <c r="AA313" s="71"/>
      <c r="AB313" s="71"/>
    </row>
    <row r="314" ht="15.75" customHeight="1">
      <c r="A314" s="71"/>
      <c r="B314" s="71"/>
      <c r="C314" s="61"/>
      <c r="D314" s="61"/>
      <c r="E314" s="71"/>
      <c r="F314" s="71"/>
      <c r="G314" s="61"/>
      <c r="I314" s="61"/>
      <c r="J314" s="71"/>
      <c r="K314" s="71"/>
      <c r="L314" s="71"/>
      <c r="M314" s="71"/>
      <c r="N314" s="71"/>
      <c r="O314" s="71"/>
      <c r="P314" s="71"/>
      <c r="Q314" s="71"/>
      <c r="R314" s="71"/>
      <c r="S314" s="71"/>
      <c r="T314" s="71"/>
      <c r="U314" s="71"/>
      <c r="V314" s="71"/>
      <c r="W314" s="71"/>
      <c r="X314" s="71"/>
      <c r="Y314" s="71"/>
      <c r="Z314" s="71"/>
      <c r="AA314" s="71"/>
      <c r="AB314" s="71"/>
    </row>
    <row r="315" ht="15.75" customHeight="1">
      <c r="A315" s="71"/>
      <c r="B315" s="71"/>
      <c r="C315" s="61"/>
      <c r="D315" s="61"/>
      <c r="E315" s="71"/>
      <c r="F315" s="71"/>
      <c r="G315" s="61"/>
      <c r="I315" s="61"/>
      <c r="J315" s="71"/>
      <c r="K315" s="71"/>
      <c r="L315" s="71"/>
      <c r="M315" s="71"/>
      <c r="N315" s="71"/>
      <c r="O315" s="71"/>
      <c r="P315" s="71"/>
      <c r="Q315" s="71"/>
      <c r="R315" s="71"/>
      <c r="S315" s="71"/>
      <c r="T315" s="71"/>
      <c r="U315" s="71"/>
      <c r="V315" s="71"/>
      <c r="W315" s="71"/>
      <c r="X315" s="71"/>
      <c r="Y315" s="71"/>
      <c r="Z315" s="71"/>
      <c r="AA315" s="71"/>
      <c r="AB315" s="71"/>
    </row>
    <row r="316" ht="15.75" customHeight="1">
      <c r="A316" s="71"/>
      <c r="B316" s="71"/>
      <c r="C316" s="61"/>
      <c r="D316" s="61"/>
      <c r="E316" s="71"/>
      <c r="F316" s="71"/>
      <c r="G316" s="61"/>
      <c r="I316" s="61"/>
      <c r="J316" s="71"/>
      <c r="K316" s="71"/>
      <c r="L316" s="71"/>
      <c r="M316" s="71"/>
      <c r="N316" s="71"/>
      <c r="O316" s="71"/>
      <c r="P316" s="71"/>
      <c r="Q316" s="71"/>
      <c r="R316" s="71"/>
      <c r="S316" s="71"/>
      <c r="T316" s="71"/>
      <c r="U316" s="71"/>
      <c r="V316" s="71"/>
      <c r="W316" s="71"/>
      <c r="X316" s="71"/>
      <c r="Y316" s="71"/>
      <c r="Z316" s="71"/>
      <c r="AA316" s="71"/>
      <c r="AB316" s="71"/>
    </row>
    <row r="317" ht="15.75" customHeight="1">
      <c r="A317" s="71"/>
      <c r="B317" s="71"/>
      <c r="C317" s="61"/>
      <c r="D317" s="61"/>
      <c r="E317" s="71"/>
      <c r="F317" s="71"/>
      <c r="G317" s="61"/>
      <c r="I317" s="61"/>
      <c r="J317" s="71"/>
      <c r="K317" s="71"/>
      <c r="L317" s="71"/>
      <c r="M317" s="71"/>
      <c r="N317" s="71"/>
      <c r="O317" s="71"/>
      <c r="P317" s="71"/>
      <c r="Q317" s="71"/>
      <c r="R317" s="71"/>
      <c r="S317" s="71"/>
      <c r="T317" s="71"/>
      <c r="U317" s="71"/>
      <c r="V317" s="71"/>
      <c r="W317" s="71"/>
      <c r="X317" s="71"/>
      <c r="Y317" s="71"/>
      <c r="Z317" s="71"/>
      <c r="AA317" s="71"/>
      <c r="AB317" s="71"/>
    </row>
    <row r="318" ht="15.75" customHeight="1">
      <c r="A318" s="71"/>
      <c r="B318" s="71"/>
      <c r="C318" s="61"/>
      <c r="D318" s="61"/>
      <c r="E318" s="71"/>
      <c r="F318" s="71"/>
      <c r="G318" s="61"/>
      <c r="I318" s="61"/>
      <c r="J318" s="71"/>
      <c r="K318" s="71"/>
      <c r="L318" s="71"/>
      <c r="M318" s="71"/>
      <c r="N318" s="71"/>
      <c r="O318" s="71"/>
      <c r="P318" s="71"/>
      <c r="Q318" s="71"/>
      <c r="R318" s="71"/>
      <c r="S318" s="71"/>
      <c r="T318" s="71"/>
      <c r="U318" s="71"/>
      <c r="V318" s="71"/>
      <c r="W318" s="71"/>
      <c r="X318" s="71"/>
      <c r="Y318" s="71"/>
      <c r="Z318" s="71"/>
      <c r="AA318" s="71"/>
      <c r="AB318" s="71"/>
    </row>
    <row r="319" ht="15.75" customHeight="1">
      <c r="A319" s="71"/>
      <c r="B319" s="71"/>
      <c r="C319" s="61"/>
      <c r="D319" s="61"/>
      <c r="E319" s="71"/>
      <c r="F319" s="71"/>
      <c r="G319" s="61"/>
      <c r="I319" s="61"/>
      <c r="J319" s="71"/>
      <c r="K319" s="71"/>
      <c r="L319" s="71"/>
      <c r="M319" s="71"/>
      <c r="N319" s="71"/>
      <c r="O319" s="71"/>
      <c r="P319" s="71"/>
      <c r="Q319" s="71"/>
      <c r="R319" s="71"/>
      <c r="S319" s="71"/>
      <c r="T319" s="71"/>
      <c r="U319" s="71"/>
      <c r="V319" s="71"/>
      <c r="W319" s="71"/>
      <c r="X319" s="71"/>
      <c r="Y319" s="71"/>
      <c r="Z319" s="71"/>
      <c r="AA319" s="71"/>
      <c r="AB319" s="71"/>
    </row>
    <row r="320" ht="15.75" customHeight="1">
      <c r="A320" s="71"/>
      <c r="B320" s="71"/>
      <c r="C320" s="61"/>
      <c r="D320" s="61"/>
      <c r="E320" s="71"/>
      <c r="F320" s="71"/>
      <c r="G320" s="61"/>
      <c r="I320" s="61"/>
      <c r="J320" s="71"/>
      <c r="K320" s="71"/>
      <c r="L320" s="71"/>
      <c r="M320" s="71"/>
      <c r="N320" s="71"/>
      <c r="O320" s="71"/>
      <c r="P320" s="71"/>
      <c r="Q320" s="71"/>
      <c r="R320" s="71"/>
      <c r="S320" s="71"/>
      <c r="T320" s="71"/>
      <c r="U320" s="71"/>
      <c r="V320" s="71"/>
      <c r="W320" s="71"/>
      <c r="X320" s="71"/>
      <c r="Y320" s="71"/>
      <c r="Z320" s="71"/>
      <c r="AA320" s="71"/>
      <c r="AB320" s="71"/>
    </row>
    <row r="321" ht="15.75" customHeight="1">
      <c r="A321" s="71"/>
      <c r="B321" s="71"/>
      <c r="C321" s="61"/>
      <c r="D321" s="61"/>
      <c r="E321" s="71"/>
      <c r="F321" s="71"/>
      <c r="G321" s="61"/>
      <c r="I321" s="61"/>
      <c r="J321" s="71"/>
      <c r="K321" s="71"/>
      <c r="L321" s="71"/>
      <c r="M321" s="71"/>
      <c r="N321" s="71"/>
      <c r="O321" s="71"/>
      <c r="P321" s="71"/>
      <c r="Q321" s="71"/>
      <c r="R321" s="71"/>
      <c r="S321" s="71"/>
      <c r="T321" s="71"/>
      <c r="U321" s="71"/>
      <c r="V321" s="71"/>
      <c r="W321" s="71"/>
      <c r="X321" s="71"/>
      <c r="Y321" s="71"/>
      <c r="Z321" s="71"/>
      <c r="AA321" s="71"/>
      <c r="AB321" s="71"/>
    </row>
    <row r="322" ht="15.75" customHeight="1">
      <c r="A322" s="71"/>
      <c r="B322" s="71"/>
      <c r="C322" s="61"/>
      <c r="D322" s="61"/>
      <c r="E322" s="71"/>
      <c r="F322" s="71"/>
      <c r="G322" s="61"/>
      <c r="I322" s="61"/>
      <c r="J322" s="71"/>
      <c r="K322" s="71"/>
      <c r="L322" s="71"/>
      <c r="M322" s="71"/>
      <c r="N322" s="71"/>
      <c r="O322" s="71"/>
      <c r="P322" s="71"/>
      <c r="Q322" s="71"/>
      <c r="R322" s="71"/>
      <c r="S322" s="71"/>
      <c r="T322" s="71"/>
      <c r="U322" s="71"/>
      <c r="V322" s="71"/>
      <c r="W322" s="71"/>
      <c r="X322" s="71"/>
      <c r="Y322" s="71"/>
      <c r="Z322" s="71"/>
      <c r="AA322" s="71"/>
      <c r="AB322" s="71"/>
    </row>
    <row r="323" ht="15.75" customHeight="1">
      <c r="A323" s="71"/>
      <c r="B323" s="71"/>
      <c r="C323" s="61"/>
      <c r="D323" s="61"/>
      <c r="E323" s="71"/>
      <c r="F323" s="71"/>
      <c r="G323" s="61"/>
      <c r="I323" s="61"/>
      <c r="J323" s="71"/>
      <c r="K323" s="71"/>
      <c r="L323" s="71"/>
      <c r="M323" s="71"/>
      <c r="N323" s="71"/>
      <c r="O323" s="71"/>
      <c r="P323" s="71"/>
      <c r="Q323" s="71"/>
      <c r="R323" s="71"/>
      <c r="S323" s="71"/>
      <c r="T323" s="71"/>
      <c r="U323" s="71"/>
      <c r="V323" s="71"/>
      <c r="W323" s="71"/>
      <c r="X323" s="71"/>
      <c r="Y323" s="71"/>
      <c r="Z323" s="71"/>
      <c r="AA323" s="71"/>
      <c r="AB323" s="71"/>
    </row>
    <row r="324" ht="15.75" customHeight="1">
      <c r="A324" s="71"/>
      <c r="B324" s="71"/>
      <c r="C324" s="61"/>
      <c r="D324" s="61"/>
      <c r="E324" s="71"/>
      <c r="F324" s="71"/>
      <c r="G324" s="61"/>
      <c r="I324" s="61"/>
      <c r="J324" s="71"/>
      <c r="K324" s="71"/>
      <c r="L324" s="71"/>
      <c r="M324" s="71"/>
      <c r="N324" s="71"/>
      <c r="O324" s="71"/>
      <c r="P324" s="71"/>
      <c r="Q324" s="71"/>
      <c r="R324" s="71"/>
      <c r="S324" s="71"/>
      <c r="T324" s="71"/>
      <c r="U324" s="71"/>
      <c r="V324" s="71"/>
      <c r="W324" s="71"/>
      <c r="X324" s="71"/>
      <c r="Y324" s="71"/>
      <c r="Z324" s="71"/>
      <c r="AA324" s="71"/>
      <c r="AB324" s="71"/>
    </row>
    <row r="325" ht="15.75" customHeight="1">
      <c r="A325" s="71"/>
      <c r="B325" s="71"/>
      <c r="C325" s="61"/>
      <c r="D325" s="61"/>
      <c r="E325" s="71"/>
      <c r="F325" s="71"/>
      <c r="G325" s="61"/>
      <c r="I325" s="61"/>
      <c r="J325" s="71"/>
      <c r="K325" s="71"/>
      <c r="L325" s="71"/>
      <c r="M325" s="71"/>
      <c r="N325" s="71"/>
      <c r="O325" s="71"/>
      <c r="P325" s="71"/>
      <c r="Q325" s="71"/>
      <c r="R325" s="71"/>
      <c r="S325" s="71"/>
      <c r="T325" s="71"/>
      <c r="U325" s="71"/>
      <c r="V325" s="71"/>
      <c r="W325" s="71"/>
      <c r="X325" s="71"/>
      <c r="Y325" s="71"/>
      <c r="Z325" s="71"/>
      <c r="AA325" s="71"/>
      <c r="AB325" s="71"/>
    </row>
    <row r="326" ht="15.75" customHeight="1">
      <c r="A326" s="71"/>
      <c r="B326" s="71"/>
      <c r="C326" s="61"/>
      <c r="D326" s="61"/>
      <c r="E326" s="71"/>
      <c r="F326" s="71"/>
      <c r="G326" s="61"/>
      <c r="I326" s="61"/>
      <c r="J326" s="71"/>
      <c r="K326" s="71"/>
      <c r="L326" s="71"/>
      <c r="M326" s="71"/>
      <c r="N326" s="71"/>
      <c r="O326" s="71"/>
      <c r="P326" s="71"/>
      <c r="Q326" s="71"/>
      <c r="R326" s="71"/>
      <c r="S326" s="71"/>
      <c r="T326" s="71"/>
      <c r="U326" s="71"/>
      <c r="V326" s="71"/>
      <c r="W326" s="71"/>
      <c r="X326" s="71"/>
      <c r="Y326" s="71"/>
      <c r="Z326" s="71"/>
      <c r="AA326" s="71"/>
      <c r="AB326" s="71"/>
    </row>
    <row r="327" ht="15.75" customHeight="1">
      <c r="A327" s="71"/>
      <c r="B327" s="71"/>
      <c r="C327" s="61"/>
      <c r="D327" s="61"/>
      <c r="E327" s="71"/>
      <c r="F327" s="71"/>
      <c r="G327" s="61"/>
      <c r="I327" s="61"/>
      <c r="J327" s="71"/>
      <c r="K327" s="71"/>
      <c r="L327" s="71"/>
      <c r="M327" s="71"/>
      <c r="N327" s="71"/>
      <c r="O327" s="71"/>
      <c r="P327" s="71"/>
      <c r="Q327" s="71"/>
      <c r="R327" s="71"/>
      <c r="S327" s="71"/>
      <c r="T327" s="71"/>
      <c r="U327" s="71"/>
      <c r="V327" s="71"/>
      <c r="W327" s="71"/>
      <c r="X327" s="71"/>
      <c r="Y327" s="71"/>
      <c r="Z327" s="71"/>
      <c r="AA327" s="71"/>
      <c r="AB327" s="71"/>
    </row>
    <row r="328" ht="15.75" customHeight="1">
      <c r="A328" s="71"/>
      <c r="B328" s="71"/>
      <c r="C328" s="61"/>
      <c r="D328" s="61"/>
      <c r="E328" s="71"/>
      <c r="F328" s="71"/>
      <c r="G328" s="61"/>
      <c r="I328" s="61"/>
      <c r="J328" s="71"/>
      <c r="K328" s="71"/>
      <c r="L328" s="71"/>
      <c r="M328" s="71"/>
      <c r="N328" s="71"/>
      <c r="O328" s="71"/>
      <c r="P328" s="71"/>
      <c r="Q328" s="71"/>
      <c r="R328" s="71"/>
      <c r="S328" s="71"/>
      <c r="T328" s="71"/>
      <c r="U328" s="71"/>
      <c r="V328" s="71"/>
      <c r="W328" s="71"/>
      <c r="X328" s="71"/>
      <c r="Y328" s="71"/>
      <c r="Z328" s="71"/>
      <c r="AA328" s="71"/>
      <c r="AB328" s="71"/>
    </row>
    <row r="329" ht="15.75" customHeight="1">
      <c r="A329" s="71"/>
      <c r="B329" s="71"/>
      <c r="C329" s="61"/>
      <c r="D329" s="61"/>
      <c r="E329" s="71"/>
      <c r="F329" s="71"/>
      <c r="G329" s="61"/>
      <c r="I329" s="61"/>
      <c r="J329" s="71"/>
      <c r="K329" s="71"/>
      <c r="L329" s="71"/>
      <c r="M329" s="71"/>
      <c r="N329" s="71"/>
      <c r="O329" s="71"/>
      <c r="P329" s="71"/>
      <c r="Q329" s="71"/>
      <c r="R329" s="71"/>
      <c r="S329" s="71"/>
      <c r="T329" s="71"/>
      <c r="U329" s="71"/>
      <c r="V329" s="71"/>
      <c r="W329" s="71"/>
      <c r="X329" s="71"/>
      <c r="Y329" s="71"/>
      <c r="Z329" s="71"/>
      <c r="AA329" s="71"/>
      <c r="AB329" s="71"/>
    </row>
    <row r="330" ht="15.75" customHeight="1">
      <c r="A330" s="71"/>
      <c r="B330" s="71"/>
      <c r="C330" s="61"/>
      <c r="D330" s="61"/>
      <c r="E330" s="71"/>
      <c r="F330" s="71"/>
      <c r="G330" s="61"/>
      <c r="I330" s="61"/>
      <c r="J330" s="71"/>
      <c r="K330" s="71"/>
      <c r="L330" s="71"/>
      <c r="M330" s="71"/>
      <c r="N330" s="71"/>
      <c r="O330" s="71"/>
      <c r="P330" s="71"/>
      <c r="Q330" s="71"/>
      <c r="R330" s="71"/>
      <c r="S330" s="71"/>
      <c r="T330" s="71"/>
      <c r="U330" s="71"/>
      <c r="V330" s="71"/>
      <c r="W330" s="71"/>
      <c r="X330" s="71"/>
      <c r="Y330" s="71"/>
      <c r="Z330" s="71"/>
      <c r="AA330" s="71"/>
      <c r="AB330" s="71"/>
    </row>
    <row r="331" ht="15.75" customHeight="1">
      <c r="A331" s="71"/>
      <c r="B331" s="71"/>
      <c r="C331" s="61"/>
      <c r="D331" s="61"/>
      <c r="E331" s="71"/>
      <c r="F331" s="71"/>
      <c r="G331" s="61"/>
      <c r="I331" s="61"/>
      <c r="J331" s="71"/>
      <c r="K331" s="71"/>
      <c r="L331" s="71"/>
      <c r="M331" s="71"/>
      <c r="N331" s="71"/>
      <c r="O331" s="71"/>
      <c r="P331" s="71"/>
      <c r="Q331" s="71"/>
      <c r="R331" s="71"/>
      <c r="S331" s="71"/>
      <c r="T331" s="71"/>
      <c r="U331" s="71"/>
      <c r="V331" s="71"/>
      <c r="W331" s="71"/>
      <c r="X331" s="71"/>
      <c r="Y331" s="71"/>
      <c r="Z331" s="71"/>
      <c r="AA331" s="71"/>
      <c r="AB331" s="71"/>
    </row>
    <row r="332" ht="15.75" customHeight="1">
      <c r="A332" s="71"/>
      <c r="B332" s="71"/>
      <c r="C332" s="61"/>
      <c r="D332" s="61"/>
      <c r="E332" s="71"/>
      <c r="F332" s="71"/>
      <c r="G332" s="61"/>
      <c r="I332" s="61"/>
      <c r="J332" s="71"/>
      <c r="K332" s="71"/>
      <c r="L332" s="71"/>
      <c r="M332" s="71"/>
      <c r="N332" s="71"/>
      <c r="O332" s="71"/>
      <c r="P332" s="71"/>
      <c r="Q332" s="71"/>
      <c r="R332" s="71"/>
      <c r="S332" s="71"/>
      <c r="T332" s="71"/>
      <c r="U332" s="71"/>
      <c r="V332" s="71"/>
      <c r="W332" s="71"/>
      <c r="X332" s="71"/>
      <c r="Y332" s="71"/>
      <c r="Z332" s="71"/>
      <c r="AA332" s="71"/>
      <c r="AB332" s="71"/>
    </row>
    <row r="333" ht="15.75" customHeight="1">
      <c r="A333" s="71"/>
      <c r="B333" s="71"/>
      <c r="C333" s="61"/>
      <c r="D333" s="61"/>
      <c r="E333" s="71"/>
      <c r="F333" s="71"/>
      <c r="G333" s="61"/>
      <c r="I333" s="61"/>
      <c r="J333" s="71"/>
      <c r="K333" s="71"/>
      <c r="L333" s="71"/>
      <c r="M333" s="71"/>
      <c r="N333" s="71"/>
      <c r="O333" s="71"/>
      <c r="P333" s="71"/>
      <c r="Q333" s="71"/>
      <c r="R333" s="71"/>
      <c r="S333" s="71"/>
      <c r="T333" s="71"/>
      <c r="U333" s="71"/>
      <c r="V333" s="71"/>
      <c r="W333" s="71"/>
      <c r="X333" s="71"/>
      <c r="Y333" s="71"/>
      <c r="Z333" s="71"/>
      <c r="AA333" s="71"/>
      <c r="AB333" s="71"/>
    </row>
    <row r="334" ht="15.75" customHeight="1">
      <c r="A334" s="71"/>
      <c r="B334" s="71"/>
      <c r="C334" s="61"/>
      <c r="D334" s="61"/>
      <c r="E334" s="71"/>
      <c r="F334" s="71"/>
      <c r="G334" s="61"/>
      <c r="I334" s="61"/>
      <c r="J334" s="71"/>
      <c r="K334" s="71"/>
      <c r="L334" s="71"/>
      <c r="M334" s="71"/>
      <c r="N334" s="71"/>
      <c r="O334" s="71"/>
      <c r="P334" s="71"/>
      <c r="Q334" s="71"/>
      <c r="R334" s="71"/>
      <c r="S334" s="71"/>
      <c r="T334" s="71"/>
      <c r="U334" s="71"/>
      <c r="V334" s="71"/>
      <c r="W334" s="71"/>
      <c r="X334" s="71"/>
      <c r="Y334" s="71"/>
      <c r="Z334" s="71"/>
      <c r="AA334" s="71"/>
      <c r="AB334" s="71"/>
    </row>
    <row r="335" ht="15.75" customHeight="1">
      <c r="A335" s="71"/>
      <c r="B335" s="71"/>
      <c r="C335" s="61"/>
      <c r="D335" s="61"/>
      <c r="E335" s="71"/>
      <c r="F335" s="71"/>
      <c r="G335" s="61"/>
      <c r="I335" s="61"/>
      <c r="J335" s="71"/>
      <c r="K335" s="71"/>
      <c r="L335" s="71"/>
      <c r="M335" s="71"/>
      <c r="N335" s="71"/>
      <c r="O335" s="71"/>
      <c r="P335" s="71"/>
      <c r="Q335" s="71"/>
      <c r="R335" s="71"/>
      <c r="S335" s="71"/>
      <c r="T335" s="71"/>
      <c r="U335" s="71"/>
      <c r="V335" s="71"/>
      <c r="W335" s="71"/>
      <c r="X335" s="71"/>
      <c r="Y335" s="71"/>
      <c r="Z335" s="71"/>
      <c r="AA335" s="71"/>
      <c r="AB335" s="71"/>
    </row>
    <row r="336" ht="15.75" customHeight="1">
      <c r="A336" s="71"/>
      <c r="B336" s="71"/>
      <c r="C336" s="61"/>
      <c r="D336" s="61"/>
      <c r="E336" s="71"/>
      <c r="F336" s="71"/>
      <c r="G336" s="61"/>
      <c r="I336" s="61"/>
      <c r="J336" s="71"/>
      <c r="K336" s="71"/>
      <c r="L336" s="71"/>
      <c r="M336" s="71"/>
      <c r="N336" s="71"/>
      <c r="O336" s="71"/>
      <c r="P336" s="71"/>
      <c r="Q336" s="71"/>
      <c r="R336" s="71"/>
      <c r="S336" s="71"/>
      <c r="T336" s="71"/>
      <c r="U336" s="71"/>
      <c r="V336" s="71"/>
      <c r="W336" s="71"/>
      <c r="X336" s="71"/>
      <c r="Y336" s="71"/>
      <c r="Z336" s="71"/>
      <c r="AA336" s="71"/>
      <c r="AB336" s="71"/>
    </row>
    <row r="337" ht="15.75" customHeight="1">
      <c r="A337" s="71"/>
      <c r="B337" s="71"/>
      <c r="C337" s="61"/>
      <c r="D337" s="61"/>
      <c r="E337" s="71"/>
      <c r="F337" s="71"/>
      <c r="G337" s="61"/>
      <c r="I337" s="61"/>
      <c r="J337" s="71"/>
      <c r="K337" s="71"/>
      <c r="L337" s="71"/>
      <c r="M337" s="71"/>
      <c r="N337" s="71"/>
      <c r="O337" s="71"/>
      <c r="P337" s="71"/>
      <c r="Q337" s="71"/>
      <c r="R337" s="71"/>
      <c r="S337" s="71"/>
      <c r="T337" s="71"/>
      <c r="U337" s="71"/>
      <c r="V337" s="71"/>
      <c r="W337" s="71"/>
      <c r="X337" s="71"/>
      <c r="Y337" s="71"/>
      <c r="Z337" s="71"/>
      <c r="AA337" s="71"/>
      <c r="AB337" s="71"/>
    </row>
    <row r="338" ht="15.75" customHeight="1">
      <c r="A338" s="71"/>
      <c r="B338" s="71"/>
      <c r="C338" s="61"/>
      <c r="D338" s="61"/>
      <c r="E338" s="71"/>
      <c r="F338" s="71"/>
      <c r="G338" s="61"/>
      <c r="I338" s="61"/>
      <c r="J338" s="71"/>
      <c r="K338" s="71"/>
      <c r="L338" s="71"/>
      <c r="M338" s="71"/>
      <c r="N338" s="71"/>
      <c r="O338" s="71"/>
      <c r="P338" s="71"/>
      <c r="Q338" s="71"/>
      <c r="R338" s="71"/>
      <c r="S338" s="71"/>
      <c r="T338" s="71"/>
      <c r="U338" s="71"/>
      <c r="V338" s="71"/>
      <c r="W338" s="71"/>
      <c r="X338" s="71"/>
      <c r="Y338" s="71"/>
      <c r="Z338" s="71"/>
      <c r="AA338" s="71"/>
      <c r="AB338" s="71"/>
    </row>
    <row r="339" ht="15.75" customHeight="1">
      <c r="A339" s="71"/>
      <c r="B339" s="71"/>
      <c r="C339" s="61"/>
      <c r="D339" s="61"/>
      <c r="E339" s="71"/>
      <c r="F339" s="71"/>
      <c r="G339" s="61"/>
      <c r="I339" s="61"/>
      <c r="J339" s="71"/>
      <c r="K339" s="71"/>
      <c r="L339" s="71"/>
      <c r="M339" s="71"/>
      <c r="N339" s="71"/>
      <c r="O339" s="71"/>
      <c r="P339" s="71"/>
      <c r="Q339" s="71"/>
      <c r="R339" s="71"/>
      <c r="S339" s="71"/>
      <c r="T339" s="71"/>
      <c r="U339" s="71"/>
      <c r="V339" s="71"/>
      <c r="W339" s="71"/>
      <c r="X339" s="71"/>
      <c r="Y339" s="71"/>
      <c r="Z339" s="71"/>
      <c r="AA339" s="71"/>
      <c r="AB339" s="71"/>
    </row>
    <row r="340" ht="15.75" customHeight="1">
      <c r="A340" s="71"/>
      <c r="B340" s="71"/>
      <c r="C340" s="61"/>
      <c r="D340" s="61"/>
      <c r="E340" s="71"/>
      <c r="F340" s="71"/>
      <c r="G340" s="61"/>
      <c r="I340" s="61"/>
      <c r="J340" s="71"/>
      <c r="K340" s="71"/>
      <c r="L340" s="71"/>
      <c r="M340" s="71"/>
      <c r="N340" s="71"/>
      <c r="O340" s="71"/>
      <c r="P340" s="71"/>
      <c r="Q340" s="71"/>
      <c r="R340" s="71"/>
      <c r="S340" s="71"/>
      <c r="T340" s="71"/>
      <c r="U340" s="71"/>
      <c r="V340" s="71"/>
      <c r="W340" s="71"/>
      <c r="X340" s="71"/>
      <c r="Y340" s="71"/>
      <c r="Z340" s="71"/>
      <c r="AA340" s="71"/>
      <c r="AB340" s="71"/>
    </row>
    <row r="341" ht="15.75" customHeight="1">
      <c r="A341" s="71"/>
      <c r="B341" s="71"/>
      <c r="C341" s="61"/>
      <c r="D341" s="61"/>
      <c r="E341" s="71"/>
      <c r="F341" s="71"/>
      <c r="G341" s="61"/>
      <c r="I341" s="61"/>
      <c r="J341" s="71"/>
      <c r="K341" s="71"/>
      <c r="L341" s="71"/>
      <c r="M341" s="71"/>
      <c r="N341" s="71"/>
      <c r="O341" s="71"/>
      <c r="P341" s="71"/>
      <c r="Q341" s="71"/>
      <c r="R341" s="71"/>
      <c r="S341" s="71"/>
      <c r="T341" s="71"/>
      <c r="U341" s="71"/>
      <c r="V341" s="71"/>
      <c r="W341" s="71"/>
      <c r="X341" s="71"/>
      <c r="Y341" s="71"/>
      <c r="Z341" s="71"/>
      <c r="AA341" s="71"/>
      <c r="AB341" s="71"/>
    </row>
    <row r="342" ht="15.75" customHeight="1">
      <c r="A342" s="71"/>
      <c r="B342" s="71"/>
      <c r="C342" s="61"/>
      <c r="D342" s="61"/>
      <c r="E342" s="71"/>
      <c r="F342" s="71"/>
      <c r="G342" s="61"/>
      <c r="I342" s="61"/>
      <c r="J342" s="71"/>
      <c r="K342" s="71"/>
      <c r="L342" s="71"/>
      <c r="M342" s="71"/>
      <c r="N342" s="71"/>
      <c r="O342" s="71"/>
      <c r="P342" s="71"/>
      <c r="Q342" s="71"/>
      <c r="R342" s="71"/>
      <c r="S342" s="71"/>
      <c r="T342" s="71"/>
      <c r="U342" s="71"/>
      <c r="V342" s="71"/>
      <c r="W342" s="71"/>
      <c r="X342" s="71"/>
      <c r="Y342" s="71"/>
      <c r="Z342" s="71"/>
      <c r="AA342" s="71"/>
      <c r="AB342" s="71"/>
    </row>
    <row r="343" ht="15.75" customHeight="1">
      <c r="A343" s="71"/>
      <c r="B343" s="71"/>
      <c r="C343" s="61"/>
      <c r="D343" s="61"/>
      <c r="E343" s="71"/>
      <c r="F343" s="71"/>
      <c r="G343" s="61"/>
      <c r="I343" s="61"/>
      <c r="J343" s="71"/>
      <c r="K343" s="71"/>
      <c r="L343" s="71"/>
      <c r="M343" s="71"/>
      <c r="N343" s="71"/>
      <c r="O343" s="71"/>
      <c r="P343" s="71"/>
      <c r="Q343" s="71"/>
      <c r="R343" s="71"/>
      <c r="S343" s="71"/>
      <c r="T343" s="71"/>
      <c r="U343" s="71"/>
      <c r="V343" s="71"/>
      <c r="W343" s="71"/>
      <c r="X343" s="71"/>
      <c r="Y343" s="71"/>
      <c r="Z343" s="71"/>
      <c r="AA343" s="71"/>
      <c r="AB343" s="71"/>
    </row>
    <row r="344" ht="15.75" customHeight="1">
      <c r="A344" s="71"/>
      <c r="B344" s="71"/>
      <c r="C344" s="61"/>
      <c r="D344" s="61"/>
      <c r="E344" s="71"/>
      <c r="F344" s="71"/>
      <c r="G344" s="61"/>
      <c r="I344" s="61"/>
      <c r="J344" s="71"/>
      <c r="K344" s="71"/>
      <c r="L344" s="71"/>
      <c r="M344" s="71"/>
      <c r="N344" s="71"/>
      <c r="O344" s="71"/>
      <c r="P344" s="71"/>
      <c r="Q344" s="71"/>
      <c r="R344" s="71"/>
      <c r="S344" s="71"/>
      <c r="T344" s="71"/>
      <c r="U344" s="71"/>
      <c r="V344" s="71"/>
      <c r="W344" s="71"/>
      <c r="X344" s="71"/>
      <c r="Y344" s="71"/>
      <c r="Z344" s="71"/>
      <c r="AA344" s="71"/>
      <c r="AB344" s="71"/>
    </row>
    <row r="345" ht="15.75" customHeight="1">
      <c r="A345" s="71"/>
      <c r="B345" s="71"/>
      <c r="C345" s="61"/>
      <c r="D345" s="61"/>
      <c r="E345" s="71"/>
      <c r="F345" s="71"/>
      <c r="G345" s="61"/>
      <c r="I345" s="61"/>
      <c r="J345" s="71"/>
      <c r="K345" s="71"/>
      <c r="L345" s="71"/>
      <c r="M345" s="71"/>
      <c r="N345" s="71"/>
      <c r="O345" s="71"/>
      <c r="P345" s="71"/>
      <c r="Q345" s="71"/>
      <c r="R345" s="71"/>
      <c r="S345" s="71"/>
      <c r="T345" s="71"/>
      <c r="U345" s="71"/>
      <c r="V345" s="71"/>
      <c r="W345" s="71"/>
      <c r="X345" s="71"/>
      <c r="Y345" s="71"/>
      <c r="Z345" s="71"/>
      <c r="AA345" s="71"/>
      <c r="AB345" s="71"/>
    </row>
    <row r="346" ht="15.75" customHeight="1">
      <c r="A346" s="71"/>
      <c r="B346" s="71"/>
      <c r="C346" s="61"/>
      <c r="D346" s="61"/>
      <c r="E346" s="71"/>
      <c r="F346" s="71"/>
      <c r="G346" s="61"/>
      <c r="I346" s="61"/>
      <c r="J346" s="71"/>
      <c r="K346" s="71"/>
      <c r="L346" s="71"/>
      <c r="M346" s="71"/>
      <c r="N346" s="71"/>
      <c r="O346" s="71"/>
      <c r="P346" s="71"/>
      <c r="Q346" s="71"/>
      <c r="R346" s="71"/>
      <c r="S346" s="71"/>
      <c r="T346" s="71"/>
      <c r="U346" s="71"/>
      <c r="V346" s="71"/>
      <c r="W346" s="71"/>
      <c r="X346" s="71"/>
      <c r="Y346" s="71"/>
      <c r="Z346" s="71"/>
      <c r="AA346" s="71"/>
      <c r="AB346" s="71"/>
    </row>
    <row r="347" ht="15.75" customHeight="1">
      <c r="A347" s="71"/>
      <c r="B347" s="71"/>
      <c r="C347" s="61"/>
      <c r="D347" s="61"/>
      <c r="E347" s="71"/>
      <c r="F347" s="71"/>
      <c r="G347" s="61"/>
      <c r="I347" s="61"/>
      <c r="J347" s="71"/>
      <c r="K347" s="71"/>
      <c r="L347" s="71"/>
      <c r="M347" s="71"/>
      <c r="N347" s="71"/>
      <c r="O347" s="71"/>
      <c r="P347" s="71"/>
      <c r="Q347" s="71"/>
      <c r="R347" s="71"/>
      <c r="S347" s="71"/>
      <c r="T347" s="71"/>
      <c r="U347" s="71"/>
      <c r="V347" s="71"/>
      <c r="W347" s="71"/>
      <c r="X347" s="71"/>
      <c r="Y347" s="71"/>
      <c r="Z347" s="71"/>
      <c r="AA347" s="71"/>
      <c r="AB347" s="71"/>
    </row>
    <row r="348" ht="15.75" customHeight="1">
      <c r="A348" s="71"/>
      <c r="B348" s="71"/>
      <c r="C348" s="61"/>
      <c r="D348" s="61"/>
      <c r="E348" s="71"/>
      <c r="F348" s="71"/>
      <c r="G348" s="61"/>
      <c r="I348" s="61"/>
      <c r="J348" s="71"/>
      <c r="K348" s="71"/>
      <c r="L348" s="71"/>
      <c r="M348" s="71"/>
      <c r="N348" s="71"/>
      <c r="O348" s="71"/>
      <c r="P348" s="71"/>
      <c r="Q348" s="71"/>
      <c r="R348" s="71"/>
      <c r="S348" s="71"/>
      <c r="T348" s="71"/>
      <c r="U348" s="71"/>
      <c r="V348" s="71"/>
      <c r="W348" s="71"/>
      <c r="X348" s="71"/>
      <c r="Y348" s="71"/>
      <c r="Z348" s="71"/>
      <c r="AA348" s="71"/>
      <c r="AB348" s="71"/>
    </row>
    <row r="349" ht="15.75" customHeight="1">
      <c r="A349" s="71"/>
      <c r="B349" s="71"/>
      <c r="C349" s="61"/>
      <c r="D349" s="61"/>
      <c r="E349" s="71"/>
      <c r="F349" s="71"/>
      <c r="G349" s="61"/>
      <c r="I349" s="61"/>
      <c r="J349" s="71"/>
      <c r="K349" s="71"/>
      <c r="L349" s="71"/>
      <c r="M349" s="71"/>
      <c r="N349" s="71"/>
      <c r="O349" s="71"/>
      <c r="P349" s="71"/>
      <c r="Q349" s="71"/>
      <c r="R349" s="71"/>
      <c r="S349" s="71"/>
      <c r="T349" s="71"/>
      <c r="U349" s="71"/>
      <c r="V349" s="71"/>
      <c r="W349" s="71"/>
      <c r="X349" s="71"/>
      <c r="Y349" s="71"/>
      <c r="Z349" s="71"/>
      <c r="AA349" s="71"/>
      <c r="AB349" s="71"/>
    </row>
    <row r="350" ht="15.75" customHeight="1">
      <c r="A350" s="71"/>
      <c r="B350" s="71"/>
      <c r="C350" s="61"/>
      <c r="D350" s="61"/>
      <c r="E350" s="71"/>
      <c r="F350" s="71"/>
      <c r="G350" s="61"/>
      <c r="I350" s="61"/>
      <c r="J350" s="71"/>
      <c r="K350" s="71"/>
      <c r="L350" s="71"/>
      <c r="M350" s="71"/>
      <c r="N350" s="71"/>
      <c r="O350" s="71"/>
      <c r="P350" s="71"/>
      <c r="Q350" s="71"/>
      <c r="R350" s="71"/>
      <c r="S350" s="71"/>
      <c r="T350" s="71"/>
      <c r="U350" s="71"/>
      <c r="V350" s="71"/>
      <c r="W350" s="71"/>
      <c r="X350" s="71"/>
      <c r="Y350" s="71"/>
      <c r="Z350" s="71"/>
      <c r="AA350" s="71"/>
      <c r="AB350" s="71"/>
    </row>
    <row r="351" ht="15.75" customHeight="1">
      <c r="A351" s="71"/>
      <c r="B351" s="71"/>
      <c r="C351" s="61"/>
      <c r="D351" s="61"/>
      <c r="E351" s="71"/>
      <c r="F351" s="71"/>
      <c r="G351" s="61"/>
      <c r="I351" s="61"/>
      <c r="J351" s="71"/>
      <c r="K351" s="71"/>
      <c r="L351" s="71"/>
      <c r="M351" s="71"/>
      <c r="N351" s="71"/>
      <c r="O351" s="71"/>
      <c r="P351" s="71"/>
      <c r="Q351" s="71"/>
      <c r="R351" s="71"/>
      <c r="S351" s="71"/>
      <c r="T351" s="71"/>
      <c r="U351" s="71"/>
      <c r="V351" s="71"/>
      <c r="W351" s="71"/>
      <c r="X351" s="71"/>
      <c r="Y351" s="71"/>
      <c r="Z351" s="71"/>
      <c r="AA351" s="71"/>
      <c r="AB351" s="71"/>
    </row>
    <row r="352" ht="15.75" customHeight="1">
      <c r="A352" s="71"/>
      <c r="B352" s="71"/>
      <c r="C352" s="61"/>
      <c r="D352" s="61"/>
      <c r="E352" s="71"/>
      <c r="F352" s="71"/>
      <c r="G352" s="61"/>
      <c r="I352" s="61"/>
      <c r="J352" s="71"/>
      <c r="K352" s="71"/>
      <c r="L352" s="71"/>
      <c r="M352" s="71"/>
      <c r="N352" s="71"/>
      <c r="O352" s="71"/>
      <c r="P352" s="71"/>
      <c r="Q352" s="71"/>
      <c r="R352" s="71"/>
      <c r="S352" s="71"/>
      <c r="T352" s="71"/>
      <c r="U352" s="71"/>
      <c r="V352" s="71"/>
      <c r="W352" s="71"/>
      <c r="X352" s="71"/>
      <c r="Y352" s="71"/>
      <c r="Z352" s="71"/>
      <c r="AA352" s="71"/>
      <c r="AB352" s="71"/>
    </row>
    <row r="353" ht="15.75" customHeight="1">
      <c r="A353" s="71"/>
      <c r="B353" s="71"/>
      <c r="C353" s="61"/>
      <c r="D353" s="61"/>
      <c r="E353" s="71"/>
      <c r="F353" s="71"/>
      <c r="G353" s="61"/>
      <c r="I353" s="61"/>
      <c r="J353" s="71"/>
      <c r="K353" s="71"/>
      <c r="L353" s="71"/>
      <c r="M353" s="71"/>
      <c r="N353" s="71"/>
      <c r="O353" s="71"/>
      <c r="P353" s="71"/>
      <c r="Q353" s="71"/>
      <c r="R353" s="71"/>
      <c r="S353" s="71"/>
      <c r="T353" s="71"/>
      <c r="U353" s="71"/>
      <c r="V353" s="71"/>
      <c r="W353" s="71"/>
      <c r="X353" s="71"/>
      <c r="Y353" s="71"/>
      <c r="Z353" s="71"/>
      <c r="AA353" s="71"/>
      <c r="AB353" s="71"/>
    </row>
    <row r="354" ht="15.75" customHeight="1">
      <c r="A354" s="71"/>
      <c r="B354" s="71"/>
      <c r="C354" s="61"/>
      <c r="D354" s="61"/>
      <c r="E354" s="71"/>
      <c r="F354" s="71"/>
      <c r="G354" s="61"/>
      <c r="I354" s="61"/>
      <c r="J354" s="71"/>
      <c r="K354" s="71"/>
      <c r="L354" s="71"/>
      <c r="M354" s="71"/>
      <c r="N354" s="71"/>
      <c r="O354" s="71"/>
      <c r="P354" s="71"/>
      <c r="Q354" s="71"/>
      <c r="R354" s="71"/>
      <c r="S354" s="71"/>
      <c r="T354" s="71"/>
      <c r="U354" s="71"/>
      <c r="V354" s="71"/>
      <c r="W354" s="71"/>
      <c r="X354" s="71"/>
      <c r="Y354" s="71"/>
      <c r="Z354" s="71"/>
      <c r="AA354" s="71"/>
      <c r="AB354" s="71"/>
    </row>
    <row r="355" ht="15.75" customHeight="1">
      <c r="A355" s="71"/>
      <c r="B355" s="71"/>
      <c r="C355" s="61"/>
      <c r="D355" s="61"/>
      <c r="E355" s="71"/>
      <c r="F355" s="71"/>
      <c r="G355" s="61"/>
      <c r="I355" s="61"/>
      <c r="J355" s="71"/>
      <c r="K355" s="71"/>
      <c r="L355" s="71"/>
      <c r="M355" s="71"/>
      <c r="N355" s="71"/>
      <c r="O355" s="71"/>
      <c r="P355" s="71"/>
      <c r="Q355" s="71"/>
      <c r="R355" s="71"/>
      <c r="S355" s="71"/>
      <c r="T355" s="71"/>
      <c r="U355" s="71"/>
      <c r="V355" s="71"/>
      <c r="W355" s="71"/>
      <c r="X355" s="71"/>
      <c r="Y355" s="71"/>
      <c r="Z355" s="71"/>
      <c r="AA355" s="71"/>
      <c r="AB355" s="71"/>
    </row>
    <row r="356" ht="15.75" customHeight="1">
      <c r="A356" s="71"/>
      <c r="B356" s="71"/>
      <c r="C356" s="61"/>
      <c r="D356" s="61"/>
      <c r="E356" s="71"/>
      <c r="F356" s="71"/>
      <c r="G356" s="61"/>
      <c r="I356" s="61"/>
      <c r="J356" s="71"/>
      <c r="K356" s="71"/>
      <c r="L356" s="71"/>
      <c r="M356" s="71"/>
      <c r="N356" s="71"/>
      <c r="O356" s="71"/>
      <c r="P356" s="71"/>
      <c r="Q356" s="71"/>
      <c r="R356" s="71"/>
      <c r="S356" s="71"/>
      <c r="T356" s="71"/>
      <c r="U356" s="71"/>
      <c r="V356" s="71"/>
      <c r="W356" s="71"/>
      <c r="X356" s="71"/>
      <c r="Y356" s="71"/>
      <c r="Z356" s="71"/>
      <c r="AA356" s="71"/>
      <c r="AB356" s="71"/>
    </row>
    <row r="357" ht="15.75" customHeight="1">
      <c r="A357" s="71"/>
      <c r="B357" s="71"/>
      <c r="C357" s="61"/>
      <c r="D357" s="61"/>
      <c r="E357" s="71"/>
      <c r="F357" s="71"/>
      <c r="G357" s="61"/>
      <c r="I357" s="61"/>
      <c r="J357" s="71"/>
      <c r="K357" s="71"/>
      <c r="L357" s="71"/>
      <c r="M357" s="71"/>
      <c r="N357" s="71"/>
      <c r="O357" s="71"/>
      <c r="P357" s="71"/>
      <c r="Q357" s="71"/>
      <c r="R357" s="71"/>
      <c r="S357" s="71"/>
      <c r="T357" s="71"/>
      <c r="U357" s="71"/>
      <c r="V357" s="71"/>
      <c r="W357" s="71"/>
      <c r="X357" s="71"/>
      <c r="Y357" s="71"/>
      <c r="Z357" s="71"/>
      <c r="AA357" s="71"/>
      <c r="AB357" s="71"/>
    </row>
    <row r="358" ht="15.75" customHeight="1">
      <c r="A358" s="71"/>
      <c r="B358" s="71"/>
      <c r="C358" s="61"/>
      <c r="D358" s="61"/>
      <c r="E358" s="71"/>
      <c r="F358" s="71"/>
      <c r="G358" s="61"/>
      <c r="I358" s="61"/>
      <c r="J358" s="71"/>
      <c r="K358" s="71"/>
      <c r="L358" s="71"/>
      <c r="M358" s="71"/>
      <c r="N358" s="71"/>
      <c r="O358" s="71"/>
      <c r="P358" s="71"/>
      <c r="Q358" s="71"/>
      <c r="R358" s="71"/>
      <c r="S358" s="71"/>
      <c r="T358" s="71"/>
      <c r="U358" s="71"/>
      <c r="V358" s="71"/>
      <c r="W358" s="71"/>
      <c r="X358" s="71"/>
      <c r="Y358" s="71"/>
      <c r="Z358" s="71"/>
      <c r="AA358" s="71"/>
      <c r="AB358" s="71"/>
    </row>
    <row r="359" ht="15.75" customHeight="1">
      <c r="A359" s="71"/>
      <c r="B359" s="71"/>
      <c r="C359" s="61"/>
      <c r="D359" s="61"/>
      <c r="E359" s="71"/>
      <c r="F359" s="71"/>
      <c r="G359" s="61"/>
      <c r="I359" s="61"/>
      <c r="J359" s="71"/>
      <c r="K359" s="71"/>
      <c r="L359" s="71"/>
      <c r="M359" s="71"/>
      <c r="N359" s="71"/>
      <c r="O359" s="71"/>
      <c r="P359" s="71"/>
      <c r="Q359" s="71"/>
      <c r="R359" s="71"/>
      <c r="S359" s="71"/>
      <c r="T359" s="71"/>
      <c r="U359" s="71"/>
      <c r="V359" s="71"/>
      <c r="W359" s="71"/>
      <c r="X359" s="71"/>
      <c r="Y359" s="71"/>
      <c r="Z359" s="71"/>
      <c r="AA359" s="71"/>
      <c r="AB359" s="71"/>
    </row>
    <row r="360" ht="15.75" customHeight="1">
      <c r="A360" s="71"/>
      <c r="B360" s="71"/>
      <c r="C360" s="61"/>
      <c r="D360" s="61"/>
      <c r="E360" s="71"/>
      <c r="F360" s="71"/>
      <c r="G360" s="61"/>
      <c r="I360" s="61"/>
      <c r="J360" s="71"/>
      <c r="K360" s="71"/>
      <c r="L360" s="71"/>
      <c r="M360" s="71"/>
      <c r="N360" s="71"/>
      <c r="O360" s="71"/>
      <c r="P360" s="71"/>
      <c r="Q360" s="71"/>
      <c r="R360" s="71"/>
      <c r="S360" s="71"/>
      <c r="T360" s="71"/>
      <c r="U360" s="71"/>
      <c r="V360" s="71"/>
      <c r="W360" s="71"/>
      <c r="X360" s="71"/>
      <c r="Y360" s="71"/>
      <c r="Z360" s="71"/>
      <c r="AA360" s="71"/>
      <c r="AB360" s="71"/>
    </row>
    <row r="361" ht="15.75" customHeight="1">
      <c r="A361" s="71"/>
      <c r="B361" s="71"/>
      <c r="C361" s="61"/>
      <c r="D361" s="61"/>
      <c r="E361" s="71"/>
      <c r="F361" s="71"/>
      <c r="G361" s="61"/>
      <c r="I361" s="61"/>
      <c r="J361" s="71"/>
      <c r="K361" s="71"/>
      <c r="L361" s="71"/>
      <c r="M361" s="71"/>
      <c r="N361" s="71"/>
      <c r="O361" s="71"/>
      <c r="P361" s="71"/>
      <c r="Q361" s="71"/>
      <c r="R361" s="71"/>
      <c r="S361" s="71"/>
      <c r="T361" s="71"/>
      <c r="U361" s="71"/>
      <c r="V361" s="71"/>
      <c r="W361" s="71"/>
      <c r="X361" s="71"/>
      <c r="Y361" s="71"/>
      <c r="Z361" s="71"/>
      <c r="AA361" s="71"/>
      <c r="AB361" s="71"/>
    </row>
    <row r="362" ht="15.75" customHeight="1">
      <c r="A362" s="71"/>
      <c r="B362" s="71"/>
      <c r="C362" s="61"/>
      <c r="D362" s="61"/>
      <c r="E362" s="71"/>
      <c r="F362" s="71"/>
      <c r="G362" s="61"/>
      <c r="I362" s="61"/>
      <c r="J362" s="71"/>
      <c r="K362" s="71"/>
      <c r="L362" s="71"/>
      <c r="M362" s="71"/>
      <c r="N362" s="71"/>
      <c r="O362" s="71"/>
      <c r="P362" s="71"/>
      <c r="Q362" s="71"/>
      <c r="R362" s="71"/>
      <c r="S362" s="71"/>
      <c r="T362" s="71"/>
      <c r="U362" s="71"/>
      <c r="V362" s="71"/>
      <c r="W362" s="71"/>
      <c r="X362" s="71"/>
      <c r="Y362" s="71"/>
      <c r="Z362" s="71"/>
      <c r="AA362" s="71"/>
      <c r="AB362" s="71"/>
    </row>
    <row r="363" ht="15.75" customHeight="1">
      <c r="A363" s="71"/>
      <c r="B363" s="71"/>
      <c r="C363" s="61"/>
      <c r="D363" s="61"/>
      <c r="E363" s="71"/>
      <c r="F363" s="71"/>
      <c r="G363" s="61"/>
      <c r="I363" s="61"/>
      <c r="J363" s="71"/>
      <c r="K363" s="71"/>
      <c r="L363" s="71"/>
      <c r="M363" s="71"/>
      <c r="N363" s="71"/>
      <c r="O363" s="71"/>
      <c r="P363" s="71"/>
      <c r="Q363" s="71"/>
      <c r="R363" s="71"/>
      <c r="S363" s="71"/>
      <c r="T363" s="71"/>
      <c r="U363" s="71"/>
      <c r="V363" s="71"/>
      <c r="W363" s="71"/>
      <c r="X363" s="71"/>
      <c r="Y363" s="71"/>
      <c r="Z363" s="71"/>
      <c r="AA363" s="71"/>
      <c r="AB363" s="71"/>
    </row>
    <row r="364" ht="15.75" customHeight="1">
      <c r="A364" s="71"/>
      <c r="B364" s="71"/>
      <c r="C364" s="61"/>
      <c r="D364" s="61"/>
      <c r="E364" s="71"/>
      <c r="F364" s="71"/>
      <c r="G364" s="61"/>
      <c r="I364" s="61"/>
      <c r="J364" s="71"/>
      <c r="K364" s="71"/>
      <c r="L364" s="71"/>
      <c r="M364" s="71"/>
      <c r="N364" s="71"/>
      <c r="O364" s="71"/>
      <c r="P364" s="71"/>
      <c r="Q364" s="71"/>
      <c r="R364" s="71"/>
      <c r="S364" s="71"/>
      <c r="T364" s="71"/>
      <c r="U364" s="71"/>
      <c r="V364" s="71"/>
      <c r="W364" s="71"/>
      <c r="X364" s="71"/>
      <c r="Y364" s="71"/>
      <c r="Z364" s="71"/>
      <c r="AA364" s="71"/>
      <c r="AB364" s="71"/>
    </row>
    <row r="365" ht="15.75" customHeight="1">
      <c r="A365" s="71"/>
      <c r="B365" s="71"/>
      <c r="C365" s="61"/>
      <c r="D365" s="61"/>
      <c r="E365" s="71"/>
      <c r="F365" s="71"/>
      <c r="G365" s="61"/>
      <c r="I365" s="61"/>
      <c r="J365" s="71"/>
      <c r="K365" s="71"/>
      <c r="L365" s="71"/>
      <c r="M365" s="71"/>
      <c r="N365" s="71"/>
      <c r="O365" s="71"/>
      <c r="P365" s="71"/>
      <c r="Q365" s="71"/>
      <c r="R365" s="71"/>
      <c r="S365" s="71"/>
      <c r="T365" s="71"/>
      <c r="U365" s="71"/>
      <c r="V365" s="71"/>
      <c r="W365" s="71"/>
      <c r="X365" s="71"/>
      <c r="Y365" s="71"/>
      <c r="Z365" s="71"/>
      <c r="AA365" s="71"/>
      <c r="AB365" s="71"/>
    </row>
    <row r="366" ht="15.75" customHeight="1">
      <c r="A366" s="71"/>
      <c r="B366" s="71"/>
      <c r="C366" s="61"/>
      <c r="D366" s="61"/>
      <c r="E366" s="71"/>
      <c r="F366" s="71"/>
      <c r="G366" s="61"/>
      <c r="I366" s="61"/>
      <c r="J366" s="71"/>
      <c r="K366" s="71"/>
      <c r="L366" s="71"/>
      <c r="M366" s="71"/>
      <c r="N366" s="71"/>
      <c r="O366" s="71"/>
      <c r="P366" s="71"/>
      <c r="Q366" s="71"/>
      <c r="R366" s="71"/>
      <c r="S366" s="71"/>
      <c r="T366" s="71"/>
      <c r="U366" s="71"/>
      <c r="V366" s="71"/>
      <c r="W366" s="71"/>
      <c r="X366" s="71"/>
      <c r="Y366" s="71"/>
      <c r="Z366" s="71"/>
      <c r="AA366" s="71"/>
      <c r="AB366" s="71"/>
    </row>
    <row r="367" ht="15.75" customHeight="1">
      <c r="A367" s="71"/>
      <c r="B367" s="71"/>
      <c r="C367" s="61"/>
      <c r="D367" s="61"/>
      <c r="E367" s="71"/>
      <c r="F367" s="71"/>
      <c r="G367" s="61"/>
      <c r="I367" s="61"/>
      <c r="J367" s="71"/>
      <c r="K367" s="71"/>
      <c r="L367" s="71"/>
      <c r="M367" s="71"/>
      <c r="N367" s="71"/>
      <c r="O367" s="71"/>
      <c r="P367" s="71"/>
      <c r="Q367" s="71"/>
      <c r="R367" s="71"/>
      <c r="S367" s="71"/>
      <c r="T367" s="71"/>
      <c r="U367" s="71"/>
      <c r="V367" s="71"/>
      <c r="W367" s="71"/>
      <c r="X367" s="71"/>
      <c r="Y367" s="71"/>
      <c r="Z367" s="71"/>
      <c r="AA367" s="71"/>
      <c r="AB367" s="71"/>
    </row>
    <row r="368" ht="15.75" customHeight="1">
      <c r="A368" s="71"/>
      <c r="B368" s="71"/>
      <c r="C368" s="61"/>
      <c r="D368" s="61"/>
      <c r="E368" s="71"/>
      <c r="F368" s="71"/>
      <c r="G368" s="61"/>
      <c r="I368" s="61"/>
      <c r="J368" s="71"/>
      <c r="K368" s="71"/>
      <c r="L368" s="71"/>
      <c r="M368" s="71"/>
      <c r="N368" s="71"/>
      <c r="O368" s="71"/>
      <c r="P368" s="71"/>
      <c r="Q368" s="71"/>
      <c r="R368" s="71"/>
      <c r="S368" s="71"/>
      <c r="T368" s="71"/>
      <c r="U368" s="71"/>
      <c r="V368" s="71"/>
      <c r="W368" s="71"/>
      <c r="X368" s="71"/>
      <c r="Y368" s="71"/>
      <c r="Z368" s="71"/>
      <c r="AA368" s="71"/>
      <c r="AB368" s="71"/>
    </row>
    <row r="369" ht="15.75" customHeight="1">
      <c r="A369" s="71"/>
      <c r="B369" s="71"/>
      <c r="C369" s="61"/>
      <c r="D369" s="61"/>
      <c r="E369" s="71"/>
      <c r="F369" s="71"/>
      <c r="G369" s="61"/>
      <c r="I369" s="61"/>
      <c r="J369" s="71"/>
      <c r="K369" s="71"/>
      <c r="L369" s="71"/>
      <c r="M369" s="71"/>
      <c r="N369" s="71"/>
      <c r="O369" s="71"/>
      <c r="P369" s="71"/>
      <c r="Q369" s="71"/>
      <c r="R369" s="71"/>
      <c r="S369" s="71"/>
      <c r="T369" s="71"/>
      <c r="U369" s="71"/>
      <c r="V369" s="71"/>
      <c r="W369" s="71"/>
      <c r="X369" s="71"/>
      <c r="Y369" s="71"/>
      <c r="Z369" s="71"/>
      <c r="AA369" s="71"/>
      <c r="AB369" s="71"/>
    </row>
    <row r="370" ht="15.75" customHeight="1">
      <c r="A370" s="71"/>
      <c r="B370" s="71"/>
      <c r="C370" s="61"/>
      <c r="D370" s="61"/>
      <c r="E370" s="71"/>
      <c r="F370" s="71"/>
      <c r="G370" s="61"/>
      <c r="I370" s="61"/>
      <c r="J370" s="71"/>
      <c r="K370" s="71"/>
      <c r="L370" s="71"/>
      <c r="M370" s="71"/>
      <c r="N370" s="71"/>
      <c r="O370" s="71"/>
      <c r="P370" s="71"/>
      <c r="Q370" s="71"/>
      <c r="R370" s="71"/>
      <c r="S370" s="71"/>
      <c r="T370" s="71"/>
      <c r="U370" s="71"/>
      <c r="V370" s="71"/>
      <c r="W370" s="71"/>
      <c r="X370" s="71"/>
      <c r="Y370" s="71"/>
      <c r="Z370" s="71"/>
      <c r="AA370" s="71"/>
      <c r="AB370" s="71"/>
    </row>
    <row r="371" ht="15.75" customHeight="1">
      <c r="A371" s="71"/>
      <c r="B371" s="71"/>
      <c r="C371" s="61"/>
      <c r="D371" s="61"/>
      <c r="E371" s="71"/>
      <c r="F371" s="71"/>
      <c r="G371" s="61"/>
      <c r="I371" s="61"/>
      <c r="J371" s="71"/>
      <c r="K371" s="71"/>
      <c r="L371" s="71"/>
      <c r="M371" s="71"/>
      <c r="N371" s="71"/>
      <c r="O371" s="71"/>
      <c r="P371" s="71"/>
      <c r="Q371" s="71"/>
      <c r="R371" s="71"/>
      <c r="S371" s="71"/>
      <c r="T371" s="71"/>
      <c r="U371" s="71"/>
      <c r="V371" s="71"/>
      <c r="W371" s="71"/>
      <c r="X371" s="71"/>
      <c r="Y371" s="71"/>
      <c r="Z371" s="71"/>
      <c r="AA371" s="71"/>
      <c r="AB371" s="71"/>
    </row>
    <row r="372" ht="15.75" customHeight="1">
      <c r="A372" s="71"/>
      <c r="B372" s="71"/>
      <c r="C372" s="61"/>
      <c r="D372" s="61"/>
      <c r="E372" s="71"/>
      <c r="F372" s="71"/>
      <c r="G372" s="61"/>
      <c r="I372" s="61"/>
      <c r="J372" s="71"/>
      <c r="K372" s="71"/>
      <c r="L372" s="71"/>
      <c r="M372" s="71"/>
      <c r="N372" s="71"/>
      <c r="O372" s="71"/>
      <c r="P372" s="71"/>
      <c r="Q372" s="71"/>
      <c r="R372" s="71"/>
      <c r="S372" s="71"/>
      <c r="T372" s="71"/>
      <c r="U372" s="71"/>
      <c r="V372" s="71"/>
      <c r="W372" s="71"/>
      <c r="X372" s="71"/>
      <c r="Y372" s="71"/>
      <c r="Z372" s="71"/>
      <c r="AA372" s="71"/>
      <c r="AB372" s="71"/>
    </row>
    <row r="373" ht="15.75" customHeight="1">
      <c r="A373" s="71"/>
      <c r="B373" s="71"/>
      <c r="C373" s="61"/>
      <c r="D373" s="61"/>
      <c r="E373" s="71"/>
      <c r="F373" s="71"/>
      <c r="G373" s="61"/>
      <c r="I373" s="61"/>
      <c r="J373" s="71"/>
      <c r="K373" s="71"/>
      <c r="L373" s="71"/>
      <c r="M373" s="71"/>
      <c r="N373" s="71"/>
      <c r="O373" s="71"/>
      <c r="P373" s="71"/>
      <c r="Q373" s="71"/>
      <c r="R373" s="71"/>
      <c r="S373" s="71"/>
      <c r="T373" s="71"/>
      <c r="U373" s="71"/>
      <c r="V373" s="71"/>
      <c r="W373" s="71"/>
      <c r="X373" s="71"/>
      <c r="Y373" s="71"/>
      <c r="Z373" s="71"/>
      <c r="AA373" s="71"/>
      <c r="AB373" s="71"/>
    </row>
    <row r="374" ht="15.75" customHeight="1">
      <c r="A374" s="71"/>
      <c r="B374" s="71"/>
      <c r="C374" s="61"/>
      <c r="D374" s="61"/>
      <c r="E374" s="71"/>
      <c r="F374" s="71"/>
      <c r="G374" s="61"/>
      <c r="I374" s="61"/>
      <c r="J374" s="71"/>
      <c r="K374" s="71"/>
      <c r="L374" s="71"/>
      <c r="M374" s="71"/>
      <c r="N374" s="71"/>
      <c r="O374" s="71"/>
      <c r="P374" s="71"/>
      <c r="Q374" s="71"/>
      <c r="R374" s="71"/>
      <c r="S374" s="71"/>
      <c r="T374" s="71"/>
      <c r="U374" s="71"/>
      <c r="V374" s="71"/>
      <c r="W374" s="71"/>
      <c r="X374" s="71"/>
      <c r="Y374" s="71"/>
      <c r="Z374" s="71"/>
      <c r="AA374" s="71"/>
      <c r="AB374" s="71"/>
    </row>
    <row r="375" ht="15.75" customHeight="1">
      <c r="A375" s="71"/>
      <c r="B375" s="71"/>
      <c r="C375" s="61"/>
      <c r="D375" s="61"/>
      <c r="E375" s="71"/>
      <c r="F375" s="71"/>
      <c r="G375" s="61"/>
      <c r="I375" s="61"/>
      <c r="J375" s="71"/>
      <c r="K375" s="71"/>
      <c r="L375" s="71"/>
      <c r="M375" s="71"/>
      <c r="N375" s="71"/>
      <c r="O375" s="71"/>
      <c r="P375" s="71"/>
      <c r="Q375" s="71"/>
      <c r="R375" s="71"/>
      <c r="S375" s="71"/>
      <c r="T375" s="71"/>
      <c r="U375" s="71"/>
      <c r="V375" s="71"/>
      <c r="W375" s="71"/>
      <c r="X375" s="71"/>
      <c r="Y375" s="71"/>
      <c r="Z375" s="71"/>
      <c r="AA375" s="71"/>
      <c r="AB375" s="71"/>
    </row>
    <row r="376" ht="15.75" customHeight="1">
      <c r="A376" s="71"/>
      <c r="B376" s="71"/>
      <c r="C376" s="61"/>
      <c r="D376" s="61"/>
      <c r="E376" s="71"/>
      <c r="F376" s="71"/>
      <c r="G376" s="61"/>
      <c r="I376" s="61"/>
      <c r="J376" s="71"/>
      <c r="K376" s="71"/>
      <c r="L376" s="71"/>
      <c r="M376" s="71"/>
      <c r="N376" s="71"/>
      <c r="O376" s="71"/>
      <c r="P376" s="71"/>
      <c r="Q376" s="71"/>
      <c r="R376" s="71"/>
      <c r="S376" s="71"/>
      <c r="T376" s="71"/>
      <c r="U376" s="71"/>
      <c r="V376" s="71"/>
      <c r="W376" s="71"/>
      <c r="X376" s="71"/>
      <c r="Y376" s="71"/>
      <c r="Z376" s="71"/>
      <c r="AA376" s="71"/>
      <c r="AB376" s="71"/>
    </row>
    <row r="377" ht="15.75" customHeight="1">
      <c r="A377" s="71"/>
      <c r="B377" s="71"/>
      <c r="C377" s="61"/>
      <c r="D377" s="61"/>
      <c r="E377" s="71"/>
      <c r="F377" s="71"/>
      <c r="G377" s="61"/>
      <c r="I377" s="61"/>
      <c r="J377" s="71"/>
      <c r="K377" s="71"/>
      <c r="L377" s="71"/>
      <c r="M377" s="71"/>
      <c r="N377" s="71"/>
      <c r="O377" s="71"/>
      <c r="P377" s="71"/>
      <c r="Q377" s="71"/>
      <c r="R377" s="71"/>
      <c r="S377" s="71"/>
      <c r="T377" s="71"/>
      <c r="U377" s="71"/>
      <c r="V377" s="71"/>
      <c r="W377" s="71"/>
      <c r="X377" s="71"/>
      <c r="Y377" s="71"/>
      <c r="Z377" s="71"/>
      <c r="AA377" s="71"/>
      <c r="AB377" s="71"/>
    </row>
    <row r="378" ht="15.75" customHeight="1">
      <c r="A378" s="71"/>
      <c r="B378" s="71"/>
      <c r="C378" s="61"/>
      <c r="D378" s="61"/>
      <c r="E378" s="71"/>
      <c r="F378" s="71"/>
      <c r="G378" s="61"/>
      <c r="I378" s="61"/>
      <c r="J378" s="71"/>
      <c r="K378" s="71"/>
      <c r="L378" s="71"/>
      <c r="M378" s="71"/>
      <c r="N378" s="71"/>
      <c r="O378" s="71"/>
      <c r="P378" s="71"/>
      <c r="Q378" s="71"/>
      <c r="R378" s="71"/>
      <c r="S378" s="71"/>
      <c r="T378" s="71"/>
      <c r="U378" s="71"/>
      <c r="V378" s="71"/>
      <c r="W378" s="71"/>
      <c r="X378" s="71"/>
      <c r="Y378" s="71"/>
      <c r="Z378" s="71"/>
      <c r="AA378" s="71"/>
      <c r="AB378" s="71"/>
    </row>
    <row r="379" ht="15.75" customHeight="1">
      <c r="A379" s="71"/>
      <c r="B379" s="71"/>
      <c r="C379" s="61"/>
      <c r="D379" s="61"/>
      <c r="E379" s="71"/>
      <c r="F379" s="71"/>
      <c r="G379" s="61"/>
      <c r="I379" s="61"/>
      <c r="J379" s="71"/>
      <c r="K379" s="71"/>
      <c r="L379" s="71"/>
      <c r="M379" s="71"/>
      <c r="N379" s="71"/>
      <c r="O379" s="71"/>
      <c r="P379" s="71"/>
      <c r="Q379" s="71"/>
      <c r="R379" s="71"/>
      <c r="S379" s="71"/>
      <c r="T379" s="71"/>
      <c r="U379" s="71"/>
      <c r="V379" s="71"/>
      <c r="W379" s="71"/>
      <c r="X379" s="71"/>
      <c r="Y379" s="71"/>
      <c r="Z379" s="71"/>
      <c r="AA379" s="71"/>
      <c r="AB379" s="71"/>
    </row>
    <row r="380" ht="15.75" customHeight="1">
      <c r="A380" s="71"/>
      <c r="B380" s="71"/>
      <c r="C380" s="61"/>
      <c r="D380" s="61"/>
      <c r="E380" s="71"/>
      <c r="F380" s="71"/>
      <c r="G380" s="61"/>
      <c r="I380" s="61"/>
      <c r="J380" s="71"/>
      <c r="K380" s="71"/>
      <c r="L380" s="71"/>
      <c r="M380" s="71"/>
      <c r="N380" s="71"/>
      <c r="O380" s="71"/>
      <c r="P380" s="71"/>
      <c r="Q380" s="71"/>
      <c r="R380" s="71"/>
      <c r="S380" s="71"/>
      <c r="T380" s="71"/>
      <c r="U380" s="71"/>
      <c r="V380" s="71"/>
      <c r="W380" s="71"/>
      <c r="X380" s="71"/>
      <c r="Y380" s="71"/>
      <c r="Z380" s="71"/>
      <c r="AA380" s="71"/>
      <c r="AB380" s="71"/>
    </row>
    <row r="381" ht="15.75" customHeight="1">
      <c r="A381" s="71"/>
      <c r="B381" s="71"/>
      <c r="C381" s="61"/>
      <c r="D381" s="61"/>
      <c r="E381" s="71"/>
      <c r="F381" s="71"/>
      <c r="G381" s="61"/>
      <c r="I381" s="61"/>
      <c r="J381" s="71"/>
      <c r="K381" s="71"/>
      <c r="L381" s="71"/>
      <c r="M381" s="71"/>
      <c r="N381" s="71"/>
      <c r="O381" s="71"/>
      <c r="P381" s="71"/>
      <c r="Q381" s="71"/>
      <c r="R381" s="71"/>
      <c r="S381" s="71"/>
      <c r="T381" s="71"/>
      <c r="U381" s="71"/>
      <c r="V381" s="71"/>
      <c r="W381" s="71"/>
      <c r="X381" s="71"/>
      <c r="Y381" s="71"/>
      <c r="Z381" s="71"/>
      <c r="AA381" s="71"/>
      <c r="AB381" s="71"/>
    </row>
    <row r="382" ht="15.75" customHeight="1">
      <c r="A382" s="71"/>
      <c r="B382" s="71"/>
      <c r="C382" s="61"/>
      <c r="D382" s="61"/>
      <c r="E382" s="71"/>
      <c r="F382" s="71"/>
      <c r="G382" s="61"/>
      <c r="I382" s="61"/>
      <c r="J382" s="71"/>
      <c r="K382" s="71"/>
      <c r="L382" s="71"/>
      <c r="M382" s="71"/>
      <c r="N382" s="71"/>
      <c r="O382" s="71"/>
      <c r="P382" s="71"/>
      <c r="Q382" s="71"/>
      <c r="R382" s="71"/>
      <c r="S382" s="71"/>
      <c r="T382" s="71"/>
      <c r="U382" s="71"/>
      <c r="V382" s="71"/>
      <c r="W382" s="71"/>
      <c r="X382" s="71"/>
      <c r="Y382" s="71"/>
      <c r="Z382" s="71"/>
      <c r="AA382" s="71"/>
      <c r="AB382" s="71"/>
    </row>
    <row r="383" ht="15.75" customHeight="1">
      <c r="A383" s="71"/>
      <c r="B383" s="71"/>
      <c r="C383" s="61"/>
      <c r="D383" s="61"/>
      <c r="E383" s="71"/>
      <c r="F383" s="71"/>
      <c r="G383" s="61"/>
      <c r="I383" s="61"/>
      <c r="J383" s="71"/>
      <c r="K383" s="71"/>
      <c r="L383" s="71"/>
      <c r="M383" s="71"/>
      <c r="N383" s="71"/>
      <c r="O383" s="71"/>
      <c r="P383" s="71"/>
      <c r="Q383" s="71"/>
      <c r="R383" s="71"/>
      <c r="S383" s="71"/>
      <c r="T383" s="71"/>
      <c r="U383" s="71"/>
      <c r="V383" s="71"/>
      <c r="W383" s="71"/>
      <c r="X383" s="71"/>
      <c r="Y383" s="71"/>
      <c r="Z383" s="71"/>
      <c r="AA383" s="71"/>
      <c r="AB383" s="71"/>
    </row>
    <row r="384" ht="15.75" customHeight="1">
      <c r="A384" s="71"/>
      <c r="B384" s="71"/>
      <c r="C384" s="61"/>
      <c r="D384" s="61"/>
      <c r="E384" s="71"/>
      <c r="F384" s="71"/>
      <c r="G384" s="61"/>
      <c r="I384" s="61"/>
      <c r="J384" s="71"/>
      <c r="K384" s="71"/>
      <c r="L384" s="71"/>
      <c r="M384" s="71"/>
      <c r="N384" s="71"/>
      <c r="O384" s="71"/>
      <c r="P384" s="71"/>
      <c r="Q384" s="71"/>
      <c r="R384" s="71"/>
      <c r="S384" s="71"/>
      <c r="T384" s="71"/>
      <c r="U384" s="71"/>
      <c r="V384" s="71"/>
      <c r="W384" s="71"/>
      <c r="X384" s="71"/>
      <c r="Y384" s="71"/>
      <c r="Z384" s="71"/>
      <c r="AA384" s="71"/>
      <c r="AB384" s="71"/>
    </row>
    <row r="385" ht="15.75" customHeight="1">
      <c r="A385" s="71"/>
      <c r="B385" s="71"/>
      <c r="C385" s="61"/>
      <c r="D385" s="61"/>
      <c r="E385" s="71"/>
      <c r="F385" s="71"/>
      <c r="G385" s="61"/>
      <c r="I385" s="61"/>
      <c r="J385" s="71"/>
      <c r="K385" s="71"/>
      <c r="L385" s="71"/>
      <c r="M385" s="71"/>
      <c r="N385" s="71"/>
      <c r="O385" s="71"/>
      <c r="P385" s="71"/>
      <c r="Q385" s="71"/>
      <c r="R385" s="71"/>
      <c r="S385" s="71"/>
      <c r="T385" s="71"/>
      <c r="U385" s="71"/>
      <c r="V385" s="71"/>
      <c r="W385" s="71"/>
      <c r="X385" s="71"/>
      <c r="Y385" s="71"/>
      <c r="Z385" s="71"/>
      <c r="AA385" s="71"/>
      <c r="AB385" s="71"/>
    </row>
    <row r="386" ht="15.75" customHeight="1">
      <c r="A386" s="71"/>
      <c r="B386" s="71"/>
      <c r="C386" s="61"/>
      <c r="D386" s="61"/>
      <c r="E386" s="71"/>
      <c r="F386" s="71"/>
      <c r="G386" s="61"/>
      <c r="I386" s="61"/>
      <c r="J386" s="71"/>
      <c r="K386" s="71"/>
      <c r="L386" s="71"/>
      <c r="M386" s="71"/>
      <c r="N386" s="71"/>
      <c r="O386" s="71"/>
      <c r="P386" s="71"/>
      <c r="Q386" s="71"/>
      <c r="R386" s="71"/>
      <c r="S386" s="71"/>
      <c r="T386" s="71"/>
      <c r="U386" s="71"/>
      <c r="V386" s="71"/>
      <c r="W386" s="71"/>
      <c r="X386" s="71"/>
      <c r="Y386" s="71"/>
      <c r="Z386" s="71"/>
      <c r="AA386" s="71"/>
      <c r="AB386" s="71"/>
    </row>
    <row r="387" ht="15.75" customHeight="1">
      <c r="A387" s="71"/>
      <c r="B387" s="71"/>
      <c r="C387" s="61"/>
      <c r="D387" s="61"/>
      <c r="E387" s="71"/>
      <c r="F387" s="71"/>
      <c r="G387" s="61"/>
      <c r="I387" s="61"/>
      <c r="J387" s="71"/>
      <c r="K387" s="71"/>
      <c r="L387" s="71"/>
      <c r="M387" s="71"/>
      <c r="N387" s="71"/>
      <c r="O387" s="71"/>
      <c r="P387" s="71"/>
      <c r="Q387" s="71"/>
      <c r="R387" s="71"/>
      <c r="S387" s="71"/>
      <c r="T387" s="71"/>
      <c r="U387" s="71"/>
      <c r="V387" s="71"/>
      <c r="W387" s="71"/>
      <c r="X387" s="71"/>
      <c r="Y387" s="71"/>
      <c r="Z387" s="71"/>
      <c r="AA387" s="71"/>
      <c r="AB387" s="71"/>
    </row>
    <row r="388" ht="15.75" customHeight="1">
      <c r="A388" s="71"/>
      <c r="B388" s="71"/>
      <c r="C388" s="61"/>
      <c r="D388" s="61"/>
      <c r="E388" s="71"/>
      <c r="F388" s="71"/>
      <c r="G388" s="61"/>
      <c r="I388" s="61"/>
      <c r="J388" s="71"/>
      <c r="K388" s="71"/>
      <c r="L388" s="71"/>
      <c r="M388" s="71"/>
      <c r="N388" s="71"/>
      <c r="O388" s="71"/>
      <c r="P388" s="71"/>
      <c r="Q388" s="71"/>
      <c r="R388" s="71"/>
      <c r="S388" s="71"/>
      <c r="T388" s="71"/>
      <c r="U388" s="71"/>
      <c r="V388" s="71"/>
      <c r="W388" s="71"/>
      <c r="X388" s="71"/>
      <c r="Y388" s="71"/>
      <c r="Z388" s="71"/>
      <c r="AA388" s="71"/>
      <c r="AB388" s="71"/>
    </row>
    <row r="389" ht="15.75" customHeight="1">
      <c r="A389" s="71"/>
      <c r="B389" s="71"/>
      <c r="C389" s="61"/>
      <c r="D389" s="61"/>
      <c r="E389" s="71"/>
      <c r="F389" s="71"/>
      <c r="G389" s="61"/>
      <c r="I389" s="61"/>
      <c r="J389" s="71"/>
      <c r="K389" s="71"/>
      <c r="L389" s="71"/>
      <c r="M389" s="71"/>
      <c r="N389" s="71"/>
      <c r="O389" s="71"/>
      <c r="P389" s="71"/>
      <c r="Q389" s="71"/>
      <c r="R389" s="71"/>
      <c r="S389" s="71"/>
      <c r="T389" s="71"/>
      <c r="U389" s="71"/>
      <c r="V389" s="71"/>
      <c r="W389" s="71"/>
      <c r="X389" s="71"/>
      <c r="Y389" s="71"/>
      <c r="Z389" s="71"/>
      <c r="AA389" s="71"/>
      <c r="AB389" s="71"/>
    </row>
    <row r="390" ht="15.75" customHeight="1">
      <c r="A390" s="71"/>
      <c r="B390" s="71"/>
      <c r="C390" s="61"/>
      <c r="D390" s="61"/>
      <c r="E390" s="71"/>
      <c r="F390" s="71"/>
      <c r="G390" s="61"/>
      <c r="I390" s="61"/>
      <c r="J390" s="71"/>
      <c r="K390" s="71"/>
      <c r="L390" s="71"/>
      <c r="M390" s="71"/>
      <c r="N390" s="71"/>
      <c r="O390" s="71"/>
      <c r="P390" s="71"/>
      <c r="Q390" s="71"/>
      <c r="R390" s="71"/>
      <c r="S390" s="71"/>
      <c r="T390" s="71"/>
      <c r="U390" s="71"/>
      <c r="V390" s="71"/>
      <c r="W390" s="71"/>
      <c r="X390" s="71"/>
      <c r="Y390" s="71"/>
      <c r="Z390" s="71"/>
      <c r="AA390" s="71"/>
      <c r="AB390" s="71"/>
    </row>
    <row r="391" ht="15.75" customHeight="1">
      <c r="A391" s="71"/>
      <c r="B391" s="71"/>
      <c r="C391" s="61"/>
      <c r="D391" s="61"/>
      <c r="E391" s="71"/>
      <c r="F391" s="71"/>
      <c r="G391" s="61"/>
      <c r="I391" s="61"/>
      <c r="J391" s="71"/>
      <c r="K391" s="71"/>
      <c r="L391" s="71"/>
      <c r="M391" s="71"/>
      <c r="N391" s="71"/>
      <c r="O391" s="71"/>
      <c r="P391" s="71"/>
      <c r="Q391" s="71"/>
      <c r="R391" s="71"/>
      <c r="S391" s="71"/>
      <c r="T391" s="71"/>
      <c r="U391" s="71"/>
      <c r="V391" s="71"/>
      <c r="W391" s="71"/>
      <c r="X391" s="71"/>
      <c r="Y391" s="71"/>
      <c r="Z391" s="71"/>
      <c r="AA391" s="71"/>
      <c r="AB391" s="71"/>
    </row>
    <row r="392" ht="15.75" customHeight="1">
      <c r="A392" s="71"/>
      <c r="B392" s="71"/>
      <c r="C392" s="61"/>
      <c r="D392" s="61"/>
      <c r="E392" s="71"/>
      <c r="F392" s="71"/>
      <c r="G392" s="61"/>
      <c r="I392" s="61"/>
      <c r="J392" s="71"/>
      <c r="K392" s="71"/>
      <c r="L392" s="71"/>
      <c r="M392" s="71"/>
      <c r="N392" s="71"/>
      <c r="O392" s="71"/>
      <c r="P392" s="71"/>
      <c r="Q392" s="71"/>
      <c r="R392" s="71"/>
      <c r="S392" s="71"/>
      <c r="T392" s="71"/>
      <c r="U392" s="71"/>
      <c r="V392" s="71"/>
      <c r="W392" s="71"/>
      <c r="X392" s="71"/>
      <c r="Y392" s="71"/>
      <c r="Z392" s="71"/>
      <c r="AA392" s="71"/>
      <c r="AB392" s="71"/>
    </row>
    <row r="393" ht="15.75" customHeight="1">
      <c r="A393" s="71"/>
      <c r="B393" s="71"/>
      <c r="C393" s="61"/>
      <c r="D393" s="61"/>
      <c r="E393" s="71"/>
      <c r="F393" s="71"/>
      <c r="G393" s="61"/>
      <c r="I393" s="61"/>
      <c r="J393" s="71"/>
      <c r="K393" s="71"/>
      <c r="L393" s="71"/>
      <c r="M393" s="71"/>
      <c r="N393" s="71"/>
      <c r="O393" s="71"/>
      <c r="P393" s="71"/>
      <c r="Q393" s="71"/>
      <c r="R393" s="71"/>
      <c r="S393" s="71"/>
      <c r="T393" s="71"/>
      <c r="U393" s="71"/>
      <c r="V393" s="71"/>
      <c r="W393" s="71"/>
      <c r="X393" s="71"/>
      <c r="Y393" s="71"/>
      <c r="Z393" s="71"/>
      <c r="AA393" s="71"/>
      <c r="AB393" s="71"/>
    </row>
    <row r="394" ht="15.75" customHeight="1">
      <c r="A394" s="71"/>
      <c r="B394" s="71"/>
      <c r="C394" s="61"/>
      <c r="D394" s="61"/>
      <c r="E394" s="71"/>
      <c r="F394" s="71"/>
      <c r="G394" s="61"/>
      <c r="I394" s="61"/>
      <c r="J394" s="71"/>
      <c r="K394" s="71"/>
      <c r="L394" s="71"/>
      <c r="M394" s="71"/>
      <c r="N394" s="71"/>
      <c r="O394" s="71"/>
      <c r="P394" s="71"/>
      <c r="Q394" s="71"/>
      <c r="R394" s="71"/>
      <c r="S394" s="71"/>
      <c r="T394" s="71"/>
      <c r="U394" s="71"/>
      <c r="V394" s="71"/>
      <c r="W394" s="71"/>
      <c r="X394" s="71"/>
      <c r="Y394" s="71"/>
      <c r="Z394" s="71"/>
      <c r="AA394" s="71"/>
      <c r="AB394" s="71"/>
    </row>
    <row r="395" ht="15.75" customHeight="1">
      <c r="A395" s="71"/>
      <c r="B395" s="71"/>
      <c r="C395" s="61"/>
      <c r="D395" s="61"/>
      <c r="E395" s="71"/>
      <c r="F395" s="71"/>
      <c r="G395" s="61"/>
      <c r="I395" s="61"/>
      <c r="J395" s="71"/>
      <c r="K395" s="71"/>
      <c r="L395" s="71"/>
      <c r="M395" s="71"/>
      <c r="N395" s="71"/>
      <c r="O395" s="71"/>
      <c r="P395" s="71"/>
      <c r="Q395" s="71"/>
      <c r="R395" s="71"/>
      <c r="S395" s="71"/>
      <c r="T395" s="71"/>
      <c r="U395" s="71"/>
      <c r="V395" s="71"/>
      <c r="W395" s="71"/>
      <c r="X395" s="71"/>
      <c r="Y395" s="71"/>
      <c r="Z395" s="71"/>
      <c r="AA395" s="71"/>
      <c r="AB395" s="71"/>
    </row>
    <row r="396" ht="15.75" customHeight="1">
      <c r="A396" s="71"/>
      <c r="B396" s="71"/>
      <c r="C396" s="61"/>
      <c r="D396" s="61"/>
      <c r="E396" s="71"/>
      <c r="F396" s="71"/>
      <c r="G396" s="61"/>
      <c r="I396" s="61"/>
      <c r="J396" s="71"/>
      <c r="K396" s="71"/>
      <c r="L396" s="71"/>
      <c r="M396" s="71"/>
      <c r="N396" s="71"/>
      <c r="O396" s="71"/>
      <c r="P396" s="71"/>
      <c r="Q396" s="71"/>
      <c r="R396" s="71"/>
      <c r="S396" s="71"/>
      <c r="T396" s="71"/>
      <c r="U396" s="71"/>
      <c r="V396" s="71"/>
      <c r="W396" s="71"/>
      <c r="X396" s="71"/>
      <c r="Y396" s="71"/>
      <c r="Z396" s="71"/>
      <c r="AA396" s="71"/>
      <c r="AB396" s="71"/>
    </row>
    <row r="397" ht="15.75" customHeight="1">
      <c r="A397" s="71"/>
      <c r="B397" s="71"/>
      <c r="C397" s="61"/>
      <c r="D397" s="61"/>
      <c r="E397" s="71"/>
      <c r="F397" s="71"/>
      <c r="G397" s="61"/>
      <c r="I397" s="61"/>
      <c r="J397" s="71"/>
      <c r="K397" s="71"/>
      <c r="L397" s="71"/>
      <c r="M397" s="71"/>
      <c r="N397" s="71"/>
      <c r="O397" s="71"/>
      <c r="P397" s="71"/>
      <c r="Q397" s="71"/>
      <c r="R397" s="71"/>
      <c r="S397" s="71"/>
      <c r="T397" s="71"/>
      <c r="U397" s="71"/>
      <c r="V397" s="71"/>
      <c r="W397" s="71"/>
      <c r="X397" s="71"/>
      <c r="Y397" s="71"/>
      <c r="Z397" s="71"/>
      <c r="AA397" s="71"/>
      <c r="AB397" s="71"/>
    </row>
    <row r="398" ht="15.75" customHeight="1">
      <c r="A398" s="71"/>
      <c r="B398" s="71"/>
      <c r="C398" s="61"/>
      <c r="D398" s="61"/>
      <c r="E398" s="71"/>
      <c r="F398" s="71"/>
      <c r="G398" s="61"/>
      <c r="I398" s="61"/>
      <c r="J398" s="71"/>
      <c r="K398" s="71"/>
      <c r="L398" s="71"/>
      <c r="M398" s="71"/>
      <c r="N398" s="71"/>
      <c r="O398" s="71"/>
      <c r="P398" s="71"/>
      <c r="Q398" s="71"/>
      <c r="R398" s="71"/>
      <c r="S398" s="71"/>
      <c r="T398" s="71"/>
      <c r="U398" s="71"/>
      <c r="V398" s="71"/>
      <c r="W398" s="71"/>
      <c r="X398" s="71"/>
      <c r="Y398" s="71"/>
      <c r="Z398" s="71"/>
      <c r="AA398" s="71"/>
      <c r="AB398" s="71"/>
    </row>
    <row r="399" ht="15.75" customHeight="1">
      <c r="A399" s="71"/>
      <c r="B399" s="71"/>
      <c r="C399" s="61"/>
      <c r="D399" s="61"/>
      <c r="E399" s="71"/>
      <c r="F399" s="71"/>
      <c r="G399" s="61"/>
      <c r="I399" s="61"/>
      <c r="J399" s="71"/>
      <c r="K399" s="71"/>
      <c r="L399" s="71"/>
      <c r="M399" s="71"/>
      <c r="N399" s="71"/>
      <c r="O399" s="71"/>
      <c r="P399" s="71"/>
      <c r="Q399" s="71"/>
      <c r="R399" s="71"/>
      <c r="S399" s="71"/>
      <c r="T399" s="71"/>
      <c r="U399" s="71"/>
      <c r="V399" s="71"/>
      <c r="W399" s="71"/>
      <c r="X399" s="71"/>
      <c r="Y399" s="71"/>
      <c r="Z399" s="71"/>
      <c r="AA399" s="71"/>
      <c r="AB399" s="71"/>
    </row>
    <row r="400" ht="15.75" customHeight="1">
      <c r="A400" s="71"/>
      <c r="B400" s="71"/>
      <c r="C400" s="61"/>
      <c r="D400" s="61"/>
      <c r="E400" s="71"/>
      <c r="F400" s="71"/>
      <c r="G400" s="61"/>
      <c r="I400" s="61"/>
      <c r="J400" s="71"/>
      <c r="K400" s="71"/>
      <c r="L400" s="71"/>
      <c r="M400" s="71"/>
      <c r="N400" s="71"/>
      <c r="O400" s="71"/>
      <c r="P400" s="71"/>
      <c r="Q400" s="71"/>
      <c r="R400" s="71"/>
      <c r="S400" s="71"/>
      <c r="T400" s="71"/>
      <c r="U400" s="71"/>
      <c r="V400" s="71"/>
      <c r="W400" s="71"/>
      <c r="X400" s="71"/>
      <c r="Y400" s="71"/>
      <c r="Z400" s="71"/>
      <c r="AA400" s="71"/>
      <c r="AB400" s="71"/>
    </row>
    <row r="401" ht="15.75" customHeight="1">
      <c r="A401" s="71"/>
      <c r="B401" s="71"/>
      <c r="C401" s="61"/>
      <c r="D401" s="61"/>
      <c r="E401" s="71"/>
      <c r="F401" s="71"/>
      <c r="G401" s="61"/>
      <c r="I401" s="61"/>
      <c r="J401" s="71"/>
      <c r="K401" s="71"/>
      <c r="L401" s="71"/>
      <c r="M401" s="71"/>
      <c r="N401" s="71"/>
      <c r="O401" s="71"/>
      <c r="P401" s="71"/>
      <c r="Q401" s="71"/>
      <c r="R401" s="71"/>
      <c r="S401" s="71"/>
      <c r="T401" s="71"/>
      <c r="U401" s="71"/>
      <c r="V401" s="71"/>
      <c r="W401" s="71"/>
      <c r="X401" s="71"/>
      <c r="Y401" s="71"/>
      <c r="Z401" s="71"/>
      <c r="AA401" s="71"/>
      <c r="AB401" s="71"/>
    </row>
    <row r="402" ht="15.75" customHeight="1">
      <c r="A402" s="71"/>
      <c r="B402" s="71"/>
      <c r="C402" s="61"/>
      <c r="D402" s="61"/>
      <c r="E402" s="71"/>
      <c r="F402" s="71"/>
      <c r="G402" s="61"/>
      <c r="I402" s="61"/>
      <c r="J402" s="71"/>
      <c r="K402" s="71"/>
      <c r="L402" s="71"/>
      <c r="M402" s="71"/>
      <c r="N402" s="71"/>
      <c r="O402" s="71"/>
      <c r="P402" s="71"/>
      <c r="Q402" s="71"/>
      <c r="R402" s="71"/>
      <c r="S402" s="71"/>
      <c r="T402" s="71"/>
      <c r="U402" s="71"/>
      <c r="V402" s="71"/>
      <c r="W402" s="71"/>
      <c r="X402" s="71"/>
      <c r="Y402" s="71"/>
      <c r="Z402" s="71"/>
      <c r="AA402" s="71"/>
      <c r="AB402" s="71"/>
    </row>
    <row r="403" ht="15.75" customHeight="1">
      <c r="A403" s="71"/>
      <c r="B403" s="71"/>
      <c r="C403" s="61"/>
      <c r="D403" s="61"/>
      <c r="E403" s="71"/>
      <c r="F403" s="71"/>
      <c r="G403" s="61"/>
      <c r="I403" s="61"/>
      <c r="J403" s="71"/>
      <c r="K403" s="71"/>
      <c r="L403" s="71"/>
      <c r="M403" s="71"/>
      <c r="N403" s="71"/>
      <c r="O403" s="71"/>
      <c r="P403" s="71"/>
      <c r="Q403" s="71"/>
      <c r="R403" s="71"/>
      <c r="S403" s="71"/>
      <c r="T403" s="71"/>
      <c r="U403" s="71"/>
      <c r="V403" s="71"/>
      <c r="W403" s="71"/>
      <c r="X403" s="71"/>
      <c r="Y403" s="71"/>
      <c r="Z403" s="71"/>
      <c r="AA403" s="71"/>
      <c r="AB403" s="71"/>
    </row>
    <row r="404" ht="15.75" customHeight="1">
      <c r="A404" s="71"/>
      <c r="B404" s="71"/>
      <c r="C404" s="61"/>
      <c r="D404" s="61"/>
      <c r="E404" s="71"/>
      <c r="F404" s="71"/>
      <c r="G404" s="61"/>
      <c r="I404" s="61"/>
      <c r="J404" s="71"/>
      <c r="K404" s="71"/>
      <c r="L404" s="71"/>
      <c r="M404" s="71"/>
      <c r="N404" s="71"/>
      <c r="O404" s="71"/>
      <c r="P404" s="71"/>
      <c r="Q404" s="71"/>
      <c r="R404" s="71"/>
      <c r="S404" s="71"/>
      <c r="T404" s="71"/>
      <c r="U404" s="71"/>
      <c r="V404" s="71"/>
      <c r="W404" s="71"/>
      <c r="X404" s="71"/>
      <c r="Y404" s="71"/>
      <c r="Z404" s="71"/>
      <c r="AA404" s="71"/>
      <c r="AB404" s="71"/>
    </row>
    <row r="405" ht="15.75" customHeight="1">
      <c r="A405" s="71"/>
      <c r="B405" s="71"/>
      <c r="C405" s="61"/>
      <c r="D405" s="61"/>
      <c r="E405" s="71"/>
      <c r="F405" s="71"/>
      <c r="G405" s="61"/>
      <c r="I405" s="61"/>
      <c r="J405" s="71"/>
      <c r="K405" s="71"/>
      <c r="L405" s="71"/>
      <c r="M405" s="71"/>
      <c r="N405" s="71"/>
      <c r="O405" s="71"/>
      <c r="P405" s="71"/>
      <c r="Q405" s="71"/>
      <c r="R405" s="71"/>
      <c r="S405" s="71"/>
      <c r="T405" s="71"/>
      <c r="U405" s="71"/>
      <c r="V405" s="71"/>
      <c r="W405" s="71"/>
      <c r="X405" s="71"/>
      <c r="Y405" s="71"/>
      <c r="Z405" s="71"/>
      <c r="AA405" s="71"/>
      <c r="AB405" s="71"/>
    </row>
    <row r="406" ht="15.75" customHeight="1">
      <c r="A406" s="71"/>
      <c r="B406" s="71"/>
      <c r="C406" s="61"/>
      <c r="D406" s="61"/>
      <c r="E406" s="71"/>
      <c r="F406" s="71"/>
      <c r="G406" s="61"/>
      <c r="I406" s="61"/>
      <c r="J406" s="71"/>
      <c r="K406" s="71"/>
      <c r="L406" s="71"/>
      <c r="M406" s="71"/>
      <c r="N406" s="71"/>
      <c r="O406" s="71"/>
      <c r="P406" s="71"/>
      <c r="Q406" s="71"/>
      <c r="R406" s="71"/>
      <c r="S406" s="71"/>
      <c r="T406" s="71"/>
      <c r="U406" s="71"/>
      <c r="V406" s="71"/>
      <c r="W406" s="71"/>
      <c r="X406" s="71"/>
      <c r="Y406" s="71"/>
      <c r="Z406" s="71"/>
      <c r="AA406" s="71"/>
      <c r="AB406" s="71"/>
    </row>
    <row r="407" ht="15.75" customHeight="1">
      <c r="A407" s="71"/>
      <c r="B407" s="71"/>
      <c r="C407" s="61"/>
      <c r="D407" s="61"/>
      <c r="E407" s="71"/>
      <c r="F407" s="71"/>
      <c r="G407" s="61"/>
      <c r="I407" s="61"/>
      <c r="J407" s="71"/>
      <c r="K407" s="71"/>
      <c r="L407" s="71"/>
      <c r="M407" s="71"/>
      <c r="N407" s="71"/>
      <c r="O407" s="71"/>
      <c r="P407" s="71"/>
      <c r="Q407" s="71"/>
      <c r="R407" s="71"/>
      <c r="S407" s="71"/>
      <c r="T407" s="71"/>
      <c r="U407" s="71"/>
      <c r="V407" s="71"/>
      <c r="W407" s="71"/>
      <c r="X407" s="71"/>
      <c r="Y407" s="71"/>
      <c r="Z407" s="71"/>
      <c r="AA407" s="71"/>
      <c r="AB407" s="71"/>
    </row>
    <row r="408" ht="15.75" customHeight="1">
      <c r="A408" s="71"/>
      <c r="B408" s="71"/>
      <c r="C408" s="61"/>
      <c r="D408" s="61"/>
      <c r="E408" s="71"/>
      <c r="F408" s="71"/>
      <c r="G408" s="61"/>
      <c r="I408" s="61"/>
      <c r="J408" s="71"/>
      <c r="K408" s="71"/>
      <c r="L408" s="71"/>
      <c r="M408" s="71"/>
      <c r="N408" s="71"/>
      <c r="O408" s="71"/>
      <c r="P408" s="71"/>
      <c r="Q408" s="71"/>
      <c r="R408" s="71"/>
      <c r="S408" s="71"/>
      <c r="T408" s="71"/>
      <c r="U408" s="71"/>
      <c r="V408" s="71"/>
      <c r="W408" s="71"/>
      <c r="X408" s="71"/>
      <c r="Y408" s="71"/>
      <c r="Z408" s="71"/>
      <c r="AA408" s="71"/>
      <c r="AB408" s="71"/>
    </row>
    <row r="409" ht="15.75" customHeight="1">
      <c r="A409" s="71"/>
      <c r="B409" s="71"/>
      <c r="C409" s="61"/>
      <c r="D409" s="61"/>
      <c r="E409" s="71"/>
      <c r="F409" s="71"/>
      <c r="G409" s="61"/>
      <c r="I409" s="61"/>
      <c r="J409" s="71"/>
      <c r="K409" s="71"/>
      <c r="L409" s="71"/>
      <c r="M409" s="71"/>
      <c r="N409" s="71"/>
      <c r="O409" s="71"/>
      <c r="P409" s="71"/>
      <c r="Q409" s="71"/>
      <c r="R409" s="71"/>
      <c r="S409" s="71"/>
      <c r="T409" s="71"/>
      <c r="U409" s="71"/>
      <c r="V409" s="71"/>
      <c r="W409" s="71"/>
      <c r="X409" s="71"/>
      <c r="Y409" s="71"/>
      <c r="Z409" s="71"/>
      <c r="AA409" s="71"/>
      <c r="AB409" s="71"/>
    </row>
    <row r="410" ht="15.75" customHeight="1">
      <c r="A410" s="71"/>
      <c r="B410" s="71"/>
      <c r="C410" s="61"/>
      <c r="D410" s="61"/>
      <c r="E410" s="71"/>
      <c r="F410" s="71"/>
      <c r="G410" s="61"/>
      <c r="I410" s="61"/>
      <c r="J410" s="71"/>
      <c r="K410" s="71"/>
      <c r="L410" s="71"/>
      <c r="M410" s="71"/>
      <c r="N410" s="71"/>
      <c r="O410" s="71"/>
      <c r="P410" s="71"/>
      <c r="Q410" s="71"/>
      <c r="R410" s="71"/>
      <c r="S410" s="71"/>
      <c r="T410" s="71"/>
      <c r="U410" s="71"/>
      <c r="V410" s="71"/>
      <c r="W410" s="71"/>
      <c r="X410" s="71"/>
      <c r="Y410" s="71"/>
      <c r="Z410" s="71"/>
      <c r="AA410" s="71"/>
      <c r="AB410" s="71"/>
    </row>
    <row r="411" ht="15.75" customHeight="1">
      <c r="A411" s="71"/>
      <c r="B411" s="71"/>
      <c r="C411" s="61"/>
      <c r="D411" s="61"/>
      <c r="E411" s="71"/>
      <c r="F411" s="71"/>
      <c r="G411" s="61"/>
      <c r="I411" s="61"/>
      <c r="J411" s="71"/>
      <c r="K411" s="71"/>
      <c r="L411" s="71"/>
      <c r="M411" s="71"/>
      <c r="N411" s="71"/>
      <c r="O411" s="71"/>
      <c r="P411" s="71"/>
      <c r="Q411" s="71"/>
      <c r="R411" s="71"/>
      <c r="S411" s="71"/>
      <c r="T411" s="71"/>
      <c r="U411" s="71"/>
      <c r="V411" s="71"/>
      <c r="W411" s="71"/>
      <c r="X411" s="71"/>
      <c r="Y411" s="71"/>
      <c r="Z411" s="71"/>
      <c r="AA411" s="71"/>
      <c r="AB411" s="71"/>
    </row>
    <row r="412" ht="15.75" customHeight="1">
      <c r="A412" s="71"/>
      <c r="B412" s="71"/>
      <c r="C412" s="61"/>
      <c r="D412" s="61"/>
      <c r="E412" s="71"/>
      <c r="F412" s="71"/>
      <c r="G412" s="61"/>
      <c r="I412" s="61"/>
      <c r="J412" s="71"/>
      <c r="K412" s="71"/>
      <c r="L412" s="71"/>
      <c r="M412" s="71"/>
      <c r="N412" s="71"/>
      <c r="O412" s="71"/>
      <c r="P412" s="71"/>
      <c r="Q412" s="71"/>
      <c r="R412" s="71"/>
      <c r="S412" s="71"/>
      <c r="T412" s="71"/>
      <c r="U412" s="71"/>
      <c r="V412" s="71"/>
      <c r="W412" s="71"/>
      <c r="X412" s="71"/>
      <c r="Y412" s="71"/>
      <c r="Z412" s="71"/>
      <c r="AA412" s="71"/>
      <c r="AB412" s="71"/>
    </row>
    <row r="413" ht="15.75" customHeight="1">
      <c r="A413" s="71"/>
      <c r="B413" s="71"/>
      <c r="C413" s="61"/>
      <c r="D413" s="61"/>
      <c r="E413" s="71"/>
      <c r="F413" s="71"/>
      <c r="G413" s="61"/>
      <c r="I413" s="61"/>
      <c r="J413" s="71"/>
      <c r="K413" s="71"/>
      <c r="L413" s="71"/>
      <c r="M413" s="71"/>
      <c r="N413" s="71"/>
      <c r="O413" s="71"/>
      <c r="P413" s="71"/>
      <c r="Q413" s="71"/>
      <c r="R413" s="71"/>
      <c r="S413" s="71"/>
      <c r="T413" s="71"/>
      <c r="U413" s="71"/>
      <c r="V413" s="71"/>
      <c r="W413" s="71"/>
      <c r="X413" s="71"/>
      <c r="Y413" s="71"/>
      <c r="Z413" s="71"/>
      <c r="AA413" s="71"/>
      <c r="AB413" s="71"/>
    </row>
    <row r="414" ht="15.75" customHeight="1">
      <c r="A414" s="71"/>
      <c r="B414" s="71"/>
      <c r="C414" s="61"/>
      <c r="D414" s="61"/>
      <c r="E414" s="71"/>
      <c r="F414" s="71"/>
      <c r="G414" s="61"/>
      <c r="I414" s="61"/>
      <c r="J414" s="71"/>
      <c r="K414" s="71"/>
      <c r="L414" s="71"/>
      <c r="M414" s="71"/>
      <c r="N414" s="71"/>
      <c r="O414" s="71"/>
      <c r="P414" s="71"/>
      <c r="Q414" s="71"/>
      <c r="R414" s="71"/>
      <c r="S414" s="71"/>
      <c r="T414" s="71"/>
      <c r="U414" s="71"/>
      <c r="V414" s="71"/>
      <c r="W414" s="71"/>
      <c r="X414" s="71"/>
      <c r="Y414" s="71"/>
      <c r="Z414" s="71"/>
      <c r="AA414" s="71"/>
      <c r="AB414" s="71"/>
    </row>
    <row r="415" ht="15.75" customHeight="1">
      <c r="A415" s="71"/>
      <c r="B415" s="71"/>
      <c r="C415" s="61"/>
      <c r="D415" s="61"/>
      <c r="E415" s="71"/>
      <c r="F415" s="71"/>
      <c r="G415" s="61"/>
      <c r="I415" s="61"/>
      <c r="J415" s="71"/>
      <c r="K415" s="71"/>
      <c r="L415" s="71"/>
      <c r="M415" s="71"/>
      <c r="N415" s="71"/>
      <c r="O415" s="71"/>
      <c r="P415" s="71"/>
      <c r="Q415" s="71"/>
      <c r="R415" s="71"/>
      <c r="S415" s="71"/>
      <c r="T415" s="71"/>
      <c r="U415" s="71"/>
      <c r="V415" s="71"/>
      <c r="W415" s="71"/>
      <c r="X415" s="71"/>
      <c r="Y415" s="71"/>
      <c r="Z415" s="71"/>
      <c r="AA415" s="71"/>
      <c r="AB415" s="71"/>
    </row>
    <row r="416" ht="15.75" customHeight="1">
      <c r="A416" s="71"/>
      <c r="B416" s="71"/>
      <c r="C416" s="61"/>
      <c r="D416" s="61"/>
      <c r="E416" s="71"/>
      <c r="F416" s="71"/>
      <c r="G416" s="61"/>
      <c r="I416" s="61"/>
      <c r="J416" s="71"/>
      <c r="K416" s="71"/>
      <c r="L416" s="71"/>
      <c r="M416" s="71"/>
      <c r="N416" s="71"/>
      <c r="O416" s="71"/>
      <c r="P416" s="71"/>
      <c r="Q416" s="71"/>
      <c r="R416" s="71"/>
      <c r="S416" s="71"/>
      <c r="T416" s="71"/>
      <c r="U416" s="71"/>
      <c r="V416" s="71"/>
      <c r="W416" s="71"/>
      <c r="X416" s="71"/>
      <c r="Y416" s="71"/>
      <c r="Z416" s="71"/>
      <c r="AA416" s="71"/>
      <c r="AB416" s="71"/>
    </row>
    <row r="417" ht="15.75" customHeight="1">
      <c r="A417" s="71"/>
      <c r="B417" s="71"/>
      <c r="C417" s="61"/>
      <c r="D417" s="61"/>
      <c r="E417" s="71"/>
      <c r="F417" s="71"/>
      <c r="G417" s="61"/>
      <c r="I417" s="61"/>
      <c r="J417" s="71"/>
      <c r="K417" s="71"/>
      <c r="L417" s="71"/>
      <c r="M417" s="71"/>
      <c r="N417" s="71"/>
      <c r="O417" s="71"/>
      <c r="P417" s="71"/>
      <c r="Q417" s="71"/>
      <c r="R417" s="71"/>
      <c r="S417" s="71"/>
      <c r="T417" s="71"/>
      <c r="U417" s="71"/>
      <c r="V417" s="71"/>
      <c r="W417" s="71"/>
      <c r="X417" s="71"/>
      <c r="Y417" s="71"/>
      <c r="Z417" s="71"/>
      <c r="AA417" s="71"/>
      <c r="AB417" s="71"/>
    </row>
    <row r="418" ht="15.75" customHeight="1">
      <c r="A418" s="71"/>
      <c r="B418" s="71"/>
      <c r="C418" s="61"/>
      <c r="D418" s="61"/>
      <c r="E418" s="71"/>
      <c r="F418" s="71"/>
      <c r="G418" s="61"/>
      <c r="I418" s="61"/>
      <c r="J418" s="71"/>
      <c r="K418" s="71"/>
      <c r="L418" s="71"/>
      <c r="M418" s="71"/>
      <c r="N418" s="71"/>
      <c r="O418" s="71"/>
      <c r="P418" s="71"/>
      <c r="Q418" s="71"/>
      <c r="R418" s="71"/>
      <c r="S418" s="71"/>
      <c r="T418" s="71"/>
      <c r="U418" s="71"/>
      <c r="V418" s="71"/>
      <c r="W418" s="71"/>
      <c r="X418" s="71"/>
      <c r="Y418" s="71"/>
      <c r="Z418" s="71"/>
      <c r="AA418" s="71"/>
      <c r="AB418" s="71"/>
    </row>
    <row r="419" ht="15.75" customHeight="1">
      <c r="A419" s="71"/>
      <c r="B419" s="71"/>
      <c r="C419" s="61"/>
      <c r="D419" s="61"/>
      <c r="E419" s="71"/>
      <c r="F419" s="71"/>
      <c r="G419" s="61"/>
      <c r="I419" s="61"/>
      <c r="J419" s="71"/>
      <c r="K419" s="71"/>
      <c r="L419" s="71"/>
      <c r="M419" s="71"/>
      <c r="N419" s="71"/>
      <c r="O419" s="71"/>
      <c r="P419" s="71"/>
      <c r="Q419" s="71"/>
      <c r="R419" s="71"/>
      <c r="S419" s="71"/>
      <c r="T419" s="71"/>
      <c r="U419" s="71"/>
      <c r="V419" s="71"/>
      <c r="W419" s="71"/>
      <c r="X419" s="71"/>
      <c r="Y419" s="71"/>
      <c r="Z419" s="71"/>
      <c r="AA419" s="71"/>
      <c r="AB419" s="71"/>
    </row>
    <row r="420" ht="15.75" customHeight="1">
      <c r="A420" s="71"/>
      <c r="B420" s="71"/>
      <c r="C420" s="61"/>
      <c r="D420" s="61"/>
      <c r="E420" s="71"/>
      <c r="F420" s="71"/>
      <c r="G420" s="61"/>
      <c r="I420" s="61"/>
      <c r="J420" s="71"/>
      <c r="K420" s="71"/>
      <c r="L420" s="71"/>
      <c r="M420" s="71"/>
      <c r="N420" s="71"/>
      <c r="O420" s="71"/>
      <c r="P420" s="71"/>
      <c r="Q420" s="71"/>
      <c r="R420" s="71"/>
      <c r="S420" s="71"/>
      <c r="T420" s="71"/>
      <c r="U420" s="71"/>
      <c r="V420" s="71"/>
      <c r="W420" s="71"/>
      <c r="X420" s="71"/>
      <c r="Y420" s="71"/>
      <c r="Z420" s="71"/>
      <c r="AA420" s="71"/>
      <c r="AB420" s="71"/>
    </row>
    <row r="421" ht="15.75" customHeight="1">
      <c r="A421" s="71"/>
      <c r="B421" s="71"/>
      <c r="C421" s="61"/>
      <c r="D421" s="61"/>
      <c r="E421" s="71"/>
      <c r="F421" s="71"/>
      <c r="G421" s="61"/>
      <c r="I421" s="61"/>
      <c r="J421" s="71"/>
      <c r="K421" s="71"/>
      <c r="L421" s="71"/>
      <c r="M421" s="71"/>
      <c r="N421" s="71"/>
      <c r="O421" s="71"/>
      <c r="P421" s="71"/>
      <c r="Q421" s="71"/>
      <c r="R421" s="71"/>
      <c r="S421" s="71"/>
      <c r="T421" s="71"/>
      <c r="U421" s="71"/>
      <c r="V421" s="71"/>
      <c r="W421" s="71"/>
      <c r="X421" s="71"/>
      <c r="Y421" s="71"/>
      <c r="Z421" s="71"/>
      <c r="AA421" s="71"/>
      <c r="AB421" s="71"/>
    </row>
    <row r="422" ht="15.75" customHeight="1">
      <c r="A422" s="71"/>
      <c r="B422" s="71"/>
      <c r="C422" s="61"/>
      <c r="D422" s="61"/>
      <c r="E422" s="71"/>
      <c r="F422" s="71"/>
      <c r="G422" s="61"/>
      <c r="I422" s="61"/>
      <c r="J422" s="71"/>
      <c r="K422" s="71"/>
      <c r="L422" s="71"/>
      <c r="M422" s="71"/>
      <c r="N422" s="71"/>
      <c r="O422" s="71"/>
      <c r="P422" s="71"/>
      <c r="Q422" s="71"/>
      <c r="R422" s="71"/>
      <c r="S422" s="71"/>
      <c r="T422" s="71"/>
      <c r="U422" s="71"/>
      <c r="V422" s="71"/>
      <c r="W422" s="71"/>
      <c r="X422" s="71"/>
      <c r="Y422" s="71"/>
      <c r="Z422" s="71"/>
      <c r="AA422" s="71"/>
      <c r="AB422" s="71"/>
    </row>
    <row r="423" ht="15.75" customHeight="1">
      <c r="A423" s="71"/>
      <c r="B423" s="71"/>
      <c r="C423" s="61"/>
      <c r="D423" s="61"/>
      <c r="E423" s="71"/>
      <c r="F423" s="71"/>
      <c r="G423" s="61"/>
      <c r="I423" s="61"/>
      <c r="J423" s="71"/>
      <c r="K423" s="71"/>
      <c r="L423" s="71"/>
      <c r="M423" s="71"/>
      <c r="N423" s="71"/>
      <c r="O423" s="71"/>
      <c r="P423" s="71"/>
      <c r="Q423" s="71"/>
      <c r="R423" s="71"/>
      <c r="S423" s="71"/>
      <c r="T423" s="71"/>
      <c r="U423" s="71"/>
      <c r="V423" s="71"/>
      <c r="W423" s="71"/>
      <c r="X423" s="71"/>
      <c r="Y423" s="71"/>
      <c r="Z423" s="71"/>
      <c r="AA423" s="71"/>
      <c r="AB423" s="71"/>
    </row>
    <row r="424" ht="15.75" customHeight="1">
      <c r="A424" s="71"/>
      <c r="B424" s="71"/>
      <c r="C424" s="61"/>
      <c r="D424" s="61"/>
      <c r="E424" s="71"/>
      <c r="F424" s="71"/>
      <c r="G424" s="61"/>
      <c r="I424" s="61"/>
      <c r="J424" s="71"/>
      <c r="K424" s="71"/>
      <c r="L424" s="71"/>
      <c r="M424" s="71"/>
      <c r="N424" s="71"/>
      <c r="O424" s="71"/>
      <c r="P424" s="71"/>
      <c r="Q424" s="71"/>
      <c r="R424" s="71"/>
      <c r="S424" s="71"/>
      <c r="T424" s="71"/>
      <c r="U424" s="71"/>
      <c r="V424" s="71"/>
      <c r="W424" s="71"/>
      <c r="X424" s="71"/>
      <c r="Y424" s="71"/>
      <c r="Z424" s="71"/>
      <c r="AA424" s="71"/>
      <c r="AB424" s="71"/>
    </row>
    <row r="425" ht="15.75" customHeight="1">
      <c r="A425" s="71"/>
      <c r="B425" s="71"/>
      <c r="C425" s="61"/>
      <c r="D425" s="61"/>
      <c r="E425" s="71"/>
      <c r="F425" s="71"/>
      <c r="G425" s="61"/>
      <c r="I425" s="61"/>
      <c r="J425" s="71"/>
      <c r="K425" s="71"/>
      <c r="L425" s="71"/>
      <c r="M425" s="71"/>
      <c r="N425" s="71"/>
      <c r="O425" s="71"/>
      <c r="P425" s="71"/>
      <c r="Q425" s="71"/>
      <c r="R425" s="71"/>
      <c r="S425" s="71"/>
      <c r="T425" s="71"/>
      <c r="U425" s="71"/>
      <c r="V425" s="71"/>
      <c r="W425" s="71"/>
      <c r="X425" s="71"/>
      <c r="Y425" s="71"/>
      <c r="Z425" s="71"/>
      <c r="AA425" s="71"/>
      <c r="AB425" s="71"/>
    </row>
    <row r="426" ht="15.75" customHeight="1">
      <c r="A426" s="71"/>
      <c r="B426" s="71"/>
      <c r="C426" s="61"/>
      <c r="D426" s="61"/>
      <c r="E426" s="71"/>
      <c r="F426" s="71"/>
      <c r="G426" s="61"/>
      <c r="I426" s="61"/>
      <c r="J426" s="71"/>
      <c r="K426" s="71"/>
      <c r="L426" s="71"/>
      <c r="M426" s="71"/>
      <c r="N426" s="71"/>
      <c r="O426" s="71"/>
      <c r="P426" s="71"/>
      <c r="Q426" s="71"/>
      <c r="R426" s="71"/>
      <c r="S426" s="71"/>
      <c r="T426" s="71"/>
      <c r="U426" s="71"/>
      <c r="V426" s="71"/>
      <c r="W426" s="71"/>
      <c r="X426" s="71"/>
      <c r="Y426" s="71"/>
      <c r="Z426" s="71"/>
      <c r="AA426" s="71"/>
      <c r="AB426" s="71"/>
    </row>
    <row r="427" ht="15.75" customHeight="1">
      <c r="A427" s="71"/>
      <c r="B427" s="71"/>
      <c r="C427" s="61"/>
      <c r="D427" s="61"/>
      <c r="E427" s="71"/>
      <c r="F427" s="71"/>
      <c r="G427" s="61"/>
      <c r="I427" s="61"/>
      <c r="J427" s="71"/>
      <c r="K427" s="71"/>
      <c r="L427" s="71"/>
      <c r="M427" s="71"/>
      <c r="N427" s="71"/>
      <c r="O427" s="71"/>
      <c r="P427" s="71"/>
      <c r="Q427" s="71"/>
      <c r="R427" s="71"/>
      <c r="S427" s="71"/>
      <c r="T427" s="71"/>
      <c r="U427" s="71"/>
      <c r="V427" s="71"/>
      <c r="W427" s="71"/>
      <c r="X427" s="71"/>
      <c r="Y427" s="71"/>
      <c r="Z427" s="71"/>
      <c r="AA427" s="71"/>
      <c r="AB427" s="71"/>
    </row>
    <row r="428" ht="15.75" customHeight="1">
      <c r="A428" s="71"/>
      <c r="B428" s="71"/>
      <c r="C428" s="61"/>
      <c r="D428" s="61"/>
      <c r="E428" s="71"/>
      <c r="F428" s="71"/>
      <c r="G428" s="61"/>
      <c r="I428" s="61"/>
      <c r="J428" s="71"/>
      <c r="K428" s="71"/>
      <c r="L428" s="71"/>
      <c r="M428" s="71"/>
      <c r="N428" s="71"/>
      <c r="O428" s="71"/>
      <c r="P428" s="71"/>
      <c r="Q428" s="71"/>
      <c r="R428" s="71"/>
      <c r="S428" s="71"/>
      <c r="T428" s="71"/>
      <c r="U428" s="71"/>
      <c r="V428" s="71"/>
      <c r="W428" s="71"/>
      <c r="X428" s="71"/>
      <c r="Y428" s="71"/>
      <c r="Z428" s="71"/>
      <c r="AA428" s="71"/>
      <c r="AB428" s="71"/>
    </row>
    <row r="429" ht="15.75" customHeight="1">
      <c r="A429" s="71"/>
      <c r="B429" s="71"/>
      <c r="C429" s="61"/>
      <c r="D429" s="61"/>
      <c r="E429" s="71"/>
      <c r="F429" s="71"/>
      <c r="G429" s="61"/>
      <c r="I429" s="61"/>
      <c r="J429" s="71"/>
      <c r="K429" s="71"/>
      <c r="L429" s="71"/>
      <c r="M429" s="71"/>
      <c r="N429" s="71"/>
      <c r="O429" s="71"/>
      <c r="P429" s="71"/>
      <c r="Q429" s="71"/>
      <c r="R429" s="71"/>
      <c r="S429" s="71"/>
      <c r="T429" s="71"/>
      <c r="U429" s="71"/>
      <c r="V429" s="71"/>
      <c r="W429" s="71"/>
      <c r="X429" s="71"/>
      <c r="Y429" s="71"/>
      <c r="Z429" s="71"/>
      <c r="AA429" s="71"/>
      <c r="AB429" s="71"/>
    </row>
    <row r="430" ht="15.75" customHeight="1">
      <c r="A430" s="71"/>
      <c r="B430" s="71"/>
      <c r="C430" s="61"/>
      <c r="D430" s="61"/>
      <c r="E430" s="71"/>
      <c r="F430" s="71"/>
      <c r="G430" s="61"/>
      <c r="I430" s="61"/>
      <c r="J430" s="71"/>
      <c r="K430" s="71"/>
      <c r="L430" s="71"/>
      <c r="M430" s="71"/>
      <c r="N430" s="71"/>
      <c r="O430" s="71"/>
      <c r="P430" s="71"/>
      <c r="Q430" s="71"/>
      <c r="R430" s="71"/>
      <c r="S430" s="71"/>
      <c r="T430" s="71"/>
      <c r="U430" s="71"/>
      <c r="V430" s="71"/>
      <c r="W430" s="71"/>
      <c r="X430" s="71"/>
      <c r="Y430" s="71"/>
      <c r="Z430" s="71"/>
      <c r="AA430" s="71"/>
      <c r="AB430" s="71"/>
    </row>
    <row r="431" ht="15.75" customHeight="1">
      <c r="A431" s="71"/>
      <c r="B431" s="71"/>
      <c r="C431" s="61"/>
      <c r="D431" s="61"/>
      <c r="E431" s="71"/>
      <c r="F431" s="71"/>
      <c r="G431" s="61"/>
      <c r="I431" s="61"/>
      <c r="J431" s="71"/>
      <c r="K431" s="71"/>
      <c r="L431" s="71"/>
      <c r="M431" s="71"/>
      <c r="N431" s="71"/>
      <c r="O431" s="71"/>
      <c r="P431" s="71"/>
      <c r="Q431" s="71"/>
      <c r="R431" s="71"/>
      <c r="S431" s="71"/>
      <c r="T431" s="71"/>
      <c r="U431" s="71"/>
      <c r="V431" s="71"/>
      <c r="W431" s="71"/>
      <c r="X431" s="71"/>
      <c r="Y431" s="71"/>
      <c r="Z431" s="71"/>
      <c r="AA431" s="71"/>
      <c r="AB431" s="71"/>
    </row>
    <row r="432" ht="15.75" customHeight="1">
      <c r="A432" s="71"/>
      <c r="B432" s="71"/>
      <c r="C432" s="61"/>
      <c r="D432" s="61"/>
      <c r="E432" s="71"/>
      <c r="F432" s="71"/>
      <c r="G432" s="61"/>
      <c r="I432" s="61"/>
      <c r="J432" s="71"/>
      <c r="K432" s="71"/>
      <c r="L432" s="71"/>
      <c r="M432" s="71"/>
      <c r="N432" s="71"/>
      <c r="O432" s="71"/>
      <c r="P432" s="71"/>
      <c r="Q432" s="71"/>
      <c r="R432" s="71"/>
      <c r="S432" s="71"/>
      <c r="T432" s="71"/>
      <c r="U432" s="71"/>
      <c r="V432" s="71"/>
      <c r="W432" s="71"/>
      <c r="X432" s="71"/>
      <c r="Y432" s="71"/>
      <c r="Z432" s="71"/>
      <c r="AA432" s="71"/>
      <c r="AB432" s="71"/>
    </row>
    <row r="433" ht="15.75" customHeight="1">
      <c r="A433" s="71"/>
      <c r="B433" s="71"/>
      <c r="C433" s="61"/>
      <c r="D433" s="61"/>
      <c r="E433" s="71"/>
      <c r="F433" s="71"/>
      <c r="G433" s="61"/>
      <c r="I433" s="61"/>
      <c r="J433" s="71"/>
      <c r="K433" s="71"/>
      <c r="L433" s="71"/>
      <c r="M433" s="71"/>
      <c r="N433" s="71"/>
      <c r="O433" s="71"/>
      <c r="P433" s="71"/>
      <c r="Q433" s="71"/>
      <c r="R433" s="71"/>
      <c r="S433" s="71"/>
      <c r="T433" s="71"/>
      <c r="U433" s="71"/>
      <c r="V433" s="71"/>
      <c r="W433" s="71"/>
      <c r="X433" s="71"/>
      <c r="Y433" s="71"/>
      <c r="Z433" s="71"/>
      <c r="AA433" s="71"/>
      <c r="AB433" s="71"/>
    </row>
    <row r="434" ht="15.75" customHeight="1">
      <c r="A434" s="71"/>
      <c r="B434" s="71"/>
      <c r="C434" s="61"/>
      <c r="D434" s="61"/>
      <c r="E434" s="71"/>
      <c r="F434" s="71"/>
      <c r="G434" s="61"/>
      <c r="I434" s="61"/>
      <c r="J434" s="71"/>
      <c r="K434" s="71"/>
      <c r="L434" s="71"/>
      <c r="M434" s="71"/>
      <c r="N434" s="71"/>
      <c r="O434" s="71"/>
      <c r="P434" s="71"/>
      <c r="Q434" s="71"/>
      <c r="R434" s="71"/>
      <c r="S434" s="71"/>
      <c r="T434" s="71"/>
      <c r="U434" s="71"/>
      <c r="V434" s="71"/>
      <c r="W434" s="71"/>
      <c r="X434" s="71"/>
      <c r="Y434" s="71"/>
      <c r="Z434" s="71"/>
      <c r="AA434" s="71"/>
      <c r="AB434" s="71"/>
    </row>
    <row r="435" ht="15.75" customHeight="1">
      <c r="A435" s="71"/>
      <c r="B435" s="71"/>
      <c r="C435" s="61"/>
      <c r="D435" s="61"/>
      <c r="E435" s="71"/>
      <c r="F435" s="71"/>
      <c r="G435" s="61"/>
      <c r="I435" s="61"/>
      <c r="J435" s="71"/>
      <c r="K435" s="71"/>
      <c r="L435" s="71"/>
      <c r="M435" s="71"/>
      <c r="N435" s="71"/>
      <c r="O435" s="71"/>
      <c r="P435" s="71"/>
      <c r="Q435" s="71"/>
      <c r="R435" s="71"/>
      <c r="S435" s="71"/>
      <c r="T435" s="71"/>
      <c r="U435" s="71"/>
      <c r="V435" s="71"/>
      <c r="W435" s="71"/>
      <c r="X435" s="71"/>
      <c r="Y435" s="71"/>
      <c r="Z435" s="71"/>
      <c r="AA435" s="71"/>
      <c r="AB435" s="71"/>
    </row>
    <row r="436" ht="15.75" customHeight="1">
      <c r="A436" s="71"/>
      <c r="B436" s="71"/>
      <c r="C436" s="61"/>
      <c r="D436" s="61"/>
      <c r="E436" s="71"/>
      <c r="F436" s="71"/>
      <c r="G436" s="61"/>
      <c r="I436" s="61"/>
      <c r="J436" s="71"/>
      <c r="K436" s="71"/>
      <c r="L436" s="71"/>
      <c r="M436" s="71"/>
      <c r="N436" s="71"/>
      <c r="O436" s="71"/>
      <c r="P436" s="71"/>
      <c r="Q436" s="71"/>
      <c r="R436" s="71"/>
      <c r="S436" s="71"/>
      <c r="T436" s="71"/>
      <c r="U436" s="71"/>
      <c r="V436" s="71"/>
      <c r="W436" s="71"/>
      <c r="X436" s="71"/>
      <c r="Y436" s="71"/>
      <c r="Z436" s="71"/>
      <c r="AA436" s="71"/>
      <c r="AB436" s="71"/>
    </row>
    <row r="437" ht="15.75" customHeight="1">
      <c r="A437" s="71"/>
      <c r="B437" s="71"/>
      <c r="C437" s="61"/>
      <c r="D437" s="61"/>
      <c r="E437" s="71"/>
      <c r="F437" s="71"/>
      <c r="G437" s="61"/>
      <c r="I437" s="61"/>
      <c r="J437" s="71"/>
      <c r="K437" s="71"/>
      <c r="L437" s="71"/>
      <c r="M437" s="71"/>
      <c r="N437" s="71"/>
      <c r="O437" s="71"/>
      <c r="P437" s="71"/>
      <c r="Q437" s="71"/>
      <c r="R437" s="71"/>
      <c r="S437" s="71"/>
      <c r="T437" s="71"/>
      <c r="U437" s="71"/>
      <c r="V437" s="71"/>
      <c r="W437" s="71"/>
      <c r="X437" s="71"/>
      <c r="Y437" s="71"/>
      <c r="Z437" s="71"/>
      <c r="AA437" s="71"/>
      <c r="AB437" s="71"/>
    </row>
    <row r="438" ht="15.75" customHeight="1">
      <c r="A438" s="71"/>
      <c r="B438" s="71"/>
      <c r="C438" s="61"/>
      <c r="D438" s="61"/>
      <c r="E438" s="71"/>
      <c r="F438" s="71"/>
      <c r="G438" s="61"/>
      <c r="I438" s="61"/>
      <c r="J438" s="71"/>
      <c r="K438" s="71"/>
      <c r="L438" s="71"/>
      <c r="M438" s="71"/>
      <c r="N438" s="71"/>
      <c r="O438" s="71"/>
      <c r="P438" s="71"/>
      <c r="Q438" s="71"/>
      <c r="R438" s="71"/>
      <c r="S438" s="71"/>
      <c r="T438" s="71"/>
      <c r="U438" s="71"/>
      <c r="V438" s="71"/>
      <c r="W438" s="71"/>
      <c r="X438" s="71"/>
      <c r="Y438" s="71"/>
      <c r="Z438" s="71"/>
      <c r="AA438" s="71"/>
      <c r="AB438" s="71"/>
    </row>
    <row r="439" ht="15.75" customHeight="1">
      <c r="A439" s="71"/>
      <c r="B439" s="71"/>
      <c r="C439" s="61"/>
      <c r="D439" s="61"/>
      <c r="E439" s="71"/>
      <c r="F439" s="71"/>
      <c r="G439" s="61"/>
      <c r="I439" s="61"/>
      <c r="J439" s="71"/>
      <c r="K439" s="71"/>
      <c r="L439" s="71"/>
      <c r="M439" s="71"/>
      <c r="N439" s="71"/>
      <c r="O439" s="71"/>
      <c r="P439" s="71"/>
      <c r="Q439" s="71"/>
      <c r="R439" s="71"/>
      <c r="S439" s="71"/>
      <c r="T439" s="71"/>
      <c r="U439" s="71"/>
      <c r="V439" s="71"/>
      <c r="W439" s="71"/>
      <c r="X439" s="71"/>
      <c r="Y439" s="71"/>
      <c r="Z439" s="71"/>
      <c r="AA439" s="71"/>
      <c r="AB439" s="71"/>
    </row>
    <row r="440" ht="15.75" customHeight="1">
      <c r="A440" s="71"/>
      <c r="B440" s="71"/>
      <c r="C440" s="61"/>
      <c r="D440" s="61"/>
      <c r="E440" s="71"/>
      <c r="F440" s="71"/>
      <c r="G440" s="61"/>
      <c r="I440" s="61"/>
      <c r="J440" s="71"/>
      <c r="K440" s="71"/>
      <c r="L440" s="71"/>
      <c r="M440" s="71"/>
      <c r="N440" s="71"/>
      <c r="O440" s="71"/>
      <c r="P440" s="71"/>
      <c r="Q440" s="71"/>
      <c r="R440" s="71"/>
      <c r="S440" s="71"/>
      <c r="T440" s="71"/>
      <c r="U440" s="71"/>
      <c r="V440" s="71"/>
      <c r="W440" s="71"/>
      <c r="X440" s="71"/>
      <c r="Y440" s="71"/>
      <c r="Z440" s="71"/>
      <c r="AA440" s="71"/>
      <c r="AB440" s="71"/>
    </row>
    <row r="441" ht="15.75" customHeight="1">
      <c r="A441" s="71"/>
      <c r="B441" s="71"/>
      <c r="C441" s="61"/>
      <c r="D441" s="61"/>
      <c r="E441" s="71"/>
      <c r="F441" s="71"/>
      <c r="G441" s="61"/>
      <c r="I441" s="61"/>
      <c r="J441" s="71"/>
      <c r="K441" s="71"/>
      <c r="L441" s="71"/>
      <c r="M441" s="71"/>
      <c r="N441" s="71"/>
      <c r="O441" s="71"/>
      <c r="P441" s="71"/>
      <c r="Q441" s="71"/>
      <c r="R441" s="71"/>
      <c r="S441" s="71"/>
      <c r="T441" s="71"/>
      <c r="U441" s="71"/>
      <c r="V441" s="71"/>
      <c r="W441" s="71"/>
      <c r="X441" s="71"/>
      <c r="Y441" s="71"/>
      <c r="Z441" s="71"/>
      <c r="AA441" s="71"/>
      <c r="AB441" s="71"/>
    </row>
    <row r="442" ht="15.75" customHeight="1">
      <c r="A442" s="71"/>
      <c r="B442" s="71"/>
      <c r="C442" s="61"/>
      <c r="D442" s="61"/>
      <c r="E442" s="71"/>
      <c r="F442" s="71"/>
      <c r="G442" s="61"/>
      <c r="I442" s="61"/>
      <c r="J442" s="71"/>
      <c r="K442" s="71"/>
      <c r="L442" s="71"/>
      <c r="M442" s="71"/>
      <c r="N442" s="71"/>
      <c r="O442" s="71"/>
      <c r="P442" s="71"/>
      <c r="Q442" s="71"/>
      <c r="R442" s="71"/>
      <c r="S442" s="71"/>
      <c r="T442" s="71"/>
      <c r="U442" s="71"/>
      <c r="V442" s="71"/>
      <c r="W442" s="71"/>
      <c r="X442" s="71"/>
      <c r="Y442" s="71"/>
      <c r="Z442" s="71"/>
      <c r="AA442" s="71"/>
      <c r="AB442" s="71"/>
    </row>
    <row r="443" ht="15.75" customHeight="1">
      <c r="A443" s="71"/>
      <c r="B443" s="71"/>
      <c r="C443" s="61"/>
      <c r="D443" s="61"/>
      <c r="E443" s="71"/>
      <c r="F443" s="71"/>
      <c r="G443" s="61"/>
      <c r="I443" s="61"/>
      <c r="J443" s="71"/>
      <c r="K443" s="71"/>
      <c r="L443" s="71"/>
      <c r="M443" s="71"/>
      <c r="N443" s="71"/>
      <c r="O443" s="71"/>
      <c r="P443" s="71"/>
      <c r="Q443" s="71"/>
      <c r="R443" s="71"/>
      <c r="S443" s="71"/>
      <c r="T443" s="71"/>
      <c r="U443" s="71"/>
      <c r="V443" s="71"/>
      <c r="W443" s="71"/>
      <c r="X443" s="71"/>
      <c r="Y443" s="71"/>
      <c r="Z443" s="71"/>
      <c r="AA443" s="71"/>
      <c r="AB443" s="71"/>
    </row>
    <row r="444" ht="15.75" customHeight="1">
      <c r="A444" s="71"/>
      <c r="B444" s="71"/>
      <c r="C444" s="61"/>
      <c r="D444" s="61"/>
      <c r="E444" s="71"/>
      <c r="F444" s="71"/>
      <c r="G444" s="61"/>
      <c r="I444" s="61"/>
      <c r="J444" s="71"/>
      <c r="K444" s="71"/>
      <c r="L444" s="71"/>
      <c r="M444" s="71"/>
      <c r="N444" s="71"/>
      <c r="O444" s="71"/>
      <c r="P444" s="71"/>
      <c r="Q444" s="71"/>
      <c r="R444" s="71"/>
      <c r="S444" s="71"/>
      <c r="T444" s="71"/>
      <c r="U444" s="71"/>
      <c r="V444" s="71"/>
      <c r="W444" s="71"/>
      <c r="X444" s="71"/>
      <c r="Y444" s="71"/>
      <c r="Z444" s="71"/>
      <c r="AA444" s="71"/>
      <c r="AB444" s="71"/>
    </row>
    <row r="445" ht="15.75" customHeight="1">
      <c r="A445" s="71"/>
      <c r="B445" s="71"/>
      <c r="C445" s="61"/>
      <c r="D445" s="61"/>
      <c r="E445" s="71"/>
      <c r="F445" s="71"/>
      <c r="G445" s="61"/>
      <c r="I445" s="61"/>
      <c r="J445" s="71"/>
      <c r="K445" s="71"/>
      <c r="L445" s="71"/>
      <c r="M445" s="71"/>
      <c r="N445" s="71"/>
      <c r="O445" s="71"/>
      <c r="P445" s="71"/>
      <c r="Q445" s="71"/>
      <c r="R445" s="71"/>
      <c r="S445" s="71"/>
      <c r="T445" s="71"/>
      <c r="U445" s="71"/>
      <c r="V445" s="71"/>
      <c r="W445" s="71"/>
      <c r="X445" s="71"/>
      <c r="Y445" s="71"/>
      <c r="Z445" s="71"/>
      <c r="AA445" s="71"/>
      <c r="AB445" s="71"/>
    </row>
    <row r="446" ht="15.75" customHeight="1">
      <c r="A446" s="71"/>
      <c r="B446" s="71"/>
      <c r="C446" s="61"/>
      <c r="D446" s="61"/>
      <c r="E446" s="71"/>
      <c r="F446" s="71"/>
      <c r="G446" s="61"/>
      <c r="I446" s="61"/>
      <c r="J446" s="71"/>
      <c r="K446" s="71"/>
      <c r="L446" s="71"/>
      <c r="M446" s="71"/>
      <c r="N446" s="71"/>
      <c r="O446" s="71"/>
      <c r="P446" s="71"/>
      <c r="Q446" s="71"/>
      <c r="R446" s="71"/>
      <c r="S446" s="71"/>
      <c r="T446" s="71"/>
      <c r="U446" s="71"/>
      <c r="V446" s="71"/>
      <c r="W446" s="71"/>
      <c r="X446" s="71"/>
      <c r="Y446" s="71"/>
      <c r="Z446" s="71"/>
      <c r="AA446" s="71"/>
      <c r="AB446" s="71"/>
    </row>
    <row r="447" ht="15.75" customHeight="1">
      <c r="A447" s="71"/>
      <c r="B447" s="71"/>
      <c r="C447" s="61"/>
      <c r="D447" s="61"/>
      <c r="E447" s="71"/>
      <c r="F447" s="71"/>
      <c r="G447" s="61"/>
      <c r="I447" s="61"/>
      <c r="J447" s="71"/>
      <c r="K447" s="71"/>
      <c r="L447" s="71"/>
      <c r="M447" s="71"/>
      <c r="N447" s="71"/>
      <c r="O447" s="71"/>
      <c r="P447" s="71"/>
      <c r="Q447" s="71"/>
      <c r="R447" s="71"/>
      <c r="S447" s="71"/>
      <c r="T447" s="71"/>
      <c r="U447" s="71"/>
      <c r="V447" s="71"/>
      <c r="W447" s="71"/>
      <c r="X447" s="71"/>
      <c r="Y447" s="71"/>
      <c r="Z447" s="71"/>
      <c r="AA447" s="71"/>
      <c r="AB447" s="71"/>
    </row>
    <row r="448" ht="15.75" customHeight="1">
      <c r="A448" s="71"/>
      <c r="B448" s="71"/>
      <c r="C448" s="61"/>
      <c r="D448" s="61"/>
      <c r="E448" s="71"/>
      <c r="F448" s="71"/>
      <c r="G448" s="61"/>
      <c r="I448" s="61"/>
      <c r="J448" s="71"/>
      <c r="K448" s="71"/>
      <c r="L448" s="71"/>
      <c r="M448" s="71"/>
      <c r="N448" s="71"/>
      <c r="O448" s="71"/>
      <c r="P448" s="71"/>
      <c r="Q448" s="71"/>
      <c r="R448" s="71"/>
      <c r="S448" s="71"/>
      <c r="T448" s="71"/>
      <c r="U448" s="71"/>
      <c r="V448" s="71"/>
      <c r="W448" s="71"/>
      <c r="X448" s="71"/>
      <c r="Y448" s="71"/>
      <c r="Z448" s="71"/>
      <c r="AA448" s="71"/>
      <c r="AB448" s="71"/>
    </row>
    <row r="449" ht="15.75" customHeight="1">
      <c r="A449" s="71"/>
      <c r="B449" s="71"/>
      <c r="C449" s="61"/>
      <c r="D449" s="61"/>
      <c r="E449" s="71"/>
      <c r="F449" s="71"/>
      <c r="G449" s="61"/>
      <c r="I449" s="61"/>
      <c r="J449" s="71"/>
      <c r="K449" s="71"/>
      <c r="L449" s="71"/>
      <c r="M449" s="71"/>
      <c r="N449" s="71"/>
      <c r="O449" s="71"/>
      <c r="P449" s="71"/>
      <c r="Q449" s="71"/>
      <c r="R449" s="71"/>
      <c r="S449" s="71"/>
      <c r="T449" s="71"/>
      <c r="U449" s="71"/>
      <c r="V449" s="71"/>
      <c r="W449" s="71"/>
      <c r="X449" s="71"/>
      <c r="Y449" s="71"/>
      <c r="Z449" s="71"/>
      <c r="AA449" s="71"/>
      <c r="AB449" s="71"/>
    </row>
    <row r="450" ht="15.75" customHeight="1">
      <c r="A450" s="71"/>
      <c r="B450" s="71"/>
      <c r="C450" s="61"/>
      <c r="D450" s="61"/>
      <c r="E450" s="71"/>
      <c r="F450" s="71"/>
      <c r="G450" s="61"/>
      <c r="I450" s="61"/>
      <c r="J450" s="71"/>
      <c r="K450" s="71"/>
      <c r="L450" s="71"/>
      <c r="M450" s="71"/>
      <c r="N450" s="71"/>
      <c r="O450" s="71"/>
      <c r="P450" s="71"/>
      <c r="Q450" s="71"/>
      <c r="R450" s="71"/>
      <c r="S450" s="71"/>
      <c r="T450" s="71"/>
      <c r="U450" s="71"/>
      <c r="V450" s="71"/>
      <c r="W450" s="71"/>
      <c r="X450" s="71"/>
      <c r="Y450" s="71"/>
      <c r="Z450" s="71"/>
      <c r="AA450" s="71"/>
      <c r="AB450" s="71"/>
    </row>
    <row r="451" ht="15.75" customHeight="1">
      <c r="A451" s="71"/>
      <c r="B451" s="71"/>
      <c r="C451" s="61"/>
      <c r="D451" s="61"/>
      <c r="E451" s="71"/>
      <c r="F451" s="71"/>
      <c r="G451" s="61"/>
      <c r="I451" s="61"/>
      <c r="J451" s="71"/>
      <c r="K451" s="71"/>
      <c r="L451" s="71"/>
      <c r="M451" s="71"/>
      <c r="N451" s="71"/>
      <c r="O451" s="71"/>
      <c r="P451" s="71"/>
      <c r="Q451" s="71"/>
      <c r="R451" s="71"/>
      <c r="S451" s="71"/>
      <c r="T451" s="71"/>
      <c r="U451" s="71"/>
      <c r="V451" s="71"/>
      <c r="W451" s="71"/>
      <c r="X451" s="71"/>
      <c r="Y451" s="71"/>
      <c r="Z451" s="71"/>
      <c r="AA451" s="71"/>
      <c r="AB451" s="71"/>
    </row>
    <row r="452" ht="15.75" customHeight="1">
      <c r="A452" s="71"/>
      <c r="B452" s="71"/>
      <c r="C452" s="61"/>
      <c r="D452" s="61"/>
      <c r="E452" s="71"/>
      <c r="F452" s="71"/>
      <c r="G452" s="61"/>
      <c r="I452" s="61"/>
      <c r="J452" s="71"/>
      <c r="K452" s="71"/>
      <c r="L452" s="71"/>
      <c r="M452" s="71"/>
      <c r="N452" s="71"/>
      <c r="O452" s="71"/>
      <c r="P452" s="71"/>
      <c r="Q452" s="71"/>
      <c r="R452" s="71"/>
      <c r="S452" s="71"/>
      <c r="T452" s="71"/>
      <c r="U452" s="71"/>
      <c r="V452" s="71"/>
      <c r="W452" s="71"/>
      <c r="X452" s="71"/>
      <c r="Y452" s="71"/>
      <c r="Z452" s="71"/>
      <c r="AA452" s="71"/>
      <c r="AB452" s="71"/>
    </row>
    <row r="453" ht="15.75" customHeight="1">
      <c r="A453" s="71"/>
      <c r="B453" s="71"/>
      <c r="C453" s="61"/>
      <c r="D453" s="61"/>
      <c r="E453" s="71"/>
      <c r="F453" s="71"/>
      <c r="G453" s="61"/>
      <c r="I453" s="61"/>
      <c r="J453" s="71"/>
      <c r="K453" s="71"/>
      <c r="L453" s="71"/>
      <c r="M453" s="71"/>
      <c r="N453" s="71"/>
      <c r="O453" s="71"/>
      <c r="P453" s="71"/>
      <c r="Q453" s="71"/>
      <c r="R453" s="71"/>
      <c r="S453" s="71"/>
      <c r="T453" s="71"/>
      <c r="U453" s="71"/>
      <c r="V453" s="71"/>
      <c r="W453" s="71"/>
      <c r="X453" s="71"/>
      <c r="Y453" s="71"/>
      <c r="Z453" s="71"/>
      <c r="AA453" s="71"/>
      <c r="AB453" s="71"/>
    </row>
    <row r="454" ht="15.75" customHeight="1">
      <c r="A454" s="71"/>
      <c r="B454" s="71"/>
      <c r="C454" s="61"/>
      <c r="D454" s="61"/>
      <c r="E454" s="71"/>
      <c r="F454" s="71"/>
      <c r="G454" s="61"/>
      <c r="I454" s="61"/>
      <c r="J454" s="71"/>
      <c r="K454" s="71"/>
      <c r="L454" s="71"/>
      <c r="M454" s="71"/>
      <c r="N454" s="71"/>
      <c r="O454" s="71"/>
      <c r="P454" s="71"/>
      <c r="Q454" s="71"/>
      <c r="R454" s="71"/>
      <c r="S454" s="71"/>
      <c r="T454" s="71"/>
      <c r="U454" s="71"/>
      <c r="V454" s="71"/>
      <c r="W454" s="71"/>
      <c r="X454" s="71"/>
      <c r="Y454" s="71"/>
      <c r="Z454" s="71"/>
      <c r="AA454" s="71"/>
      <c r="AB454" s="71"/>
    </row>
    <row r="455" ht="15.75" customHeight="1">
      <c r="A455" s="71"/>
      <c r="B455" s="71"/>
      <c r="C455" s="61"/>
      <c r="D455" s="61"/>
      <c r="E455" s="71"/>
      <c r="F455" s="71"/>
      <c r="G455" s="61"/>
      <c r="I455" s="61"/>
      <c r="J455" s="71"/>
      <c r="K455" s="71"/>
      <c r="L455" s="71"/>
      <c r="M455" s="71"/>
      <c r="N455" s="71"/>
      <c r="O455" s="71"/>
      <c r="P455" s="71"/>
      <c r="Q455" s="71"/>
      <c r="R455" s="71"/>
      <c r="S455" s="71"/>
      <c r="T455" s="71"/>
      <c r="U455" s="71"/>
      <c r="V455" s="71"/>
      <c r="W455" s="71"/>
      <c r="X455" s="71"/>
      <c r="Y455" s="71"/>
      <c r="Z455" s="71"/>
      <c r="AA455" s="71"/>
      <c r="AB455" s="71"/>
    </row>
    <row r="456" ht="15.75" customHeight="1">
      <c r="A456" s="71"/>
      <c r="B456" s="71"/>
      <c r="C456" s="61"/>
      <c r="D456" s="61"/>
      <c r="E456" s="71"/>
      <c r="F456" s="71"/>
      <c r="G456" s="61"/>
      <c r="I456" s="61"/>
      <c r="J456" s="71"/>
      <c r="K456" s="71"/>
      <c r="L456" s="71"/>
      <c r="M456" s="71"/>
      <c r="N456" s="71"/>
      <c r="O456" s="71"/>
      <c r="P456" s="71"/>
      <c r="Q456" s="71"/>
      <c r="R456" s="71"/>
      <c r="S456" s="71"/>
      <c r="T456" s="71"/>
      <c r="U456" s="71"/>
      <c r="V456" s="71"/>
      <c r="W456" s="71"/>
      <c r="X456" s="71"/>
      <c r="Y456" s="71"/>
      <c r="Z456" s="71"/>
      <c r="AA456" s="71"/>
      <c r="AB456" s="71"/>
    </row>
    <row r="457" ht="15.75" customHeight="1">
      <c r="A457" s="71"/>
      <c r="B457" s="71"/>
      <c r="C457" s="61"/>
      <c r="D457" s="61"/>
      <c r="E457" s="71"/>
      <c r="F457" s="71"/>
      <c r="G457" s="61"/>
      <c r="I457" s="61"/>
      <c r="J457" s="71"/>
      <c r="K457" s="71"/>
      <c r="L457" s="71"/>
      <c r="M457" s="71"/>
      <c r="N457" s="71"/>
      <c r="O457" s="71"/>
      <c r="P457" s="71"/>
      <c r="Q457" s="71"/>
      <c r="R457" s="71"/>
      <c r="S457" s="71"/>
      <c r="T457" s="71"/>
      <c r="U457" s="71"/>
      <c r="V457" s="71"/>
      <c r="W457" s="71"/>
      <c r="X457" s="71"/>
      <c r="Y457" s="71"/>
      <c r="Z457" s="71"/>
      <c r="AA457" s="71"/>
      <c r="AB457" s="71"/>
    </row>
    <row r="458" ht="15.75" customHeight="1">
      <c r="A458" s="71"/>
      <c r="B458" s="71"/>
      <c r="C458" s="61"/>
      <c r="D458" s="61"/>
      <c r="E458" s="71"/>
      <c r="F458" s="71"/>
      <c r="G458" s="61"/>
      <c r="I458" s="61"/>
      <c r="J458" s="71"/>
      <c r="K458" s="71"/>
      <c r="L458" s="71"/>
      <c r="M458" s="71"/>
      <c r="N458" s="71"/>
      <c r="O458" s="71"/>
      <c r="P458" s="71"/>
      <c r="Q458" s="71"/>
      <c r="R458" s="71"/>
      <c r="S458" s="71"/>
      <c r="T458" s="71"/>
      <c r="U458" s="71"/>
      <c r="V458" s="71"/>
      <c r="W458" s="71"/>
      <c r="X458" s="71"/>
      <c r="Y458" s="71"/>
      <c r="Z458" s="71"/>
      <c r="AA458" s="71"/>
      <c r="AB458" s="71"/>
    </row>
    <row r="459" ht="15.75" customHeight="1">
      <c r="A459" s="71"/>
      <c r="B459" s="71"/>
      <c r="C459" s="61"/>
      <c r="D459" s="61"/>
      <c r="E459" s="71"/>
      <c r="F459" s="71"/>
      <c r="G459" s="61"/>
      <c r="I459" s="61"/>
      <c r="J459" s="71"/>
      <c r="K459" s="71"/>
      <c r="L459" s="71"/>
      <c r="M459" s="71"/>
      <c r="N459" s="71"/>
      <c r="O459" s="71"/>
      <c r="P459" s="71"/>
      <c r="Q459" s="71"/>
      <c r="R459" s="71"/>
      <c r="S459" s="71"/>
      <c r="T459" s="71"/>
      <c r="U459" s="71"/>
      <c r="V459" s="71"/>
      <c r="W459" s="71"/>
      <c r="X459" s="71"/>
      <c r="Y459" s="71"/>
      <c r="Z459" s="71"/>
      <c r="AA459" s="71"/>
      <c r="AB459" s="71"/>
    </row>
    <row r="460" ht="15.75" customHeight="1">
      <c r="A460" s="71"/>
      <c r="B460" s="71"/>
      <c r="C460" s="61"/>
      <c r="D460" s="61"/>
      <c r="E460" s="71"/>
      <c r="F460" s="71"/>
      <c r="G460" s="61"/>
      <c r="I460" s="61"/>
      <c r="J460" s="71"/>
      <c r="K460" s="71"/>
      <c r="L460" s="71"/>
      <c r="M460" s="71"/>
      <c r="N460" s="71"/>
      <c r="O460" s="71"/>
      <c r="P460" s="71"/>
      <c r="Q460" s="71"/>
      <c r="R460" s="71"/>
      <c r="S460" s="71"/>
      <c r="T460" s="71"/>
      <c r="U460" s="71"/>
      <c r="V460" s="71"/>
      <c r="W460" s="71"/>
      <c r="X460" s="71"/>
      <c r="Y460" s="71"/>
      <c r="Z460" s="71"/>
      <c r="AA460" s="71"/>
      <c r="AB460" s="71"/>
    </row>
    <row r="461" ht="15.75" customHeight="1">
      <c r="A461" s="71"/>
      <c r="B461" s="71"/>
      <c r="C461" s="61"/>
      <c r="D461" s="61"/>
      <c r="E461" s="71"/>
      <c r="F461" s="71"/>
      <c r="G461" s="61"/>
      <c r="I461" s="61"/>
      <c r="J461" s="71"/>
      <c r="K461" s="71"/>
      <c r="L461" s="71"/>
      <c r="M461" s="71"/>
      <c r="N461" s="71"/>
      <c r="O461" s="71"/>
      <c r="P461" s="71"/>
      <c r="Q461" s="71"/>
      <c r="R461" s="71"/>
      <c r="S461" s="71"/>
      <c r="T461" s="71"/>
      <c r="U461" s="71"/>
      <c r="V461" s="71"/>
      <c r="W461" s="71"/>
      <c r="X461" s="71"/>
      <c r="Y461" s="71"/>
      <c r="Z461" s="71"/>
      <c r="AA461" s="71"/>
      <c r="AB461" s="71"/>
    </row>
    <row r="462" ht="15.75" customHeight="1">
      <c r="A462" s="71"/>
      <c r="B462" s="71"/>
      <c r="C462" s="61"/>
      <c r="D462" s="61"/>
      <c r="E462" s="71"/>
      <c r="F462" s="71"/>
      <c r="G462" s="61"/>
      <c r="I462" s="61"/>
      <c r="J462" s="71"/>
      <c r="K462" s="71"/>
      <c r="L462" s="71"/>
      <c r="M462" s="71"/>
      <c r="N462" s="71"/>
      <c r="O462" s="71"/>
      <c r="P462" s="71"/>
      <c r="Q462" s="71"/>
      <c r="R462" s="71"/>
      <c r="S462" s="71"/>
      <c r="T462" s="71"/>
      <c r="U462" s="71"/>
      <c r="V462" s="71"/>
      <c r="W462" s="71"/>
      <c r="X462" s="71"/>
      <c r="Y462" s="71"/>
      <c r="Z462" s="71"/>
      <c r="AA462" s="71"/>
      <c r="AB462" s="71"/>
    </row>
    <row r="463" ht="15.75" customHeight="1">
      <c r="A463" s="71"/>
      <c r="B463" s="71"/>
      <c r="C463" s="61"/>
      <c r="D463" s="61"/>
      <c r="E463" s="71"/>
      <c r="F463" s="71"/>
      <c r="G463" s="61"/>
      <c r="I463" s="61"/>
      <c r="J463" s="71"/>
      <c r="K463" s="71"/>
      <c r="L463" s="71"/>
      <c r="M463" s="71"/>
      <c r="N463" s="71"/>
      <c r="O463" s="71"/>
      <c r="P463" s="71"/>
      <c r="Q463" s="71"/>
      <c r="R463" s="71"/>
      <c r="S463" s="71"/>
      <c r="T463" s="71"/>
      <c r="U463" s="71"/>
      <c r="V463" s="71"/>
      <c r="W463" s="71"/>
      <c r="X463" s="71"/>
      <c r="Y463" s="71"/>
      <c r="Z463" s="71"/>
      <c r="AA463" s="71"/>
      <c r="AB463" s="71"/>
    </row>
    <row r="464" ht="15.75" customHeight="1">
      <c r="A464" s="71"/>
      <c r="B464" s="71"/>
      <c r="C464" s="61"/>
      <c r="D464" s="61"/>
      <c r="E464" s="71"/>
      <c r="F464" s="71"/>
      <c r="G464" s="61"/>
      <c r="I464" s="61"/>
      <c r="J464" s="71"/>
      <c r="K464" s="71"/>
      <c r="L464" s="71"/>
      <c r="M464" s="71"/>
      <c r="N464" s="71"/>
      <c r="O464" s="71"/>
      <c r="P464" s="71"/>
      <c r="Q464" s="71"/>
      <c r="R464" s="71"/>
      <c r="S464" s="71"/>
      <c r="T464" s="71"/>
      <c r="U464" s="71"/>
      <c r="V464" s="71"/>
      <c r="W464" s="71"/>
      <c r="X464" s="71"/>
      <c r="Y464" s="71"/>
      <c r="Z464" s="71"/>
      <c r="AA464" s="71"/>
      <c r="AB464" s="71"/>
    </row>
    <row r="465" ht="15.75" customHeight="1">
      <c r="A465" s="71"/>
      <c r="B465" s="71"/>
      <c r="C465" s="61"/>
      <c r="D465" s="61"/>
      <c r="E465" s="71"/>
      <c r="F465" s="71"/>
      <c r="G465" s="61"/>
      <c r="I465" s="61"/>
      <c r="J465" s="71"/>
      <c r="K465" s="71"/>
      <c r="L465" s="71"/>
      <c r="M465" s="71"/>
      <c r="N465" s="71"/>
      <c r="O465" s="71"/>
      <c r="P465" s="71"/>
      <c r="Q465" s="71"/>
      <c r="R465" s="71"/>
      <c r="S465" s="71"/>
      <c r="T465" s="71"/>
      <c r="U465" s="71"/>
      <c r="V465" s="71"/>
      <c r="W465" s="71"/>
      <c r="X465" s="71"/>
      <c r="Y465" s="71"/>
      <c r="Z465" s="71"/>
      <c r="AA465" s="71"/>
      <c r="AB465" s="71"/>
    </row>
    <row r="466" ht="15.75" customHeight="1">
      <c r="A466" s="71"/>
      <c r="B466" s="71"/>
      <c r="C466" s="61"/>
      <c r="D466" s="61"/>
      <c r="E466" s="71"/>
      <c r="F466" s="71"/>
      <c r="G466" s="61"/>
      <c r="I466" s="61"/>
      <c r="J466" s="71"/>
      <c r="K466" s="71"/>
      <c r="L466" s="71"/>
      <c r="M466" s="71"/>
      <c r="N466" s="71"/>
      <c r="O466" s="71"/>
      <c r="P466" s="71"/>
      <c r="Q466" s="71"/>
      <c r="R466" s="71"/>
      <c r="S466" s="71"/>
      <c r="T466" s="71"/>
      <c r="U466" s="71"/>
      <c r="V466" s="71"/>
      <c r="W466" s="71"/>
      <c r="X466" s="71"/>
      <c r="Y466" s="71"/>
      <c r="Z466" s="71"/>
      <c r="AA466" s="71"/>
      <c r="AB466" s="71"/>
    </row>
    <row r="467" ht="15.75" customHeight="1">
      <c r="A467" s="71"/>
      <c r="B467" s="71"/>
      <c r="C467" s="61"/>
      <c r="D467" s="61"/>
      <c r="E467" s="71"/>
      <c r="F467" s="71"/>
      <c r="G467" s="61"/>
      <c r="I467" s="61"/>
      <c r="J467" s="71"/>
      <c r="K467" s="71"/>
      <c r="L467" s="71"/>
      <c r="M467" s="71"/>
      <c r="N467" s="71"/>
      <c r="O467" s="71"/>
      <c r="P467" s="71"/>
      <c r="Q467" s="71"/>
      <c r="R467" s="71"/>
      <c r="S467" s="71"/>
      <c r="T467" s="71"/>
      <c r="U467" s="71"/>
      <c r="V467" s="71"/>
      <c r="W467" s="71"/>
      <c r="X467" s="71"/>
      <c r="Y467" s="71"/>
      <c r="Z467" s="71"/>
      <c r="AA467" s="71"/>
      <c r="AB467" s="71"/>
    </row>
    <row r="468" ht="15.75" customHeight="1">
      <c r="A468" s="71"/>
      <c r="B468" s="71"/>
      <c r="C468" s="61"/>
      <c r="D468" s="61"/>
      <c r="E468" s="71"/>
      <c r="F468" s="71"/>
      <c r="G468" s="61"/>
      <c r="I468" s="61"/>
      <c r="J468" s="71"/>
      <c r="K468" s="71"/>
      <c r="L468" s="71"/>
      <c r="M468" s="71"/>
      <c r="N468" s="71"/>
      <c r="O468" s="71"/>
      <c r="P468" s="71"/>
      <c r="Q468" s="71"/>
      <c r="R468" s="71"/>
      <c r="S468" s="71"/>
      <c r="T468" s="71"/>
      <c r="U468" s="71"/>
      <c r="V468" s="71"/>
      <c r="W468" s="71"/>
      <c r="X468" s="71"/>
      <c r="Y468" s="71"/>
      <c r="Z468" s="71"/>
      <c r="AA468" s="71"/>
      <c r="AB468" s="71"/>
    </row>
    <row r="469" ht="15.75" customHeight="1">
      <c r="A469" s="71"/>
      <c r="B469" s="71"/>
      <c r="C469" s="61"/>
      <c r="D469" s="61"/>
      <c r="E469" s="71"/>
      <c r="F469" s="71"/>
      <c r="G469" s="61"/>
      <c r="I469" s="61"/>
      <c r="J469" s="71"/>
      <c r="K469" s="71"/>
      <c r="L469" s="71"/>
      <c r="M469" s="71"/>
      <c r="N469" s="71"/>
      <c r="O469" s="71"/>
      <c r="P469" s="71"/>
      <c r="Q469" s="71"/>
      <c r="R469" s="71"/>
      <c r="S469" s="71"/>
      <c r="T469" s="71"/>
      <c r="U469" s="71"/>
      <c r="V469" s="71"/>
      <c r="W469" s="71"/>
      <c r="X469" s="71"/>
      <c r="Y469" s="71"/>
      <c r="Z469" s="71"/>
      <c r="AA469" s="71"/>
      <c r="AB469" s="71"/>
    </row>
    <row r="470" ht="15.75" customHeight="1">
      <c r="A470" s="71"/>
      <c r="B470" s="71"/>
      <c r="C470" s="61"/>
      <c r="D470" s="61"/>
      <c r="E470" s="71"/>
      <c r="F470" s="71"/>
      <c r="G470" s="61"/>
      <c r="I470" s="61"/>
      <c r="J470" s="71"/>
      <c r="K470" s="71"/>
      <c r="L470" s="71"/>
      <c r="M470" s="71"/>
      <c r="N470" s="71"/>
      <c r="O470" s="71"/>
      <c r="P470" s="71"/>
      <c r="Q470" s="71"/>
      <c r="R470" s="71"/>
      <c r="S470" s="71"/>
      <c r="T470" s="71"/>
      <c r="U470" s="71"/>
      <c r="V470" s="71"/>
      <c r="W470" s="71"/>
      <c r="X470" s="71"/>
      <c r="Y470" s="71"/>
      <c r="Z470" s="71"/>
      <c r="AA470" s="71"/>
      <c r="AB470" s="71"/>
    </row>
    <row r="471" ht="15.75" customHeight="1">
      <c r="A471" s="71"/>
      <c r="B471" s="71"/>
      <c r="C471" s="61"/>
      <c r="D471" s="61"/>
      <c r="E471" s="71"/>
      <c r="F471" s="71"/>
      <c r="G471" s="61"/>
      <c r="I471" s="61"/>
      <c r="J471" s="71"/>
      <c r="K471" s="71"/>
      <c r="L471" s="71"/>
      <c r="M471" s="71"/>
      <c r="N471" s="71"/>
      <c r="O471" s="71"/>
      <c r="P471" s="71"/>
      <c r="Q471" s="71"/>
      <c r="R471" s="71"/>
      <c r="S471" s="71"/>
      <c r="T471" s="71"/>
      <c r="U471" s="71"/>
      <c r="V471" s="71"/>
      <c r="W471" s="71"/>
      <c r="X471" s="71"/>
      <c r="Y471" s="71"/>
      <c r="Z471" s="71"/>
      <c r="AA471" s="71"/>
      <c r="AB471" s="71"/>
    </row>
    <row r="472" ht="15.75" customHeight="1">
      <c r="A472" s="71"/>
      <c r="B472" s="71"/>
      <c r="C472" s="61"/>
      <c r="D472" s="61"/>
      <c r="E472" s="71"/>
      <c r="F472" s="71"/>
      <c r="G472" s="61"/>
      <c r="I472" s="61"/>
      <c r="J472" s="71"/>
      <c r="K472" s="71"/>
      <c r="L472" s="71"/>
      <c r="M472" s="71"/>
      <c r="N472" s="71"/>
      <c r="O472" s="71"/>
      <c r="P472" s="71"/>
      <c r="Q472" s="71"/>
      <c r="R472" s="71"/>
      <c r="S472" s="71"/>
      <c r="T472" s="71"/>
      <c r="U472" s="71"/>
      <c r="V472" s="71"/>
      <c r="W472" s="71"/>
      <c r="X472" s="71"/>
      <c r="Y472" s="71"/>
      <c r="Z472" s="71"/>
      <c r="AA472" s="71"/>
      <c r="AB472" s="71"/>
    </row>
    <row r="473" ht="15.75" customHeight="1">
      <c r="A473" s="71"/>
      <c r="B473" s="71"/>
      <c r="C473" s="61"/>
      <c r="D473" s="61"/>
      <c r="E473" s="71"/>
      <c r="F473" s="71"/>
      <c r="G473" s="61"/>
      <c r="I473" s="61"/>
      <c r="J473" s="71"/>
      <c r="K473" s="71"/>
      <c r="L473" s="71"/>
      <c r="M473" s="71"/>
      <c r="N473" s="71"/>
      <c r="O473" s="71"/>
      <c r="P473" s="71"/>
      <c r="Q473" s="71"/>
      <c r="R473" s="71"/>
      <c r="S473" s="71"/>
      <c r="T473" s="71"/>
      <c r="U473" s="71"/>
      <c r="V473" s="71"/>
      <c r="W473" s="71"/>
      <c r="X473" s="71"/>
      <c r="Y473" s="71"/>
      <c r="Z473" s="71"/>
      <c r="AA473" s="71"/>
      <c r="AB473" s="71"/>
    </row>
    <row r="474" ht="15.75" customHeight="1">
      <c r="A474" s="71"/>
      <c r="B474" s="71"/>
      <c r="C474" s="61"/>
      <c r="D474" s="61"/>
      <c r="E474" s="71"/>
      <c r="F474" s="71"/>
      <c r="G474" s="61"/>
      <c r="I474" s="61"/>
      <c r="J474" s="71"/>
      <c r="K474" s="71"/>
      <c r="L474" s="71"/>
      <c r="M474" s="71"/>
      <c r="N474" s="71"/>
      <c r="O474" s="71"/>
      <c r="P474" s="71"/>
      <c r="Q474" s="71"/>
      <c r="R474" s="71"/>
      <c r="S474" s="71"/>
      <c r="T474" s="71"/>
      <c r="U474" s="71"/>
      <c r="V474" s="71"/>
      <c r="W474" s="71"/>
      <c r="X474" s="71"/>
      <c r="Y474" s="71"/>
      <c r="Z474" s="71"/>
      <c r="AA474" s="71"/>
      <c r="AB474" s="71"/>
    </row>
    <row r="475" ht="15.75" customHeight="1">
      <c r="A475" s="71"/>
      <c r="B475" s="71"/>
      <c r="C475" s="61"/>
      <c r="D475" s="61"/>
      <c r="E475" s="71"/>
      <c r="F475" s="71"/>
      <c r="G475" s="61"/>
      <c r="I475" s="61"/>
      <c r="J475" s="71"/>
      <c r="K475" s="71"/>
      <c r="L475" s="71"/>
      <c r="M475" s="71"/>
      <c r="N475" s="71"/>
      <c r="O475" s="71"/>
      <c r="P475" s="71"/>
      <c r="Q475" s="71"/>
      <c r="R475" s="71"/>
      <c r="S475" s="71"/>
      <c r="T475" s="71"/>
      <c r="U475" s="71"/>
      <c r="V475" s="71"/>
      <c r="W475" s="71"/>
      <c r="X475" s="71"/>
      <c r="Y475" s="71"/>
      <c r="Z475" s="71"/>
      <c r="AA475" s="71"/>
      <c r="AB475" s="71"/>
    </row>
    <row r="476" ht="15.75" customHeight="1">
      <c r="A476" s="71"/>
      <c r="B476" s="71"/>
      <c r="C476" s="61"/>
      <c r="D476" s="61"/>
      <c r="E476" s="71"/>
      <c r="F476" s="71"/>
      <c r="G476" s="61"/>
      <c r="I476" s="61"/>
      <c r="J476" s="71"/>
      <c r="K476" s="71"/>
      <c r="L476" s="71"/>
      <c r="M476" s="71"/>
      <c r="N476" s="71"/>
      <c r="O476" s="71"/>
      <c r="P476" s="71"/>
      <c r="Q476" s="71"/>
      <c r="R476" s="71"/>
      <c r="S476" s="71"/>
      <c r="T476" s="71"/>
      <c r="U476" s="71"/>
      <c r="V476" s="71"/>
      <c r="W476" s="71"/>
      <c r="X476" s="71"/>
      <c r="Y476" s="71"/>
      <c r="Z476" s="71"/>
      <c r="AA476" s="71"/>
      <c r="AB476" s="71"/>
    </row>
    <row r="477" ht="15.75" customHeight="1">
      <c r="A477" s="71"/>
      <c r="B477" s="71"/>
      <c r="C477" s="61"/>
      <c r="D477" s="61"/>
      <c r="E477" s="71"/>
      <c r="F477" s="71"/>
      <c r="G477" s="61"/>
      <c r="I477" s="61"/>
      <c r="J477" s="71"/>
      <c r="K477" s="71"/>
      <c r="L477" s="71"/>
      <c r="M477" s="71"/>
      <c r="N477" s="71"/>
      <c r="O477" s="71"/>
      <c r="P477" s="71"/>
      <c r="Q477" s="71"/>
      <c r="R477" s="71"/>
      <c r="S477" s="71"/>
      <c r="T477" s="71"/>
      <c r="U477" s="71"/>
      <c r="V477" s="71"/>
      <c r="W477" s="71"/>
      <c r="X477" s="71"/>
      <c r="Y477" s="71"/>
      <c r="Z477" s="71"/>
      <c r="AA477" s="71"/>
      <c r="AB477" s="71"/>
    </row>
    <row r="478" ht="15.75" customHeight="1">
      <c r="A478" s="71"/>
      <c r="B478" s="71"/>
      <c r="C478" s="61"/>
      <c r="D478" s="61"/>
      <c r="E478" s="71"/>
      <c r="F478" s="71"/>
      <c r="G478" s="61"/>
      <c r="I478" s="61"/>
      <c r="J478" s="71"/>
      <c r="K478" s="71"/>
      <c r="L478" s="71"/>
      <c r="M478" s="71"/>
      <c r="N478" s="71"/>
      <c r="O478" s="71"/>
      <c r="P478" s="71"/>
      <c r="Q478" s="71"/>
      <c r="R478" s="71"/>
      <c r="S478" s="71"/>
      <c r="T478" s="71"/>
      <c r="U478" s="71"/>
      <c r="V478" s="71"/>
      <c r="W478" s="71"/>
      <c r="X478" s="71"/>
      <c r="Y478" s="71"/>
      <c r="Z478" s="71"/>
      <c r="AA478" s="71"/>
      <c r="AB478" s="71"/>
    </row>
    <row r="479" ht="15.75" customHeight="1">
      <c r="A479" s="71"/>
      <c r="B479" s="71"/>
      <c r="C479" s="61"/>
      <c r="D479" s="61"/>
      <c r="E479" s="71"/>
      <c r="F479" s="71"/>
      <c r="G479" s="61"/>
      <c r="I479" s="61"/>
      <c r="J479" s="71"/>
      <c r="K479" s="71"/>
      <c r="L479" s="71"/>
      <c r="M479" s="71"/>
      <c r="N479" s="71"/>
      <c r="O479" s="71"/>
      <c r="P479" s="71"/>
      <c r="Q479" s="71"/>
      <c r="R479" s="71"/>
      <c r="S479" s="71"/>
      <c r="T479" s="71"/>
      <c r="U479" s="71"/>
      <c r="V479" s="71"/>
      <c r="W479" s="71"/>
      <c r="X479" s="71"/>
      <c r="Y479" s="71"/>
      <c r="Z479" s="71"/>
      <c r="AA479" s="71"/>
      <c r="AB479" s="71"/>
    </row>
    <row r="480" ht="15.75" customHeight="1">
      <c r="A480" s="71"/>
      <c r="B480" s="71"/>
      <c r="C480" s="61"/>
      <c r="D480" s="61"/>
      <c r="E480" s="71"/>
      <c r="F480" s="71"/>
      <c r="G480" s="61"/>
      <c r="I480" s="61"/>
      <c r="J480" s="71"/>
      <c r="K480" s="71"/>
      <c r="L480" s="71"/>
      <c r="M480" s="71"/>
      <c r="N480" s="71"/>
      <c r="O480" s="71"/>
      <c r="P480" s="71"/>
      <c r="Q480" s="71"/>
      <c r="R480" s="71"/>
      <c r="S480" s="71"/>
      <c r="T480" s="71"/>
      <c r="U480" s="71"/>
      <c r="V480" s="71"/>
      <c r="W480" s="71"/>
      <c r="X480" s="71"/>
      <c r="Y480" s="71"/>
      <c r="Z480" s="71"/>
      <c r="AA480" s="71"/>
      <c r="AB480" s="71"/>
    </row>
    <row r="481" ht="15.75" customHeight="1">
      <c r="A481" s="71"/>
      <c r="B481" s="71"/>
      <c r="C481" s="61"/>
      <c r="D481" s="61"/>
      <c r="E481" s="71"/>
      <c r="F481" s="71"/>
      <c r="G481" s="61"/>
      <c r="I481" s="61"/>
      <c r="J481" s="71"/>
      <c r="K481" s="71"/>
      <c r="L481" s="71"/>
      <c r="M481" s="71"/>
      <c r="N481" s="71"/>
      <c r="O481" s="71"/>
      <c r="P481" s="71"/>
      <c r="Q481" s="71"/>
      <c r="R481" s="71"/>
      <c r="S481" s="71"/>
      <c r="T481" s="71"/>
      <c r="U481" s="71"/>
      <c r="V481" s="71"/>
      <c r="W481" s="71"/>
      <c r="X481" s="71"/>
      <c r="Y481" s="71"/>
      <c r="Z481" s="71"/>
      <c r="AA481" s="71"/>
      <c r="AB481" s="71"/>
    </row>
    <row r="482" ht="15.75" customHeight="1">
      <c r="A482" s="71"/>
      <c r="B482" s="71"/>
      <c r="C482" s="61"/>
      <c r="D482" s="61"/>
      <c r="E482" s="71"/>
      <c r="F482" s="71"/>
      <c r="G482" s="61"/>
      <c r="I482" s="61"/>
      <c r="J482" s="71"/>
      <c r="K482" s="71"/>
      <c r="L482" s="71"/>
      <c r="M482" s="71"/>
      <c r="N482" s="71"/>
      <c r="O482" s="71"/>
      <c r="P482" s="71"/>
      <c r="Q482" s="71"/>
      <c r="R482" s="71"/>
      <c r="S482" s="71"/>
      <c r="T482" s="71"/>
      <c r="U482" s="71"/>
      <c r="V482" s="71"/>
      <c r="W482" s="71"/>
      <c r="X482" s="71"/>
      <c r="Y482" s="71"/>
      <c r="Z482" s="71"/>
      <c r="AA482" s="71"/>
      <c r="AB482" s="71"/>
    </row>
    <row r="483" ht="15.75" customHeight="1">
      <c r="A483" s="71"/>
      <c r="B483" s="71"/>
      <c r="C483" s="61"/>
      <c r="D483" s="61"/>
      <c r="E483" s="71"/>
      <c r="F483" s="71"/>
      <c r="G483" s="61"/>
      <c r="I483" s="61"/>
      <c r="J483" s="71"/>
      <c r="K483" s="71"/>
      <c r="L483" s="71"/>
      <c r="M483" s="71"/>
      <c r="N483" s="71"/>
      <c r="O483" s="71"/>
      <c r="P483" s="71"/>
      <c r="Q483" s="71"/>
      <c r="R483" s="71"/>
      <c r="S483" s="71"/>
      <c r="T483" s="71"/>
      <c r="U483" s="71"/>
      <c r="V483" s="71"/>
      <c r="W483" s="71"/>
      <c r="X483" s="71"/>
      <c r="Y483" s="71"/>
      <c r="Z483" s="71"/>
      <c r="AA483" s="71"/>
      <c r="AB483" s="71"/>
    </row>
    <row r="484" ht="15.75" customHeight="1">
      <c r="A484" s="71"/>
      <c r="B484" s="71"/>
      <c r="C484" s="61"/>
      <c r="D484" s="61"/>
      <c r="E484" s="71"/>
      <c r="F484" s="71"/>
      <c r="G484" s="61"/>
      <c r="I484" s="61"/>
      <c r="J484" s="71"/>
      <c r="K484" s="71"/>
      <c r="L484" s="71"/>
      <c r="M484" s="71"/>
      <c r="N484" s="71"/>
      <c r="O484" s="71"/>
      <c r="P484" s="71"/>
      <c r="Q484" s="71"/>
      <c r="R484" s="71"/>
      <c r="S484" s="71"/>
      <c r="T484" s="71"/>
      <c r="U484" s="71"/>
      <c r="V484" s="71"/>
      <c r="W484" s="71"/>
      <c r="X484" s="71"/>
      <c r="Y484" s="71"/>
      <c r="Z484" s="71"/>
      <c r="AA484" s="71"/>
      <c r="AB484" s="71"/>
    </row>
    <row r="485" ht="15.75" customHeight="1">
      <c r="A485" s="71"/>
      <c r="B485" s="71"/>
      <c r="C485" s="61"/>
      <c r="D485" s="61"/>
      <c r="E485" s="71"/>
      <c r="F485" s="71"/>
      <c r="G485" s="61"/>
      <c r="I485" s="61"/>
      <c r="J485" s="71"/>
      <c r="K485" s="71"/>
      <c r="L485" s="71"/>
      <c r="M485" s="71"/>
      <c r="N485" s="71"/>
      <c r="O485" s="71"/>
      <c r="P485" s="71"/>
      <c r="Q485" s="71"/>
      <c r="R485" s="71"/>
      <c r="S485" s="71"/>
      <c r="T485" s="71"/>
      <c r="U485" s="71"/>
      <c r="V485" s="71"/>
      <c r="W485" s="71"/>
      <c r="X485" s="71"/>
      <c r="Y485" s="71"/>
      <c r="Z485" s="71"/>
      <c r="AA485" s="71"/>
      <c r="AB485" s="71"/>
    </row>
    <row r="486" ht="15.75" customHeight="1">
      <c r="A486" s="71"/>
      <c r="B486" s="71"/>
      <c r="C486" s="61"/>
      <c r="D486" s="61"/>
      <c r="E486" s="71"/>
      <c r="F486" s="71"/>
      <c r="G486" s="61"/>
      <c r="I486" s="61"/>
      <c r="J486" s="71"/>
      <c r="K486" s="71"/>
      <c r="L486" s="71"/>
      <c r="M486" s="71"/>
      <c r="N486" s="71"/>
      <c r="O486" s="71"/>
      <c r="P486" s="71"/>
      <c r="Q486" s="71"/>
      <c r="R486" s="71"/>
      <c r="S486" s="71"/>
      <c r="T486" s="71"/>
      <c r="U486" s="71"/>
      <c r="V486" s="71"/>
      <c r="W486" s="71"/>
      <c r="X486" s="71"/>
      <c r="Y486" s="71"/>
      <c r="Z486" s="71"/>
      <c r="AA486" s="71"/>
      <c r="AB486" s="71"/>
    </row>
    <row r="487" ht="15.75" customHeight="1">
      <c r="A487" s="71"/>
      <c r="B487" s="71"/>
      <c r="C487" s="61"/>
      <c r="D487" s="61"/>
      <c r="E487" s="71"/>
      <c r="F487" s="71"/>
      <c r="G487" s="61"/>
      <c r="I487" s="61"/>
      <c r="J487" s="71"/>
      <c r="K487" s="71"/>
      <c r="L487" s="71"/>
      <c r="M487" s="71"/>
      <c r="N487" s="71"/>
      <c r="O487" s="71"/>
      <c r="P487" s="71"/>
      <c r="Q487" s="71"/>
      <c r="R487" s="71"/>
      <c r="S487" s="71"/>
      <c r="T487" s="71"/>
      <c r="U487" s="71"/>
      <c r="V487" s="71"/>
      <c r="W487" s="71"/>
      <c r="X487" s="71"/>
      <c r="Y487" s="71"/>
      <c r="Z487" s="71"/>
      <c r="AA487" s="71"/>
      <c r="AB487" s="71"/>
    </row>
    <row r="488" ht="15.75" customHeight="1">
      <c r="A488" s="71"/>
      <c r="B488" s="71"/>
      <c r="C488" s="61"/>
      <c r="D488" s="61"/>
      <c r="E488" s="71"/>
      <c r="F488" s="71"/>
      <c r="G488" s="61"/>
      <c r="I488" s="61"/>
      <c r="J488" s="71"/>
      <c r="K488" s="71"/>
      <c r="L488" s="71"/>
      <c r="M488" s="71"/>
      <c r="N488" s="71"/>
      <c r="O488" s="71"/>
      <c r="P488" s="71"/>
      <c r="Q488" s="71"/>
      <c r="R488" s="71"/>
      <c r="S488" s="71"/>
      <c r="T488" s="71"/>
      <c r="U488" s="71"/>
      <c r="V488" s="71"/>
      <c r="W488" s="71"/>
      <c r="X488" s="71"/>
      <c r="Y488" s="71"/>
      <c r="Z488" s="71"/>
      <c r="AA488" s="71"/>
      <c r="AB488" s="71"/>
    </row>
    <row r="489" ht="15.75" customHeight="1">
      <c r="A489" s="71"/>
      <c r="B489" s="71"/>
      <c r="C489" s="61"/>
      <c r="D489" s="61"/>
      <c r="E489" s="71"/>
      <c r="F489" s="71"/>
      <c r="G489" s="61"/>
      <c r="I489" s="61"/>
      <c r="J489" s="71"/>
      <c r="K489" s="71"/>
      <c r="L489" s="71"/>
      <c r="M489" s="71"/>
      <c r="N489" s="71"/>
      <c r="O489" s="71"/>
      <c r="P489" s="71"/>
      <c r="Q489" s="71"/>
      <c r="R489" s="71"/>
      <c r="S489" s="71"/>
      <c r="T489" s="71"/>
      <c r="U489" s="71"/>
      <c r="V489" s="71"/>
      <c r="W489" s="71"/>
      <c r="X489" s="71"/>
      <c r="Y489" s="71"/>
      <c r="Z489" s="71"/>
      <c r="AA489" s="71"/>
      <c r="AB489" s="71"/>
    </row>
    <row r="490" ht="15.75" customHeight="1">
      <c r="A490" s="71"/>
      <c r="B490" s="71"/>
      <c r="C490" s="61"/>
      <c r="D490" s="61"/>
      <c r="E490" s="71"/>
      <c r="F490" s="71"/>
      <c r="G490" s="61"/>
      <c r="I490" s="61"/>
      <c r="J490" s="71"/>
      <c r="K490" s="71"/>
      <c r="L490" s="71"/>
      <c r="M490" s="71"/>
      <c r="N490" s="71"/>
      <c r="O490" s="71"/>
      <c r="P490" s="71"/>
      <c r="Q490" s="71"/>
      <c r="R490" s="71"/>
      <c r="S490" s="71"/>
      <c r="T490" s="71"/>
      <c r="U490" s="71"/>
      <c r="V490" s="71"/>
      <c r="W490" s="71"/>
      <c r="X490" s="71"/>
      <c r="Y490" s="71"/>
      <c r="Z490" s="71"/>
      <c r="AA490" s="71"/>
      <c r="AB490" s="71"/>
    </row>
    <row r="491" ht="15.75" customHeight="1">
      <c r="A491" s="71"/>
      <c r="B491" s="71"/>
      <c r="C491" s="61"/>
      <c r="D491" s="61"/>
      <c r="E491" s="71"/>
      <c r="F491" s="71"/>
      <c r="G491" s="61"/>
      <c r="I491" s="61"/>
      <c r="J491" s="71"/>
      <c r="K491" s="71"/>
      <c r="L491" s="71"/>
      <c r="M491" s="71"/>
      <c r="N491" s="71"/>
      <c r="O491" s="71"/>
      <c r="P491" s="71"/>
      <c r="Q491" s="71"/>
      <c r="R491" s="71"/>
      <c r="S491" s="71"/>
      <c r="T491" s="71"/>
      <c r="U491" s="71"/>
      <c r="V491" s="71"/>
      <c r="W491" s="71"/>
      <c r="X491" s="71"/>
      <c r="Y491" s="71"/>
      <c r="Z491" s="71"/>
      <c r="AA491" s="71"/>
      <c r="AB491" s="71"/>
    </row>
    <row r="492" ht="15.75" customHeight="1">
      <c r="A492" s="71"/>
      <c r="B492" s="71"/>
      <c r="C492" s="61"/>
      <c r="D492" s="61"/>
      <c r="E492" s="71"/>
      <c r="F492" s="71"/>
      <c r="G492" s="61"/>
      <c r="I492" s="61"/>
      <c r="J492" s="71"/>
      <c r="K492" s="71"/>
      <c r="L492" s="71"/>
      <c r="M492" s="71"/>
      <c r="N492" s="71"/>
      <c r="O492" s="71"/>
      <c r="P492" s="71"/>
      <c r="Q492" s="71"/>
      <c r="R492" s="71"/>
      <c r="S492" s="71"/>
      <c r="T492" s="71"/>
      <c r="U492" s="71"/>
      <c r="V492" s="71"/>
      <c r="W492" s="71"/>
      <c r="X492" s="71"/>
      <c r="Y492" s="71"/>
      <c r="Z492" s="71"/>
      <c r="AA492" s="71"/>
      <c r="AB492" s="71"/>
    </row>
    <row r="493" ht="15.75" customHeight="1">
      <c r="A493" s="71"/>
      <c r="B493" s="71"/>
      <c r="C493" s="61"/>
      <c r="D493" s="61"/>
      <c r="E493" s="71"/>
      <c r="F493" s="71"/>
      <c r="G493" s="61"/>
      <c r="I493" s="61"/>
      <c r="J493" s="71"/>
      <c r="K493" s="71"/>
      <c r="L493" s="71"/>
      <c r="M493" s="71"/>
      <c r="N493" s="71"/>
      <c r="O493" s="71"/>
      <c r="P493" s="71"/>
      <c r="Q493" s="71"/>
      <c r="R493" s="71"/>
      <c r="S493" s="71"/>
      <c r="T493" s="71"/>
      <c r="U493" s="71"/>
      <c r="V493" s="71"/>
      <c r="W493" s="71"/>
      <c r="X493" s="71"/>
      <c r="Y493" s="71"/>
      <c r="Z493" s="71"/>
      <c r="AA493" s="71"/>
      <c r="AB493" s="71"/>
    </row>
    <row r="494" ht="15.75" customHeight="1">
      <c r="A494" s="71"/>
      <c r="B494" s="71"/>
      <c r="C494" s="61"/>
      <c r="D494" s="61"/>
      <c r="E494" s="71"/>
      <c r="F494" s="71"/>
      <c r="G494" s="61"/>
      <c r="I494" s="61"/>
      <c r="J494" s="71"/>
      <c r="K494" s="71"/>
      <c r="L494" s="71"/>
      <c r="M494" s="71"/>
      <c r="N494" s="71"/>
      <c r="O494" s="71"/>
      <c r="P494" s="71"/>
      <c r="Q494" s="71"/>
      <c r="R494" s="71"/>
      <c r="S494" s="71"/>
      <c r="T494" s="71"/>
      <c r="U494" s="71"/>
      <c r="V494" s="71"/>
      <c r="W494" s="71"/>
      <c r="X494" s="71"/>
      <c r="Y494" s="71"/>
      <c r="Z494" s="71"/>
      <c r="AA494" s="71"/>
      <c r="AB494" s="71"/>
    </row>
    <row r="495" ht="15.75" customHeight="1">
      <c r="A495" s="71"/>
      <c r="B495" s="71"/>
      <c r="C495" s="61"/>
      <c r="D495" s="61"/>
      <c r="E495" s="71"/>
      <c r="F495" s="71"/>
      <c r="G495" s="61"/>
      <c r="I495" s="61"/>
      <c r="J495" s="71"/>
      <c r="K495" s="71"/>
      <c r="L495" s="71"/>
      <c r="M495" s="71"/>
      <c r="N495" s="71"/>
      <c r="O495" s="71"/>
      <c r="P495" s="71"/>
      <c r="Q495" s="71"/>
      <c r="R495" s="71"/>
      <c r="S495" s="71"/>
      <c r="T495" s="71"/>
      <c r="U495" s="71"/>
      <c r="V495" s="71"/>
      <c r="W495" s="71"/>
      <c r="X495" s="71"/>
      <c r="Y495" s="71"/>
      <c r="Z495" s="71"/>
      <c r="AA495" s="71"/>
      <c r="AB495" s="71"/>
    </row>
    <row r="496" ht="15.75" customHeight="1">
      <c r="A496" s="71"/>
      <c r="B496" s="71"/>
      <c r="C496" s="61"/>
      <c r="D496" s="61"/>
      <c r="E496" s="71"/>
      <c r="F496" s="71"/>
      <c r="G496" s="61"/>
      <c r="I496" s="61"/>
      <c r="J496" s="71"/>
      <c r="K496" s="71"/>
      <c r="L496" s="71"/>
      <c r="M496" s="71"/>
      <c r="N496" s="71"/>
      <c r="O496" s="71"/>
      <c r="P496" s="71"/>
      <c r="Q496" s="71"/>
      <c r="R496" s="71"/>
      <c r="S496" s="71"/>
      <c r="T496" s="71"/>
      <c r="U496" s="71"/>
      <c r="V496" s="71"/>
      <c r="W496" s="71"/>
      <c r="X496" s="71"/>
      <c r="Y496" s="71"/>
      <c r="Z496" s="71"/>
      <c r="AA496" s="71"/>
      <c r="AB496" s="71"/>
    </row>
    <row r="497" ht="15.75" customHeight="1">
      <c r="A497" s="71"/>
      <c r="B497" s="71"/>
      <c r="C497" s="61"/>
      <c r="D497" s="61"/>
      <c r="E497" s="71"/>
      <c r="F497" s="71"/>
      <c r="G497" s="61"/>
      <c r="I497" s="61"/>
      <c r="J497" s="71"/>
      <c r="K497" s="71"/>
      <c r="L497" s="71"/>
      <c r="M497" s="71"/>
      <c r="N497" s="71"/>
      <c r="O497" s="71"/>
      <c r="P497" s="71"/>
      <c r="Q497" s="71"/>
      <c r="R497" s="71"/>
      <c r="S497" s="71"/>
      <c r="T497" s="71"/>
      <c r="U497" s="71"/>
      <c r="V497" s="71"/>
      <c r="W497" s="71"/>
      <c r="X497" s="71"/>
      <c r="Y497" s="71"/>
      <c r="Z497" s="71"/>
      <c r="AA497" s="71"/>
      <c r="AB497" s="71"/>
    </row>
    <row r="498" ht="15.75" customHeight="1">
      <c r="A498" s="71"/>
      <c r="B498" s="71"/>
      <c r="C498" s="61"/>
      <c r="D498" s="61"/>
      <c r="E498" s="71"/>
      <c r="F498" s="71"/>
      <c r="G498" s="61"/>
      <c r="I498" s="61"/>
      <c r="J498" s="71"/>
      <c r="K498" s="71"/>
      <c r="L498" s="71"/>
      <c r="M498" s="71"/>
      <c r="N498" s="71"/>
      <c r="O498" s="71"/>
      <c r="P498" s="71"/>
      <c r="Q498" s="71"/>
      <c r="R498" s="71"/>
      <c r="S498" s="71"/>
      <c r="T498" s="71"/>
      <c r="U498" s="71"/>
      <c r="V498" s="71"/>
      <c r="W498" s="71"/>
      <c r="X498" s="71"/>
      <c r="Y498" s="71"/>
      <c r="Z498" s="71"/>
      <c r="AA498" s="71"/>
      <c r="AB498" s="71"/>
    </row>
    <row r="499" ht="15.75" customHeight="1">
      <c r="A499" s="71"/>
      <c r="B499" s="71"/>
      <c r="C499" s="61"/>
      <c r="D499" s="61"/>
      <c r="E499" s="71"/>
      <c r="F499" s="71"/>
      <c r="G499" s="61"/>
      <c r="I499" s="61"/>
      <c r="J499" s="71"/>
      <c r="K499" s="71"/>
      <c r="L499" s="71"/>
      <c r="M499" s="71"/>
      <c r="N499" s="71"/>
      <c r="O499" s="71"/>
      <c r="P499" s="71"/>
      <c r="Q499" s="71"/>
      <c r="R499" s="71"/>
      <c r="S499" s="71"/>
      <c r="T499" s="71"/>
      <c r="U499" s="71"/>
      <c r="V499" s="71"/>
      <c r="W499" s="71"/>
      <c r="X499" s="71"/>
      <c r="Y499" s="71"/>
      <c r="Z499" s="71"/>
      <c r="AA499" s="71"/>
      <c r="AB499" s="71"/>
    </row>
    <row r="500" ht="15.75" customHeight="1">
      <c r="A500" s="71"/>
      <c r="B500" s="71"/>
      <c r="C500" s="61"/>
      <c r="D500" s="61"/>
      <c r="E500" s="71"/>
      <c r="F500" s="71"/>
      <c r="G500" s="61"/>
      <c r="I500" s="61"/>
      <c r="J500" s="71"/>
      <c r="K500" s="71"/>
      <c r="L500" s="71"/>
      <c r="M500" s="71"/>
      <c r="N500" s="71"/>
      <c r="O500" s="71"/>
      <c r="P500" s="71"/>
      <c r="Q500" s="71"/>
      <c r="R500" s="71"/>
      <c r="S500" s="71"/>
      <c r="T500" s="71"/>
      <c r="U500" s="71"/>
      <c r="V500" s="71"/>
      <c r="W500" s="71"/>
      <c r="X500" s="71"/>
      <c r="Y500" s="71"/>
      <c r="Z500" s="71"/>
      <c r="AA500" s="71"/>
      <c r="AB500" s="71"/>
    </row>
    <row r="501" ht="15.75" customHeight="1">
      <c r="A501" s="71"/>
      <c r="B501" s="71"/>
      <c r="C501" s="61"/>
      <c r="D501" s="61"/>
      <c r="E501" s="71"/>
      <c r="F501" s="71"/>
      <c r="G501" s="61"/>
      <c r="I501" s="61"/>
      <c r="J501" s="71"/>
      <c r="K501" s="71"/>
      <c r="L501" s="71"/>
      <c r="M501" s="71"/>
      <c r="N501" s="71"/>
      <c r="O501" s="71"/>
      <c r="P501" s="71"/>
      <c r="Q501" s="71"/>
      <c r="R501" s="71"/>
      <c r="S501" s="71"/>
      <c r="T501" s="71"/>
      <c r="U501" s="71"/>
      <c r="V501" s="71"/>
      <c r="W501" s="71"/>
      <c r="X501" s="71"/>
      <c r="Y501" s="71"/>
      <c r="Z501" s="71"/>
      <c r="AA501" s="71"/>
      <c r="AB501" s="71"/>
    </row>
    <row r="502" ht="15.75" customHeight="1">
      <c r="A502" s="71"/>
      <c r="B502" s="71"/>
      <c r="C502" s="61"/>
      <c r="D502" s="61"/>
      <c r="E502" s="71"/>
      <c r="F502" s="71"/>
      <c r="G502" s="61"/>
      <c r="I502" s="61"/>
      <c r="J502" s="71"/>
      <c r="K502" s="71"/>
      <c r="L502" s="71"/>
      <c r="M502" s="71"/>
      <c r="N502" s="71"/>
      <c r="O502" s="71"/>
      <c r="P502" s="71"/>
      <c r="Q502" s="71"/>
      <c r="R502" s="71"/>
      <c r="S502" s="71"/>
      <c r="T502" s="71"/>
      <c r="U502" s="71"/>
      <c r="V502" s="71"/>
      <c r="W502" s="71"/>
      <c r="X502" s="71"/>
      <c r="Y502" s="71"/>
      <c r="Z502" s="71"/>
      <c r="AA502" s="71"/>
      <c r="AB502" s="71"/>
    </row>
    <row r="503" ht="15.75" customHeight="1">
      <c r="A503" s="71"/>
      <c r="B503" s="71"/>
      <c r="C503" s="61"/>
      <c r="D503" s="61"/>
      <c r="E503" s="71"/>
      <c r="F503" s="71"/>
      <c r="G503" s="61"/>
      <c r="I503" s="61"/>
      <c r="J503" s="71"/>
      <c r="K503" s="71"/>
      <c r="L503" s="71"/>
      <c r="M503" s="71"/>
      <c r="N503" s="71"/>
      <c r="O503" s="71"/>
      <c r="P503" s="71"/>
      <c r="Q503" s="71"/>
      <c r="R503" s="71"/>
      <c r="S503" s="71"/>
      <c r="T503" s="71"/>
      <c r="U503" s="71"/>
      <c r="V503" s="71"/>
      <c r="W503" s="71"/>
      <c r="X503" s="71"/>
      <c r="Y503" s="71"/>
      <c r="Z503" s="71"/>
      <c r="AA503" s="71"/>
      <c r="AB503" s="71"/>
    </row>
    <row r="504" ht="15.75" customHeight="1">
      <c r="A504" s="71"/>
      <c r="B504" s="71"/>
      <c r="C504" s="61"/>
      <c r="D504" s="61"/>
      <c r="E504" s="71"/>
      <c r="F504" s="71"/>
      <c r="G504" s="61"/>
      <c r="I504" s="61"/>
      <c r="J504" s="71"/>
      <c r="K504" s="71"/>
      <c r="L504" s="71"/>
      <c r="M504" s="71"/>
      <c r="N504" s="71"/>
      <c r="O504" s="71"/>
      <c r="P504" s="71"/>
      <c r="Q504" s="71"/>
      <c r="R504" s="71"/>
      <c r="S504" s="71"/>
      <c r="T504" s="71"/>
      <c r="U504" s="71"/>
      <c r="V504" s="71"/>
      <c r="W504" s="71"/>
      <c r="X504" s="71"/>
      <c r="Y504" s="71"/>
      <c r="Z504" s="71"/>
      <c r="AA504" s="71"/>
      <c r="AB504" s="71"/>
    </row>
    <row r="505" ht="15.75" customHeight="1">
      <c r="A505" s="71"/>
      <c r="B505" s="71"/>
      <c r="C505" s="61"/>
      <c r="D505" s="61"/>
      <c r="E505" s="71"/>
      <c r="F505" s="71"/>
      <c r="G505" s="61"/>
      <c r="I505" s="61"/>
      <c r="J505" s="71"/>
      <c r="K505" s="71"/>
      <c r="L505" s="71"/>
      <c r="M505" s="71"/>
      <c r="N505" s="71"/>
      <c r="O505" s="71"/>
      <c r="P505" s="71"/>
      <c r="Q505" s="71"/>
      <c r="R505" s="71"/>
      <c r="S505" s="71"/>
      <c r="T505" s="71"/>
      <c r="U505" s="71"/>
      <c r="V505" s="71"/>
      <c r="W505" s="71"/>
      <c r="X505" s="71"/>
      <c r="Y505" s="71"/>
      <c r="Z505" s="71"/>
      <c r="AA505" s="71"/>
      <c r="AB505" s="71"/>
    </row>
    <row r="506" ht="15.75" customHeight="1">
      <c r="A506" s="71"/>
      <c r="B506" s="71"/>
      <c r="C506" s="61"/>
      <c r="D506" s="61"/>
      <c r="E506" s="71"/>
      <c r="F506" s="71"/>
      <c r="G506" s="61"/>
      <c r="I506" s="61"/>
      <c r="J506" s="71"/>
      <c r="K506" s="71"/>
      <c r="L506" s="71"/>
      <c r="M506" s="71"/>
      <c r="N506" s="71"/>
      <c r="O506" s="71"/>
      <c r="P506" s="71"/>
      <c r="Q506" s="71"/>
      <c r="R506" s="71"/>
      <c r="S506" s="71"/>
      <c r="T506" s="71"/>
      <c r="U506" s="71"/>
      <c r="V506" s="71"/>
      <c r="W506" s="71"/>
      <c r="X506" s="71"/>
      <c r="Y506" s="71"/>
      <c r="Z506" s="71"/>
      <c r="AA506" s="71"/>
      <c r="AB506" s="71"/>
    </row>
    <row r="507" ht="15.75" customHeight="1">
      <c r="A507" s="71"/>
      <c r="B507" s="71"/>
      <c r="C507" s="61"/>
      <c r="D507" s="61"/>
      <c r="E507" s="71"/>
      <c r="F507" s="71"/>
      <c r="G507" s="61"/>
      <c r="I507" s="61"/>
      <c r="J507" s="71"/>
      <c r="K507" s="71"/>
      <c r="L507" s="71"/>
      <c r="M507" s="71"/>
      <c r="N507" s="71"/>
      <c r="O507" s="71"/>
      <c r="P507" s="71"/>
      <c r="Q507" s="71"/>
      <c r="R507" s="71"/>
      <c r="S507" s="71"/>
      <c r="T507" s="71"/>
      <c r="U507" s="71"/>
      <c r="V507" s="71"/>
      <c r="W507" s="71"/>
      <c r="X507" s="71"/>
      <c r="Y507" s="71"/>
      <c r="Z507" s="71"/>
      <c r="AA507" s="71"/>
      <c r="AB507" s="71"/>
    </row>
    <row r="508" ht="15.75" customHeight="1">
      <c r="A508" s="71"/>
      <c r="B508" s="71"/>
      <c r="C508" s="61"/>
      <c r="D508" s="61"/>
      <c r="E508" s="71"/>
      <c r="F508" s="71"/>
      <c r="G508" s="61"/>
      <c r="I508" s="61"/>
      <c r="J508" s="71"/>
      <c r="K508" s="71"/>
      <c r="L508" s="71"/>
      <c r="M508" s="71"/>
      <c r="N508" s="71"/>
      <c r="O508" s="71"/>
      <c r="P508" s="71"/>
      <c r="Q508" s="71"/>
      <c r="R508" s="71"/>
      <c r="S508" s="71"/>
      <c r="T508" s="71"/>
      <c r="U508" s="71"/>
      <c r="V508" s="71"/>
      <c r="W508" s="71"/>
      <c r="X508" s="71"/>
      <c r="Y508" s="71"/>
      <c r="Z508" s="71"/>
      <c r="AA508" s="71"/>
      <c r="AB508" s="71"/>
    </row>
    <row r="509" ht="15.75" customHeight="1">
      <c r="A509" s="71"/>
      <c r="B509" s="71"/>
      <c r="C509" s="61"/>
      <c r="D509" s="61"/>
      <c r="E509" s="71"/>
      <c r="F509" s="71"/>
      <c r="G509" s="61"/>
      <c r="I509" s="61"/>
      <c r="J509" s="71"/>
      <c r="K509" s="71"/>
      <c r="L509" s="71"/>
      <c r="M509" s="71"/>
      <c r="N509" s="71"/>
      <c r="O509" s="71"/>
      <c r="P509" s="71"/>
      <c r="Q509" s="71"/>
      <c r="R509" s="71"/>
      <c r="S509" s="71"/>
      <c r="T509" s="71"/>
      <c r="U509" s="71"/>
      <c r="V509" s="71"/>
      <c r="W509" s="71"/>
      <c r="X509" s="71"/>
      <c r="Y509" s="71"/>
      <c r="Z509" s="71"/>
      <c r="AA509" s="71"/>
      <c r="AB509" s="71"/>
    </row>
    <row r="510" ht="15.75" customHeight="1">
      <c r="A510" s="71"/>
      <c r="B510" s="71"/>
      <c r="C510" s="61"/>
      <c r="D510" s="61"/>
      <c r="E510" s="71"/>
      <c r="F510" s="71"/>
      <c r="G510" s="61"/>
      <c r="I510" s="61"/>
      <c r="J510" s="71"/>
      <c r="K510" s="71"/>
      <c r="L510" s="71"/>
      <c r="M510" s="71"/>
      <c r="N510" s="71"/>
      <c r="O510" s="71"/>
      <c r="P510" s="71"/>
      <c r="Q510" s="71"/>
      <c r="R510" s="71"/>
      <c r="S510" s="71"/>
      <c r="T510" s="71"/>
      <c r="U510" s="71"/>
      <c r="V510" s="71"/>
      <c r="W510" s="71"/>
      <c r="X510" s="71"/>
      <c r="Y510" s="71"/>
      <c r="Z510" s="71"/>
      <c r="AA510" s="71"/>
      <c r="AB510" s="71"/>
    </row>
    <row r="511" ht="15.75" customHeight="1">
      <c r="A511" s="71"/>
      <c r="B511" s="71"/>
      <c r="C511" s="61"/>
      <c r="D511" s="61"/>
      <c r="E511" s="71"/>
      <c r="F511" s="71"/>
      <c r="G511" s="61"/>
      <c r="I511" s="61"/>
      <c r="J511" s="71"/>
      <c r="K511" s="71"/>
      <c r="L511" s="71"/>
      <c r="M511" s="71"/>
      <c r="N511" s="71"/>
      <c r="O511" s="71"/>
      <c r="P511" s="71"/>
      <c r="Q511" s="71"/>
      <c r="R511" s="71"/>
      <c r="S511" s="71"/>
      <c r="T511" s="71"/>
      <c r="U511" s="71"/>
      <c r="V511" s="71"/>
      <c r="W511" s="71"/>
      <c r="X511" s="71"/>
      <c r="Y511" s="71"/>
      <c r="Z511" s="71"/>
      <c r="AA511" s="71"/>
      <c r="AB511" s="71"/>
    </row>
    <row r="512" ht="15.75" customHeight="1">
      <c r="A512" s="71"/>
      <c r="B512" s="71"/>
      <c r="C512" s="61"/>
      <c r="D512" s="61"/>
      <c r="E512" s="71"/>
      <c r="F512" s="71"/>
      <c r="G512" s="61"/>
      <c r="I512" s="61"/>
      <c r="J512" s="71"/>
      <c r="K512" s="71"/>
      <c r="L512" s="71"/>
      <c r="M512" s="71"/>
      <c r="N512" s="71"/>
      <c r="O512" s="71"/>
      <c r="P512" s="71"/>
      <c r="Q512" s="71"/>
      <c r="R512" s="71"/>
      <c r="S512" s="71"/>
      <c r="T512" s="71"/>
      <c r="U512" s="71"/>
      <c r="V512" s="71"/>
      <c r="W512" s="71"/>
      <c r="X512" s="71"/>
      <c r="Y512" s="71"/>
      <c r="Z512" s="71"/>
      <c r="AA512" s="71"/>
      <c r="AB512" s="71"/>
    </row>
    <row r="513" ht="15.75" customHeight="1">
      <c r="A513" s="71"/>
      <c r="B513" s="71"/>
      <c r="C513" s="61"/>
      <c r="D513" s="61"/>
      <c r="E513" s="71"/>
      <c r="F513" s="71"/>
      <c r="G513" s="61"/>
      <c r="I513" s="61"/>
      <c r="J513" s="71"/>
      <c r="K513" s="71"/>
      <c r="L513" s="71"/>
      <c r="M513" s="71"/>
      <c r="N513" s="71"/>
      <c r="O513" s="71"/>
      <c r="P513" s="71"/>
      <c r="Q513" s="71"/>
      <c r="R513" s="71"/>
      <c r="S513" s="71"/>
      <c r="T513" s="71"/>
      <c r="U513" s="71"/>
      <c r="V513" s="71"/>
      <c r="W513" s="71"/>
      <c r="X513" s="71"/>
      <c r="Y513" s="71"/>
      <c r="Z513" s="71"/>
      <c r="AA513" s="71"/>
      <c r="AB513" s="71"/>
    </row>
    <row r="514" ht="15.75" customHeight="1">
      <c r="A514" s="71"/>
      <c r="B514" s="71"/>
      <c r="C514" s="61"/>
      <c r="D514" s="61"/>
      <c r="E514" s="71"/>
      <c r="F514" s="71"/>
      <c r="G514" s="61"/>
      <c r="I514" s="61"/>
      <c r="J514" s="71"/>
      <c r="K514" s="71"/>
      <c r="L514" s="71"/>
      <c r="M514" s="71"/>
      <c r="N514" s="71"/>
      <c r="O514" s="71"/>
      <c r="P514" s="71"/>
      <c r="Q514" s="71"/>
      <c r="R514" s="71"/>
      <c r="S514" s="71"/>
      <c r="T514" s="71"/>
      <c r="U514" s="71"/>
      <c r="V514" s="71"/>
      <c r="W514" s="71"/>
      <c r="X514" s="71"/>
      <c r="Y514" s="71"/>
      <c r="Z514" s="71"/>
      <c r="AA514" s="71"/>
      <c r="AB514" s="71"/>
    </row>
    <row r="515" ht="15.75" customHeight="1">
      <c r="A515" s="71"/>
      <c r="B515" s="71"/>
      <c r="C515" s="61"/>
      <c r="D515" s="61"/>
      <c r="E515" s="71"/>
      <c r="F515" s="71"/>
      <c r="G515" s="61"/>
      <c r="I515" s="61"/>
      <c r="J515" s="71"/>
      <c r="K515" s="71"/>
      <c r="L515" s="71"/>
      <c r="M515" s="71"/>
      <c r="N515" s="71"/>
      <c r="O515" s="71"/>
      <c r="P515" s="71"/>
      <c r="Q515" s="71"/>
      <c r="R515" s="71"/>
      <c r="S515" s="71"/>
      <c r="T515" s="71"/>
      <c r="U515" s="71"/>
      <c r="V515" s="71"/>
      <c r="W515" s="71"/>
      <c r="X515" s="71"/>
      <c r="Y515" s="71"/>
      <c r="Z515" s="71"/>
      <c r="AA515" s="71"/>
      <c r="AB515" s="71"/>
    </row>
    <row r="516" ht="15.75" customHeight="1">
      <c r="A516" s="71"/>
      <c r="B516" s="71"/>
      <c r="C516" s="61"/>
      <c r="D516" s="61"/>
      <c r="E516" s="71"/>
      <c r="F516" s="71"/>
      <c r="G516" s="61"/>
      <c r="I516" s="61"/>
      <c r="J516" s="71"/>
      <c r="K516" s="71"/>
      <c r="L516" s="71"/>
      <c r="M516" s="71"/>
      <c r="N516" s="71"/>
      <c r="O516" s="71"/>
      <c r="P516" s="71"/>
      <c r="Q516" s="71"/>
      <c r="R516" s="71"/>
      <c r="S516" s="71"/>
      <c r="T516" s="71"/>
      <c r="U516" s="71"/>
      <c r="V516" s="71"/>
      <c r="W516" s="71"/>
      <c r="X516" s="71"/>
      <c r="Y516" s="71"/>
      <c r="Z516" s="71"/>
      <c r="AA516" s="71"/>
      <c r="AB516" s="71"/>
    </row>
    <row r="517" ht="15.75" customHeight="1">
      <c r="A517" s="71"/>
      <c r="B517" s="71"/>
      <c r="C517" s="61"/>
      <c r="D517" s="61"/>
      <c r="E517" s="71"/>
      <c r="F517" s="71"/>
      <c r="G517" s="61"/>
      <c r="I517" s="61"/>
      <c r="J517" s="71"/>
      <c r="K517" s="71"/>
      <c r="L517" s="71"/>
      <c r="M517" s="71"/>
      <c r="N517" s="71"/>
      <c r="O517" s="71"/>
      <c r="P517" s="71"/>
      <c r="Q517" s="71"/>
      <c r="R517" s="71"/>
      <c r="S517" s="71"/>
      <c r="T517" s="71"/>
      <c r="U517" s="71"/>
      <c r="V517" s="71"/>
      <c r="W517" s="71"/>
      <c r="X517" s="71"/>
      <c r="Y517" s="71"/>
      <c r="Z517" s="71"/>
      <c r="AA517" s="71"/>
      <c r="AB517" s="71"/>
    </row>
    <row r="518" ht="15.75" customHeight="1">
      <c r="A518" s="71"/>
      <c r="B518" s="71"/>
      <c r="C518" s="61"/>
      <c r="D518" s="61"/>
      <c r="E518" s="71"/>
      <c r="F518" s="71"/>
      <c r="G518" s="61"/>
      <c r="I518" s="61"/>
      <c r="J518" s="71"/>
      <c r="K518" s="71"/>
      <c r="L518" s="71"/>
      <c r="M518" s="71"/>
      <c r="N518" s="71"/>
      <c r="O518" s="71"/>
      <c r="P518" s="71"/>
      <c r="Q518" s="71"/>
      <c r="R518" s="71"/>
      <c r="S518" s="71"/>
      <c r="T518" s="71"/>
      <c r="U518" s="71"/>
      <c r="V518" s="71"/>
      <c r="W518" s="71"/>
      <c r="X518" s="71"/>
      <c r="Y518" s="71"/>
      <c r="Z518" s="71"/>
      <c r="AA518" s="71"/>
      <c r="AB518" s="71"/>
    </row>
    <row r="519" ht="15.75" customHeight="1">
      <c r="A519" s="71"/>
      <c r="B519" s="71"/>
      <c r="C519" s="61"/>
      <c r="D519" s="61"/>
      <c r="E519" s="71"/>
      <c r="F519" s="71"/>
      <c r="G519" s="61"/>
      <c r="I519" s="61"/>
      <c r="J519" s="71"/>
      <c r="K519" s="71"/>
      <c r="L519" s="71"/>
      <c r="M519" s="71"/>
      <c r="N519" s="71"/>
      <c r="O519" s="71"/>
      <c r="P519" s="71"/>
      <c r="Q519" s="71"/>
      <c r="R519" s="71"/>
      <c r="S519" s="71"/>
      <c r="T519" s="71"/>
      <c r="U519" s="71"/>
      <c r="V519" s="71"/>
      <c r="W519" s="71"/>
      <c r="X519" s="71"/>
      <c r="Y519" s="71"/>
      <c r="Z519" s="71"/>
      <c r="AA519" s="71"/>
      <c r="AB519" s="71"/>
    </row>
    <row r="520" ht="15.75" customHeight="1">
      <c r="A520" s="71"/>
      <c r="B520" s="71"/>
      <c r="C520" s="61"/>
      <c r="D520" s="61"/>
      <c r="E520" s="71"/>
      <c r="F520" s="71"/>
      <c r="G520" s="61"/>
      <c r="I520" s="61"/>
      <c r="J520" s="71"/>
      <c r="K520" s="71"/>
      <c r="L520" s="71"/>
      <c r="M520" s="71"/>
      <c r="N520" s="71"/>
      <c r="O520" s="71"/>
      <c r="P520" s="71"/>
      <c r="Q520" s="71"/>
      <c r="R520" s="71"/>
      <c r="S520" s="71"/>
      <c r="T520" s="71"/>
      <c r="U520" s="71"/>
      <c r="V520" s="71"/>
      <c r="W520" s="71"/>
      <c r="X520" s="71"/>
      <c r="Y520" s="71"/>
      <c r="Z520" s="71"/>
      <c r="AA520" s="71"/>
      <c r="AB520" s="71"/>
    </row>
    <row r="521" ht="15.75" customHeight="1">
      <c r="A521" s="71"/>
      <c r="B521" s="71"/>
      <c r="C521" s="61"/>
      <c r="D521" s="61"/>
      <c r="E521" s="71"/>
      <c r="F521" s="71"/>
      <c r="G521" s="61"/>
      <c r="I521" s="61"/>
      <c r="J521" s="71"/>
      <c r="K521" s="71"/>
      <c r="L521" s="71"/>
      <c r="M521" s="71"/>
      <c r="N521" s="71"/>
      <c r="O521" s="71"/>
      <c r="P521" s="71"/>
      <c r="Q521" s="71"/>
      <c r="R521" s="71"/>
      <c r="S521" s="71"/>
      <c r="T521" s="71"/>
      <c r="U521" s="71"/>
      <c r="V521" s="71"/>
      <c r="W521" s="71"/>
      <c r="X521" s="71"/>
      <c r="Y521" s="71"/>
      <c r="Z521" s="71"/>
      <c r="AA521" s="71"/>
      <c r="AB521" s="71"/>
    </row>
    <row r="522" ht="15.75" customHeight="1">
      <c r="A522" s="71"/>
      <c r="B522" s="71"/>
      <c r="C522" s="61"/>
      <c r="D522" s="61"/>
      <c r="E522" s="71"/>
      <c r="F522" s="71"/>
      <c r="G522" s="61"/>
      <c r="I522" s="61"/>
      <c r="J522" s="71"/>
      <c r="K522" s="71"/>
      <c r="L522" s="71"/>
      <c r="M522" s="71"/>
      <c r="N522" s="71"/>
      <c r="O522" s="71"/>
      <c r="P522" s="71"/>
      <c r="Q522" s="71"/>
      <c r="R522" s="71"/>
      <c r="S522" s="71"/>
      <c r="T522" s="71"/>
      <c r="U522" s="71"/>
      <c r="V522" s="71"/>
      <c r="W522" s="71"/>
      <c r="X522" s="71"/>
      <c r="Y522" s="71"/>
      <c r="Z522" s="71"/>
      <c r="AA522" s="71"/>
      <c r="AB522" s="71"/>
    </row>
    <row r="523" ht="15.75" customHeight="1">
      <c r="A523" s="71"/>
      <c r="B523" s="71"/>
      <c r="C523" s="61"/>
      <c r="D523" s="61"/>
      <c r="E523" s="71"/>
      <c r="F523" s="71"/>
      <c r="G523" s="61"/>
      <c r="I523" s="61"/>
      <c r="J523" s="71"/>
      <c r="K523" s="71"/>
      <c r="L523" s="71"/>
      <c r="M523" s="71"/>
      <c r="N523" s="71"/>
      <c r="O523" s="71"/>
      <c r="P523" s="71"/>
      <c r="Q523" s="71"/>
      <c r="R523" s="71"/>
      <c r="S523" s="71"/>
      <c r="T523" s="71"/>
      <c r="U523" s="71"/>
      <c r="V523" s="71"/>
      <c r="W523" s="71"/>
      <c r="X523" s="71"/>
      <c r="Y523" s="71"/>
      <c r="Z523" s="71"/>
      <c r="AA523" s="71"/>
      <c r="AB523" s="71"/>
    </row>
    <row r="524" ht="15.75" customHeight="1">
      <c r="A524" s="71"/>
      <c r="B524" s="71"/>
      <c r="C524" s="61"/>
      <c r="D524" s="61"/>
      <c r="E524" s="71"/>
      <c r="F524" s="71"/>
      <c r="G524" s="61"/>
      <c r="I524" s="61"/>
      <c r="J524" s="71"/>
      <c r="K524" s="71"/>
      <c r="L524" s="71"/>
      <c r="M524" s="71"/>
      <c r="N524" s="71"/>
      <c r="O524" s="71"/>
      <c r="P524" s="71"/>
      <c r="Q524" s="71"/>
      <c r="R524" s="71"/>
      <c r="S524" s="71"/>
      <c r="T524" s="71"/>
      <c r="U524" s="71"/>
      <c r="V524" s="71"/>
      <c r="W524" s="71"/>
      <c r="X524" s="71"/>
      <c r="Y524" s="71"/>
      <c r="Z524" s="71"/>
      <c r="AA524" s="71"/>
      <c r="AB524" s="71"/>
    </row>
    <row r="525" ht="15.75" customHeight="1">
      <c r="A525" s="71"/>
      <c r="B525" s="71"/>
      <c r="C525" s="61"/>
      <c r="D525" s="61"/>
      <c r="E525" s="71"/>
      <c r="F525" s="71"/>
      <c r="G525" s="61"/>
      <c r="I525" s="61"/>
      <c r="J525" s="71"/>
      <c r="K525" s="71"/>
      <c r="L525" s="71"/>
      <c r="M525" s="71"/>
      <c r="N525" s="71"/>
      <c r="O525" s="71"/>
      <c r="P525" s="71"/>
      <c r="Q525" s="71"/>
      <c r="R525" s="71"/>
      <c r="S525" s="71"/>
      <c r="T525" s="71"/>
      <c r="U525" s="71"/>
      <c r="V525" s="71"/>
      <c r="W525" s="71"/>
      <c r="X525" s="71"/>
      <c r="Y525" s="71"/>
      <c r="Z525" s="71"/>
      <c r="AA525" s="71"/>
      <c r="AB525" s="71"/>
    </row>
    <row r="526" ht="15.75" customHeight="1">
      <c r="A526" s="71"/>
      <c r="B526" s="71"/>
      <c r="C526" s="61"/>
      <c r="D526" s="61"/>
      <c r="E526" s="71"/>
      <c r="F526" s="71"/>
      <c r="G526" s="61"/>
      <c r="I526" s="61"/>
      <c r="J526" s="71"/>
      <c r="K526" s="71"/>
      <c r="L526" s="71"/>
      <c r="M526" s="71"/>
      <c r="N526" s="71"/>
      <c r="O526" s="71"/>
      <c r="P526" s="71"/>
      <c r="Q526" s="71"/>
      <c r="R526" s="71"/>
      <c r="S526" s="71"/>
      <c r="T526" s="71"/>
      <c r="U526" s="71"/>
      <c r="V526" s="71"/>
      <c r="W526" s="71"/>
      <c r="X526" s="71"/>
      <c r="Y526" s="71"/>
      <c r="Z526" s="71"/>
      <c r="AA526" s="71"/>
      <c r="AB526" s="71"/>
    </row>
    <row r="527" ht="15.75" customHeight="1">
      <c r="A527" s="71"/>
      <c r="B527" s="71"/>
      <c r="C527" s="61"/>
      <c r="D527" s="61"/>
      <c r="E527" s="71"/>
      <c r="F527" s="71"/>
      <c r="G527" s="61"/>
      <c r="I527" s="61"/>
      <c r="J527" s="71"/>
      <c r="K527" s="71"/>
      <c r="L527" s="71"/>
      <c r="M527" s="71"/>
      <c r="N527" s="71"/>
      <c r="O527" s="71"/>
      <c r="P527" s="71"/>
      <c r="Q527" s="71"/>
      <c r="R527" s="71"/>
      <c r="S527" s="71"/>
      <c r="T527" s="71"/>
      <c r="U527" s="71"/>
      <c r="V527" s="71"/>
      <c r="W527" s="71"/>
      <c r="X527" s="71"/>
      <c r="Y527" s="71"/>
      <c r="Z527" s="71"/>
      <c r="AA527" s="71"/>
      <c r="AB527" s="71"/>
    </row>
    <row r="528" ht="15.75" customHeight="1">
      <c r="A528" s="71"/>
      <c r="B528" s="71"/>
      <c r="C528" s="61"/>
      <c r="D528" s="61"/>
      <c r="E528" s="71"/>
      <c r="F528" s="71"/>
      <c r="G528" s="61"/>
      <c r="I528" s="61"/>
      <c r="J528" s="71"/>
      <c r="K528" s="71"/>
      <c r="L528" s="71"/>
      <c r="M528" s="71"/>
      <c r="N528" s="71"/>
      <c r="O528" s="71"/>
      <c r="P528" s="71"/>
      <c r="Q528" s="71"/>
      <c r="R528" s="71"/>
      <c r="S528" s="71"/>
      <c r="T528" s="71"/>
      <c r="U528" s="71"/>
      <c r="V528" s="71"/>
      <c r="W528" s="71"/>
      <c r="X528" s="71"/>
      <c r="Y528" s="71"/>
      <c r="Z528" s="71"/>
      <c r="AA528" s="71"/>
      <c r="AB528" s="71"/>
    </row>
    <row r="529" ht="15.75" customHeight="1">
      <c r="A529" s="71"/>
      <c r="B529" s="71"/>
      <c r="C529" s="61"/>
      <c r="D529" s="61"/>
      <c r="E529" s="71"/>
      <c r="F529" s="71"/>
      <c r="G529" s="61"/>
      <c r="I529" s="61"/>
      <c r="J529" s="71"/>
      <c r="K529" s="71"/>
      <c r="L529" s="71"/>
      <c r="M529" s="71"/>
      <c r="N529" s="71"/>
      <c r="O529" s="71"/>
      <c r="P529" s="71"/>
      <c r="Q529" s="71"/>
      <c r="R529" s="71"/>
      <c r="S529" s="71"/>
      <c r="T529" s="71"/>
      <c r="U529" s="71"/>
      <c r="V529" s="71"/>
      <c r="W529" s="71"/>
      <c r="X529" s="71"/>
      <c r="Y529" s="71"/>
      <c r="Z529" s="71"/>
      <c r="AA529" s="71"/>
      <c r="AB529" s="71"/>
    </row>
    <row r="530" ht="15.75" customHeight="1">
      <c r="A530" s="71"/>
      <c r="B530" s="71"/>
      <c r="C530" s="61"/>
      <c r="D530" s="61"/>
      <c r="E530" s="71"/>
      <c r="F530" s="71"/>
      <c r="G530" s="61"/>
      <c r="I530" s="61"/>
      <c r="J530" s="71"/>
      <c r="K530" s="71"/>
      <c r="L530" s="71"/>
      <c r="M530" s="71"/>
      <c r="N530" s="71"/>
      <c r="O530" s="71"/>
      <c r="P530" s="71"/>
      <c r="Q530" s="71"/>
      <c r="R530" s="71"/>
      <c r="S530" s="71"/>
      <c r="T530" s="71"/>
      <c r="U530" s="71"/>
      <c r="V530" s="71"/>
      <c r="W530" s="71"/>
      <c r="X530" s="71"/>
      <c r="Y530" s="71"/>
      <c r="Z530" s="71"/>
      <c r="AA530" s="71"/>
      <c r="AB530" s="71"/>
    </row>
    <row r="531" ht="15.75" customHeight="1">
      <c r="A531" s="71"/>
      <c r="B531" s="71"/>
      <c r="C531" s="61"/>
      <c r="D531" s="61"/>
      <c r="E531" s="71"/>
      <c r="F531" s="71"/>
      <c r="G531" s="61"/>
      <c r="I531" s="61"/>
      <c r="J531" s="71"/>
      <c r="K531" s="71"/>
      <c r="L531" s="71"/>
      <c r="M531" s="71"/>
      <c r="N531" s="71"/>
      <c r="O531" s="71"/>
      <c r="P531" s="71"/>
      <c r="Q531" s="71"/>
      <c r="R531" s="71"/>
      <c r="S531" s="71"/>
      <c r="T531" s="71"/>
      <c r="U531" s="71"/>
      <c r="V531" s="71"/>
      <c r="W531" s="71"/>
      <c r="X531" s="71"/>
      <c r="Y531" s="71"/>
      <c r="Z531" s="71"/>
      <c r="AA531" s="71"/>
      <c r="AB531" s="71"/>
    </row>
    <row r="532" ht="15.75" customHeight="1">
      <c r="A532" s="71"/>
      <c r="B532" s="71"/>
      <c r="C532" s="61"/>
      <c r="D532" s="61"/>
      <c r="E532" s="71"/>
      <c r="F532" s="71"/>
      <c r="G532" s="61"/>
      <c r="I532" s="61"/>
      <c r="J532" s="71"/>
      <c r="K532" s="71"/>
      <c r="L532" s="71"/>
      <c r="M532" s="71"/>
      <c r="N532" s="71"/>
      <c r="O532" s="71"/>
      <c r="P532" s="71"/>
      <c r="Q532" s="71"/>
      <c r="R532" s="71"/>
      <c r="S532" s="71"/>
      <c r="T532" s="71"/>
      <c r="U532" s="71"/>
      <c r="V532" s="71"/>
      <c r="W532" s="71"/>
      <c r="X532" s="71"/>
      <c r="Y532" s="71"/>
      <c r="Z532" s="71"/>
      <c r="AA532" s="71"/>
      <c r="AB532" s="71"/>
    </row>
    <row r="533" ht="15.75" customHeight="1">
      <c r="A533" s="71"/>
      <c r="B533" s="71"/>
      <c r="C533" s="61"/>
      <c r="D533" s="61"/>
      <c r="E533" s="71"/>
      <c r="F533" s="71"/>
      <c r="G533" s="61"/>
      <c r="I533" s="61"/>
      <c r="J533" s="71"/>
      <c r="K533" s="71"/>
      <c r="L533" s="71"/>
      <c r="M533" s="71"/>
      <c r="N533" s="71"/>
      <c r="O533" s="71"/>
      <c r="P533" s="71"/>
      <c r="Q533" s="71"/>
      <c r="R533" s="71"/>
      <c r="S533" s="71"/>
      <c r="T533" s="71"/>
      <c r="U533" s="71"/>
      <c r="V533" s="71"/>
      <c r="W533" s="71"/>
      <c r="X533" s="71"/>
      <c r="Y533" s="71"/>
      <c r="Z533" s="71"/>
      <c r="AA533" s="71"/>
      <c r="AB533" s="71"/>
    </row>
    <row r="534" ht="15.75" customHeight="1">
      <c r="A534" s="71"/>
      <c r="B534" s="71"/>
      <c r="C534" s="61"/>
      <c r="D534" s="61"/>
      <c r="E534" s="71"/>
      <c r="F534" s="71"/>
      <c r="G534" s="61"/>
      <c r="I534" s="61"/>
      <c r="J534" s="71"/>
      <c r="K534" s="71"/>
      <c r="L534" s="71"/>
      <c r="M534" s="71"/>
      <c r="N534" s="71"/>
      <c r="O534" s="71"/>
      <c r="P534" s="71"/>
      <c r="Q534" s="71"/>
      <c r="R534" s="71"/>
      <c r="S534" s="71"/>
      <c r="T534" s="71"/>
      <c r="U534" s="71"/>
      <c r="V534" s="71"/>
      <c r="W534" s="71"/>
      <c r="X534" s="71"/>
      <c r="Y534" s="71"/>
      <c r="Z534" s="71"/>
      <c r="AA534" s="71"/>
      <c r="AB534" s="71"/>
    </row>
    <row r="535" ht="15.75" customHeight="1">
      <c r="A535" s="71"/>
      <c r="B535" s="71"/>
      <c r="C535" s="61"/>
      <c r="D535" s="61"/>
      <c r="E535" s="71"/>
      <c r="F535" s="71"/>
      <c r="G535" s="61"/>
      <c r="I535" s="61"/>
      <c r="J535" s="71"/>
      <c r="K535" s="71"/>
      <c r="L535" s="71"/>
      <c r="M535" s="71"/>
      <c r="N535" s="71"/>
      <c r="O535" s="71"/>
      <c r="P535" s="71"/>
      <c r="Q535" s="71"/>
      <c r="R535" s="71"/>
      <c r="S535" s="71"/>
      <c r="T535" s="71"/>
      <c r="U535" s="71"/>
      <c r="V535" s="71"/>
      <c r="W535" s="71"/>
      <c r="X535" s="71"/>
      <c r="Y535" s="71"/>
      <c r="Z535" s="71"/>
      <c r="AA535" s="71"/>
      <c r="AB535" s="71"/>
    </row>
    <row r="536" ht="15.75" customHeight="1">
      <c r="A536" s="71"/>
      <c r="B536" s="71"/>
      <c r="C536" s="61"/>
      <c r="D536" s="61"/>
      <c r="E536" s="71"/>
      <c r="F536" s="71"/>
      <c r="G536" s="61"/>
      <c r="I536" s="61"/>
      <c r="J536" s="71"/>
      <c r="K536" s="71"/>
      <c r="L536" s="71"/>
      <c r="M536" s="71"/>
      <c r="N536" s="71"/>
      <c r="O536" s="71"/>
      <c r="P536" s="71"/>
      <c r="Q536" s="71"/>
      <c r="R536" s="71"/>
      <c r="S536" s="71"/>
      <c r="T536" s="71"/>
      <c r="U536" s="71"/>
      <c r="V536" s="71"/>
      <c r="W536" s="71"/>
      <c r="X536" s="71"/>
      <c r="Y536" s="71"/>
      <c r="Z536" s="71"/>
      <c r="AA536" s="71"/>
      <c r="AB536" s="71"/>
    </row>
    <row r="537" ht="15.75" customHeight="1">
      <c r="A537" s="71"/>
      <c r="B537" s="71"/>
      <c r="C537" s="61"/>
      <c r="D537" s="61"/>
      <c r="E537" s="71"/>
      <c r="F537" s="71"/>
      <c r="G537" s="61"/>
      <c r="I537" s="61"/>
      <c r="J537" s="71"/>
      <c r="K537" s="71"/>
      <c r="L537" s="71"/>
      <c r="M537" s="71"/>
      <c r="N537" s="71"/>
      <c r="O537" s="71"/>
      <c r="P537" s="71"/>
      <c r="Q537" s="71"/>
      <c r="R537" s="71"/>
      <c r="S537" s="71"/>
      <c r="T537" s="71"/>
      <c r="U537" s="71"/>
      <c r="V537" s="71"/>
      <c r="W537" s="71"/>
      <c r="X537" s="71"/>
      <c r="Y537" s="71"/>
      <c r="Z537" s="71"/>
      <c r="AA537" s="71"/>
      <c r="AB537" s="71"/>
    </row>
    <row r="538" ht="15.75" customHeight="1">
      <c r="A538" s="71"/>
      <c r="B538" s="71"/>
      <c r="C538" s="61"/>
      <c r="D538" s="61"/>
      <c r="E538" s="71"/>
      <c r="F538" s="71"/>
      <c r="G538" s="61"/>
      <c r="I538" s="61"/>
      <c r="J538" s="71"/>
      <c r="K538" s="71"/>
      <c r="L538" s="71"/>
      <c r="M538" s="71"/>
      <c r="N538" s="71"/>
      <c r="O538" s="71"/>
      <c r="P538" s="71"/>
      <c r="Q538" s="71"/>
      <c r="R538" s="71"/>
      <c r="S538" s="71"/>
      <c r="T538" s="71"/>
      <c r="U538" s="71"/>
      <c r="V538" s="71"/>
      <c r="W538" s="71"/>
      <c r="X538" s="71"/>
      <c r="Y538" s="71"/>
      <c r="Z538" s="71"/>
      <c r="AA538" s="71"/>
      <c r="AB538" s="71"/>
    </row>
    <row r="539" ht="15.75" customHeight="1">
      <c r="A539" s="71"/>
      <c r="B539" s="71"/>
      <c r="C539" s="61"/>
      <c r="D539" s="61"/>
      <c r="E539" s="71"/>
      <c r="F539" s="71"/>
      <c r="G539" s="61"/>
      <c r="I539" s="61"/>
      <c r="J539" s="71"/>
      <c r="K539" s="71"/>
      <c r="L539" s="71"/>
      <c r="M539" s="71"/>
      <c r="N539" s="71"/>
      <c r="O539" s="71"/>
      <c r="P539" s="71"/>
      <c r="Q539" s="71"/>
      <c r="R539" s="71"/>
      <c r="S539" s="71"/>
      <c r="T539" s="71"/>
      <c r="U539" s="71"/>
      <c r="V539" s="71"/>
      <c r="W539" s="71"/>
      <c r="X539" s="71"/>
      <c r="Y539" s="71"/>
      <c r="Z539" s="71"/>
      <c r="AA539" s="71"/>
      <c r="AB539" s="71"/>
    </row>
    <row r="540" ht="15.75" customHeight="1">
      <c r="A540" s="71"/>
      <c r="B540" s="71"/>
      <c r="C540" s="61"/>
      <c r="D540" s="61"/>
      <c r="E540" s="71"/>
      <c r="F540" s="71"/>
      <c r="G540" s="61"/>
      <c r="I540" s="61"/>
      <c r="J540" s="71"/>
      <c r="K540" s="71"/>
      <c r="L540" s="71"/>
      <c r="M540" s="71"/>
      <c r="N540" s="71"/>
      <c r="O540" s="71"/>
      <c r="P540" s="71"/>
      <c r="Q540" s="71"/>
      <c r="R540" s="71"/>
      <c r="S540" s="71"/>
      <c r="T540" s="71"/>
      <c r="U540" s="71"/>
      <c r="V540" s="71"/>
      <c r="W540" s="71"/>
      <c r="X540" s="71"/>
      <c r="Y540" s="71"/>
      <c r="Z540" s="71"/>
      <c r="AA540" s="71"/>
      <c r="AB540" s="71"/>
    </row>
    <row r="541" ht="15.75" customHeight="1">
      <c r="A541" s="71"/>
      <c r="B541" s="71"/>
      <c r="C541" s="61"/>
      <c r="D541" s="61"/>
      <c r="E541" s="71"/>
      <c r="F541" s="71"/>
      <c r="G541" s="61"/>
      <c r="I541" s="61"/>
      <c r="J541" s="71"/>
      <c r="K541" s="71"/>
      <c r="L541" s="71"/>
      <c r="M541" s="71"/>
      <c r="N541" s="71"/>
      <c r="O541" s="71"/>
      <c r="P541" s="71"/>
      <c r="Q541" s="71"/>
      <c r="R541" s="71"/>
      <c r="S541" s="71"/>
      <c r="T541" s="71"/>
      <c r="U541" s="71"/>
      <c r="V541" s="71"/>
      <c r="W541" s="71"/>
      <c r="X541" s="71"/>
      <c r="Y541" s="71"/>
      <c r="Z541" s="71"/>
      <c r="AA541" s="71"/>
      <c r="AB541" s="71"/>
    </row>
    <row r="542" ht="15.75" customHeight="1">
      <c r="A542" s="71"/>
      <c r="B542" s="71"/>
      <c r="C542" s="61"/>
      <c r="D542" s="61"/>
      <c r="E542" s="71"/>
      <c r="F542" s="71"/>
      <c r="G542" s="61"/>
      <c r="I542" s="61"/>
      <c r="J542" s="71"/>
      <c r="K542" s="71"/>
      <c r="L542" s="71"/>
      <c r="M542" s="71"/>
      <c r="N542" s="71"/>
      <c r="O542" s="71"/>
      <c r="P542" s="71"/>
      <c r="Q542" s="71"/>
      <c r="R542" s="71"/>
      <c r="S542" s="71"/>
      <c r="T542" s="71"/>
      <c r="U542" s="71"/>
      <c r="V542" s="71"/>
      <c r="W542" s="71"/>
      <c r="X542" s="71"/>
      <c r="Y542" s="71"/>
      <c r="Z542" s="71"/>
      <c r="AA542" s="71"/>
      <c r="AB542" s="71"/>
    </row>
    <row r="543" ht="15.75" customHeight="1">
      <c r="A543" s="71"/>
      <c r="B543" s="71"/>
      <c r="C543" s="61"/>
      <c r="D543" s="61"/>
      <c r="E543" s="71"/>
      <c r="F543" s="71"/>
      <c r="G543" s="61"/>
      <c r="I543" s="61"/>
      <c r="J543" s="71"/>
      <c r="K543" s="71"/>
      <c r="L543" s="71"/>
      <c r="M543" s="71"/>
      <c r="N543" s="71"/>
      <c r="O543" s="71"/>
      <c r="P543" s="71"/>
      <c r="Q543" s="71"/>
      <c r="R543" s="71"/>
      <c r="S543" s="71"/>
      <c r="T543" s="71"/>
      <c r="U543" s="71"/>
      <c r="V543" s="71"/>
      <c r="W543" s="71"/>
      <c r="X543" s="71"/>
      <c r="Y543" s="71"/>
      <c r="Z543" s="71"/>
      <c r="AA543" s="71"/>
      <c r="AB543" s="71"/>
    </row>
    <row r="544" ht="15.75" customHeight="1">
      <c r="A544" s="71"/>
      <c r="B544" s="71"/>
      <c r="C544" s="61"/>
      <c r="D544" s="61"/>
      <c r="E544" s="71"/>
      <c r="F544" s="71"/>
      <c r="G544" s="61"/>
      <c r="I544" s="61"/>
      <c r="J544" s="71"/>
      <c r="K544" s="71"/>
      <c r="L544" s="71"/>
      <c r="M544" s="71"/>
      <c r="N544" s="71"/>
      <c r="O544" s="71"/>
      <c r="P544" s="71"/>
      <c r="Q544" s="71"/>
      <c r="R544" s="71"/>
      <c r="S544" s="71"/>
      <c r="T544" s="71"/>
      <c r="U544" s="71"/>
      <c r="V544" s="71"/>
      <c r="W544" s="71"/>
      <c r="X544" s="71"/>
      <c r="Y544" s="71"/>
      <c r="Z544" s="71"/>
      <c r="AA544" s="71"/>
      <c r="AB544" s="71"/>
    </row>
    <row r="545" ht="15.75" customHeight="1">
      <c r="A545" s="71"/>
      <c r="B545" s="71"/>
      <c r="C545" s="61"/>
      <c r="D545" s="61"/>
      <c r="E545" s="71"/>
      <c r="F545" s="71"/>
      <c r="G545" s="61"/>
      <c r="I545" s="61"/>
      <c r="J545" s="71"/>
      <c r="K545" s="71"/>
      <c r="L545" s="71"/>
      <c r="M545" s="71"/>
      <c r="N545" s="71"/>
      <c r="O545" s="71"/>
      <c r="P545" s="71"/>
      <c r="Q545" s="71"/>
      <c r="R545" s="71"/>
      <c r="S545" s="71"/>
      <c r="T545" s="71"/>
      <c r="U545" s="71"/>
      <c r="V545" s="71"/>
      <c r="W545" s="71"/>
      <c r="X545" s="71"/>
      <c r="Y545" s="71"/>
      <c r="Z545" s="71"/>
      <c r="AA545" s="71"/>
      <c r="AB545" s="71"/>
    </row>
    <row r="546" ht="15.75" customHeight="1">
      <c r="A546" s="71"/>
      <c r="B546" s="71"/>
      <c r="C546" s="61"/>
      <c r="D546" s="61"/>
      <c r="E546" s="71"/>
      <c r="F546" s="71"/>
      <c r="G546" s="61"/>
      <c r="I546" s="61"/>
      <c r="J546" s="71"/>
      <c r="K546" s="71"/>
      <c r="L546" s="71"/>
      <c r="M546" s="71"/>
      <c r="N546" s="71"/>
      <c r="O546" s="71"/>
      <c r="P546" s="71"/>
      <c r="Q546" s="71"/>
      <c r="R546" s="71"/>
      <c r="S546" s="71"/>
      <c r="T546" s="71"/>
      <c r="U546" s="71"/>
      <c r="V546" s="71"/>
      <c r="W546" s="71"/>
      <c r="X546" s="71"/>
      <c r="Y546" s="71"/>
      <c r="Z546" s="71"/>
      <c r="AA546" s="71"/>
      <c r="AB546" s="71"/>
    </row>
    <row r="547" ht="15.75" customHeight="1">
      <c r="A547" s="71"/>
      <c r="B547" s="71"/>
      <c r="C547" s="61"/>
      <c r="D547" s="61"/>
      <c r="E547" s="71"/>
      <c r="F547" s="71"/>
      <c r="G547" s="61"/>
      <c r="I547" s="61"/>
      <c r="J547" s="71"/>
      <c r="K547" s="71"/>
      <c r="L547" s="71"/>
      <c r="M547" s="71"/>
      <c r="N547" s="71"/>
      <c r="O547" s="71"/>
      <c r="P547" s="71"/>
      <c r="Q547" s="71"/>
      <c r="R547" s="71"/>
      <c r="S547" s="71"/>
      <c r="T547" s="71"/>
      <c r="U547" s="71"/>
      <c r="V547" s="71"/>
      <c r="W547" s="71"/>
      <c r="X547" s="71"/>
      <c r="Y547" s="71"/>
      <c r="Z547" s="71"/>
      <c r="AA547" s="71"/>
      <c r="AB547" s="71"/>
    </row>
    <row r="548" ht="15.75" customHeight="1">
      <c r="A548" s="71"/>
      <c r="B548" s="71"/>
      <c r="C548" s="61"/>
      <c r="D548" s="61"/>
      <c r="E548" s="71"/>
      <c r="F548" s="71"/>
      <c r="G548" s="61"/>
      <c r="I548" s="61"/>
      <c r="J548" s="71"/>
      <c r="K548" s="71"/>
      <c r="L548" s="71"/>
      <c r="M548" s="71"/>
      <c r="N548" s="71"/>
      <c r="O548" s="71"/>
      <c r="P548" s="71"/>
      <c r="Q548" s="71"/>
      <c r="R548" s="71"/>
      <c r="S548" s="71"/>
      <c r="T548" s="71"/>
      <c r="U548" s="71"/>
      <c r="V548" s="71"/>
      <c r="W548" s="71"/>
      <c r="X548" s="71"/>
      <c r="Y548" s="71"/>
      <c r="Z548" s="71"/>
      <c r="AA548" s="71"/>
      <c r="AB548" s="71"/>
    </row>
    <row r="549" ht="15.75" customHeight="1">
      <c r="A549" s="71"/>
      <c r="B549" s="71"/>
      <c r="C549" s="61"/>
      <c r="D549" s="61"/>
      <c r="E549" s="71"/>
      <c r="F549" s="71"/>
      <c r="G549" s="61"/>
      <c r="I549" s="61"/>
      <c r="J549" s="71"/>
      <c r="K549" s="71"/>
      <c r="L549" s="71"/>
      <c r="M549" s="71"/>
      <c r="N549" s="71"/>
      <c r="O549" s="71"/>
      <c r="P549" s="71"/>
      <c r="Q549" s="71"/>
      <c r="R549" s="71"/>
      <c r="S549" s="71"/>
      <c r="T549" s="71"/>
      <c r="U549" s="71"/>
      <c r="V549" s="71"/>
      <c r="W549" s="71"/>
      <c r="X549" s="71"/>
      <c r="Y549" s="71"/>
      <c r="Z549" s="71"/>
      <c r="AA549" s="71"/>
      <c r="AB549" s="71"/>
    </row>
    <row r="550" ht="15.75" customHeight="1">
      <c r="A550" s="71"/>
      <c r="B550" s="71"/>
      <c r="C550" s="61"/>
      <c r="D550" s="61"/>
      <c r="E550" s="71"/>
      <c r="F550" s="71"/>
      <c r="G550" s="61"/>
      <c r="I550" s="61"/>
      <c r="J550" s="71"/>
      <c r="K550" s="71"/>
      <c r="L550" s="71"/>
      <c r="M550" s="71"/>
      <c r="N550" s="71"/>
      <c r="O550" s="71"/>
      <c r="P550" s="71"/>
      <c r="Q550" s="71"/>
      <c r="R550" s="71"/>
      <c r="S550" s="71"/>
      <c r="T550" s="71"/>
      <c r="U550" s="71"/>
      <c r="V550" s="71"/>
      <c r="W550" s="71"/>
      <c r="X550" s="71"/>
      <c r="Y550" s="71"/>
      <c r="Z550" s="71"/>
      <c r="AA550" s="71"/>
      <c r="AB550" s="71"/>
    </row>
    <row r="551" ht="15.75" customHeight="1">
      <c r="A551" s="71"/>
      <c r="B551" s="71"/>
      <c r="C551" s="61"/>
      <c r="D551" s="61"/>
      <c r="E551" s="71"/>
      <c r="F551" s="71"/>
      <c r="G551" s="61"/>
      <c r="I551" s="61"/>
      <c r="J551" s="71"/>
      <c r="K551" s="71"/>
      <c r="L551" s="71"/>
      <c r="M551" s="71"/>
      <c r="N551" s="71"/>
      <c r="O551" s="71"/>
      <c r="P551" s="71"/>
      <c r="Q551" s="71"/>
      <c r="R551" s="71"/>
      <c r="S551" s="71"/>
      <c r="T551" s="71"/>
      <c r="U551" s="71"/>
      <c r="V551" s="71"/>
      <c r="W551" s="71"/>
      <c r="X551" s="71"/>
      <c r="Y551" s="71"/>
      <c r="Z551" s="71"/>
      <c r="AA551" s="71"/>
      <c r="AB551" s="71"/>
    </row>
    <row r="552" ht="15.75" customHeight="1">
      <c r="A552" s="71"/>
      <c r="B552" s="71"/>
      <c r="C552" s="61"/>
      <c r="D552" s="61"/>
      <c r="E552" s="71"/>
      <c r="F552" s="71"/>
      <c r="G552" s="61"/>
      <c r="I552" s="61"/>
      <c r="J552" s="71"/>
      <c r="K552" s="71"/>
      <c r="L552" s="71"/>
      <c r="M552" s="71"/>
      <c r="N552" s="71"/>
      <c r="O552" s="71"/>
      <c r="P552" s="71"/>
      <c r="Q552" s="71"/>
      <c r="R552" s="71"/>
      <c r="S552" s="71"/>
      <c r="T552" s="71"/>
      <c r="U552" s="71"/>
      <c r="V552" s="71"/>
      <c r="W552" s="71"/>
      <c r="X552" s="71"/>
      <c r="Y552" s="71"/>
      <c r="Z552" s="71"/>
      <c r="AA552" s="71"/>
      <c r="AB552" s="71"/>
    </row>
    <row r="553" ht="15.75" customHeight="1">
      <c r="A553" s="71"/>
      <c r="B553" s="71"/>
      <c r="C553" s="61"/>
      <c r="D553" s="61"/>
      <c r="E553" s="71"/>
      <c r="F553" s="71"/>
      <c r="G553" s="61"/>
      <c r="I553" s="61"/>
      <c r="J553" s="71"/>
      <c r="K553" s="71"/>
      <c r="L553" s="71"/>
      <c r="M553" s="71"/>
      <c r="N553" s="71"/>
      <c r="O553" s="71"/>
      <c r="P553" s="71"/>
      <c r="Q553" s="71"/>
      <c r="R553" s="71"/>
      <c r="S553" s="71"/>
      <c r="T553" s="71"/>
      <c r="U553" s="71"/>
      <c r="V553" s="71"/>
      <c r="W553" s="71"/>
      <c r="X553" s="71"/>
      <c r="Y553" s="71"/>
      <c r="Z553" s="71"/>
      <c r="AA553" s="71"/>
      <c r="AB553" s="71"/>
    </row>
    <row r="554" ht="15.75" customHeight="1">
      <c r="A554" s="71"/>
      <c r="B554" s="71"/>
      <c r="C554" s="61"/>
      <c r="D554" s="61"/>
      <c r="E554" s="71"/>
      <c r="F554" s="71"/>
      <c r="G554" s="61"/>
      <c r="I554" s="61"/>
      <c r="J554" s="71"/>
      <c r="K554" s="71"/>
      <c r="L554" s="71"/>
      <c r="M554" s="71"/>
      <c r="N554" s="71"/>
      <c r="O554" s="71"/>
      <c r="P554" s="71"/>
      <c r="Q554" s="71"/>
      <c r="R554" s="71"/>
      <c r="S554" s="71"/>
      <c r="T554" s="71"/>
      <c r="U554" s="71"/>
      <c r="V554" s="71"/>
      <c r="W554" s="71"/>
      <c r="X554" s="71"/>
      <c r="Y554" s="71"/>
      <c r="Z554" s="71"/>
      <c r="AA554" s="71"/>
      <c r="AB554" s="71"/>
    </row>
    <row r="555" ht="15.75" customHeight="1">
      <c r="A555" s="71"/>
      <c r="B555" s="71"/>
      <c r="C555" s="61"/>
      <c r="D555" s="61"/>
      <c r="E555" s="71"/>
      <c r="F555" s="71"/>
      <c r="G555" s="61"/>
      <c r="I555" s="61"/>
      <c r="J555" s="71"/>
      <c r="K555" s="71"/>
      <c r="L555" s="71"/>
      <c r="M555" s="71"/>
      <c r="N555" s="71"/>
      <c r="O555" s="71"/>
      <c r="P555" s="71"/>
      <c r="Q555" s="71"/>
      <c r="R555" s="71"/>
      <c r="S555" s="71"/>
      <c r="T555" s="71"/>
      <c r="U555" s="71"/>
      <c r="V555" s="71"/>
      <c r="W555" s="71"/>
      <c r="X555" s="71"/>
      <c r="Y555" s="71"/>
      <c r="Z555" s="71"/>
      <c r="AA555" s="71"/>
      <c r="AB555" s="71"/>
    </row>
    <row r="556" ht="15.75" customHeight="1">
      <c r="A556" s="71"/>
      <c r="B556" s="71"/>
      <c r="C556" s="61"/>
      <c r="D556" s="61"/>
      <c r="E556" s="71"/>
      <c r="F556" s="71"/>
      <c r="G556" s="61"/>
      <c r="I556" s="61"/>
      <c r="J556" s="71"/>
      <c r="K556" s="71"/>
      <c r="L556" s="71"/>
      <c r="M556" s="71"/>
      <c r="N556" s="71"/>
      <c r="O556" s="71"/>
      <c r="P556" s="71"/>
      <c r="Q556" s="71"/>
      <c r="R556" s="71"/>
      <c r="S556" s="71"/>
      <c r="T556" s="71"/>
      <c r="U556" s="71"/>
      <c r="V556" s="71"/>
      <c r="W556" s="71"/>
      <c r="X556" s="71"/>
      <c r="Y556" s="71"/>
      <c r="Z556" s="71"/>
      <c r="AA556" s="71"/>
      <c r="AB556" s="71"/>
    </row>
    <row r="557" ht="15.75" customHeight="1">
      <c r="A557" s="71"/>
      <c r="B557" s="71"/>
      <c r="C557" s="61"/>
      <c r="D557" s="61"/>
      <c r="E557" s="71"/>
      <c r="F557" s="71"/>
      <c r="G557" s="61"/>
      <c r="I557" s="61"/>
      <c r="J557" s="71"/>
      <c r="K557" s="71"/>
      <c r="L557" s="71"/>
      <c r="M557" s="71"/>
      <c r="N557" s="71"/>
      <c r="O557" s="71"/>
      <c r="P557" s="71"/>
      <c r="Q557" s="71"/>
      <c r="R557" s="71"/>
      <c r="S557" s="71"/>
      <c r="T557" s="71"/>
      <c r="U557" s="71"/>
      <c r="V557" s="71"/>
      <c r="W557" s="71"/>
      <c r="X557" s="71"/>
      <c r="Y557" s="71"/>
      <c r="Z557" s="71"/>
      <c r="AA557" s="71"/>
      <c r="AB557" s="71"/>
    </row>
    <row r="558" ht="15.75" customHeight="1">
      <c r="A558" s="71"/>
      <c r="B558" s="71"/>
      <c r="C558" s="61"/>
      <c r="D558" s="61"/>
      <c r="E558" s="71"/>
      <c r="F558" s="71"/>
      <c r="G558" s="61"/>
      <c r="I558" s="61"/>
      <c r="J558" s="71"/>
      <c r="K558" s="71"/>
      <c r="L558" s="71"/>
      <c r="M558" s="71"/>
      <c r="N558" s="71"/>
      <c r="O558" s="71"/>
      <c r="P558" s="71"/>
      <c r="Q558" s="71"/>
      <c r="R558" s="71"/>
      <c r="S558" s="71"/>
      <c r="T558" s="71"/>
      <c r="U558" s="71"/>
      <c r="V558" s="71"/>
      <c r="W558" s="71"/>
      <c r="X558" s="71"/>
      <c r="Y558" s="71"/>
      <c r="Z558" s="71"/>
      <c r="AA558" s="71"/>
      <c r="AB558" s="71"/>
    </row>
    <row r="559" ht="15.75" customHeight="1">
      <c r="A559" s="71"/>
      <c r="B559" s="71"/>
      <c r="C559" s="61"/>
      <c r="D559" s="61"/>
      <c r="E559" s="71"/>
      <c r="F559" s="71"/>
      <c r="G559" s="61"/>
      <c r="I559" s="61"/>
      <c r="J559" s="71"/>
      <c r="K559" s="71"/>
      <c r="L559" s="71"/>
      <c r="M559" s="71"/>
      <c r="N559" s="71"/>
      <c r="O559" s="71"/>
      <c r="P559" s="71"/>
      <c r="Q559" s="71"/>
      <c r="R559" s="71"/>
      <c r="S559" s="71"/>
      <c r="T559" s="71"/>
      <c r="U559" s="71"/>
      <c r="V559" s="71"/>
      <c r="W559" s="71"/>
      <c r="X559" s="71"/>
      <c r="Y559" s="71"/>
      <c r="Z559" s="71"/>
      <c r="AA559" s="71"/>
      <c r="AB559" s="71"/>
    </row>
    <row r="560" ht="15.75" customHeight="1">
      <c r="A560" s="71"/>
      <c r="B560" s="71"/>
      <c r="C560" s="61"/>
      <c r="D560" s="61"/>
      <c r="E560" s="71"/>
      <c r="F560" s="71"/>
      <c r="G560" s="61"/>
      <c r="I560" s="61"/>
      <c r="J560" s="71"/>
      <c r="K560" s="71"/>
      <c r="L560" s="71"/>
      <c r="M560" s="71"/>
      <c r="N560" s="71"/>
      <c r="O560" s="71"/>
      <c r="P560" s="71"/>
      <c r="Q560" s="71"/>
      <c r="R560" s="71"/>
      <c r="S560" s="71"/>
      <c r="T560" s="71"/>
      <c r="U560" s="71"/>
      <c r="V560" s="71"/>
      <c r="W560" s="71"/>
      <c r="X560" s="71"/>
      <c r="Y560" s="71"/>
      <c r="Z560" s="71"/>
      <c r="AA560" s="71"/>
      <c r="AB560" s="71"/>
    </row>
    <row r="561" ht="15.75" customHeight="1">
      <c r="A561" s="71"/>
      <c r="B561" s="71"/>
      <c r="C561" s="61"/>
      <c r="D561" s="61"/>
      <c r="E561" s="71"/>
      <c r="F561" s="71"/>
      <c r="G561" s="61"/>
      <c r="I561" s="61"/>
      <c r="J561" s="71"/>
      <c r="K561" s="71"/>
      <c r="L561" s="71"/>
      <c r="M561" s="71"/>
      <c r="N561" s="71"/>
      <c r="O561" s="71"/>
      <c r="P561" s="71"/>
      <c r="Q561" s="71"/>
      <c r="R561" s="71"/>
      <c r="S561" s="71"/>
      <c r="T561" s="71"/>
      <c r="U561" s="71"/>
      <c r="V561" s="71"/>
      <c r="W561" s="71"/>
      <c r="X561" s="71"/>
      <c r="Y561" s="71"/>
      <c r="Z561" s="71"/>
      <c r="AA561" s="71"/>
      <c r="AB561" s="71"/>
    </row>
    <row r="562" ht="15.75" customHeight="1">
      <c r="A562" s="71"/>
      <c r="B562" s="71"/>
      <c r="C562" s="61"/>
      <c r="D562" s="61"/>
      <c r="E562" s="71"/>
      <c r="F562" s="71"/>
      <c r="G562" s="61"/>
      <c r="I562" s="61"/>
      <c r="J562" s="71"/>
      <c r="K562" s="71"/>
      <c r="L562" s="71"/>
      <c r="M562" s="71"/>
      <c r="N562" s="71"/>
      <c r="O562" s="71"/>
      <c r="P562" s="71"/>
      <c r="Q562" s="71"/>
      <c r="R562" s="71"/>
      <c r="S562" s="71"/>
      <c r="T562" s="71"/>
      <c r="U562" s="71"/>
      <c r="V562" s="71"/>
      <c r="W562" s="71"/>
      <c r="X562" s="71"/>
      <c r="Y562" s="71"/>
      <c r="Z562" s="71"/>
      <c r="AA562" s="71"/>
      <c r="AB562" s="71"/>
    </row>
    <row r="563" ht="15.75" customHeight="1">
      <c r="A563" s="71"/>
      <c r="B563" s="71"/>
      <c r="C563" s="61"/>
      <c r="D563" s="61"/>
      <c r="E563" s="71"/>
      <c r="F563" s="71"/>
      <c r="G563" s="61"/>
      <c r="I563" s="61"/>
      <c r="J563" s="71"/>
      <c r="K563" s="71"/>
      <c r="L563" s="71"/>
      <c r="M563" s="71"/>
      <c r="N563" s="71"/>
      <c r="O563" s="71"/>
      <c r="P563" s="71"/>
      <c r="Q563" s="71"/>
      <c r="R563" s="71"/>
      <c r="S563" s="71"/>
      <c r="T563" s="71"/>
      <c r="U563" s="71"/>
      <c r="V563" s="71"/>
      <c r="W563" s="71"/>
      <c r="X563" s="71"/>
      <c r="Y563" s="71"/>
      <c r="Z563" s="71"/>
      <c r="AA563" s="71"/>
      <c r="AB563" s="71"/>
    </row>
    <row r="564" ht="15.75" customHeight="1">
      <c r="A564" s="71"/>
      <c r="B564" s="71"/>
      <c r="C564" s="61"/>
      <c r="D564" s="61"/>
      <c r="E564" s="71"/>
      <c r="F564" s="71"/>
      <c r="G564" s="61"/>
      <c r="I564" s="61"/>
      <c r="J564" s="71"/>
      <c r="K564" s="71"/>
      <c r="L564" s="71"/>
      <c r="M564" s="71"/>
      <c r="N564" s="71"/>
      <c r="O564" s="71"/>
      <c r="P564" s="71"/>
      <c r="Q564" s="71"/>
      <c r="R564" s="71"/>
      <c r="S564" s="71"/>
      <c r="T564" s="71"/>
      <c r="U564" s="71"/>
      <c r="V564" s="71"/>
      <c r="W564" s="71"/>
      <c r="X564" s="71"/>
      <c r="Y564" s="71"/>
      <c r="Z564" s="71"/>
      <c r="AA564" s="71"/>
      <c r="AB564" s="71"/>
    </row>
    <row r="565" ht="15.75" customHeight="1">
      <c r="A565" s="71"/>
      <c r="B565" s="71"/>
      <c r="C565" s="61"/>
      <c r="D565" s="61"/>
      <c r="E565" s="71"/>
      <c r="F565" s="71"/>
      <c r="G565" s="61"/>
      <c r="I565" s="61"/>
      <c r="J565" s="71"/>
      <c r="K565" s="71"/>
      <c r="L565" s="71"/>
      <c r="M565" s="71"/>
      <c r="N565" s="71"/>
      <c r="O565" s="71"/>
      <c r="P565" s="71"/>
      <c r="Q565" s="71"/>
      <c r="R565" s="71"/>
      <c r="S565" s="71"/>
      <c r="T565" s="71"/>
      <c r="U565" s="71"/>
      <c r="V565" s="71"/>
      <c r="W565" s="71"/>
      <c r="X565" s="71"/>
      <c r="Y565" s="71"/>
      <c r="Z565" s="71"/>
      <c r="AA565" s="71"/>
      <c r="AB565" s="71"/>
    </row>
    <row r="566" ht="15.75" customHeight="1">
      <c r="A566" s="71"/>
      <c r="B566" s="71"/>
      <c r="C566" s="61"/>
      <c r="D566" s="61"/>
      <c r="E566" s="71"/>
      <c r="F566" s="71"/>
      <c r="G566" s="61"/>
      <c r="I566" s="61"/>
      <c r="J566" s="71"/>
      <c r="K566" s="71"/>
      <c r="L566" s="71"/>
      <c r="M566" s="71"/>
      <c r="N566" s="71"/>
      <c r="O566" s="71"/>
      <c r="P566" s="71"/>
      <c r="Q566" s="71"/>
      <c r="R566" s="71"/>
      <c r="S566" s="71"/>
      <c r="T566" s="71"/>
      <c r="U566" s="71"/>
      <c r="V566" s="71"/>
      <c r="W566" s="71"/>
      <c r="X566" s="71"/>
      <c r="Y566" s="71"/>
      <c r="Z566" s="71"/>
      <c r="AA566" s="71"/>
      <c r="AB566" s="71"/>
    </row>
    <row r="567" ht="15.75" customHeight="1">
      <c r="A567" s="71"/>
      <c r="B567" s="71"/>
      <c r="C567" s="61"/>
      <c r="D567" s="61"/>
      <c r="E567" s="71"/>
      <c r="F567" s="71"/>
      <c r="G567" s="61"/>
      <c r="I567" s="61"/>
      <c r="J567" s="71"/>
      <c r="K567" s="71"/>
      <c r="L567" s="71"/>
      <c r="M567" s="71"/>
      <c r="N567" s="71"/>
      <c r="O567" s="71"/>
      <c r="P567" s="71"/>
      <c r="Q567" s="71"/>
      <c r="R567" s="71"/>
      <c r="S567" s="71"/>
      <c r="T567" s="71"/>
      <c r="U567" s="71"/>
      <c r="V567" s="71"/>
      <c r="W567" s="71"/>
      <c r="X567" s="71"/>
      <c r="Y567" s="71"/>
      <c r="Z567" s="71"/>
      <c r="AA567" s="71"/>
      <c r="AB567" s="71"/>
    </row>
    <row r="568" ht="15.75" customHeight="1">
      <c r="A568" s="71"/>
      <c r="B568" s="71"/>
      <c r="C568" s="61"/>
      <c r="D568" s="61"/>
      <c r="E568" s="71"/>
      <c r="F568" s="71"/>
      <c r="G568" s="61"/>
      <c r="I568" s="61"/>
      <c r="J568" s="71"/>
      <c r="K568" s="71"/>
      <c r="L568" s="71"/>
      <c r="M568" s="71"/>
      <c r="N568" s="71"/>
      <c r="O568" s="71"/>
      <c r="P568" s="71"/>
      <c r="Q568" s="71"/>
      <c r="R568" s="71"/>
      <c r="S568" s="71"/>
      <c r="T568" s="71"/>
      <c r="U568" s="71"/>
      <c r="V568" s="71"/>
      <c r="W568" s="71"/>
      <c r="X568" s="71"/>
      <c r="Y568" s="71"/>
      <c r="Z568" s="71"/>
      <c r="AA568" s="71"/>
      <c r="AB568" s="71"/>
    </row>
    <row r="569" ht="15.75" customHeight="1">
      <c r="A569" s="71"/>
      <c r="B569" s="71"/>
      <c r="C569" s="61"/>
      <c r="D569" s="61"/>
      <c r="E569" s="71"/>
      <c r="F569" s="71"/>
      <c r="G569" s="61"/>
      <c r="I569" s="61"/>
      <c r="J569" s="71"/>
      <c r="K569" s="71"/>
      <c r="L569" s="71"/>
      <c r="M569" s="71"/>
      <c r="N569" s="71"/>
      <c r="O569" s="71"/>
      <c r="P569" s="71"/>
      <c r="Q569" s="71"/>
      <c r="R569" s="71"/>
      <c r="S569" s="71"/>
      <c r="T569" s="71"/>
      <c r="U569" s="71"/>
      <c r="V569" s="71"/>
      <c r="W569" s="71"/>
      <c r="X569" s="71"/>
      <c r="Y569" s="71"/>
      <c r="Z569" s="71"/>
      <c r="AA569" s="71"/>
      <c r="AB569" s="71"/>
    </row>
    <row r="570" ht="15.75" customHeight="1">
      <c r="A570" s="71"/>
      <c r="B570" s="71"/>
      <c r="C570" s="61"/>
      <c r="D570" s="61"/>
      <c r="E570" s="71"/>
      <c r="F570" s="71"/>
      <c r="G570" s="61"/>
      <c r="I570" s="61"/>
      <c r="J570" s="71"/>
      <c r="K570" s="71"/>
      <c r="L570" s="71"/>
      <c r="M570" s="71"/>
      <c r="N570" s="71"/>
      <c r="O570" s="71"/>
      <c r="P570" s="71"/>
      <c r="Q570" s="71"/>
      <c r="R570" s="71"/>
      <c r="S570" s="71"/>
      <c r="T570" s="71"/>
      <c r="U570" s="71"/>
      <c r="V570" s="71"/>
      <c r="W570" s="71"/>
      <c r="X570" s="71"/>
      <c r="Y570" s="71"/>
      <c r="Z570" s="71"/>
      <c r="AA570" s="71"/>
      <c r="AB570" s="71"/>
    </row>
    <row r="571" ht="15.75" customHeight="1">
      <c r="A571" s="71"/>
      <c r="B571" s="71"/>
      <c r="C571" s="61"/>
      <c r="D571" s="61"/>
      <c r="E571" s="71"/>
      <c r="F571" s="71"/>
      <c r="G571" s="61"/>
      <c r="I571" s="61"/>
      <c r="J571" s="71"/>
      <c r="K571" s="71"/>
      <c r="L571" s="71"/>
      <c r="M571" s="71"/>
      <c r="N571" s="71"/>
      <c r="O571" s="71"/>
      <c r="P571" s="71"/>
      <c r="Q571" s="71"/>
      <c r="R571" s="71"/>
      <c r="S571" s="71"/>
      <c r="T571" s="71"/>
      <c r="U571" s="71"/>
      <c r="V571" s="71"/>
      <c r="W571" s="71"/>
      <c r="X571" s="71"/>
      <c r="Y571" s="71"/>
      <c r="Z571" s="71"/>
      <c r="AA571" s="71"/>
      <c r="AB571" s="71"/>
    </row>
    <row r="572" ht="15.75" customHeight="1">
      <c r="A572" s="71"/>
      <c r="B572" s="71"/>
      <c r="C572" s="61"/>
      <c r="D572" s="61"/>
      <c r="E572" s="71"/>
      <c r="F572" s="71"/>
      <c r="G572" s="61"/>
      <c r="I572" s="61"/>
      <c r="J572" s="71"/>
      <c r="K572" s="71"/>
      <c r="L572" s="71"/>
      <c r="M572" s="71"/>
      <c r="N572" s="71"/>
      <c r="O572" s="71"/>
      <c r="P572" s="71"/>
      <c r="Q572" s="71"/>
      <c r="R572" s="71"/>
      <c r="S572" s="71"/>
      <c r="T572" s="71"/>
      <c r="U572" s="71"/>
      <c r="V572" s="71"/>
      <c r="W572" s="71"/>
      <c r="X572" s="71"/>
      <c r="Y572" s="71"/>
      <c r="Z572" s="71"/>
      <c r="AA572" s="71"/>
      <c r="AB572" s="71"/>
    </row>
    <row r="573" ht="15.75" customHeight="1">
      <c r="A573" s="71"/>
      <c r="B573" s="71"/>
      <c r="C573" s="61"/>
      <c r="D573" s="61"/>
      <c r="E573" s="71"/>
      <c r="F573" s="71"/>
      <c r="G573" s="61"/>
      <c r="I573" s="61"/>
      <c r="J573" s="71"/>
      <c r="K573" s="71"/>
      <c r="L573" s="71"/>
      <c r="M573" s="71"/>
      <c r="N573" s="71"/>
      <c r="O573" s="71"/>
      <c r="P573" s="71"/>
      <c r="Q573" s="71"/>
      <c r="R573" s="71"/>
      <c r="S573" s="71"/>
      <c r="T573" s="71"/>
      <c r="U573" s="71"/>
      <c r="V573" s="71"/>
      <c r="W573" s="71"/>
      <c r="X573" s="71"/>
      <c r="Y573" s="71"/>
      <c r="Z573" s="71"/>
      <c r="AA573" s="71"/>
      <c r="AB573" s="71"/>
    </row>
    <row r="574" ht="15.75" customHeight="1">
      <c r="A574" s="71"/>
      <c r="B574" s="71"/>
      <c r="C574" s="61"/>
      <c r="D574" s="61"/>
      <c r="E574" s="71"/>
      <c r="F574" s="71"/>
      <c r="G574" s="61"/>
      <c r="I574" s="61"/>
      <c r="J574" s="71"/>
      <c r="K574" s="71"/>
      <c r="L574" s="71"/>
      <c r="M574" s="71"/>
      <c r="N574" s="71"/>
      <c r="O574" s="71"/>
      <c r="P574" s="71"/>
      <c r="Q574" s="71"/>
      <c r="R574" s="71"/>
      <c r="S574" s="71"/>
      <c r="T574" s="71"/>
      <c r="U574" s="71"/>
      <c r="V574" s="71"/>
      <c r="W574" s="71"/>
      <c r="X574" s="71"/>
      <c r="Y574" s="71"/>
      <c r="Z574" s="71"/>
      <c r="AA574" s="71"/>
      <c r="AB574" s="71"/>
    </row>
    <row r="575" ht="15.75" customHeight="1">
      <c r="A575" s="71"/>
      <c r="B575" s="71"/>
      <c r="C575" s="61"/>
      <c r="D575" s="61"/>
      <c r="E575" s="71"/>
      <c r="F575" s="71"/>
      <c r="G575" s="61"/>
      <c r="I575" s="61"/>
      <c r="J575" s="71"/>
      <c r="K575" s="71"/>
      <c r="L575" s="71"/>
      <c r="M575" s="71"/>
      <c r="N575" s="71"/>
      <c r="O575" s="71"/>
      <c r="P575" s="71"/>
      <c r="Q575" s="71"/>
      <c r="R575" s="71"/>
      <c r="S575" s="71"/>
      <c r="T575" s="71"/>
      <c r="U575" s="71"/>
      <c r="V575" s="71"/>
      <c r="W575" s="71"/>
      <c r="X575" s="71"/>
      <c r="Y575" s="71"/>
      <c r="Z575" s="71"/>
      <c r="AA575" s="71"/>
      <c r="AB575" s="71"/>
    </row>
    <row r="576" ht="15.75" customHeight="1">
      <c r="A576" s="71"/>
      <c r="B576" s="71"/>
      <c r="C576" s="61"/>
      <c r="D576" s="61"/>
      <c r="E576" s="71"/>
      <c r="F576" s="71"/>
      <c r="G576" s="61"/>
      <c r="I576" s="61"/>
      <c r="J576" s="71"/>
      <c r="K576" s="71"/>
      <c r="L576" s="71"/>
      <c r="M576" s="71"/>
      <c r="N576" s="71"/>
      <c r="O576" s="71"/>
      <c r="P576" s="71"/>
      <c r="Q576" s="71"/>
      <c r="R576" s="71"/>
      <c r="S576" s="71"/>
      <c r="T576" s="71"/>
      <c r="U576" s="71"/>
      <c r="V576" s="71"/>
      <c r="W576" s="71"/>
      <c r="X576" s="71"/>
      <c r="Y576" s="71"/>
      <c r="Z576" s="71"/>
      <c r="AA576" s="71"/>
      <c r="AB576" s="71"/>
    </row>
    <row r="577" ht="15.75" customHeight="1">
      <c r="A577" s="71"/>
      <c r="B577" s="71"/>
      <c r="C577" s="61"/>
      <c r="D577" s="61"/>
      <c r="E577" s="71"/>
      <c r="F577" s="71"/>
      <c r="G577" s="61"/>
      <c r="I577" s="61"/>
      <c r="J577" s="71"/>
      <c r="K577" s="71"/>
      <c r="L577" s="71"/>
      <c r="M577" s="71"/>
      <c r="N577" s="71"/>
      <c r="O577" s="71"/>
      <c r="P577" s="71"/>
      <c r="Q577" s="71"/>
      <c r="R577" s="71"/>
      <c r="S577" s="71"/>
      <c r="T577" s="71"/>
      <c r="U577" s="71"/>
      <c r="V577" s="71"/>
      <c r="W577" s="71"/>
      <c r="X577" s="71"/>
      <c r="Y577" s="71"/>
      <c r="Z577" s="71"/>
      <c r="AA577" s="71"/>
      <c r="AB577" s="71"/>
    </row>
    <row r="578" ht="15.75" customHeight="1">
      <c r="A578" s="71"/>
      <c r="B578" s="71"/>
      <c r="C578" s="61"/>
      <c r="D578" s="61"/>
      <c r="E578" s="71"/>
      <c r="F578" s="71"/>
      <c r="G578" s="61"/>
      <c r="I578" s="61"/>
      <c r="J578" s="71"/>
      <c r="K578" s="71"/>
      <c r="L578" s="71"/>
      <c r="M578" s="71"/>
      <c r="N578" s="71"/>
      <c r="O578" s="71"/>
      <c r="P578" s="71"/>
      <c r="Q578" s="71"/>
      <c r="R578" s="71"/>
      <c r="S578" s="71"/>
      <c r="T578" s="71"/>
      <c r="U578" s="71"/>
      <c r="V578" s="71"/>
      <c r="W578" s="71"/>
      <c r="X578" s="71"/>
      <c r="Y578" s="71"/>
      <c r="Z578" s="71"/>
      <c r="AA578" s="71"/>
      <c r="AB578" s="71"/>
    </row>
    <row r="579" ht="15.75" customHeight="1">
      <c r="A579" s="71"/>
      <c r="B579" s="71"/>
      <c r="C579" s="61"/>
      <c r="D579" s="61"/>
      <c r="E579" s="71"/>
      <c r="F579" s="71"/>
      <c r="G579" s="61"/>
      <c r="I579" s="61"/>
      <c r="J579" s="71"/>
      <c r="K579" s="71"/>
      <c r="L579" s="71"/>
      <c r="M579" s="71"/>
      <c r="N579" s="71"/>
      <c r="O579" s="71"/>
      <c r="P579" s="71"/>
      <c r="Q579" s="71"/>
      <c r="R579" s="71"/>
      <c r="S579" s="71"/>
      <c r="T579" s="71"/>
      <c r="U579" s="71"/>
      <c r="V579" s="71"/>
      <c r="W579" s="71"/>
      <c r="X579" s="71"/>
      <c r="Y579" s="71"/>
      <c r="Z579" s="71"/>
      <c r="AA579" s="71"/>
      <c r="AB579" s="71"/>
    </row>
    <row r="580" ht="15.75" customHeight="1">
      <c r="A580" s="71"/>
      <c r="B580" s="71"/>
      <c r="C580" s="61"/>
      <c r="D580" s="61"/>
      <c r="E580" s="71"/>
      <c r="F580" s="71"/>
      <c r="G580" s="61"/>
      <c r="I580" s="61"/>
      <c r="J580" s="71"/>
      <c r="K580" s="71"/>
      <c r="L580" s="71"/>
      <c r="M580" s="71"/>
      <c r="N580" s="71"/>
      <c r="O580" s="71"/>
      <c r="P580" s="71"/>
      <c r="Q580" s="71"/>
      <c r="R580" s="71"/>
      <c r="S580" s="71"/>
      <c r="T580" s="71"/>
      <c r="U580" s="71"/>
      <c r="V580" s="71"/>
      <c r="W580" s="71"/>
      <c r="X580" s="71"/>
      <c r="Y580" s="71"/>
      <c r="Z580" s="71"/>
      <c r="AA580" s="71"/>
      <c r="AB580" s="71"/>
    </row>
    <row r="581" ht="15.75" customHeight="1">
      <c r="A581" s="71"/>
      <c r="B581" s="71"/>
      <c r="C581" s="61"/>
      <c r="D581" s="61"/>
      <c r="E581" s="71"/>
      <c r="F581" s="71"/>
      <c r="G581" s="61"/>
      <c r="I581" s="61"/>
      <c r="J581" s="71"/>
      <c r="K581" s="71"/>
      <c r="L581" s="71"/>
      <c r="M581" s="71"/>
      <c r="N581" s="71"/>
      <c r="O581" s="71"/>
      <c r="P581" s="71"/>
      <c r="Q581" s="71"/>
      <c r="R581" s="71"/>
      <c r="S581" s="71"/>
      <c r="T581" s="71"/>
      <c r="U581" s="71"/>
      <c r="V581" s="71"/>
      <c r="W581" s="71"/>
      <c r="X581" s="71"/>
      <c r="Y581" s="71"/>
      <c r="Z581" s="71"/>
      <c r="AA581" s="71"/>
      <c r="AB581" s="71"/>
    </row>
    <row r="582" ht="15.75" customHeight="1">
      <c r="A582" s="71"/>
      <c r="B582" s="71"/>
      <c r="C582" s="61"/>
      <c r="D582" s="61"/>
      <c r="E582" s="71"/>
      <c r="F582" s="71"/>
      <c r="G582" s="61"/>
      <c r="I582" s="61"/>
      <c r="J582" s="71"/>
      <c r="K582" s="71"/>
      <c r="L582" s="71"/>
      <c r="M582" s="71"/>
      <c r="N582" s="71"/>
      <c r="O582" s="71"/>
      <c r="P582" s="71"/>
      <c r="Q582" s="71"/>
      <c r="R582" s="71"/>
      <c r="S582" s="71"/>
      <c r="T582" s="71"/>
      <c r="U582" s="71"/>
      <c r="V582" s="71"/>
      <c r="W582" s="71"/>
      <c r="X582" s="71"/>
      <c r="Y582" s="71"/>
      <c r="Z582" s="71"/>
      <c r="AA582" s="71"/>
      <c r="AB582" s="71"/>
    </row>
    <row r="583" ht="15.75" customHeight="1">
      <c r="A583" s="71"/>
      <c r="B583" s="71"/>
      <c r="C583" s="61"/>
      <c r="D583" s="61"/>
      <c r="E583" s="71"/>
      <c r="F583" s="71"/>
      <c r="G583" s="61"/>
      <c r="I583" s="61"/>
      <c r="J583" s="71"/>
      <c r="K583" s="71"/>
      <c r="L583" s="71"/>
      <c r="M583" s="71"/>
      <c r="N583" s="71"/>
      <c r="O583" s="71"/>
      <c r="P583" s="71"/>
      <c r="Q583" s="71"/>
      <c r="R583" s="71"/>
      <c r="S583" s="71"/>
      <c r="T583" s="71"/>
      <c r="U583" s="71"/>
      <c r="V583" s="71"/>
      <c r="W583" s="71"/>
      <c r="X583" s="71"/>
      <c r="Y583" s="71"/>
      <c r="Z583" s="71"/>
      <c r="AA583" s="71"/>
      <c r="AB583" s="71"/>
    </row>
    <row r="584" ht="15.75" customHeight="1">
      <c r="A584" s="71"/>
      <c r="B584" s="71"/>
      <c r="C584" s="61"/>
      <c r="D584" s="61"/>
      <c r="E584" s="71"/>
      <c r="F584" s="71"/>
      <c r="G584" s="61"/>
      <c r="I584" s="61"/>
      <c r="J584" s="71"/>
      <c r="K584" s="71"/>
      <c r="L584" s="71"/>
      <c r="M584" s="71"/>
      <c r="N584" s="71"/>
      <c r="O584" s="71"/>
      <c r="P584" s="71"/>
      <c r="Q584" s="71"/>
      <c r="R584" s="71"/>
      <c r="S584" s="71"/>
      <c r="T584" s="71"/>
      <c r="U584" s="71"/>
      <c r="V584" s="71"/>
      <c r="W584" s="71"/>
      <c r="X584" s="71"/>
      <c r="Y584" s="71"/>
      <c r="Z584" s="71"/>
      <c r="AA584" s="71"/>
      <c r="AB584" s="71"/>
    </row>
    <row r="585" ht="15.75" customHeight="1">
      <c r="A585" s="71"/>
      <c r="B585" s="71"/>
      <c r="C585" s="61"/>
      <c r="D585" s="61"/>
      <c r="E585" s="71"/>
      <c r="F585" s="71"/>
      <c r="G585" s="61"/>
      <c r="I585" s="61"/>
      <c r="J585" s="71"/>
      <c r="K585" s="71"/>
      <c r="L585" s="71"/>
      <c r="M585" s="71"/>
      <c r="N585" s="71"/>
      <c r="O585" s="71"/>
      <c r="P585" s="71"/>
      <c r="Q585" s="71"/>
      <c r="R585" s="71"/>
      <c r="S585" s="71"/>
      <c r="T585" s="71"/>
      <c r="U585" s="71"/>
      <c r="V585" s="71"/>
      <c r="W585" s="71"/>
      <c r="X585" s="71"/>
      <c r="Y585" s="71"/>
      <c r="Z585" s="71"/>
      <c r="AA585" s="71"/>
      <c r="AB585" s="71"/>
    </row>
    <row r="586" ht="15.75" customHeight="1">
      <c r="A586" s="71"/>
      <c r="B586" s="71"/>
      <c r="C586" s="61"/>
      <c r="D586" s="61"/>
      <c r="E586" s="71"/>
      <c r="F586" s="71"/>
      <c r="G586" s="61"/>
      <c r="I586" s="61"/>
      <c r="J586" s="71"/>
      <c r="K586" s="71"/>
      <c r="L586" s="71"/>
      <c r="M586" s="71"/>
      <c r="N586" s="71"/>
      <c r="O586" s="71"/>
      <c r="P586" s="71"/>
      <c r="Q586" s="71"/>
      <c r="R586" s="71"/>
      <c r="S586" s="71"/>
      <c r="T586" s="71"/>
      <c r="U586" s="71"/>
      <c r="V586" s="71"/>
      <c r="W586" s="71"/>
      <c r="X586" s="71"/>
      <c r="Y586" s="71"/>
      <c r="Z586" s="71"/>
      <c r="AA586" s="71"/>
      <c r="AB586" s="71"/>
    </row>
    <row r="587" ht="15.75" customHeight="1">
      <c r="A587" s="71"/>
      <c r="B587" s="71"/>
      <c r="C587" s="61"/>
      <c r="D587" s="61"/>
      <c r="E587" s="71"/>
      <c r="F587" s="71"/>
      <c r="G587" s="61"/>
      <c r="I587" s="61"/>
      <c r="J587" s="71"/>
      <c r="K587" s="71"/>
      <c r="L587" s="71"/>
      <c r="M587" s="71"/>
      <c r="N587" s="71"/>
      <c r="O587" s="71"/>
      <c r="P587" s="71"/>
      <c r="Q587" s="71"/>
      <c r="R587" s="71"/>
      <c r="S587" s="71"/>
      <c r="T587" s="71"/>
      <c r="U587" s="71"/>
      <c r="V587" s="71"/>
      <c r="W587" s="71"/>
      <c r="X587" s="71"/>
      <c r="Y587" s="71"/>
      <c r="Z587" s="71"/>
      <c r="AA587" s="71"/>
      <c r="AB587" s="71"/>
    </row>
    <row r="588" ht="15.75" customHeight="1">
      <c r="A588" s="71"/>
      <c r="B588" s="71"/>
      <c r="C588" s="61"/>
      <c r="D588" s="61"/>
      <c r="E588" s="71"/>
      <c r="F588" s="71"/>
      <c r="G588" s="61"/>
      <c r="I588" s="61"/>
      <c r="J588" s="71"/>
      <c r="K588" s="71"/>
      <c r="L588" s="71"/>
      <c r="M588" s="71"/>
      <c r="N588" s="71"/>
      <c r="O588" s="71"/>
      <c r="P588" s="71"/>
      <c r="Q588" s="71"/>
      <c r="R588" s="71"/>
      <c r="S588" s="71"/>
      <c r="T588" s="71"/>
      <c r="U588" s="71"/>
      <c r="V588" s="71"/>
      <c r="W588" s="71"/>
      <c r="X588" s="71"/>
      <c r="Y588" s="71"/>
      <c r="Z588" s="71"/>
      <c r="AA588" s="71"/>
      <c r="AB588" s="71"/>
    </row>
    <row r="589" ht="15.75" customHeight="1">
      <c r="A589" s="71"/>
      <c r="B589" s="71"/>
      <c r="C589" s="61"/>
      <c r="D589" s="61"/>
      <c r="E589" s="71"/>
      <c r="F589" s="71"/>
      <c r="G589" s="61"/>
      <c r="I589" s="61"/>
      <c r="J589" s="71"/>
      <c r="K589" s="71"/>
      <c r="L589" s="71"/>
      <c r="M589" s="71"/>
      <c r="N589" s="71"/>
      <c r="O589" s="71"/>
      <c r="P589" s="71"/>
      <c r="Q589" s="71"/>
      <c r="R589" s="71"/>
      <c r="S589" s="71"/>
      <c r="T589" s="71"/>
      <c r="U589" s="71"/>
      <c r="V589" s="71"/>
      <c r="W589" s="71"/>
      <c r="X589" s="71"/>
      <c r="Y589" s="71"/>
      <c r="Z589" s="71"/>
      <c r="AA589" s="71"/>
      <c r="AB589" s="71"/>
    </row>
    <row r="590" ht="15.75" customHeight="1">
      <c r="A590" s="71"/>
      <c r="B590" s="71"/>
      <c r="C590" s="61"/>
      <c r="D590" s="61"/>
      <c r="E590" s="71"/>
      <c r="F590" s="71"/>
      <c r="G590" s="61"/>
      <c r="I590" s="61"/>
      <c r="J590" s="71"/>
      <c r="K590" s="71"/>
      <c r="L590" s="71"/>
      <c r="M590" s="71"/>
      <c r="N590" s="71"/>
      <c r="O590" s="71"/>
      <c r="P590" s="71"/>
      <c r="Q590" s="71"/>
      <c r="R590" s="71"/>
      <c r="S590" s="71"/>
      <c r="T590" s="71"/>
      <c r="U590" s="71"/>
      <c r="V590" s="71"/>
      <c r="W590" s="71"/>
      <c r="X590" s="71"/>
      <c r="Y590" s="71"/>
      <c r="Z590" s="71"/>
      <c r="AA590" s="71"/>
      <c r="AB590" s="71"/>
    </row>
    <row r="591" ht="15.75" customHeight="1">
      <c r="A591" s="71"/>
      <c r="B591" s="71"/>
      <c r="C591" s="61"/>
      <c r="D591" s="61"/>
      <c r="E591" s="71"/>
      <c r="F591" s="71"/>
      <c r="G591" s="61"/>
      <c r="I591" s="61"/>
      <c r="J591" s="71"/>
      <c r="K591" s="71"/>
      <c r="L591" s="71"/>
      <c r="M591" s="71"/>
      <c r="N591" s="71"/>
      <c r="O591" s="71"/>
      <c r="P591" s="71"/>
      <c r="Q591" s="71"/>
      <c r="R591" s="71"/>
      <c r="S591" s="71"/>
      <c r="T591" s="71"/>
      <c r="U591" s="71"/>
      <c r="V591" s="71"/>
      <c r="W591" s="71"/>
      <c r="X591" s="71"/>
      <c r="Y591" s="71"/>
      <c r="Z591" s="71"/>
      <c r="AA591" s="71"/>
      <c r="AB591" s="71"/>
    </row>
    <row r="592" ht="15.75" customHeight="1">
      <c r="A592" s="71"/>
      <c r="B592" s="71"/>
      <c r="C592" s="61"/>
      <c r="D592" s="61"/>
      <c r="E592" s="71"/>
      <c r="F592" s="71"/>
      <c r="G592" s="61"/>
      <c r="I592" s="61"/>
      <c r="J592" s="71"/>
      <c r="K592" s="71"/>
      <c r="L592" s="71"/>
      <c r="M592" s="71"/>
      <c r="N592" s="71"/>
      <c r="O592" s="71"/>
      <c r="P592" s="71"/>
      <c r="Q592" s="71"/>
      <c r="R592" s="71"/>
      <c r="S592" s="71"/>
      <c r="T592" s="71"/>
      <c r="U592" s="71"/>
      <c r="V592" s="71"/>
      <c r="W592" s="71"/>
      <c r="X592" s="71"/>
      <c r="Y592" s="71"/>
      <c r="Z592" s="71"/>
      <c r="AA592" s="71"/>
      <c r="AB592" s="71"/>
    </row>
    <row r="593" ht="15.75" customHeight="1">
      <c r="A593" s="71"/>
      <c r="B593" s="71"/>
      <c r="C593" s="61"/>
      <c r="D593" s="61"/>
      <c r="E593" s="71"/>
      <c r="F593" s="71"/>
      <c r="G593" s="61"/>
      <c r="I593" s="61"/>
      <c r="J593" s="71"/>
      <c r="K593" s="71"/>
      <c r="L593" s="71"/>
      <c r="M593" s="71"/>
      <c r="N593" s="71"/>
      <c r="O593" s="71"/>
      <c r="P593" s="71"/>
      <c r="Q593" s="71"/>
      <c r="R593" s="71"/>
      <c r="S593" s="71"/>
      <c r="T593" s="71"/>
      <c r="U593" s="71"/>
      <c r="V593" s="71"/>
      <c r="W593" s="71"/>
      <c r="X593" s="71"/>
      <c r="Y593" s="71"/>
      <c r="Z593" s="71"/>
      <c r="AA593" s="71"/>
      <c r="AB593" s="71"/>
    </row>
    <row r="594" ht="15.75" customHeight="1">
      <c r="A594" s="71"/>
      <c r="B594" s="71"/>
      <c r="C594" s="61"/>
      <c r="D594" s="61"/>
      <c r="E594" s="71"/>
      <c r="F594" s="71"/>
      <c r="G594" s="61"/>
      <c r="I594" s="61"/>
      <c r="J594" s="71"/>
      <c r="K594" s="71"/>
      <c r="L594" s="71"/>
      <c r="M594" s="71"/>
      <c r="N594" s="71"/>
      <c r="O594" s="71"/>
      <c r="P594" s="71"/>
      <c r="Q594" s="71"/>
      <c r="R594" s="71"/>
      <c r="S594" s="71"/>
      <c r="T594" s="71"/>
      <c r="U594" s="71"/>
      <c r="V594" s="71"/>
      <c r="W594" s="71"/>
      <c r="X594" s="71"/>
      <c r="Y594" s="71"/>
      <c r="Z594" s="71"/>
      <c r="AA594" s="71"/>
      <c r="AB594" s="71"/>
    </row>
    <row r="595" ht="15.75" customHeight="1">
      <c r="A595" s="71"/>
      <c r="B595" s="71"/>
      <c r="C595" s="61"/>
      <c r="D595" s="61"/>
      <c r="E595" s="71"/>
      <c r="F595" s="71"/>
      <c r="G595" s="61"/>
      <c r="I595" s="61"/>
      <c r="J595" s="71"/>
      <c r="K595" s="71"/>
      <c r="L595" s="71"/>
      <c r="M595" s="71"/>
      <c r="N595" s="71"/>
      <c r="O595" s="71"/>
      <c r="P595" s="71"/>
      <c r="Q595" s="71"/>
      <c r="R595" s="71"/>
      <c r="S595" s="71"/>
      <c r="T595" s="71"/>
      <c r="U595" s="71"/>
      <c r="V595" s="71"/>
      <c r="W595" s="71"/>
      <c r="X595" s="71"/>
      <c r="Y595" s="71"/>
      <c r="Z595" s="71"/>
      <c r="AA595" s="71"/>
      <c r="AB595" s="71"/>
    </row>
    <row r="596" ht="15.75" customHeight="1">
      <c r="A596" s="71"/>
      <c r="B596" s="71"/>
      <c r="C596" s="61"/>
      <c r="D596" s="61"/>
      <c r="E596" s="71"/>
      <c r="F596" s="71"/>
      <c r="G596" s="61"/>
      <c r="I596" s="61"/>
      <c r="J596" s="71"/>
      <c r="K596" s="71"/>
      <c r="L596" s="71"/>
      <c r="M596" s="71"/>
      <c r="N596" s="71"/>
      <c r="O596" s="71"/>
      <c r="P596" s="71"/>
      <c r="Q596" s="71"/>
      <c r="R596" s="71"/>
      <c r="S596" s="71"/>
      <c r="T596" s="71"/>
      <c r="U596" s="71"/>
      <c r="V596" s="71"/>
      <c r="W596" s="71"/>
      <c r="X596" s="71"/>
      <c r="Y596" s="71"/>
      <c r="Z596" s="71"/>
      <c r="AA596" s="71"/>
      <c r="AB596" s="71"/>
    </row>
    <row r="597" ht="15.75" customHeight="1">
      <c r="A597" s="71"/>
      <c r="B597" s="71"/>
      <c r="C597" s="61"/>
      <c r="D597" s="61"/>
      <c r="E597" s="71"/>
      <c r="F597" s="71"/>
      <c r="G597" s="61"/>
      <c r="I597" s="61"/>
      <c r="J597" s="71"/>
      <c r="K597" s="71"/>
      <c r="L597" s="71"/>
      <c r="M597" s="71"/>
      <c r="N597" s="71"/>
      <c r="O597" s="71"/>
      <c r="P597" s="71"/>
      <c r="Q597" s="71"/>
      <c r="R597" s="71"/>
      <c r="S597" s="71"/>
      <c r="T597" s="71"/>
      <c r="U597" s="71"/>
      <c r="V597" s="71"/>
      <c r="W597" s="71"/>
      <c r="X597" s="71"/>
      <c r="Y597" s="71"/>
      <c r="Z597" s="71"/>
      <c r="AA597" s="71"/>
      <c r="AB597" s="71"/>
    </row>
    <row r="598" ht="15.75" customHeight="1">
      <c r="A598" s="71"/>
      <c r="B598" s="71"/>
      <c r="C598" s="61"/>
      <c r="D598" s="61"/>
      <c r="E598" s="71"/>
      <c r="F598" s="71"/>
      <c r="G598" s="61"/>
      <c r="I598" s="61"/>
      <c r="J598" s="71"/>
      <c r="K598" s="71"/>
      <c r="L598" s="71"/>
      <c r="M598" s="71"/>
      <c r="N598" s="71"/>
      <c r="O598" s="71"/>
      <c r="P598" s="71"/>
      <c r="Q598" s="71"/>
      <c r="R598" s="71"/>
      <c r="S598" s="71"/>
      <c r="T598" s="71"/>
      <c r="U598" s="71"/>
      <c r="V598" s="71"/>
      <c r="W598" s="71"/>
      <c r="X598" s="71"/>
      <c r="Y598" s="71"/>
      <c r="Z598" s="71"/>
      <c r="AA598" s="71"/>
      <c r="AB598" s="71"/>
    </row>
    <row r="599" ht="15.75" customHeight="1">
      <c r="A599" s="71"/>
      <c r="B599" s="71"/>
      <c r="C599" s="61"/>
      <c r="D599" s="61"/>
      <c r="E599" s="71"/>
      <c r="F599" s="71"/>
      <c r="G599" s="61"/>
      <c r="I599" s="61"/>
      <c r="J599" s="71"/>
      <c r="K599" s="71"/>
      <c r="L599" s="71"/>
      <c r="M599" s="71"/>
      <c r="N599" s="71"/>
      <c r="O599" s="71"/>
      <c r="P599" s="71"/>
      <c r="Q599" s="71"/>
      <c r="R599" s="71"/>
      <c r="S599" s="71"/>
      <c r="T599" s="71"/>
      <c r="U599" s="71"/>
      <c r="V599" s="71"/>
      <c r="W599" s="71"/>
      <c r="X599" s="71"/>
      <c r="Y599" s="71"/>
      <c r="Z599" s="71"/>
      <c r="AA599" s="71"/>
      <c r="AB599" s="71"/>
    </row>
    <row r="600" ht="15.75" customHeight="1">
      <c r="A600" s="71"/>
      <c r="B600" s="71"/>
      <c r="C600" s="61"/>
      <c r="D600" s="61"/>
      <c r="E600" s="71"/>
      <c r="F600" s="71"/>
      <c r="G600" s="61"/>
      <c r="I600" s="61"/>
      <c r="J600" s="71"/>
      <c r="K600" s="71"/>
      <c r="L600" s="71"/>
      <c r="M600" s="71"/>
      <c r="N600" s="71"/>
      <c r="O600" s="71"/>
      <c r="P600" s="71"/>
      <c r="Q600" s="71"/>
      <c r="R600" s="71"/>
      <c r="S600" s="71"/>
      <c r="T600" s="71"/>
      <c r="U600" s="71"/>
      <c r="V600" s="71"/>
      <c r="W600" s="71"/>
      <c r="X600" s="71"/>
      <c r="Y600" s="71"/>
      <c r="Z600" s="71"/>
      <c r="AA600" s="71"/>
      <c r="AB600" s="71"/>
    </row>
    <row r="601" ht="15.75" customHeight="1">
      <c r="A601" s="71"/>
      <c r="B601" s="71"/>
      <c r="C601" s="61"/>
      <c r="D601" s="61"/>
      <c r="E601" s="71"/>
      <c r="F601" s="71"/>
      <c r="G601" s="61"/>
      <c r="I601" s="61"/>
      <c r="J601" s="71"/>
      <c r="K601" s="71"/>
      <c r="L601" s="71"/>
      <c r="M601" s="71"/>
      <c r="N601" s="71"/>
      <c r="O601" s="71"/>
      <c r="P601" s="71"/>
      <c r="Q601" s="71"/>
      <c r="R601" s="71"/>
      <c r="S601" s="71"/>
      <c r="T601" s="71"/>
      <c r="U601" s="71"/>
      <c r="V601" s="71"/>
      <c r="W601" s="71"/>
      <c r="X601" s="71"/>
      <c r="Y601" s="71"/>
      <c r="Z601" s="71"/>
      <c r="AA601" s="71"/>
      <c r="AB601" s="71"/>
    </row>
    <row r="602" ht="15.75" customHeight="1">
      <c r="A602" s="71"/>
      <c r="B602" s="71"/>
      <c r="C602" s="61"/>
      <c r="D602" s="61"/>
      <c r="E602" s="71"/>
      <c r="F602" s="71"/>
      <c r="G602" s="61"/>
      <c r="I602" s="61"/>
      <c r="J602" s="71"/>
      <c r="K602" s="71"/>
      <c r="L602" s="71"/>
      <c r="M602" s="71"/>
      <c r="N602" s="71"/>
      <c r="O602" s="71"/>
      <c r="P602" s="71"/>
      <c r="Q602" s="71"/>
      <c r="R602" s="71"/>
      <c r="S602" s="71"/>
      <c r="T602" s="71"/>
      <c r="U602" s="71"/>
      <c r="V602" s="71"/>
      <c r="W602" s="71"/>
      <c r="X602" s="71"/>
      <c r="Y602" s="71"/>
      <c r="Z602" s="71"/>
      <c r="AA602" s="71"/>
      <c r="AB602" s="71"/>
    </row>
    <row r="603" ht="15.75" customHeight="1">
      <c r="A603" s="71"/>
      <c r="B603" s="71"/>
      <c r="C603" s="61"/>
      <c r="D603" s="61"/>
      <c r="E603" s="71"/>
      <c r="F603" s="71"/>
      <c r="G603" s="61"/>
      <c r="I603" s="61"/>
      <c r="J603" s="71"/>
      <c r="K603" s="71"/>
      <c r="L603" s="71"/>
      <c r="M603" s="71"/>
      <c r="N603" s="71"/>
      <c r="O603" s="71"/>
      <c r="P603" s="71"/>
      <c r="Q603" s="71"/>
      <c r="R603" s="71"/>
      <c r="S603" s="71"/>
      <c r="T603" s="71"/>
      <c r="U603" s="71"/>
      <c r="V603" s="71"/>
      <c r="W603" s="71"/>
      <c r="X603" s="71"/>
      <c r="Y603" s="71"/>
      <c r="Z603" s="71"/>
      <c r="AA603" s="71"/>
      <c r="AB603" s="71"/>
    </row>
    <row r="604" ht="15.75" customHeight="1">
      <c r="A604" s="71"/>
      <c r="B604" s="71"/>
      <c r="C604" s="61"/>
      <c r="D604" s="61"/>
      <c r="E604" s="71"/>
      <c r="F604" s="71"/>
      <c r="G604" s="61"/>
      <c r="I604" s="61"/>
      <c r="J604" s="71"/>
      <c r="K604" s="71"/>
      <c r="L604" s="71"/>
      <c r="M604" s="71"/>
      <c r="N604" s="71"/>
      <c r="O604" s="71"/>
      <c r="P604" s="71"/>
      <c r="Q604" s="71"/>
      <c r="R604" s="71"/>
      <c r="S604" s="71"/>
      <c r="T604" s="71"/>
      <c r="U604" s="71"/>
      <c r="V604" s="71"/>
      <c r="W604" s="71"/>
      <c r="X604" s="71"/>
      <c r="Y604" s="71"/>
      <c r="Z604" s="71"/>
      <c r="AA604" s="71"/>
      <c r="AB604" s="71"/>
    </row>
    <row r="605" ht="15.75" customHeight="1">
      <c r="A605" s="71"/>
      <c r="B605" s="71"/>
      <c r="C605" s="61"/>
      <c r="D605" s="61"/>
      <c r="E605" s="71"/>
      <c r="F605" s="71"/>
      <c r="G605" s="61"/>
      <c r="I605" s="61"/>
      <c r="J605" s="71"/>
      <c r="K605" s="71"/>
      <c r="L605" s="71"/>
      <c r="M605" s="71"/>
      <c r="N605" s="71"/>
      <c r="O605" s="71"/>
      <c r="P605" s="71"/>
      <c r="Q605" s="71"/>
      <c r="R605" s="71"/>
      <c r="S605" s="71"/>
      <c r="T605" s="71"/>
      <c r="U605" s="71"/>
      <c r="V605" s="71"/>
      <c r="W605" s="71"/>
      <c r="X605" s="71"/>
      <c r="Y605" s="71"/>
      <c r="Z605" s="71"/>
      <c r="AA605" s="71"/>
      <c r="AB605" s="71"/>
    </row>
    <row r="606" ht="15.75" customHeight="1">
      <c r="A606" s="71"/>
      <c r="B606" s="71"/>
      <c r="C606" s="61"/>
      <c r="D606" s="61"/>
      <c r="E606" s="71"/>
      <c r="F606" s="71"/>
      <c r="G606" s="61"/>
      <c r="I606" s="61"/>
      <c r="J606" s="71"/>
      <c r="K606" s="71"/>
      <c r="L606" s="71"/>
      <c r="M606" s="71"/>
      <c r="N606" s="71"/>
      <c r="O606" s="71"/>
      <c r="P606" s="71"/>
      <c r="Q606" s="71"/>
      <c r="R606" s="71"/>
      <c r="S606" s="71"/>
      <c r="T606" s="71"/>
      <c r="U606" s="71"/>
      <c r="V606" s="71"/>
      <c r="W606" s="71"/>
      <c r="X606" s="71"/>
      <c r="Y606" s="71"/>
      <c r="Z606" s="71"/>
      <c r="AA606" s="71"/>
      <c r="AB606" s="71"/>
    </row>
    <row r="607" ht="15.75" customHeight="1">
      <c r="A607" s="71"/>
      <c r="B607" s="71"/>
      <c r="C607" s="61"/>
      <c r="D607" s="61"/>
      <c r="E607" s="71"/>
      <c r="F607" s="71"/>
      <c r="G607" s="61"/>
      <c r="I607" s="61"/>
      <c r="J607" s="71"/>
      <c r="K607" s="71"/>
      <c r="L607" s="71"/>
      <c r="M607" s="71"/>
      <c r="N607" s="71"/>
      <c r="O607" s="71"/>
      <c r="P607" s="71"/>
      <c r="Q607" s="71"/>
      <c r="R607" s="71"/>
      <c r="S607" s="71"/>
      <c r="T607" s="71"/>
      <c r="U607" s="71"/>
      <c r="V607" s="71"/>
      <c r="W607" s="71"/>
      <c r="X607" s="71"/>
      <c r="Y607" s="71"/>
      <c r="Z607" s="71"/>
      <c r="AA607" s="71"/>
      <c r="AB607" s="71"/>
    </row>
    <row r="608" ht="15.75" customHeight="1">
      <c r="A608" s="71"/>
      <c r="B608" s="71"/>
      <c r="C608" s="61"/>
      <c r="D608" s="61"/>
      <c r="E608" s="71"/>
      <c r="F608" s="71"/>
      <c r="G608" s="61"/>
      <c r="I608" s="61"/>
      <c r="J608" s="71"/>
      <c r="K608" s="71"/>
      <c r="L608" s="71"/>
      <c r="M608" s="71"/>
      <c r="N608" s="71"/>
      <c r="O608" s="71"/>
      <c r="P608" s="71"/>
      <c r="Q608" s="71"/>
      <c r="R608" s="71"/>
      <c r="S608" s="71"/>
      <c r="T608" s="71"/>
      <c r="U608" s="71"/>
      <c r="V608" s="71"/>
      <c r="W608" s="71"/>
      <c r="X608" s="71"/>
      <c r="Y608" s="71"/>
      <c r="Z608" s="71"/>
      <c r="AA608" s="71"/>
      <c r="AB608" s="71"/>
    </row>
    <row r="609" ht="15.75" customHeight="1">
      <c r="A609" s="71"/>
      <c r="B609" s="71"/>
      <c r="C609" s="61"/>
      <c r="D609" s="61"/>
      <c r="E609" s="71"/>
      <c r="F609" s="71"/>
      <c r="G609" s="61"/>
      <c r="I609" s="61"/>
      <c r="J609" s="71"/>
      <c r="K609" s="71"/>
      <c r="L609" s="71"/>
      <c r="M609" s="71"/>
      <c r="N609" s="71"/>
      <c r="O609" s="71"/>
      <c r="P609" s="71"/>
      <c r="Q609" s="71"/>
      <c r="R609" s="71"/>
      <c r="S609" s="71"/>
      <c r="T609" s="71"/>
      <c r="U609" s="71"/>
      <c r="V609" s="71"/>
      <c r="W609" s="71"/>
      <c r="X609" s="71"/>
      <c r="Y609" s="71"/>
      <c r="Z609" s="71"/>
      <c r="AA609" s="71"/>
      <c r="AB609" s="71"/>
    </row>
    <row r="610" ht="15.75" customHeight="1">
      <c r="A610" s="71"/>
      <c r="B610" s="71"/>
      <c r="C610" s="61"/>
      <c r="D610" s="61"/>
      <c r="E610" s="71"/>
      <c r="F610" s="71"/>
      <c r="G610" s="61"/>
      <c r="I610" s="61"/>
      <c r="J610" s="71"/>
      <c r="K610" s="71"/>
      <c r="L610" s="71"/>
      <c r="M610" s="71"/>
      <c r="N610" s="71"/>
      <c r="O610" s="71"/>
      <c r="P610" s="71"/>
      <c r="Q610" s="71"/>
      <c r="R610" s="71"/>
      <c r="S610" s="71"/>
      <c r="T610" s="71"/>
      <c r="U610" s="71"/>
      <c r="V610" s="71"/>
      <c r="W610" s="71"/>
      <c r="X610" s="71"/>
      <c r="Y610" s="71"/>
      <c r="Z610" s="71"/>
      <c r="AA610" s="71"/>
      <c r="AB610" s="71"/>
    </row>
    <row r="611" ht="15.75" customHeight="1">
      <c r="A611" s="71"/>
      <c r="B611" s="71"/>
      <c r="C611" s="61"/>
      <c r="D611" s="61"/>
      <c r="E611" s="71"/>
      <c r="F611" s="71"/>
      <c r="G611" s="61"/>
      <c r="I611" s="61"/>
      <c r="J611" s="71"/>
      <c r="K611" s="71"/>
      <c r="L611" s="71"/>
      <c r="M611" s="71"/>
      <c r="N611" s="71"/>
      <c r="O611" s="71"/>
      <c r="P611" s="71"/>
      <c r="Q611" s="71"/>
      <c r="R611" s="71"/>
      <c r="S611" s="71"/>
      <c r="T611" s="71"/>
      <c r="U611" s="71"/>
      <c r="V611" s="71"/>
      <c r="W611" s="71"/>
      <c r="X611" s="71"/>
      <c r="Y611" s="71"/>
      <c r="Z611" s="71"/>
      <c r="AA611" s="71"/>
      <c r="AB611" s="71"/>
    </row>
    <row r="612" ht="15.75" customHeight="1">
      <c r="A612" s="71"/>
      <c r="B612" s="71"/>
      <c r="C612" s="61"/>
      <c r="D612" s="61"/>
      <c r="E612" s="71"/>
      <c r="F612" s="71"/>
      <c r="G612" s="61"/>
      <c r="I612" s="61"/>
      <c r="J612" s="71"/>
      <c r="K612" s="71"/>
      <c r="L612" s="71"/>
      <c r="M612" s="71"/>
      <c r="N612" s="71"/>
      <c r="O612" s="71"/>
      <c r="P612" s="71"/>
      <c r="Q612" s="71"/>
      <c r="R612" s="71"/>
      <c r="S612" s="71"/>
      <c r="T612" s="71"/>
      <c r="U612" s="71"/>
      <c r="V612" s="71"/>
      <c r="W612" s="71"/>
      <c r="X612" s="71"/>
      <c r="Y612" s="71"/>
      <c r="Z612" s="71"/>
      <c r="AA612" s="71"/>
      <c r="AB612" s="71"/>
    </row>
    <row r="613" ht="15.75" customHeight="1">
      <c r="A613" s="71"/>
      <c r="B613" s="71"/>
      <c r="C613" s="61"/>
      <c r="D613" s="61"/>
      <c r="E613" s="71"/>
      <c r="F613" s="71"/>
      <c r="G613" s="61"/>
      <c r="I613" s="61"/>
      <c r="J613" s="71"/>
      <c r="K613" s="71"/>
      <c r="L613" s="71"/>
      <c r="M613" s="71"/>
      <c r="N613" s="71"/>
      <c r="O613" s="71"/>
      <c r="P613" s="71"/>
      <c r="Q613" s="71"/>
      <c r="R613" s="71"/>
      <c r="S613" s="71"/>
      <c r="T613" s="71"/>
      <c r="U613" s="71"/>
      <c r="V613" s="71"/>
      <c r="W613" s="71"/>
      <c r="X613" s="71"/>
      <c r="Y613" s="71"/>
      <c r="Z613" s="71"/>
      <c r="AA613" s="71"/>
      <c r="AB613" s="71"/>
    </row>
    <row r="614" ht="15.75" customHeight="1">
      <c r="A614" s="71"/>
      <c r="B614" s="71"/>
      <c r="C614" s="61"/>
      <c r="D614" s="61"/>
      <c r="E614" s="71"/>
      <c r="F614" s="71"/>
      <c r="G614" s="61"/>
      <c r="I614" s="61"/>
      <c r="J614" s="71"/>
      <c r="K614" s="71"/>
      <c r="L614" s="71"/>
      <c r="M614" s="71"/>
      <c r="N614" s="71"/>
      <c r="O614" s="71"/>
      <c r="P614" s="71"/>
      <c r="Q614" s="71"/>
      <c r="R614" s="71"/>
      <c r="S614" s="71"/>
      <c r="T614" s="71"/>
      <c r="U614" s="71"/>
      <c r="V614" s="71"/>
      <c r="W614" s="71"/>
      <c r="X614" s="71"/>
      <c r="Y614" s="71"/>
      <c r="Z614" s="71"/>
      <c r="AA614" s="71"/>
      <c r="AB614" s="71"/>
    </row>
    <row r="615" ht="15.75" customHeight="1">
      <c r="A615" s="71"/>
      <c r="B615" s="71"/>
      <c r="C615" s="61"/>
      <c r="D615" s="61"/>
      <c r="E615" s="71"/>
      <c r="F615" s="71"/>
      <c r="G615" s="61"/>
      <c r="I615" s="61"/>
      <c r="J615" s="71"/>
      <c r="K615" s="71"/>
      <c r="L615" s="71"/>
      <c r="M615" s="71"/>
      <c r="N615" s="71"/>
      <c r="O615" s="71"/>
      <c r="P615" s="71"/>
      <c r="Q615" s="71"/>
      <c r="R615" s="71"/>
      <c r="S615" s="71"/>
      <c r="T615" s="71"/>
      <c r="U615" s="71"/>
      <c r="V615" s="71"/>
      <c r="W615" s="71"/>
      <c r="X615" s="71"/>
      <c r="Y615" s="71"/>
      <c r="Z615" s="71"/>
      <c r="AA615" s="71"/>
      <c r="AB615" s="71"/>
    </row>
    <row r="616" ht="15.75" customHeight="1">
      <c r="A616" s="71"/>
      <c r="B616" s="71"/>
      <c r="C616" s="61"/>
      <c r="D616" s="61"/>
      <c r="E616" s="71"/>
      <c r="F616" s="71"/>
      <c r="G616" s="61"/>
      <c r="I616" s="61"/>
      <c r="J616" s="71"/>
      <c r="K616" s="71"/>
      <c r="L616" s="71"/>
      <c r="M616" s="71"/>
      <c r="N616" s="71"/>
      <c r="O616" s="71"/>
      <c r="P616" s="71"/>
      <c r="Q616" s="71"/>
      <c r="R616" s="71"/>
      <c r="S616" s="71"/>
      <c r="T616" s="71"/>
      <c r="U616" s="71"/>
      <c r="V616" s="71"/>
      <c r="W616" s="71"/>
      <c r="X616" s="71"/>
      <c r="Y616" s="71"/>
      <c r="Z616" s="71"/>
      <c r="AA616" s="71"/>
      <c r="AB616" s="71"/>
    </row>
    <row r="617" ht="15.75" customHeight="1">
      <c r="A617" s="71"/>
      <c r="B617" s="71"/>
      <c r="C617" s="61"/>
      <c r="D617" s="61"/>
      <c r="E617" s="71"/>
      <c r="F617" s="71"/>
      <c r="G617" s="61"/>
      <c r="I617" s="61"/>
      <c r="J617" s="71"/>
      <c r="K617" s="71"/>
      <c r="L617" s="71"/>
      <c r="M617" s="71"/>
      <c r="N617" s="71"/>
      <c r="O617" s="71"/>
      <c r="P617" s="71"/>
      <c r="Q617" s="71"/>
      <c r="R617" s="71"/>
      <c r="S617" s="71"/>
      <c r="T617" s="71"/>
      <c r="U617" s="71"/>
      <c r="V617" s="71"/>
      <c r="W617" s="71"/>
      <c r="X617" s="71"/>
      <c r="Y617" s="71"/>
      <c r="Z617" s="71"/>
      <c r="AA617" s="71"/>
      <c r="AB617" s="71"/>
    </row>
    <row r="618" ht="15.75" customHeight="1">
      <c r="A618" s="71"/>
      <c r="B618" s="71"/>
      <c r="C618" s="61"/>
      <c r="D618" s="61"/>
      <c r="E618" s="71"/>
      <c r="F618" s="71"/>
      <c r="G618" s="61"/>
      <c r="I618" s="61"/>
      <c r="J618" s="71"/>
      <c r="K618" s="71"/>
      <c r="L618" s="71"/>
      <c r="M618" s="71"/>
      <c r="N618" s="71"/>
      <c r="O618" s="71"/>
      <c r="P618" s="71"/>
      <c r="Q618" s="71"/>
      <c r="R618" s="71"/>
      <c r="S618" s="71"/>
      <c r="T618" s="71"/>
      <c r="U618" s="71"/>
      <c r="V618" s="71"/>
      <c r="W618" s="71"/>
      <c r="X618" s="71"/>
      <c r="Y618" s="71"/>
      <c r="Z618" s="71"/>
      <c r="AA618" s="71"/>
      <c r="AB618" s="71"/>
    </row>
    <row r="619" ht="15.75" customHeight="1">
      <c r="A619" s="71"/>
      <c r="B619" s="71"/>
      <c r="C619" s="61"/>
      <c r="D619" s="61"/>
      <c r="E619" s="71"/>
      <c r="F619" s="71"/>
      <c r="G619" s="61"/>
      <c r="I619" s="61"/>
      <c r="J619" s="71"/>
      <c r="K619" s="71"/>
      <c r="L619" s="71"/>
      <c r="M619" s="71"/>
      <c r="N619" s="71"/>
      <c r="O619" s="71"/>
      <c r="P619" s="71"/>
      <c r="Q619" s="71"/>
      <c r="R619" s="71"/>
      <c r="S619" s="71"/>
      <c r="T619" s="71"/>
      <c r="U619" s="71"/>
      <c r="V619" s="71"/>
      <c r="W619" s="71"/>
      <c r="X619" s="71"/>
      <c r="Y619" s="71"/>
      <c r="Z619" s="71"/>
      <c r="AA619" s="71"/>
      <c r="AB619" s="71"/>
    </row>
    <row r="620" ht="15.75" customHeight="1">
      <c r="A620" s="71"/>
      <c r="B620" s="71"/>
      <c r="C620" s="61"/>
      <c r="D620" s="61"/>
      <c r="E620" s="71"/>
      <c r="F620" s="71"/>
      <c r="G620" s="61"/>
      <c r="I620" s="61"/>
      <c r="J620" s="71"/>
      <c r="K620" s="71"/>
      <c r="L620" s="71"/>
      <c r="M620" s="71"/>
      <c r="N620" s="71"/>
      <c r="O620" s="71"/>
      <c r="P620" s="71"/>
      <c r="Q620" s="71"/>
      <c r="R620" s="71"/>
      <c r="S620" s="71"/>
      <c r="T620" s="71"/>
      <c r="U620" s="71"/>
      <c r="V620" s="71"/>
      <c r="W620" s="71"/>
      <c r="X620" s="71"/>
      <c r="Y620" s="71"/>
      <c r="Z620" s="71"/>
      <c r="AA620" s="71"/>
      <c r="AB620" s="71"/>
    </row>
    <row r="621" ht="15.75" customHeight="1">
      <c r="A621" s="71"/>
      <c r="B621" s="71"/>
      <c r="C621" s="61"/>
      <c r="D621" s="61"/>
      <c r="E621" s="71"/>
      <c r="F621" s="71"/>
      <c r="G621" s="61"/>
      <c r="I621" s="61"/>
      <c r="J621" s="71"/>
      <c r="K621" s="71"/>
      <c r="L621" s="71"/>
      <c r="M621" s="71"/>
      <c r="N621" s="71"/>
      <c r="O621" s="71"/>
      <c r="P621" s="71"/>
      <c r="Q621" s="71"/>
      <c r="R621" s="71"/>
      <c r="S621" s="71"/>
      <c r="T621" s="71"/>
      <c r="U621" s="71"/>
      <c r="V621" s="71"/>
      <c r="W621" s="71"/>
      <c r="X621" s="71"/>
      <c r="Y621" s="71"/>
      <c r="Z621" s="71"/>
      <c r="AA621" s="71"/>
      <c r="AB621" s="71"/>
    </row>
    <row r="622" ht="15.75" customHeight="1">
      <c r="A622" s="71"/>
      <c r="B622" s="71"/>
      <c r="C622" s="61"/>
      <c r="D622" s="61"/>
      <c r="E622" s="71"/>
      <c r="F622" s="71"/>
      <c r="G622" s="61"/>
      <c r="I622" s="61"/>
      <c r="J622" s="71"/>
      <c r="K622" s="71"/>
      <c r="L622" s="71"/>
      <c r="M622" s="71"/>
      <c r="N622" s="71"/>
      <c r="O622" s="71"/>
      <c r="P622" s="71"/>
      <c r="Q622" s="71"/>
      <c r="R622" s="71"/>
      <c r="S622" s="71"/>
      <c r="T622" s="71"/>
      <c r="U622" s="71"/>
      <c r="V622" s="71"/>
      <c r="W622" s="71"/>
      <c r="X622" s="71"/>
      <c r="Y622" s="71"/>
      <c r="Z622" s="71"/>
      <c r="AA622" s="71"/>
      <c r="AB622" s="71"/>
    </row>
    <row r="623" ht="15.75" customHeight="1">
      <c r="A623" s="71"/>
      <c r="B623" s="71"/>
      <c r="C623" s="61"/>
      <c r="D623" s="61"/>
      <c r="E623" s="71"/>
      <c r="F623" s="71"/>
      <c r="G623" s="61"/>
      <c r="I623" s="61"/>
      <c r="J623" s="71"/>
      <c r="K623" s="71"/>
      <c r="L623" s="71"/>
      <c r="M623" s="71"/>
      <c r="N623" s="71"/>
      <c r="O623" s="71"/>
      <c r="P623" s="71"/>
      <c r="Q623" s="71"/>
      <c r="R623" s="71"/>
      <c r="S623" s="71"/>
      <c r="T623" s="71"/>
      <c r="U623" s="71"/>
      <c r="V623" s="71"/>
      <c r="W623" s="71"/>
      <c r="X623" s="71"/>
      <c r="Y623" s="71"/>
      <c r="Z623" s="71"/>
      <c r="AA623" s="71"/>
      <c r="AB623" s="71"/>
    </row>
    <row r="624" ht="15.75" customHeight="1">
      <c r="A624" s="71"/>
      <c r="B624" s="71"/>
      <c r="C624" s="61"/>
      <c r="D624" s="61"/>
      <c r="E624" s="71"/>
      <c r="F624" s="71"/>
      <c r="G624" s="61"/>
      <c r="I624" s="61"/>
      <c r="J624" s="71"/>
      <c r="K624" s="71"/>
      <c r="L624" s="71"/>
      <c r="M624" s="71"/>
      <c r="N624" s="71"/>
      <c r="O624" s="71"/>
      <c r="P624" s="71"/>
      <c r="Q624" s="71"/>
      <c r="R624" s="71"/>
      <c r="S624" s="71"/>
      <c r="T624" s="71"/>
      <c r="U624" s="71"/>
      <c r="V624" s="71"/>
      <c r="W624" s="71"/>
      <c r="X624" s="71"/>
      <c r="Y624" s="71"/>
      <c r="Z624" s="71"/>
      <c r="AA624" s="71"/>
      <c r="AB624" s="71"/>
    </row>
    <row r="625" ht="15.75" customHeight="1">
      <c r="A625" s="71"/>
      <c r="B625" s="71"/>
      <c r="C625" s="61"/>
      <c r="D625" s="61"/>
      <c r="E625" s="71"/>
      <c r="F625" s="71"/>
      <c r="G625" s="61"/>
      <c r="I625" s="61"/>
      <c r="J625" s="71"/>
      <c r="K625" s="71"/>
      <c r="L625" s="71"/>
      <c r="M625" s="71"/>
      <c r="N625" s="71"/>
      <c r="O625" s="71"/>
      <c r="P625" s="71"/>
      <c r="Q625" s="71"/>
      <c r="R625" s="71"/>
      <c r="S625" s="71"/>
      <c r="T625" s="71"/>
      <c r="U625" s="71"/>
      <c r="V625" s="71"/>
      <c r="W625" s="71"/>
      <c r="X625" s="71"/>
      <c r="Y625" s="71"/>
      <c r="Z625" s="71"/>
      <c r="AA625" s="71"/>
      <c r="AB625" s="71"/>
    </row>
    <row r="626" ht="15.75" customHeight="1">
      <c r="A626" s="71"/>
      <c r="B626" s="71"/>
      <c r="C626" s="61"/>
      <c r="D626" s="61"/>
      <c r="E626" s="71"/>
      <c r="F626" s="71"/>
      <c r="G626" s="61"/>
      <c r="I626" s="61"/>
      <c r="J626" s="71"/>
      <c r="K626" s="71"/>
      <c r="L626" s="71"/>
      <c r="M626" s="71"/>
      <c r="N626" s="71"/>
      <c r="O626" s="71"/>
      <c r="P626" s="71"/>
      <c r="Q626" s="71"/>
      <c r="R626" s="71"/>
      <c r="S626" s="71"/>
      <c r="T626" s="71"/>
      <c r="U626" s="71"/>
      <c r="V626" s="71"/>
      <c r="W626" s="71"/>
      <c r="X626" s="71"/>
      <c r="Y626" s="71"/>
      <c r="Z626" s="71"/>
      <c r="AA626" s="71"/>
      <c r="AB626" s="71"/>
    </row>
    <row r="627" ht="15.75" customHeight="1">
      <c r="A627" s="71"/>
      <c r="B627" s="71"/>
      <c r="C627" s="61"/>
      <c r="D627" s="61"/>
      <c r="E627" s="71"/>
      <c r="F627" s="71"/>
      <c r="G627" s="61"/>
      <c r="I627" s="61"/>
      <c r="J627" s="71"/>
      <c r="K627" s="71"/>
      <c r="L627" s="71"/>
      <c r="M627" s="71"/>
      <c r="N627" s="71"/>
      <c r="O627" s="71"/>
      <c r="P627" s="71"/>
      <c r="Q627" s="71"/>
      <c r="R627" s="71"/>
      <c r="S627" s="71"/>
      <c r="T627" s="71"/>
      <c r="U627" s="71"/>
      <c r="V627" s="71"/>
      <c r="W627" s="71"/>
      <c r="X627" s="71"/>
      <c r="Y627" s="71"/>
      <c r="Z627" s="71"/>
      <c r="AA627" s="71"/>
      <c r="AB627" s="71"/>
    </row>
    <row r="628" ht="15.75" customHeight="1">
      <c r="A628" s="71"/>
      <c r="B628" s="71"/>
      <c r="C628" s="61"/>
      <c r="D628" s="61"/>
      <c r="E628" s="71"/>
      <c r="F628" s="71"/>
      <c r="G628" s="61"/>
      <c r="I628" s="61"/>
      <c r="J628" s="71"/>
      <c r="K628" s="71"/>
      <c r="L628" s="71"/>
      <c r="M628" s="71"/>
      <c r="N628" s="71"/>
      <c r="O628" s="71"/>
      <c r="P628" s="71"/>
      <c r="Q628" s="71"/>
      <c r="R628" s="71"/>
      <c r="S628" s="71"/>
      <c r="T628" s="71"/>
      <c r="U628" s="71"/>
      <c r="V628" s="71"/>
      <c r="W628" s="71"/>
      <c r="X628" s="71"/>
      <c r="Y628" s="71"/>
      <c r="Z628" s="71"/>
      <c r="AA628" s="71"/>
      <c r="AB628" s="71"/>
    </row>
    <row r="629" ht="15.75" customHeight="1">
      <c r="A629" s="71"/>
      <c r="B629" s="71"/>
      <c r="C629" s="61"/>
      <c r="D629" s="61"/>
      <c r="E629" s="71"/>
      <c r="F629" s="71"/>
      <c r="G629" s="61"/>
      <c r="I629" s="61"/>
      <c r="J629" s="71"/>
      <c r="K629" s="71"/>
      <c r="L629" s="71"/>
      <c r="M629" s="71"/>
      <c r="N629" s="71"/>
      <c r="O629" s="71"/>
      <c r="P629" s="71"/>
      <c r="Q629" s="71"/>
      <c r="R629" s="71"/>
      <c r="S629" s="71"/>
      <c r="T629" s="71"/>
      <c r="U629" s="71"/>
      <c r="V629" s="71"/>
      <c r="W629" s="71"/>
      <c r="X629" s="71"/>
      <c r="Y629" s="71"/>
      <c r="Z629" s="71"/>
      <c r="AA629" s="71"/>
      <c r="AB629" s="71"/>
    </row>
    <row r="630" ht="15.75" customHeight="1">
      <c r="A630" s="71"/>
      <c r="B630" s="71"/>
      <c r="C630" s="61"/>
      <c r="D630" s="61"/>
      <c r="E630" s="71"/>
      <c r="F630" s="71"/>
      <c r="G630" s="61"/>
      <c r="I630" s="61"/>
      <c r="J630" s="71"/>
      <c r="K630" s="71"/>
      <c r="L630" s="71"/>
      <c r="M630" s="71"/>
      <c r="N630" s="71"/>
      <c r="O630" s="71"/>
      <c r="P630" s="71"/>
      <c r="Q630" s="71"/>
      <c r="R630" s="71"/>
      <c r="S630" s="71"/>
      <c r="T630" s="71"/>
      <c r="U630" s="71"/>
      <c r="V630" s="71"/>
      <c r="W630" s="71"/>
      <c r="X630" s="71"/>
      <c r="Y630" s="71"/>
      <c r="Z630" s="71"/>
      <c r="AA630" s="71"/>
      <c r="AB630" s="71"/>
    </row>
    <row r="631" ht="15.75" customHeight="1">
      <c r="A631" s="71"/>
      <c r="B631" s="71"/>
      <c r="C631" s="61"/>
      <c r="D631" s="61"/>
      <c r="E631" s="71"/>
      <c r="F631" s="71"/>
      <c r="G631" s="61"/>
      <c r="I631" s="61"/>
      <c r="J631" s="71"/>
      <c r="K631" s="71"/>
      <c r="L631" s="71"/>
      <c r="M631" s="71"/>
      <c r="N631" s="71"/>
      <c r="O631" s="71"/>
      <c r="P631" s="71"/>
      <c r="Q631" s="71"/>
      <c r="R631" s="71"/>
      <c r="S631" s="71"/>
      <c r="T631" s="71"/>
      <c r="U631" s="71"/>
      <c r="V631" s="71"/>
      <c r="W631" s="71"/>
      <c r="X631" s="71"/>
      <c r="Y631" s="71"/>
      <c r="Z631" s="71"/>
      <c r="AA631" s="71"/>
      <c r="AB631" s="71"/>
    </row>
    <row r="632" ht="15.75" customHeight="1">
      <c r="A632" s="71"/>
      <c r="B632" s="71"/>
      <c r="C632" s="61"/>
      <c r="D632" s="61"/>
      <c r="E632" s="71"/>
      <c r="F632" s="71"/>
      <c r="G632" s="61"/>
      <c r="I632" s="61"/>
      <c r="J632" s="71"/>
      <c r="K632" s="71"/>
      <c r="L632" s="71"/>
      <c r="M632" s="71"/>
      <c r="N632" s="71"/>
      <c r="O632" s="71"/>
      <c r="P632" s="71"/>
      <c r="Q632" s="71"/>
      <c r="R632" s="71"/>
      <c r="S632" s="71"/>
      <c r="T632" s="71"/>
      <c r="U632" s="71"/>
      <c r="V632" s="71"/>
      <c r="W632" s="71"/>
      <c r="X632" s="71"/>
      <c r="Y632" s="71"/>
      <c r="Z632" s="71"/>
      <c r="AA632" s="71"/>
      <c r="AB632" s="71"/>
    </row>
    <row r="633" ht="15.75" customHeight="1">
      <c r="A633" s="71"/>
      <c r="B633" s="71"/>
      <c r="C633" s="61"/>
      <c r="D633" s="61"/>
      <c r="E633" s="71"/>
      <c r="F633" s="71"/>
      <c r="G633" s="61"/>
      <c r="I633" s="61"/>
      <c r="J633" s="71"/>
      <c r="K633" s="71"/>
      <c r="L633" s="71"/>
      <c r="M633" s="71"/>
      <c r="N633" s="71"/>
      <c r="O633" s="71"/>
      <c r="P633" s="71"/>
      <c r="Q633" s="71"/>
      <c r="R633" s="71"/>
      <c r="S633" s="71"/>
      <c r="T633" s="71"/>
      <c r="U633" s="71"/>
      <c r="V633" s="71"/>
      <c r="W633" s="71"/>
      <c r="X633" s="71"/>
      <c r="Y633" s="71"/>
      <c r="Z633" s="71"/>
      <c r="AA633" s="71"/>
      <c r="AB633" s="71"/>
    </row>
    <row r="634" ht="15.75" customHeight="1">
      <c r="A634" s="71"/>
      <c r="B634" s="71"/>
      <c r="C634" s="61"/>
      <c r="D634" s="61"/>
      <c r="E634" s="71"/>
      <c r="F634" s="71"/>
      <c r="G634" s="61"/>
      <c r="I634" s="61"/>
      <c r="J634" s="71"/>
      <c r="K634" s="71"/>
      <c r="L634" s="71"/>
      <c r="M634" s="71"/>
      <c r="N634" s="71"/>
      <c r="O634" s="71"/>
      <c r="P634" s="71"/>
      <c r="Q634" s="71"/>
      <c r="R634" s="71"/>
      <c r="S634" s="71"/>
      <c r="T634" s="71"/>
      <c r="U634" s="71"/>
      <c r="V634" s="71"/>
      <c r="W634" s="71"/>
      <c r="X634" s="71"/>
      <c r="Y634" s="71"/>
      <c r="Z634" s="71"/>
      <c r="AA634" s="71"/>
      <c r="AB634" s="71"/>
    </row>
    <row r="635" ht="15.75" customHeight="1">
      <c r="A635" s="71"/>
      <c r="B635" s="71"/>
      <c r="C635" s="61"/>
      <c r="D635" s="61"/>
      <c r="E635" s="71"/>
      <c r="F635" s="71"/>
      <c r="G635" s="61"/>
      <c r="I635" s="61"/>
      <c r="J635" s="71"/>
      <c r="K635" s="71"/>
      <c r="L635" s="71"/>
      <c r="M635" s="71"/>
      <c r="N635" s="71"/>
      <c r="O635" s="71"/>
      <c r="P635" s="71"/>
      <c r="Q635" s="71"/>
      <c r="R635" s="71"/>
      <c r="S635" s="71"/>
      <c r="T635" s="71"/>
      <c r="U635" s="71"/>
      <c r="V635" s="71"/>
      <c r="W635" s="71"/>
      <c r="X635" s="71"/>
      <c r="Y635" s="71"/>
      <c r="Z635" s="71"/>
      <c r="AA635" s="71"/>
      <c r="AB635" s="71"/>
    </row>
    <row r="636" ht="15.75" customHeight="1">
      <c r="A636" s="71"/>
      <c r="B636" s="71"/>
      <c r="C636" s="61"/>
      <c r="D636" s="61"/>
      <c r="E636" s="71"/>
      <c r="F636" s="71"/>
      <c r="G636" s="61"/>
      <c r="I636" s="61"/>
      <c r="J636" s="71"/>
      <c r="K636" s="71"/>
      <c r="L636" s="71"/>
      <c r="M636" s="71"/>
      <c r="N636" s="71"/>
      <c r="O636" s="71"/>
      <c r="P636" s="71"/>
      <c r="Q636" s="71"/>
      <c r="R636" s="71"/>
      <c r="S636" s="71"/>
      <c r="T636" s="71"/>
      <c r="U636" s="71"/>
      <c r="V636" s="71"/>
      <c r="W636" s="71"/>
      <c r="X636" s="71"/>
      <c r="Y636" s="71"/>
      <c r="Z636" s="71"/>
      <c r="AA636" s="71"/>
      <c r="AB636" s="71"/>
    </row>
    <row r="637" ht="15.75" customHeight="1">
      <c r="A637" s="71"/>
      <c r="B637" s="71"/>
      <c r="C637" s="61"/>
      <c r="D637" s="61"/>
      <c r="E637" s="71"/>
      <c r="F637" s="71"/>
      <c r="G637" s="61"/>
      <c r="I637" s="61"/>
      <c r="J637" s="71"/>
      <c r="K637" s="71"/>
      <c r="L637" s="71"/>
      <c r="M637" s="71"/>
      <c r="N637" s="71"/>
      <c r="O637" s="71"/>
      <c r="P637" s="71"/>
      <c r="Q637" s="71"/>
      <c r="R637" s="71"/>
      <c r="S637" s="71"/>
      <c r="T637" s="71"/>
      <c r="U637" s="71"/>
      <c r="V637" s="71"/>
      <c r="W637" s="71"/>
      <c r="X637" s="71"/>
      <c r="Y637" s="71"/>
      <c r="Z637" s="71"/>
      <c r="AA637" s="71"/>
      <c r="AB637" s="71"/>
    </row>
    <row r="638" ht="15.75" customHeight="1">
      <c r="A638" s="71"/>
      <c r="B638" s="71"/>
      <c r="C638" s="61"/>
      <c r="D638" s="61"/>
      <c r="E638" s="71"/>
      <c r="F638" s="71"/>
      <c r="G638" s="61"/>
      <c r="I638" s="61"/>
      <c r="J638" s="71"/>
      <c r="K638" s="71"/>
      <c r="L638" s="71"/>
      <c r="M638" s="71"/>
      <c r="N638" s="71"/>
      <c r="O638" s="71"/>
      <c r="P638" s="71"/>
      <c r="Q638" s="71"/>
      <c r="R638" s="71"/>
      <c r="S638" s="71"/>
      <c r="T638" s="71"/>
      <c r="U638" s="71"/>
      <c r="V638" s="71"/>
      <c r="W638" s="71"/>
      <c r="X638" s="71"/>
      <c r="Y638" s="71"/>
      <c r="Z638" s="71"/>
      <c r="AA638" s="71"/>
      <c r="AB638" s="71"/>
    </row>
    <row r="639" ht="15.75" customHeight="1">
      <c r="A639" s="71"/>
      <c r="B639" s="71"/>
      <c r="C639" s="61"/>
      <c r="D639" s="61"/>
      <c r="E639" s="71"/>
      <c r="F639" s="71"/>
      <c r="G639" s="61"/>
      <c r="I639" s="61"/>
      <c r="J639" s="71"/>
      <c r="K639" s="71"/>
      <c r="L639" s="71"/>
      <c r="M639" s="71"/>
      <c r="N639" s="71"/>
      <c r="O639" s="71"/>
      <c r="P639" s="71"/>
      <c r="Q639" s="71"/>
      <c r="R639" s="71"/>
      <c r="S639" s="71"/>
      <c r="T639" s="71"/>
      <c r="U639" s="71"/>
      <c r="V639" s="71"/>
      <c r="W639" s="71"/>
      <c r="X639" s="71"/>
      <c r="Y639" s="71"/>
      <c r="Z639" s="71"/>
      <c r="AA639" s="71"/>
      <c r="AB639" s="71"/>
    </row>
    <row r="640" ht="15.75" customHeight="1">
      <c r="A640" s="71"/>
      <c r="B640" s="71"/>
      <c r="C640" s="61"/>
      <c r="D640" s="61"/>
      <c r="E640" s="71"/>
      <c r="F640" s="71"/>
      <c r="G640" s="61"/>
      <c r="I640" s="61"/>
      <c r="J640" s="71"/>
      <c r="K640" s="71"/>
      <c r="L640" s="71"/>
      <c r="M640" s="71"/>
      <c r="N640" s="71"/>
      <c r="O640" s="71"/>
      <c r="P640" s="71"/>
      <c r="Q640" s="71"/>
      <c r="R640" s="71"/>
      <c r="S640" s="71"/>
      <c r="T640" s="71"/>
      <c r="U640" s="71"/>
      <c r="V640" s="71"/>
      <c r="W640" s="71"/>
      <c r="X640" s="71"/>
      <c r="Y640" s="71"/>
      <c r="Z640" s="71"/>
      <c r="AA640" s="71"/>
      <c r="AB640" s="71"/>
    </row>
    <row r="641" ht="15.75" customHeight="1">
      <c r="A641" s="71"/>
      <c r="B641" s="71"/>
      <c r="C641" s="61"/>
      <c r="D641" s="61"/>
      <c r="E641" s="71"/>
      <c r="F641" s="71"/>
      <c r="G641" s="61"/>
      <c r="I641" s="61"/>
      <c r="J641" s="71"/>
      <c r="K641" s="71"/>
      <c r="L641" s="71"/>
      <c r="M641" s="71"/>
      <c r="N641" s="71"/>
      <c r="O641" s="71"/>
      <c r="P641" s="71"/>
      <c r="Q641" s="71"/>
      <c r="R641" s="71"/>
      <c r="S641" s="71"/>
      <c r="T641" s="71"/>
      <c r="U641" s="71"/>
      <c r="V641" s="71"/>
      <c r="W641" s="71"/>
      <c r="X641" s="71"/>
      <c r="Y641" s="71"/>
      <c r="Z641" s="71"/>
      <c r="AA641" s="71"/>
      <c r="AB641" s="71"/>
    </row>
    <row r="642" ht="15.75" customHeight="1">
      <c r="A642" s="71"/>
      <c r="B642" s="71"/>
      <c r="C642" s="61"/>
      <c r="D642" s="61"/>
      <c r="E642" s="71"/>
      <c r="F642" s="71"/>
      <c r="G642" s="61"/>
      <c r="I642" s="61"/>
      <c r="J642" s="71"/>
      <c r="K642" s="71"/>
      <c r="L642" s="71"/>
      <c r="M642" s="71"/>
      <c r="N642" s="71"/>
      <c r="O642" s="71"/>
      <c r="P642" s="71"/>
      <c r="Q642" s="71"/>
      <c r="R642" s="71"/>
      <c r="S642" s="71"/>
      <c r="T642" s="71"/>
      <c r="U642" s="71"/>
      <c r="V642" s="71"/>
      <c r="W642" s="71"/>
      <c r="X642" s="71"/>
      <c r="Y642" s="71"/>
      <c r="Z642" s="71"/>
      <c r="AA642" s="71"/>
      <c r="AB642" s="71"/>
    </row>
    <row r="643" ht="15.75" customHeight="1">
      <c r="A643" s="71"/>
      <c r="B643" s="71"/>
      <c r="C643" s="61"/>
      <c r="D643" s="61"/>
      <c r="E643" s="71"/>
      <c r="F643" s="71"/>
      <c r="G643" s="61"/>
      <c r="I643" s="61"/>
      <c r="J643" s="71"/>
      <c r="K643" s="71"/>
      <c r="L643" s="71"/>
      <c r="M643" s="71"/>
      <c r="N643" s="71"/>
      <c r="O643" s="71"/>
      <c r="P643" s="71"/>
      <c r="Q643" s="71"/>
      <c r="R643" s="71"/>
      <c r="S643" s="71"/>
      <c r="T643" s="71"/>
      <c r="U643" s="71"/>
      <c r="V643" s="71"/>
      <c r="W643" s="71"/>
      <c r="X643" s="71"/>
      <c r="Y643" s="71"/>
      <c r="Z643" s="71"/>
      <c r="AA643" s="71"/>
      <c r="AB643" s="71"/>
    </row>
    <row r="644" ht="15.75" customHeight="1">
      <c r="A644" s="71"/>
      <c r="B644" s="71"/>
      <c r="C644" s="61"/>
      <c r="D644" s="61"/>
      <c r="E644" s="71"/>
      <c r="F644" s="71"/>
      <c r="G644" s="61"/>
      <c r="I644" s="61"/>
      <c r="J644" s="71"/>
      <c r="K644" s="71"/>
      <c r="L644" s="71"/>
      <c r="M644" s="71"/>
      <c r="N644" s="71"/>
      <c r="O644" s="71"/>
      <c r="P644" s="71"/>
      <c r="Q644" s="71"/>
      <c r="R644" s="71"/>
      <c r="S644" s="71"/>
      <c r="T644" s="71"/>
      <c r="U644" s="71"/>
      <c r="V644" s="71"/>
      <c r="W644" s="71"/>
      <c r="X644" s="71"/>
      <c r="Y644" s="71"/>
      <c r="Z644" s="71"/>
      <c r="AA644" s="71"/>
      <c r="AB644" s="71"/>
    </row>
    <row r="645" ht="15.75" customHeight="1">
      <c r="A645" s="71"/>
      <c r="B645" s="71"/>
      <c r="C645" s="61"/>
      <c r="D645" s="61"/>
      <c r="E645" s="71"/>
      <c r="F645" s="71"/>
      <c r="G645" s="61"/>
      <c r="I645" s="61"/>
      <c r="J645" s="71"/>
      <c r="K645" s="71"/>
      <c r="L645" s="71"/>
      <c r="M645" s="71"/>
      <c r="N645" s="71"/>
      <c r="O645" s="71"/>
      <c r="P645" s="71"/>
      <c r="Q645" s="71"/>
      <c r="R645" s="71"/>
      <c r="S645" s="71"/>
      <c r="T645" s="71"/>
      <c r="U645" s="71"/>
      <c r="V645" s="71"/>
      <c r="W645" s="71"/>
      <c r="X645" s="71"/>
      <c r="Y645" s="71"/>
      <c r="Z645" s="71"/>
      <c r="AA645" s="71"/>
      <c r="AB645" s="71"/>
    </row>
    <row r="646" ht="15.75" customHeight="1">
      <c r="A646" s="71"/>
      <c r="B646" s="71"/>
      <c r="C646" s="61"/>
      <c r="D646" s="61"/>
      <c r="E646" s="71"/>
      <c r="F646" s="71"/>
      <c r="G646" s="61"/>
      <c r="I646" s="61"/>
      <c r="J646" s="71"/>
      <c r="K646" s="71"/>
      <c r="L646" s="71"/>
      <c r="M646" s="71"/>
      <c r="N646" s="71"/>
      <c r="O646" s="71"/>
      <c r="P646" s="71"/>
      <c r="Q646" s="71"/>
      <c r="R646" s="71"/>
      <c r="S646" s="71"/>
      <c r="T646" s="71"/>
      <c r="U646" s="71"/>
      <c r="V646" s="71"/>
      <c r="W646" s="71"/>
      <c r="X646" s="71"/>
      <c r="Y646" s="71"/>
      <c r="Z646" s="71"/>
      <c r="AA646" s="71"/>
      <c r="AB646" s="71"/>
    </row>
    <row r="647" ht="15.75" customHeight="1">
      <c r="A647" s="71"/>
      <c r="B647" s="71"/>
      <c r="C647" s="61"/>
      <c r="D647" s="61"/>
      <c r="E647" s="71"/>
      <c r="F647" s="71"/>
      <c r="G647" s="61"/>
      <c r="I647" s="61"/>
      <c r="J647" s="71"/>
      <c r="K647" s="71"/>
      <c r="L647" s="71"/>
      <c r="M647" s="71"/>
      <c r="N647" s="71"/>
      <c r="O647" s="71"/>
      <c r="P647" s="71"/>
      <c r="Q647" s="71"/>
      <c r="R647" s="71"/>
      <c r="S647" s="71"/>
      <c r="T647" s="71"/>
      <c r="U647" s="71"/>
      <c r="V647" s="71"/>
      <c r="W647" s="71"/>
      <c r="X647" s="71"/>
      <c r="Y647" s="71"/>
      <c r="Z647" s="71"/>
      <c r="AA647" s="71"/>
      <c r="AB647" s="71"/>
    </row>
    <row r="648" ht="15.75" customHeight="1">
      <c r="A648" s="71"/>
      <c r="B648" s="71"/>
      <c r="C648" s="61"/>
      <c r="D648" s="61"/>
      <c r="E648" s="71"/>
      <c r="F648" s="71"/>
      <c r="G648" s="61"/>
      <c r="I648" s="61"/>
      <c r="J648" s="71"/>
      <c r="K648" s="71"/>
      <c r="L648" s="71"/>
      <c r="M648" s="71"/>
      <c r="N648" s="71"/>
      <c r="O648" s="71"/>
      <c r="P648" s="71"/>
      <c r="Q648" s="71"/>
      <c r="R648" s="71"/>
      <c r="S648" s="71"/>
      <c r="T648" s="71"/>
      <c r="U648" s="71"/>
      <c r="V648" s="71"/>
      <c r="W648" s="71"/>
      <c r="X648" s="71"/>
      <c r="Y648" s="71"/>
      <c r="Z648" s="71"/>
      <c r="AA648" s="71"/>
      <c r="AB648" s="71"/>
    </row>
    <row r="649" ht="15.75" customHeight="1">
      <c r="A649" s="71"/>
      <c r="B649" s="71"/>
      <c r="C649" s="61"/>
      <c r="D649" s="61"/>
      <c r="E649" s="71"/>
      <c r="F649" s="71"/>
      <c r="G649" s="61"/>
      <c r="I649" s="61"/>
      <c r="J649" s="71"/>
      <c r="K649" s="71"/>
      <c r="L649" s="71"/>
      <c r="M649" s="71"/>
      <c r="N649" s="71"/>
      <c r="O649" s="71"/>
      <c r="P649" s="71"/>
      <c r="Q649" s="71"/>
      <c r="R649" s="71"/>
      <c r="S649" s="71"/>
      <c r="T649" s="71"/>
      <c r="U649" s="71"/>
      <c r="V649" s="71"/>
      <c r="W649" s="71"/>
      <c r="X649" s="71"/>
      <c r="Y649" s="71"/>
      <c r="Z649" s="71"/>
      <c r="AA649" s="71"/>
      <c r="AB649" s="71"/>
    </row>
    <row r="650" ht="15.75" customHeight="1">
      <c r="A650" s="71"/>
      <c r="B650" s="71"/>
      <c r="C650" s="61"/>
      <c r="D650" s="61"/>
      <c r="E650" s="71"/>
      <c r="F650" s="71"/>
      <c r="G650" s="61"/>
      <c r="I650" s="61"/>
      <c r="J650" s="71"/>
      <c r="K650" s="71"/>
      <c r="L650" s="71"/>
      <c r="M650" s="71"/>
      <c r="N650" s="71"/>
      <c r="O650" s="71"/>
      <c r="P650" s="71"/>
      <c r="Q650" s="71"/>
      <c r="R650" s="71"/>
      <c r="S650" s="71"/>
      <c r="T650" s="71"/>
      <c r="U650" s="71"/>
      <c r="V650" s="71"/>
      <c r="W650" s="71"/>
      <c r="X650" s="71"/>
      <c r="Y650" s="71"/>
      <c r="Z650" s="71"/>
      <c r="AA650" s="71"/>
      <c r="AB650" s="71"/>
    </row>
    <row r="651" ht="15.75" customHeight="1">
      <c r="A651" s="71"/>
      <c r="B651" s="71"/>
      <c r="C651" s="61"/>
      <c r="D651" s="61"/>
      <c r="E651" s="71"/>
      <c r="F651" s="71"/>
      <c r="G651" s="61"/>
      <c r="I651" s="61"/>
      <c r="J651" s="71"/>
      <c r="K651" s="71"/>
      <c r="L651" s="71"/>
      <c r="M651" s="71"/>
      <c r="N651" s="71"/>
      <c r="O651" s="71"/>
      <c r="P651" s="71"/>
      <c r="Q651" s="71"/>
      <c r="R651" s="71"/>
      <c r="S651" s="71"/>
      <c r="T651" s="71"/>
      <c r="U651" s="71"/>
      <c r="V651" s="71"/>
      <c r="W651" s="71"/>
      <c r="X651" s="71"/>
      <c r="Y651" s="71"/>
      <c r="Z651" s="71"/>
      <c r="AA651" s="71"/>
      <c r="AB651" s="71"/>
    </row>
    <row r="652" ht="15.75" customHeight="1">
      <c r="A652" s="71"/>
      <c r="B652" s="71"/>
      <c r="C652" s="61"/>
      <c r="D652" s="61"/>
      <c r="E652" s="71"/>
      <c r="F652" s="71"/>
      <c r="G652" s="61"/>
      <c r="I652" s="61"/>
      <c r="J652" s="71"/>
      <c r="K652" s="71"/>
      <c r="L652" s="71"/>
      <c r="M652" s="71"/>
      <c r="N652" s="71"/>
      <c r="O652" s="71"/>
      <c r="P652" s="71"/>
      <c r="Q652" s="71"/>
      <c r="R652" s="71"/>
      <c r="S652" s="71"/>
      <c r="T652" s="71"/>
      <c r="U652" s="71"/>
      <c r="V652" s="71"/>
      <c r="W652" s="71"/>
      <c r="X652" s="71"/>
      <c r="Y652" s="71"/>
      <c r="Z652" s="71"/>
      <c r="AA652" s="71"/>
      <c r="AB652" s="71"/>
    </row>
    <row r="653" ht="15.75" customHeight="1">
      <c r="A653" s="71"/>
      <c r="B653" s="71"/>
      <c r="C653" s="61"/>
      <c r="D653" s="61"/>
      <c r="E653" s="71"/>
      <c r="F653" s="71"/>
      <c r="G653" s="61"/>
      <c r="I653" s="61"/>
      <c r="J653" s="71"/>
      <c r="K653" s="71"/>
      <c r="L653" s="71"/>
      <c r="M653" s="71"/>
      <c r="N653" s="71"/>
      <c r="O653" s="71"/>
      <c r="P653" s="71"/>
      <c r="Q653" s="71"/>
      <c r="R653" s="71"/>
      <c r="S653" s="71"/>
      <c r="T653" s="71"/>
      <c r="U653" s="71"/>
      <c r="V653" s="71"/>
      <c r="W653" s="71"/>
      <c r="X653" s="71"/>
      <c r="Y653" s="71"/>
      <c r="Z653" s="71"/>
      <c r="AA653" s="71"/>
      <c r="AB653" s="71"/>
    </row>
    <row r="654" ht="15.75" customHeight="1">
      <c r="A654" s="71"/>
      <c r="B654" s="71"/>
      <c r="C654" s="61"/>
      <c r="D654" s="61"/>
      <c r="E654" s="71"/>
      <c r="F654" s="71"/>
      <c r="G654" s="61"/>
      <c r="I654" s="61"/>
      <c r="J654" s="71"/>
      <c r="K654" s="71"/>
      <c r="L654" s="71"/>
      <c r="M654" s="71"/>
      <c r="N654" s="71"/>
      <c r="O654" s="71"/>
      <c r="P654" s="71"/>
      <c r="Q654" s="71"/>
      <c r="R654" s="71"/>
      <c r="S654" s="71"/>
      <c r="T654" s="71"/>
      <c r="U654" s="71"/>
      <c r="V654" s="71"/>
      <c r="W654" s="71"/>
      <c r="X654" s="71"/>
      <c r="Y654" s="71"/>
      <c r="Z654" s="71"/>
      <c r="AA654" s="71"/>
      <c r="AB654" s="71"/>
    </row>
    <row r="655" ht="15.75" customHeight="1">
      <c r="A655" s="71"/>
      <c r="B655" s="71"/>
      <c r="C655" s="61"/>
      <c r="D655" s="61"/>
      <c r="E655" s="71"/>
      <c r="F655" s="71"/>
      <c r="G655" s="61"/>
      <c r="I655" s="61"/>
      <c r="J655" s="71"/>
      <c r="K655" s="71"/>
      <c r="L655" s="71"/>
      <c r="M655" s="71"/>
      <c r="N655" s="71"/>
      <c r="O655" s="71"/>
      <c r="P655" s="71"/>
      <c r="Q655" s="71"/>
      <c r="R655" s="71"/>
      <c r="S655" s="71"/>
      <c r="T655" s="71"/>
      <c r="U655" s="71"/>
      <c r="V655" s="71"/>
      <c r="W655" s="71"/>
      <c r="X655" s="71"/>
      <c r="Y655" s="71"/>
      <c r="Z655" s="71"/>
      <c r="AA655" s="71"/>
      <c r="AB655" s="71"/>
    </row>
    <row r="656" ht="15.75" customHeight="1">
      <c r="A656" s="71"/>
      <c r="B656" s="71"/>
      <c r="C656" s="61"/>
      <c r="D656" s="61"/>
      <c r="E656" s="71"/>
      <c r="F656" s="71"/>
      <c r="G656" s="61"/>
      <c r="I656" s="61"/>
      <c r="J656" s="71"/>
      <c r="K656" s="71"/>
      <c r="L656" s="71"/>
      <c r="M656" s="71"/>
      <c r="N656" s="71"/>
      <c r="O656" s="71"/>
      <c r="P656" s="71"/>
      <c r="Q656" s="71"/>
      <c r="R656" s="71"/>
      <c r="S656" s="71"/>
      <c r="T656" s="71"/>
      <c r="U656" s="71"/>
      <c r="V656" s="71"/>
      <c r="W656" s="71"/>
      <c r="X656" s="71"/>
      <c r="Y656" s="71"/>
      <c r="Z656" s="71"/>
      <c r="AA656" s="71"/>
      <c r="AB656" s="71"/>
    </row>
    <row r="657" ht="15.75" customHeight="1">
      <c r="A657" s="71"/>
      <c r="B657" s="71"/>
      <c r="C657" s="61"/>
      <c r="D657" s="61"/>
      <c r="E657" s="71"/>
      <c r="F657" s="71"/>
      <c r="G657" s="61"/>
      <c r="I657" s="61"/>
      <c r="J657" s="71"/>
      <c r="K657" s="71"/>
      <c r="L657" s="71"/>
      <c r="M657" s="71"/>
      <c r="N657" s="71"/>
      <c r="O657" s="71"/>
      <c r="P657" s="71"/>
      <c r="Q657" s="71"/>
      <c r="R657" s="71"/>
      <c r="S657" s="71"/>
      <c r="T657" s="71"/>
      <c r="U657" s="71"/>
      <c r="V657" s="71"/>
      <c r="W657" s="71"/>
      <c r="X657" s="71"/>
      <c r="Y657" s="71"/>
      <c r="Z657" s="71"/>
      <c r="AA657" s="71"/>
      <c r="AB657" s="71"/>
    </row>
    <row r="658" ht="15.75" customHeight="1">
      <c r="A658" s="71"/>
      <c r="B658" s="71"/>
      <c r="C658" s="61"/>
      <c r="D658" s="61"/>
      <c r="E658" s="71"/>
      <c r="F658" s="71"/>
      <c r="G658" s="61"/>
      <c r="I658" s="61"/>
      <c r="J658" s="71"/>
      <c r="K658" s="71"/>
      <c r="L658" s="71"/>
      <c r="M658" s="71"/>
      <c r="N658" s="71"/>
      <c r="O658" s="71"/>
      <c r="P658" s="71"/>
      <c r="Q658" s="71"/>
      <c r="R658" s="71"/>
      <c r="S658" s="71"/>
      <c r="T658" s="71"/>
      <c r="U658" s="71"/>
      <c r="V658" s="71"/>
      <c r="W658" s="71"/>
      <c r="X658" s="71"/>
      <c r="Y658" s="71"/>
      <c r="Z658" s="71"/>
      <c r="AA658" s="71"/>
      <c r="AB658" s="71"/>
    </row>
    <row r="659" ht="15.75" customHeight="1">
      <c r="A659" s="71"/>
      <c r="B659" s="71"/>
      <c r="C659" s="61"/>
      <c r="D659" s="61"/>
      <c r="E659" s="71"/>
      <c r="F659" s="71"/>
      <c r="G659" s="61"/>
      <c r="I659" s="61"/>
      <c r="J659" s="71"/>
      <c r="K659" s="71"/>
      <c r="L659" s="71"/>
      <c r="M659" s="71"/>
      <c r="N659" s="71"/>
      <c r="O659" s="71"/>
      <c r="P659" s="71"/>
      <c r="Q659" s="71"/>
      <c r="R659" s="71"/>
      <c r="S659" s="71"/>
      <c r="T659" s="71"/>
      <c r="U659" s="71"/>
      <c r="V659" s="71"/>
      <c r="W659" s="71"/>
      <c r="X659" s="71"/>
      <c r="Y659" s="71"/>
      <c r="Z659" s="71"/>
      <c r="AA659" s="71"/>
      <c r="AB659" s="71"/>
    </row>
    <row r="660" ht="15.75" customHeight="1">
      <c r="A660" s="71"/>
      <c r="B660" s="71"/>
      <c r="C660" s="61"/>
      <c r="D660" s="61"/>
      <c r="E660" s="71"/>
      <c r="F660" s="71"/>
      <c r="G660" s="61"/>
      <c r="I660" s="61"/>
      <c r="J660" s="71"/>
      <c r="K660" s="71"/>
      <c r="L660" s="71"/>
      <c r="M660" s="71"/>
      <c r="N660" s="71"/>
      <c r="O660" s="71"/>
      <c r="P660" s="71"/>
      <c r="Q660" s="71"/>
      <c r="R660" s="71"/>
      <c r="S660" s="71"/>
      <c r="T660" s="71"/>
      <c r="U660" s="71"/>
      <c r="V660" s="71"/>
      <c r="W660" s="71"/>
      <c r="X660" s="71"/>
      <c r="Y660" s="71"/>
      <c r="Z660" s="71"/>
      <c r="AA660" s="71"/>
      <c r="AB660" s="71"/>
    </row>
    <row r="661" ht="15.75" customHeight="1">
      <c r="A661" s="71"/>
      <c r="B661" s="71"/>
      <c r="C661" s="61"/>
      <c r="D661" s="61"/>
      <c r="E661" s="71"/>
      <c r="F661" s="71"/>
      <c r="G661" s="61"/>
      <c r="I661" s="61"/>
      <c r="J661" s="71"/>
      <c r="K661" s="71"/>
      <c r="L661" s="71"/>
      <c r="M661" s="71"/>
      <c r="N661" s="71"/>
      <c r="O661" s="71"/>
      <c r="P661" s="71"/>
      <c r="Q661" s="71"/>
      <c r="R661" s="71"/>
      <c r="S661" s="71"/>
      <c r="T661" s="71"/>
      <c r="U661" s="71"/>
      <c r="V661" s="71"/>
      <c r="W661" s="71"/>
      <c r="X661" s="71"/>
      <c r="Y661" s="71"/>
      <c r="Z661" s="71"/>
      <c r="AA661" s="71"/>
      <c r="AB661" s="71"/>
    </row>
    <row r="662" ht="15.75" customHeight="1">
      <c r="A662" s="71"/>
      <c r="B662" s="71"/>
      <c r="C662" s="61"/>
      <c r="D662" s="61"/>
      <c r="E662" s="71"/>
      <c r="F662" s="71"/>
      <c r="G662" s="61"/>
      <c r="I662" s="61"/>
      <c r="J662" s="71"/>
      <c r="K662" s="71"/>
      <c r="L662" s="71"/>
      <c r="M662" s="71"/>
      <c r="N662" s="71"/>
      <c r="O662" s="71"/>
      <c r="P662" s="71"/>
      <c r="Q662" s="71"/>
      <c r="R662" s="71"/>
      <c r="S662" s="71"/>
      <c r="T662" s="71"/>
      <c r="U662" s="71"/>
      <c r="V662" s="71"/>
      <c r="W662" s="71"/>
      <c r="X662" s="71"/>
      <c r="Y662" s="71"/>
      <c r="Z662" s="71"/>
      <c r="AA662" s="71"/>
      <c r="AB662" s="71"/>
    </row>
    <row r="663" ht="15.75" customHeight="1">
      <c r="A663" s="71"/>
      <c r="B663" s="71"/>
      <c r="C663" s="61"/>
      <c r="D663" s="61"/>
      <c r="E663" s="71"/>
      <c r="F663" s="71"/>
      <c r="G663" s="61"/>
      <c r="I663" s="61"/>
      <c r="J663" s="71"/>
      <c r="K663" s="71"/>
      <c r="L663" s="71"/>
      <c r="M663" s="71"/>
      <c r="N663" s="71"/>
      <c r="O663" s="71"/>
      <c r="P663" s="71"/>
      <c r="Q663" s="71"/>
      <c r="R663" s="71"/>
      <c r="S663" s="71"/>
      <c r="T663" s="71"/>
      <c r="U663" s="71"/>
      <c r="V663" s="71"/>
      <c r="W663" s="71"/>
      <c r="X663" s="71"/>
      <c r="Y663" s="71"/>
      <c r="Z663" s="71"/>
      <c r="AA663" s="71"/>
      <c r="AB663" s="71"/>
    </row>
    <row r="664" ht="15.75" customHeight="1">
      <c r="A664" s="71"/>
      <c r="B664" s="71"/>
      <c r="C664" s="61"/>
      <c r="D664" s="61"/>
      <c r="E664" s="71"/>
      <c r="F664" s="71"/>
      <c r="G664" s="61"/>
      <c r="I664" s="61"/>
      <c r="J664" s="71"/>
      <c r="K664" s="71"/>
      <c r="L664" s="71"/>
      <c r="M664" s="71"/>
      <c r="N664" s="71"/>
      <c r="O664" s="71"/>
      <c r="P664" s="71"/>
      <c r="Q664" s="71"/>
      <c r="R664" s="71"/>
      <c r="S664" s="71"/>
      <c r="T664" s="71"/>
      <c r="U664" s="71"/>
      <c r="V664" s="71"/>
      <c r="W664" s="71"/>
      <c r="X664" s="71"/>
      <c r="Y664" s="71"/>
      <c r="Z664" s="71"/>
      <c r="AA664" s="71"/>
      <c r="AB664" s="71"/>
    </row>
    <row r="665" ht="15.75" customHeight="1">
      <c r="A665" s="71"/>
      <c r="B665" s="71"/>
      <c r="C665" s="61"/>
      <c r="D665" s="61"/>
      <c r="E665" s="71"/>
      <c r="F665" s="71"/>
      <c r="G665" s="61"/>
      <c r="I665" s="61"/>
      <c r="J665" s="71"/>
      <c r="K665" s="71"/>
      <c r="L665" s="71"/>
      <c r="M665" s="71"/>
      <c r="N665" s="71"/>
      <c r="O665" s="71"/>
      <c r="P665" s="71"/>
      <c r="Q665" s="71"/>
      <c r="R665" s="71"/>
      <c r="S665" s="71"/>
      <c r="T665" s="71"/>
      <c r="U665" s="71"/>
      <c r="V665" s="71"/>
      <c r="W665" s="71"/>
      <c r="X665" s="71"/>
      <c r="Y665" s="71"/>
      <c r="Z665" s="71"/>
      <c r="AA665" s="71"/>
      <c r="AB665" s="71"/>
    </row>
    <row r="666" ht="15.75" customHeight="1">
      <c r="A666" s="71"/>
      <c r="B666" s="71"/>
      <c r="C666" s="61"/>
      <c r="D666" s="61"/>
      <c r="E666" s="71"/>
      <c r="F666" s="71"/>
      <c r="G666" s="61"/>
      <c r="I666" s="61"/>
      <c r="J666" s="71"/>
      <c r="K666" s="71"/>
      <c r="L666" s="71"/>
      <c r="M666" s="71"/>
      <c r="N666" s="71"/>
      <c r="O666" s="71"/>
      <c r="P666" s="71"/>
      <c r="Q666" s="71"/>
      <c r="R666" s="71"/>
      <c r="S666" s="71"/>
      <c r="T666" s="71"/>
      <c r="U666" s="71"/>
      <c r="V666" s="71"/>
      <c r="W666" s="71"/>
      <c r="X666" s="71"/>
      <c r="Y666" s="71"/>
      <c r="Z666" s="71"/>
      <c r="AA666" s="71"/>
      <c r="AB666" s="71"/>
    </row>
    <row r="667" ht="15.75" customHeight="1">
      <c r="A667" s="71"/>
      <c r="B667" s="71"/>
      <c r="C667" s="61"/>
      <c r="D667" s="61"/>
      <c r="E667" s="71"/>
      <c r="F667" s="71"/>
      <c r="G667" s="61"/>
      <c r="I667" s="61"/>
      <c r="J667" s="71"/>
      <c r="K667" s="71"/>
      <c r="L667" s="71"/>
      <c r="M667" s="71"/>
      <c r="N667" s="71"/>
      <c r="O667" s="71"/>
      <c r="P667" s="71"/>
      <c r="Q667" s="71"/>
      <c r="R667" s="71"/>
      <c r="S667" s="71"/>
      <c r="T667" s="71"/>
      <c r="U667" s="71"/>
      <c r="V667" s="71"/>
      <c r="W667" s="71"/>
      <c r="X667" s="71"/>
      <c r="Y667" s="71"/>
      <c r="Z667" s="71"/>
      <c r="AA667" s="71"/>
      <c r="AB667" s="71"/>
    </row>
    <row r="668" ht="15.75" customHeight="1">
      <c r="A668" s="71"/>
      <c r="B668" s="71"/>
      <c r="C668" s="61"/>
      <c r="D668" s="61"/>
      <c r="E668" s="71"/>
      <c r="F668" s="71"/>
      <c r="G668" s="61"/>
      <c r="I668" s="61"/>
      <c r="J668" s="71"/>
      <c r="K668" s="71"/>
      <c r="L668" s="71"/>
      <c r="M668" s="71"/>
      <c r="N668" s="71"/>
      <c r="O668" s="71"/>
      <c r="P668" s="71"/>
      <c r="Q668" s="71"/>
      <c r="R668" s="71"/>
      <c r="S668" s="71"/>
      <c r="T668" s="71"/>
      <c r="U668" s="71"/>
      <c r="V668" s="71"/>
      <c r="W668" s="71"/>
      <c r="X668" s="71"/>
      <c r="Y668" s="71"/>
      <c r="Z668" s="71"/>
      <c r="AA668" s="71"/>
      <c r="AB668" s="71"/>
    </row>
    <row r="669" ht="15.75" customHeight="1">
      <c r="A669" s="71"/>
      <c r="B669" s="71"/>
      <c r="C669" s="61"/>
      <c r="D669" s="61"/>
      <c r="E669" s="71"/>
      <c r="F669" s="71"/>
      <c r="G669" s="61"/>
      <c r="I669" s="61"/>
      <c r="J669" s="71"/>
      <c r="K669" s="71"/>
      <c r="L669" s="71"/>
      <c r="M669" s="71"/>
      <c r="N669" s="71"/>
      <c r="O669" s="71"/>
      <c r="P669" s="71"/>
      <c r="Q669" s="71"/>
      <c r="R669" s="71"/>
      <c r="S669" s="71"/>
      <c r="T669" s="71"/>
      <c r="U669" s="71"/>
      <c r="V669" s="71"/>
      <c r="W669" s="71"/>
      <c r="X669" s="71"/>
      <c r="Y669" s="71"/>
      <c r="Z669" s="71"/>
      <c r="AA669" s="71"/>
      <c r="AB669" s="71"/>
    </row>
    <row r="670" ht="15.75" customHeight="1">
      <c r="A670" s="71"/>
      <c r="B670" s="71"/>
      <c r="C670" s="61"/>
      <c r="D670" s="61"/>
      <c r="E670" s="71"/>
      <c r="F670" s="71"/>
      <c r="G670" s="61"/>
      <c r="I670" s="61"/>
      <c r="J670" s="71"/>
      <c r="K670" s="71"/>
      <c r="L670" s="71"/>
      <c r="M670" s="71"/>
      <c r="N670" s="71"/>
      <c r="O670" s="71"/>
      <c r="P670" s="71"/>
      <c r="Q670" s="71"/>
      <c r="R670" s="71"/>
      <c r="S670" s="71"/>
      <c r="T670" s="71"/>
      <c r="U670" s="71"/>
      <c r="V670" s="71"/>
      <c r="W670" s="71"/>
      <c r="X670" s="71"/>
      <c r="Y670" s="71"/>
      <c r="Z670" s="71"/>
      <c r="AA670" s="71"/>
      <c r="AB670" s="71"/>
    </row>
    <row r="671" ht="15.75" customHeight="1">
      <c r="A671" s="71"/>
      <c r="B671" s="71"/>
      <c r="C671" s="61"/>
      <c r="D671" s="61"/>
      <c r="E671" s="71"/>
      <c r="F671" s="71"/>
      <c r="G671" s="61"/>
      <c r="I671" s="61"/>
      <c r="J671" s="71"/>
      <c r="K671" s="71"/>
      <c r="L671" s="71"/>
      <c r="M671" s="71"/>
      <c r="N671" s="71"/>
      <c r="O671" s="71"/>
      <c r="P671" s="71"/>
      <c r="Q671" s="71"/>
      <c r="R671" s="71"/>
      <c r="S671" s="71"/>
      <c r="T671" s="71"/>
      <c r="U671" s="71"/>
      <c r="V671" s="71"/>
      <c r="W671" s="71"/>
      <c r="X671" s="71"/>
      <c r="Y671" s="71"/>
      <c r="Z671" s="71"/>
      <c r="AA671" s="71"/>
      <c r="AB671" s="71"/>
    </row>
    <row r="672" ht="15.75" customHeight="1">
      <c r="A672" s="71"/>
      <c r="B672" s="71"/>
      <c r="C672" s="61"/>
      <c r="D672" s="61"/>
      <c r="E672" s="71"/>
      <c r="F672" s="71"/>
      <c r="G672" s="61"/>
      <c r="I672" s="61"/>
      <c r="J672" s="71"/>
      <c r="K672" s="71"/>
      <c r="L672" s="71"/>
      <c r="M672" s="71"/>
      <c r="N672" s="71"/>
      <c r="O672" s="71"/>
      <c r="P672" s="71"/>
      <c r="Q672" s="71"/>
      <c r="R672" s="71"/>
      <c r="S672" s="71"/>
      <c r="T672" s="71"/>
      <c r="U672" s="71"/>
      <c r="V672" s="71"/>
      <c r="W672" s="71"/>
      <c r="X672" s="71"/>
      <c r="Y672" s="71"/>
      <c r="Z672" s="71"/>
      <c r="AA672" s="71"/>
      <c r="AB672" s="71"/>
    </row>
    <row r="673" ht="15.75" customHeight="1">
      <c r="A673" s="71"/>
      <c r="B673" s="71"/>
      <c r="C673" s="61"/>
      <c r="D673" s="61"/>
      <c r="E673" s="71"/>
      <c r="F673" s="71"/>
      <c r="G673" s="61"/>
      <c r="I673" s="61"/>
      <c r="J673" s="71"/>
      <c r="K673" s="71"/>
      <c r="L673" s="71"/>
      <c r="M673" s="71"/>
      <c r="N673" s="71"/>
      <c r="O673" s="71"/>
      <c r="P673" s="71"/>
      <c r="Q673" s="71"/>
      <c r="R673" s="71"/>
      <c r="S673" s="71"/>
      <c r="T673" s="71"/>
      <c r="U673" s="71"/>
      <c r="V673" s="71"/>
      <c r="W673" s="71"/>
      <c r="X673" s="71"/>
      <c r="Y673" s="71"/>
      <c r="Z673" s="71"/>
      <c r="AA673" s="71"/>
      <c r="AB673" s="71"/>
    </row>
    <row r="674" ht="15.75" customHeight="1">
      <c r="A674" s="71"/>
      <c r="B674" s="71"/>
      <c r="C674" s="61"/>
      <c r="D674" s="61"/>
      <c r="E674" s="71"/>
      <c r="F674" s="71"/>
      <c r="G674" s="61"/>
      <c r="I674" s="61"/>
      <c r="J674" s="71"/>
      <c r="K674" s="71"/>
      <c r="L674" s="71"/>
      <c r="M674" s="71"/>
      <c r="N674" s="71"/>
      <c r="O674" s="71"/>
      <c r="P674" s="71"/>
      <c r="Q674" s="71"/>
      <c r="R674" s="71"/>
      <c r="S674" s="71"/>
      <c r="T674" s="71"/>
      <c r="U674" s="71"/>
      <c r="V674" s="71"/>
      <c r="W674" s="71"/>
      <c r="X674" s="71"/>
      <c r="Y674" s="71"/>
      <c r="Z674" s="71"/>
      <c r="AA674" s="71"/>
      <c r="AB674" s="71"/>
    </row>
    <row r="675" ht="15.75" customHeight="1">
      <c r="A675" s="71"/>
      <c r="B675" s="71"/>
      <c r="C675" s="61"/>
      <c r="D675" s="61"/>
      <c r="E675" s="71"/>
      <c r="F675" s="71"/>
      <c r="G675" s="61"/>
      <c r="I675" s="61"/>
      <c r="J675" s="71"/>
      <c r="K675" s="71"/>
      <c r="L675" s="71"/>
      <c r="M675" s="71"/>
      <c r="N675" s="71"/>
      <c r="O675" s="71"/>
      <c r="P675" s="71"/>
      <c r="Q675" s="71"/>
      <c r="R675" s="71"/>
      <c r="S675" s="71"/>
      <c r="T675" s="71"/>
      <c r="U675" s="71"/>
      <c r="V675" s="71"/>
      <c r="W675" s="71"/>
      <c r="X675" s="71"/>
      <c r="Y675" s="71"/>
      <c r="Z675" s="71"/>
      <c r="AA675" s="71"/>
      <c r="AB675" s="71"/>
    </row>
    <row r="676" ht="15.75" customHeight="1">
      <c r="A676" s="71"/>
      <c r="B676" s="71"/>
      <c r="C676" s="61"/>
      <c r="D676" s="61"/>
      <c r="E676" s="71"/>
      <c r="F676" s="71"/>
      <c r="G676" s="61"/>
      <c r="I676" s="61"/>
      <c r="J676" s="71"/>
      <c r="K676" s="71"/>
      <c r="L676" s="71"/>
      <c r="M676" s="71"/>
      <c r="N676" s="71"/>
      <c r="O676" s="71"/>
      <c r="P676" s="71"/>
      <c r="Q676" s="71"/>
      <c r="R676" s="71"/>
      <c r="S676" s="71"/>
      <c r="T676" s="71"/>
      <c r="U676" s="71"/>
      <c r="V676" s="71"/>
      <c r="W676" s="71"/>
      <c r="X676" s="71"/>
      <c r="Y676" s="71"/>
      <c r="Z676" s="71"/>
      <c r="AA676" s="71"/>
      <c r="AB676" s="71"/>
    </row>
    <row r="677" ht="15.75" customHeight="1">
      <c r="A677" s="71"/>
      <c r="B677" s="71"/>
      <c r="C677" s="61"/>
      <c r="D677" s="61"/>
      <c r="E677" s="71"/>
      <c r="F677" s="71"/>
      <c r="G677" s="61"/>
      <c r="I677" s="61"/>
      <c r="J677" s="71"/>
      <c r="K677" s="71"/>
      <c r="L677" s="71"/>
      <c r="M677" s="71"/>
      <c r="N677" s="71"/>
      <c r="O677" s="71"/>
      <c r="P677" s="71"/>
      <c r="Q677" s="71"/>
      <c r="R677" s="71"/>
      <c r="S677" s="71"/>
      <c r="T677" s="71"/>
      <c r="U677" s="71"/>
      <c r="V677" s="71"/>
      <c r="W677" s="71"/>
      <c r="X677" s="71"/>
      <c r="Y677" s="71"/>
      <c r="Z677" s="71"/>
      <c r="AA677" s="71"/>
      <c r="AB677" s="71"/>
    </row>
    <row r="678" ht="15.75" customHeight="1">
      <c r="A678" s="71"/>
      <c r="B678" s="71"/>
      <c r="C678" s="61"/>
      <c r="D678" s="61"/>
      <c r="E678" s="71"/>
      <c r="F678" s="71"/>
      <c r="G678" s="61"/>
      <c r="I678" s="61"/>
      <c r="J678" s="71"/>
      <c r="K678" s="71"/>
      <c r="L678" s="71"/>
      <c r="M678" s="71"/>
      <c r="N678" s="71"/>
      <c r="O678" s="71"/>
      <c r="P678" s="71"/>
      <c r="Q678" s="71"/>
      <c r="R678" s="71"/>
      <c r="S678" s="71"/>
      <c r="T678" s="71"/>
      <c r="U678" s="71"/>
      <c r="V678" s="71"/>
      <c r="W678" s="71"/>
      <c r="X678" s="71"/>
      <c r="Y678" s="71"/>
      <c r="Z678" s="71"/>
      <c r="AA678" s="71"/>
      <c r="AB678" s="71"/>
    </row>
    <row r="679" ht="15.75" customHeight="1">
      <c r="A679" s="71"/>
      <c r="B679" s="71"/>
      <c r="C679" s="61"/>
      <c r="D679" s="61"/>
      <c r="E679" s="71"/>
      <c r="F679" s="71"/>
      <c r="G679" s="61"/>
      <c r="I679" s="61"/>
      <c r="J679" s="71"/>
      <c r="K679" s="71"/>
      <c r="L679" s="71"/>
      <c r="M679" s="71"/>
      <c r="N679" s="71"/>
      <c r="O679" s="71"/>
      <c r="P679" s="71"/>
      <c r="Q679" s="71"/>
      <c r="R679" s="71"/>
      <c r="S679" s="71"/>
      <c r="T679" s="71"/>
      <c r="U679" s="71"/>
      <c r="V679" s="71"/>
      <c r="W679" s="71"/>
      <c r="X679" s="71"/>
      <c r="Y679" s="71"/>
      <c r="Z679" s="71"/>
      <c r="AA679" s="71"/>
      <c r="AB679" s="71"/>
    </row>
    <row r="680" ht="15.75" customHeight="1">
      <c r="A680" s="71"/>
      <c r="B680" s="71"/>
      <c r="C680" s="61"/>
      <c r="D680" s="61"/>
      <c r="E680" s="71"/>
      <c r="F680" s="71"/>
      <c r="G680" s="61"/>
      <c r="I680" s="61"/>
      <c r="J680" s="71"/>
      <c r="K680" s="71"/>
      <c r="L680" s="71"/>
      <c r="M680" s="71"/>
      <c r="N680" s="71"/>
      <c r="O680" s="71"/>
      <c r="P680" s="71"/>
      <c r="Q680" s="71"/>
      <c r="R680" s="71"/>
      <c r="S680" s="71"/>
      <c r="T680" s="71"/>
      <c r="U680" s="71"/>
      <c r="V680" s="71"/>
      <c r="W680" s="71"/>
      <c r="X680" s="71"/>
      <c r="Y680" s="71"/>
      <c r="Z680" s="71"/>
      <c r="AA680" s="71"/>
      <c r="AB680" s="71"/>
    </row>
    <row r="681" ht="15.75" customHeight="1">
      <c r="A681" s="71"/>
      <c r="B681" s="71"/>
      <c r="C681" s="61"/>
      <c r="D681" s="61"/>
      <c r="E681" s="71"/>
      <c r="F681" s="71"/>
      <c r="G681" s="61"/>
      <c r="I681" s="61"/>
      <c r="J681" s="71"/>
      <c r="K681" s="71"/>
      <c r="L681" s="71"/>
      <c r="M681" s="71"/>
      <c r="N681" s="71"/>
      <c r="O681" s="71"/>
      <c r="P681" s="71"/>
      <c r="Q681" s="71"/>
      <c r="R681" s="71"/>
      <c r="S681" s="71"/>
      <c r="T681" s="71"/>
      <c r="U681" s="71"/>
      <c r="V681" s="71"/>
      <c r="W681" s="71"/>
      <c r="X681" s="71"/>
      <c r="Y681" s="71"/>
      <c r="Z681" s="71"/>
      <c r="AA681" s="71"/>
      <c r="AB681" s="71"/>
    </row>
    <row r="682" ht="15.75" customHeight="1">
      <c r="A682" s="71"/>
      <c r="B682" s="71"/>
      <c r="C682" s="61"/>
      <c r="D682" s="61"/>
      <c r="E682" s="71"/>
      <c r="F682" s="71"/>
      <c r="G682" s="61"/>
      <c r="I682" s="61"/>
      <c r="J682" s="71"/>
      <c r="K682" s="71"/>
      <c r="L682" s="71"/>
      <c r="M682" s="71"/>
      <c r="N682" s="71"/>
      <c r="O682" s="71"/>
      <c r="P682" s="71"/>
      <c r="Q682" s="71"/>
      <c r="R682" s="71"/>
      <c r="S682" s="71"/>
      <c r="T682" s="71"/>
      <c r="U682" s="71"/>
      <c r="V682" s="71"/>
      <c r="W682" s="71"/>
      <c r="X682" s="71"/>
      <c r="Y682" s="71"/>
      <c r="Z682" s="71"/>
      <c r="AA682" s="71"/>
      <c r="AB682" s="71"/>
    </row>
    <row r="683" ht="15.75" customHeight="1">
      <c r="A683" s="71"/>
      <c r="B683" s="71"/>
      <c r="C683" s="61"/>
      <c r="D683" s="61"/>
      <c r="E683" s="71"/>
      <c r="F683" s="71"/>
      <c r="G683" s="61"/>
      <c r="I683" s="61"/>
      <c r="J683" s="71"/>
      <c r="K683" s="71"/>
      <c r="L683" s="71"/>
      <c r="M683" s="71"/>
      <c r="N683" s="71"/>
      <c r="O683" s="71"/>
      <c r="P683" s="71"/>
      <c r="Q683" s="71"/>
      <c r="R683" s="71"/>
      <c r="S683" s="71"/>
      <c r="T683" s="71"/>
      <c r="U683" s="71"/>
      <c r="V683" s="71"/>
      <c r="W683" s="71"/>
      <c r="X683" s="71"/>
      <c r="Y683" s="71"/>
      <c r="Z683" s="71"/>
      <c r="AA683" s="71"/>
      <c r="AB683" s="71"/>
    </row>
    <row r="684" ht="15.75" customHeight="1">
      <c r="A684" s="71"/>
      <c r="B684" s="71"/>
      <c r="C684" s="61"/>
      <c r="D684" s="61"/>
      <c r="E684" s="71"/>
      <c r="F684" s="71"/>
      <c r="G684" s="61"/>
      <c r="I684" s="61"/>
      <c r="J684" s="71"/>
      <c r="K684" s="71"/>
      <c r="L684" s="71"/>
      <c r="M684" s="71"/>
      <c r="N684" s="71"/>
      <c r="O684" s="71"/>
      <c r="P684" s="71"/>
      <c r="Q684" s="71"/>
      <c r="R684" s="71"/>
      <c r="S684" s="71"/>
      <c r="T684" s="71"/>
      <c r="U684" s="71"/>
      <c r="V684" s="71"/>
      <c r="W684" s="71"/>
      <c r="X684" s="71"/>
      <c r="Y684" s="71"/>
      <c r="Z684" s="71"/>
      <c r="AA684" s="71"/>
      <c r="AB684" s="71"/>
    </row>
    <row r="685" ht="15.75" customHeight="1">
      <c r="A685" s="71"/>
      <c r="B685" s="71"/>
      <c r="C685" s="61"/>
      <c r="D685" s="61"/>
      <c r="E685" s="71"/>
      <c r="F685" s="71"/>
      <c r="G685" s="61"/>
      <c r="I685" s="61"/>
      <c r="J685" s="71"/>
      <c r="K685" s="71"/>
      <c r="L685" s="71"/>
      <c r="M685" s="71"/>
      <c r="N685" s="71"/>
      <c r="O685" s="71"/>
      <c r="P685" s="71"/>
      <c r="Q685" s="71"/>
      <c r="R685" s="71"/>
      <c r="S685" s="71"/>
      <c r="T685" s="71"/>
      <c r="U685" s="71"/>
      <c r="V685" s="71"/>
      <c r="W685" s="71"/>
      <c r="X685" s="71"/>
      <c r="Y685" s="71"/>
      <c r="Z685" s="71"/>
      <c r="AA685" s="71"/>
      <c r="AB685" s="71"/>
    </row>
    <row r="686" ht="15.75" customHeight="1">
      <c r="A686" s="71"/>
      <c r="B686" s="71"/>
      <c r="C686" s="61"/>
      <c r="D686" s="61"/>
      <c r="E686" s="71"/>
      <c r="F686" s="71"/>
      <c r="G686" s="61"/>
      <c r="I686" s="61"/>
      <c r="J686" s="71"/>
      <c r="K686" s="71"/>
      <c r="L686" s="71"/>
      <c r="M686" s="71"/>
      <c r="N686" s="71"/>
      <c r="O686" s="71"/>
      <c r="P686" s="71"/>
      <c r="Q686" s="71"/>
      <c r="R686" s="71"/>
      <c r="S686" s="71"/>
      <c r="T686" s="71"/>
      <c r="U686" s="71"/>
      <c r="V686" s="71"/>
      <c r="W686" s="71"/>
      <c r="X686" s="71"/>
      <c r="Y686" s="71"/>
      <c r="Z686" s="71"/>
      <c r="AA686" s="71"/>
      <c r="AB686" s="71"/>
    </row>
    <row r="687" ht="15.75" customHeight="1">
      <c r="A687" s="71"/>
      <c r="B687" s="71"/>
      <c r="C687" s="61"/>
      <c r="D687" s="61"/>
      <c r="E687" s="71"/>
      <c r="F687" s="71"/>
      <c r="G687" s="61"/>
      <c r="I687" s="61"/>
      <c r="J687" s="71"/>
      <c r="K687" s="71"/>
      <c r="L687" s="71"/>
      <c r="M687" s="71"/>
      <c r="N687" s="71"/>
      <c r="O687" s="71"/>
      <c r="P687" s="71"/>
      <c r="Q687" s="71"/>
      <c r="R687" s="71"/>
      <c r="S687" s="71"/>
      <c r="T687" s="71"/>
      <c r="U687" s="71"/>
      <c r="V687" s="71"/>
      <c r="W687" s="71"/>
      <c r="X687" s="71"/>
      <c r="Y687" s="71"/>
      <c r="Z687" s="71"/>
      <c r="AA687" s="71"/>
      <c r="AB687" s="71"/>
    </row>
    <row r="688" ht="15.75" customHeight="1">
      <c r="A688" s="71"/>
      <c r="B688" s="71"/>
      <c r="C688" s="61"/>
      <c r="D688" s="61"/>
      <c r="E688" s="71"/>
      <c r="F688" s="71"/>
      <c r="G688" s="61"/>
      <c r="I688" s="61"/>
      <c r="J688" s="71"/>
      <c r="K688" s="71"/>
      <c r="L688" s="71"/>
      <c r="M688" s="71"/>
      <c r="N688" s="71"/>
      <c r="O688" s="71"/>
      <c r="P688" s="71"/>
      <c r="Q688" s="71"/>
      <c r="R688" s="71"/>
      <c r="S688" s="71"/>
      <c r="T688" s="71"/>
      <c r="U688" s="71"/>
      <c r="V688" s="71"/>
      <c r="W688" s="71"/>
      <c r="X688" s="71"/>
      <c r="Y688" s="71"/>
      <c r="Z688" s="71"/>
      <c r="AA688" s="71"/>
      <c r="AB688" s="71"/>
    </row>
    <row r="689" ht="15.75" customHeight="1">
      <c r="A689" s="71"/>
      <c r="B689" s="71"/>
      <c r="C689" s="61"/>
      <c r="D689" s="61"/>
      <c r="E689" s="71"/>
      <c r="F689" s="71"/>
      <c r="G689" s="61"/>
      <c r="I689" s="61"/>
      <c r="J689" s="71"/>
      <c r="K689" s="71"/>
      <c r="L689" s="71"/>
      <c r="M689" s="71"/>
      <c r="N689" s="71"/>
      <c r="O689" s="71"/>
      <c r="P689" s="71"/>
      <c r="Q689" s="71"/>
      <c r="R689" s="71"/>
      <c r="S689" s="71"/>
      <c r="T689" s="71"/>
      <c r="U689" s="71"/>
      <c r="V689" s="71"/>
      <c r="W689" s="71"/>
      <c r="X689" s="71"/>
      <c r="Y689" s="71"/>
      <c r="Z689" s="71"/>
      <c r="AA689" s="71"/>
      <c r="AB689" s="71"/>
    </row>
    <row r="690" ht="15.75" customHeight="1">
      <c r="A690" s="71"/>
      <c r="B690" s="71"/>
      <c r="C690" s="61"/>
      <c r="D690" s="61"/>
      <c r="E690" s="71"/>
      <c r="F690" s="71"/>
      <c r="G690" s="61"/>
      <c r="I690" s="61"/>
      <c r="J690" s="71"/>
      <c r="K690" s="71"/>
      <c r="L690" s="71"/>
      <c r="M690" s="71"/>
      <c r="N690" s="71"/>
      <c r="O690" s="71"/>
      <c r="P690" s="71"/>
      <c r="Q690" s="71"/>
      <c r="R690" s="71"/>
      <c r="S690" s="71"/>
      <c r="T690" s="71"/>
      <c r="U690" s="71"/>
      <c r="V690" s="71"/>
      <c r="W690" s="71"/>
      <c r="X690" s="71"/>
      <c r="Y690" s="71"/>
      <c r="Z690" s="71"/>
      <c r="AA690" s="71"/>
      <c r="AB690" s="71"/>
    </row>
    <row r="691" ht="15.75" customHeight="1">
      <c r="A691" s="71"/>
      <c r="B691" s="71"/>
      <c r="C691" s="61"/>
      <c r="D691" s="61"/>
      <c r="E691" s="71"/>
      <c r="F691" s="71"/>
      <c r="G691" s="61"/>
      <c r="I691" s="61"/>
      <c r="J691" s="71"/>
      <c r="K691" s="71"/>
      <c r="L691" s="71"/>
      <c r="M691" s="71"/>
      <c r="N691" s="71"/>
      <c r="O691" s="71"/>
      <c r="P691" s="71"/>
      <c r="Q691" s="71"/>
      <c r="R691" s="71"/>
      <c r="S691" s="71"/>
      <c r="T691" s="71"/>
      <c r="U691" s="71"/>
      <c r="V691" s="71"/>
      <c r="W691" s="71"/>
      <c r="X691" s="71"/>
      <c r="Y691" s="71"/>
      <c r="Z691" s="71"/>
      <c r="AA691" s="71"/>
      <c r="AB691" s="71"/>
    </row>
    <row r="692" ht="15.75" customHeight="1">
      <c r="A692" s="71"/>
      <c r="B692" s="71"/>
      <c r="C692" s="61"/>
      <c r="D692" s="61"/>
      <c r="E692" s="71"/>
      <c r="F692" s="71"/>
      <c r="G692" s="61"/>
      <c r="I692" s="61"/>
      <c r="J692" s="71"/>
      <c r="K692" s="71"/>
      <c r="L692" s="71"/>
      <c r="M692" s="71"/>
      <c r="N692" s="71"/>
      <c r="O692" s="71"/>
      <c r="P692" s="71"/>
      <c r="Q692" s="71"/>
      <c r="R692" s="71"/>
      <c r="S692" s="71"/>
      <c r="T692" s="71"/>
      <c r="U692" s="71"/>
      <c r="V692" s="71"/>
      <c r="W692" s="71"/>
      <c r="X692" s="71"/>
      <c r="Y692" s="71"/>
      <c r="Z692" s="71"/>
      <c r="AA692" s="71"/>
      <c r="AB692" s="71"/>
    </row>
    <row r="693" ht="15.75" customHeight="1">
      <c r="A693" s="71"/>
      <c r="B693" s="71"/>
      <c r="C693" s="61"/>
      <c r="D693" s="61"/>
      <c r="E693" s="71"/>
      <c r="F693" s="71"/>
      <c r="G693" s="61"/>
      <c r="I693" s="61"/>
      <c r="J693" s="71"/>
      <c r="K693" s="71"/>
      <c r="L693" s="71"/>
      <c r="M693" s="71"/>
      <c r="N693" s="71"/>
      <c r="O693" s="71"/>
      <c r="P693" s="71"/>
      <c r="Q693" s="71"/>
      <c r="R693" s="71"/>
      <c r="S693" s="71"/>
      <c r="T693" s="71"/>
      <c r="U693" s="71"/>
      <c r="V693" s="71"/>
      <c r="W693" s="71"/>
      <c r="X693" s="71"/>
      <c r="Y693" s="71"/>
      <c r="Z693" s="71"/>
      <c r="AA693" s="71"/>
      <c r="AB693" s="71"/>
    </row>
    <row r="694" ht="15.75" customHeight="1">
      <c r="A694" s="71"/>
      <c r="B694" s="71"/>
      <c r="C694" s="61"/>
      <c r="D694" s="61"/>
      <c r="E694" s="71"/>
      <c r="F694" s="71"/>
      <c r="G694" s="61"/>
      <c r="I694" s="61"/>
      <c r="J694" s="71"/>
      <c r="K694" s="71"/>
      <c r="L694" s="71"/>
      <c r="M694" s="71"/>
      <c r="N694" s="71"/>
      <c r="O694" s="71"/>
      <c r="P694" s="71"/>
      <c r="Q694" s="71"/>
      <c r="R694" s="71"/>
      <c r="S694" s="71"/>
      <c r="T694" s="71"/>
      <c r="U694" s="71"/>
      <c r="V694" s="71"/>
      <c r="W694" s="71"/>
      <c r="X694" s="71"/>
      <c r="Y694" s="71"/>
      <c r="Z694" s="71"/>
      <c r="AA694" s="71"/>
      <c r="AB694" s="71"/>
    </row>
    <row r="695" ht="15.75" customHeight="1">
      <c r="A695" s="71"/>
      <c r="B695" s="71"/>
      <c r="C695" s="61"/>
      <c r="D695" s="61"/>
      <c r="E695" s="71"/>
      <c r="F695" s="71"/>
      <c r="G695" s="61"/>
      <c r="I695" s="61"/>
      <c r="J695" s="71"/>
      <c r="K695" s="71"/>
      <c r="L695" s="71"/>
      <c r="M695" s="71"/>
      <c r="N695" s="71"/>
      <c r="O695" s="71"/>
      <c r="P695" s="71"/>
      <c r="Q695" s="71"/>
      <c r="R695" s="71"/>
      <c r="S695" s="71"/>
      <c r="T695" s="71"/>
      <c r="U695" s="71"/>
      <c r="V695" s="71"/>
      <c r="W695" s="71"/>
      <c r="X695" s="71"/>
      <c r="Y695" s="71"/>
      <c r="Z695" s="71"/>
      <c r="AA695" s="71"/>
      <c r="AB695" s="71"/>
    </row>
    <row r="696" ht="15.75" customHeight="1">
      <c r="A696" s="71"/>
      <c r="B696" s="71"/>
      <c r="C696" s="61"/>
      <c r="D696" s="61"/>
      <c r="E696" s="71"/>
      <c r="F696" s="71"/>
      <c r="G696" s="61"/>
      <c r="I696" s="61"/>
      <c r="J696" s="71"/>
      <c r="K696" s="71"/>
      <c r="L696" s="71"/>
      <c r="M696" s="71"/>
      <c r="N696" s="71"/>
      <c r="O696" s="71"/>
      <c r="P696" s="71"/>
      <c r="Q696" s="71"/>
      <c r="R696" s="71"/>
      <c r="S696" s="71"/>
      <c r="T696" s="71"/>
      <c r="U696" s="71"/>
      <c r="V696" s="71"/>
      <c r="W696" s="71"/>
      <c r="X696" s="71"/>
      <c r="Y696" s="71"/>
      <c r="Z696" s="71"/>
      <c r="AA696" s="71"/>
      <c r="AB696" s="71"/>
    </row>
    <row r="697" ht="15.75" customHeight="1">
      <c r="A697" s="71"/>
      <c r="B697" s="71"/>
      <c r="C697" s="61"/>
      <c r="D697" s="61"/>
      <c r="E697" s="71"/>
      <c r="F697" s="71"/>
      <c r="G697" s="61"/>
      <c r="I697" s="61"/>
      <c r="J697" s="71"/>
      <c r="K697" s="71"/>
      <c r="L697" s="71"/>
      <c r="M697" s="71"/>
      <c r="N697" s="71"/>
      <c r="O697" s="71"/>
      <c r="P697" s="71"/>
      <c r="Q697" s="71"/>
      <c r="R697" s="71"/>
      <c r="S697" s="71"/>
      <c r="T697" s="71"/>
      <c r="U697" s="71"/>
      <c r="V697" s="71"/>
      <c r="W697" s="71"/>
      <c r="X697" s="71"/>
      <c r="Y697" s="71"/>
      <c r="Z697" s="71"/>
      <c r="AA697" s="71"/>
      <c r="AB697" s="71"/>
    </row>
    <row r="698" ht="15.75" customHeight="1">
      <c r="A698" s="71"/>
      <c r="B698" s="71"/>
      <c r="C698" s="61"/>
      <c r="D698" s="61"/>
      <c r="E698" s="71"/>
      <c r="F698" s="71"/>
      <c r="G698" s="61"/>
      <c r="I698" s="61"/>
      <c r="J698" s="71"/>
      <c r="K698" s="71"/>
      <c r="L698" s="71"/>
      <c r="M698" s="71"/>
      <c r="N698" s="71"/>
      <c r="O698" s="71"/>
      <c r="P698" s="71"/>
      <c r="Q698" s="71"/>
      <c r="R698" s="71"/>
      <c r="S698" s="71"/>
      <c r="T698" s="71"/>
      <c r="U698" s="71"/>
      <c r="V698" s="71"/>
      <c r="W698" s="71"/>
      <c r="X698" s="71"/>
      <c r="Y698" s="71"/>
      <c r="Z698" s="71"/>
      <c r="AA698" s="71"/>
      <c r="AB698" s="71"/>
    </row>
    <row r="699" ht="15.75" customHeight="1">
      <c r="A699" s="71"/>
      <c r="B699" s="71"/>
      <c r="C699" s="61"/>
      <c r="D699" s="61"/>
      <c r="E699" s="71"/>
      <c r="F699" s="71"/>
      <c r="G699" s="61"/>
      <c r="I699" s="61"/>
      <c r="J699" s="71"/>
      <c r="K699" s="71"/>
      <c r="L699" s="71"/>
      <c r="M699" s="71"/>
      <c r="N699" s="71"/>
      <c r="O699" s="71"/>
      <c r="P699" s="71"/>
      <c r="Q699" s="71"/>
      <c r="R699" s="71"/>
      <c r="S699" s="71"/>
      <c r="T699" s="71"/>
      <c r="U699" s="71"/>
      <c r="V699" s="71"/>
      <c r="W699" s="71"/>
      <c r="X699" s="71"/>
      <c r="Y699" s="71"/>
      <c r="Z699" s="71"/>
      <c r="AA699" s="71"/>
      <c r="AB699" s="71"/>
    </row>
    <row r="700" ht="15.75" customHeight="1">
      <c r="A700" s="71"/>
      <c r="B700" s="71"/>
      <c r="C700" s="61"/>
      <c r="D700" s="61"/>
      <c r="E700" s="71"/>
      <c r="F700" s="71"/>
      <c r="G700" s="61"/>
      <c r="I700" s="61"/>
      <c r="J700" s="71"/>
      <c r="K700" s="71"/>
      <c r="L700" s="71"/>
      <c r="M700" s="71"/>
      <c r="N700" s="71"/>
      <c r="O700" s="71"/>
      <c r="P700" s="71"/>
      <c r="Q700" s="71"/>
      <c r="R700" s="71"/>
      <c r="S700" s="71"/>
      <c r="T700" s="71"/>
      <c r="U700" s="71"/>
      <c r="V700" s="71"/>
      <c r="W700" s="71"/>
      <c r="X700" s="71"/>
      <c r="Y700" s="71"/>
      <c r="Z700" s="71"/>
      <c r="AA700" s="71"/>
      <c r="AB700" s="71"/>
    </row>
    <row r="701" ht="15.75" customHeight="1">
      <c r="A701" s="71"/>
      <c r="B701" s="71"/>
      <c r="C701" s="61"/>
      <c r="D701" s="61"/>
      <c r="E701" s="71"/>
      <c r="F701" s="71"/>
      <c r="G701" s="61"/>
      <c r="I701" s="61"/>
      <c r="J701" s="71"/>
      <c r="K701" s="71"/>
      <c r="L701" s="71"/>
      <c r="M701" s="71"/>
      <c r="N701" s="71"/>
      <c r="O701" s="71"/>
      <c r="P701" s="71"/>
      <c r="Q701" s="71"/>
      <c r="R701" s="71"/>
      <c r="S701" s="71"/>
      <c r="T701" s="71"/>
      <c r="U701" s="71"/>
      <c r="V701" s="71"/>
      <c r="W701" s="71"/>
      <c r="X701" s="71"/>
      <c r="Y701" s="71"/>
      <c r="Z701" s="71"/>
      <c r="AA701" s="71"/>
      <c r="AB701" s="71"/>
    </row>
    <row r="702" ht="15.75" customHeight="1">
      <c r="A702" s="71"/>
      <c r="B702" s="71"/>
      <c r="C702" s="61"/>
      <c r="D702" s="61"/>
      <c r="E702" s="71"/>
      <c r="F702" s="71"/>
      <c r="G702" s="61"/>
      <c r="I702" s="61"/>
      <c r="J702" s="71"/>
      <c r="K702" s="71"/>
      <c r="L702" s="71"/>
      <c r="M702" s="71"/>
      <c r="N702" s="71"/>
      <c r="O702" s="71"/>
      <c r="P702" s="71"/>
      <c r="Q702" s="71"/>
      <c r="R702" s="71"/>
      <c r="S702" s="71"/>
      <c r="T702" s="71"/>
      <c r="U702" s="71"/>
      <c r="V702" s="71"/>
      <c r="W702" s="71"/>
      <c r="X702" s="71"/>
      <c r="Y702" s="71"/>
      <c r="Z702" s="71"/>
      <c r="AA702" s="71"/>
      <c r="AB702" s="71"/>
    </row>
    <row r="703" ht="15.75" customHeight="1">
      <c r="A703" s="71"/>
      <c r="B703" s="71"/>
      <c r="C703" s="61"/>
      <c r="D703" s="61"/>
      <c r="E703" s="71"/>
      <c r="F703" s="71"/>
      <c r="G703" s="61"/>
      <c r="I703" s="61"/>
      <c r="J703" s="71"/>
      <c r="K703" s="71"/>
      <c r="L703" s="71"/>
      <c r="M703" s="71"/>
      <c r="N703" s="71"/>
      <c r="O703" s="71"/>
      <c r="P703" s="71"/>
      <c r="Q703" s="71"/>
      <c r="R703" s="71"/>
      <c r="S703" s="71"/>
      <c r="T703" s="71"/>
      <c r="U703" s="71"/>
      <c r="V703" s="71"/>
      <c r="W703" s="71"/>
      <c r="X703" s="71"/>
      <c r="Y703" s="71"/>
      <c r="Z703" s="71"/>
      <c r="AA703" s="71"/>
      <c r="AB703" s="71"/>
    </row>
    <row r="704" ht="15.75" customHeight="1">
      <c r="A704" s="71"/>
      <c r="B704" s="71"/>
      <c r="C704" s="61"/>
      <c r="D704" s="61"/>
      <c r="E704" s="71"/>
      <c r="F704" s="71"/>
      <c r="G704" s="61"/>
      <c r="I704" s="61"/>
      <c r="J704" s="71"/>
      <c r="K704" s="71"/>
      <c r="L704" s="71"/>
      <c r="M704" s="71"/>
      <c r="N704" s="71"/>
      <c r="O704" s="71"/>
      <c r="P704" s="71"/>
      <c r="Q704" s="71"/>
      <c r="R704" s="71"/>
      <c r="S704" s="71"/>
      <c r="T704" s="71"/>
      <c r="U704" s="71"/>
      <c r="V704" s="71"/>
      <c r="W704" s="71"/>
      <c r="X704" s="71"/>
      <c r="Y704" s="71"/>
      <c r="Z704" s="71"/>
      <c r="AA704" s="71"/>
      <c r="AB704" s="71"/>
    </row>
    <row r="705" ht="15.75" customHeight="1">
      <c r="A705" s="71"/>
      <c r="B705" s="71"/>
      <c r="C705" s="61"/>
      <c r="D705" s="61"/>
      <c r="E705" s="71"/>
      <c r="F705" s="71"/>
      <c r="G705" s="61"/>
      <c r="I705" s="61"/>
      <c r="J705" s="71"/>
      <c r="K705" s="71"/>
      <c r="L705" s="71"/>
      <c r="M705" s="71"/>
      <c r="N705" s="71"/>
      <c r="O705" s="71"/>
      <c r="P705" s="71"/>
      <c r="Q705" s="71"/>
      <c r="R705" s="71"/>
      <c r="S705" s="71"/>
      <c r="T705" s="71"/>
      <c r="U705" s="71"/>
      <c r="V705" s="71"/>
      <c r="W705" s="71"/>
      <c r="X705" s="71"/>
      <c r="Y705" s="71"/>
      <c r="Z705" s="71"/>
      <c r="AA705" s="71"/>
      <c r="AB705" s="71"/>
    </row>
    <row r="706" ht="15.75" customHeight="1">
      <c r="A706" s="71"/>
      <c r="B706" s="71"/>
      <c r="C706" s="61"/>
      <c r="D706" s="61"/>
      <c r="E706" s="71"/>
      <c r="F706" s="71"/>
      <c r="G706" s="61"/>
      <c r="I706" s="61"/>
      <c r="J706" s="71"/>
      <c r="K706" s="71"/>
      <c r="L706" s="71"/>
      <c r="M706" s="71"/>
      <c r="N706" s="71"/>
      <c r="O706" s="71"/>
      <c r="P706" s="71"/>
      <c r="Q706" s="71"/>
      <c r="R706" s="71"/>
      <c r="S706" s="71"/>
      <c r="T706" s="71"/>
      <c r="U706" s="71"/>
      <c r="V706" s="71"/>
      <c r="W706" s="71"/>
      <c r="X706" s="71"/>
      <c r="Y706" s="71"/>
      <c r="Z706" s="71"/>
      <c r="AA706" s="71"/>
      <c r="AB706" s="71"/>
    </row>
    <row r="707" ht="15.75" customHeight="1">
      <c r="A707" s="71"/>
      <c r="B707" s="71"/>
      <c r="C707" s="61"/>
      <c r="D707" s="61"/>
      <c r="E707" s="71"/>
      <c r="F707" s="71"/>
      <c r="G707" s="61"/>
      <c r="I707" s="61"/>
      <c r="J707" s="71"/>
      <c r="K707" s="71"/>
      <c r="L707" s="71"/>
      <c r="M707" s="71"/>
      <c r="N707" s="71"/>
      <c r="O707" s="71"/>
      <c r="P707" s="71"/>
      <c r="Q707" s="71"/>
      <c r="R707" s="71"/>
      <c r="S707" s="71"/>
      <c r="T707" s="71"/>
      <c r="U707" s="71"/>
      <c r="V707" s="71"/>
      <c r="W707" s="71"/>
      <c r="X707" s="71"/>
      <c r="Y707" s="71"/>
      <c r="Z707" s="71"/>
      <c r="AA707" s="71"/>
      <c r="AB707" s="71"/>
    </row>
    <row r="708" ht="15.75" customHeight="1">
      <c r="A708" s="71"/>
      <c r="B708" s="71"/>
      <c r="C708" s="61"/>
      <c r="D708" s="61"/>
      <c r="E708" s="71"/>
      <c r="F708" s="71"/>
      <c r="G708" s="61"/>
      <c r="I708" s="61"/>
      <c r="J708" s="71"/>
      <c r="K708" s="71"/>
      <c r="L708" s="71"/>
      <c r="M708" s="71"/>
      <c r="N708" s="71"/>
      <c r="O708" s="71"/>
      <c r="P708" s="71"/>
      <c r="Q708" s="71"/>
      <c r="R708" s="71"/>
      <c r="S708" s="71"/>
      <c r="T708" s="71"/>
      <c r="U708" s="71"/>
      <c r="V708" s="71"/>
      <c r="W708" s="71"/>
      <c r="X708" s="71"/>
      <c r="Y708" s="71"/>
      <c r="Z708" s="71"/>
      <c r="AA708" s="71"/>
      <c r="AB708" s="71"/>
    </row>
    <row r="709" ht="15.75" customHeight="1">
      <c r="A709" s="71"/>
      <c r="B709" s="71"/>
      <c r="C709" s="61"/>
      <c r="D709" s="61"/>
      <c r="E709" s="71"/>
      <c r="F709" s="71"/>
      <c r="G709" s="61"/>
      <c r="I709" s="61"/>
      <c r="J709" s="71"/>
      <c r="K709" s="71"/>
      <c r="L709" s="71"/>
      <c r="M709" s="71"/>
      <c r="N709" s="71"/>
      <c r="O709" s="71"/>
      <c r="P709" s="71"/>
      <c r="Q709" s="71"/>
      <c r="R709" s="71"/>
      <c r="S709" s="71"/>
      <c r="T709" s="71"/>
      <c r="U709" s="71"/>
      <c r="V709" s="71"/>
      <c r="W709" s="71"/>
      <c r="X709" s="71"/>
      <c r="Y709" s="71"/>
      <c r="Z709" s="71"/>
      <c r="AA709" s="71"/>
      <c r="AB709" s="71"/>
    </row>
    <row r="710" ht="15.75" customHeight="1">
      <c r="A710" s="71"/>
      <c r="B710" s="71"/>
      <c r="C710" s="61"/>
      <c r="D710" s="61"/>
      <c r="E710" s="71"/>
      <c r="F710" s="71"/>
      <c r="G710" s="61"/>
      <c r="I710" s="61"/>
      <c r="J710" s="71"/>
      <c r="K710" s="71"/>
      <c r="L710" s="71"/>
      <c r="M710" s="71"/>
      <c r="N710" s="71"/>
      <c r="O710" s="71"/>
      <c r="P710" s="71"/>
      <c r="Q710" s="71"/>
      <c r="R710" s="71"/>
      <c r="S710" s="71"/>
      <c r="T710" s="71"/>
      <c r="U710" s="71"/>
      <c r="V710" s="71"/>
      <c r="W710" s="71"/>
      <c r="X710" s="71"/>
      <c r="Y710" s="71"/>
      <c r="Z710" s="71"/>
      <c r="AA710" s="71"/>
      <c r="AB710" s="71"/>
    </row>
    <row r="711" ht="15.75" customHeight="1">
      <c r="A711" s="71"/>
      <c r="B711" s="71"/>
      <c r="C711" s="61"/>
      <c r="D711" s="61"/>
      <c r="E711" s="71"/>
      <c r="F711" s="71"/>
      <c r="G711" s="61"/>
      <c r="I711" s="61"/>
      <c r="J711" s="71"/>
      <c r="K711" s="71"/>
      <c r="L711" s="71"/>
      <c r="M711" s="71"/>
      <c r="N711" s="71"/>
      <c r="O711" s="71"/>
      <c r="P711" s="71"/>
      <c r="Q711" s="71"/>
      <c r="R711" s="71"/>
      <c r="S711" s="71"/>
      <c r="T711" s="71"/>
      <c r="U711" s="71"/>
      <c r="V711" s="71"/>
      <c r="W711" s="71"/>
      <c r="X711" s="71"/>
      <c r="Y711" s="71"/>
      <c r="Z711" s="71"/>
      <c r="AA711" s="71"/>
      <c r="AB711" s="71"/>
    </row>
    <row r="712" ht="15.75" customHeight="1">
      <c r="A712" s="71"/>
      <c r="B712" s="71"/>
      <c r="C712" s="61"/>
      <c r="D712" s="61"/>
      <c r="E712" s="71"/>
      <c r="F712" s="71"/>
      <c r="G712" s="61"/>
      <c r="I712" s="61"/>
      <c r="J712" s="71"/>
      <c r="K712" s="71"/>
      <c r="L712" s="71"/>
      <c r="M712" s="71"/>
      <c r="N712" s="71"/>
      <c r="O712" s="71"/>
      <c r="P712" s="71"/>
      <c r="Q712" s="71"/>
      <c r="R712" s="71"/>
      <c r="S712" s="71"/>
      <c r="T712" s="71"/>
      <c r="U712" s="71"/>
      <c r="V712" s="71"/>
      <c r="W712" s="71"/>
      <c r="X712" s="71"/>
      <c r="Y712" s="71"/>
      <c r="Z712" s="71"/>
      <c r="AA712" s="71"/>
      <c r="AB712" s="71"/>
    </row>
    <row r="713" ht="15.75" customHeight="1">
      <c r="A713" s="71"/>
      <c r="B713" s="71"/>
      <c r="C713" s="61"/>
      <c r="D713" s="61"/>
      <c r="E713" s="71"/>
      <c r="F713" s="71"/>
      <c r="G713" s="61"/>
      <c r="I713" s="61"/>
      <c r="J713" s="71"/>
      <c r="K713" s="71"/>
      <c r="L713" s="71"/>
      <c r="M713" s="71"/>
      <c r="N713" s="71"/>
      <c r="O713" s="71"/>
      <c r="P713" s="71"/>
      <c r="Q713" s="71"/>
      <c r="R713" s="71"/>
      <c r="S713" s="71"/>
      <c r="T713" s="71"/>
      <c r="U713" s="71"/>
      <c r="V713" s="71"/>
      <c r="W713" s="71"/>
      <c r="X713" s="71"/>
      <c r="Y713" s="71"/>
      <c r="Z713" s="71"/>
      <c r="AA713" s="71"/>
      <c r="AB713" s="71"/>
    </row>
    <row r="714" ht="15.75" customHeight="1">
      <c r="A714" s="71"/>
      <c r="B714" s="71"/>
      <c r="C714" s="61"/>
      <c r="D714" s="61"/>
      <c r="E714" s="71"/>
      <c r="F714" s="71"/>
      <c r="G714" s="61"/>
      <c r="I714" s="61"/>
      <c r="J714" s="71"/>
      <c r="K714" s="71"/>
      <c r="L714" s="71"/>
      <c r="M714" s="71"/>
      <c r="N714" s="71"/>
      <c r="O714" s="71"/>
      <c r="P714" s="71"/>
      <c r="Q714" s="71"/>
      <c r="R714" s="71"/>
      <c r="S714" s="71"/>
      <c r="T714" s="71"/>
      <c r="U714" s="71"/>
      <c r="V714" s="71"/>
      <c r="W714" s="71"/>
      <c r="X714" s="71"/>
      <c r="Y714" s="71"/>
      <c r="Z714" s="71"/>
      <c r="AA714" s="71"/>
      <c r="AB714" s="71"/>
    </row>
    <row r="715" ht="15.75" customHeight="1">
      <c r="A715" s="71"/>
      <c r="B715" s="71"/>
      <c r="C715" s="61"/>
      <c r="D715" s="61"/>
      <c r="E715" s="71"/>
      <c r="F715" s="71"/>
      <c r="G715" s="61"/>
      <c r="I715" s="61"/>
      <c r="J715" s="71"/>
      <c r="K715" s="71"/>
      <c r="L715" s="71"/>
      <c r="M715" s="71"/>
      <c r="N715" s="71"/>
      <c r="O715" s="71"/>
      <c r="P715" s="71"/>
      <c r="Q715" s="71"/>
      <c r="R715" s="71"/>
      <c r="S715" s="71"/>
      <c r="T715" s="71"/>
      <c r="U715" s="71"/>
      <c r="V715" s="71"/>
      <c r="W715" s="71"/>
      <c r="X715" s="71"/>
      <c r="Y715" s="71"/>
      <c r="Z715" s="71"/>
      <c r="AA715" s="71"/>
      <c r="AB715" s="71"/>
    </row>
    <row r="716" ht="15.75" customHeight="1">
      <c r="A716" s="71"/>
      <c r="B716" s="71"/>
      <c r="C716" s="61"/>
      <c r="D716" s="61"/>
      <c r="E716" s="71"/>
      <c r="F716" s="71"/>
      <c r="G716" s="61"/>
      <c r="I716" s="61"/>
      <c r="J716" s="71"/>
      <c r="K716" s="71"/>
      <c r="L716" s="71"/>
      <c r="M716" s="71"/>
      <c r="N716" s="71"/>
      <c r="O716" s="71"/>
      <c r="P716" s="71"/>
      <c r="Q716" s="71"/>
      <c r="R716" s="71"/>
      <c r="S716" s="71"/>
      <c r="T716" s="71"/>
      <c r="U716" s="71"/>
      <c r="V716" s="71"/>
      <c r="W716" s="71"/>
      <c r="X716" s="71"/>
      <c r="Y716" s="71"/>
      <c r="Z716" s="71"/>
      <c r="AA716" s="71"/>
      <c r="AB716" s="71"/>
    </row>
    <row r="717" ht="15.75" customHeight="1">
      <c r="A717" s="71"/>
      <c r="B717" s="71"/>
      <c r="C717" s="61"/>
      <c r="D717" s="61"/>
      <c r="E717" s="71"/>
      <c r="F717" s="71"/>
      <c r="G717" s="61"/>
      <c r="I717" s="61"/>
      <c r="J717" s="71"/>
      <c r="K717" s="71"/>
      <c r="L717" s="71"/>
      <c r="M717" s="71"/>
      <c r="N717" s="71"/>
      <c r="O717" s="71"/>
      <c r="P717" s="71"/>
      <c r="Q717" s="71"/>
      <c r="R717" s="71"/>
      <c r="S717" s="71"/>
      <c r="T717" s="71"/>
      <c r="U717" s="71"/>
      <c r="V717" s="71"/>
      <c r="W717" s="71"/>
      <c r="X717" s="71"/>
      <c r="Y717" s="71"/>
      <c r="Z717" s="71"/>
      <c r="AA717" s="71"/>
      <c r="AB717" s="71"/>
    </row>
    <row r="718" ht="15.75" customHeight="1">
      <c r="A718" s="71"/>
      <c r="B718" s="71"/>
      <c r="C718" s="61"/>
      <c r="D718" s="61"/>
      <c r="E718" s="71"/>
      <c r="F718" s="71"/>
      <c r="G718" s="61"/>
      <c r="I718" s="61"/>
      <c r="J718" s="71"/>
      <c r="K718" s="71"/>
      <c r="L718" s="71"/>
      <c r="M718" s="71"/>
      <c r="N718" s="71"/>
      <c r="O718" s="71"/>
      <c r="P718" s="71"/>
      <c r="Q718" s="71"/>
      <c r="R718" s="71"/>
      <c r="S718" s="71"/>
      <c r="T718" s="71"/>
      <c r="U718" s="71"/>
      <c r="V718" s="71"/>
      <c r="W718" s="71"/>
      <c r="X718" s="71"/>
      <c r="Y718" s="71"/>
      <c r="Z718" s="71"/>
      <c r="AA718" s="71"/>
      <c r="AB718" s="71"/>
    </row>
    <row r="719" ht="15.75" customHeight="1">
      <c r="A719" s="71"/>
      <c r="B719" s="71"/>
      <c r="C719" s="61"/>
      <c r="D719" s="61"/>
      <c r="E719" s="71"/>
      <c r="F719" s="71"/>
      <c r="G719" s="61"/>
      <c r="I719" s="61"/>
      <c r="J719" s="71"/>
      <c r="K719" s="71"/>
      <c r="L719" s="71"/>
      <c r="M719" s="71"/>
      <c r="N719" s="71"/>
      <c r="O719" s="71"/>
      <c r="P719" s="71"/>
      <c r="Q719" s="71"/>
      <c r="R719" s="71"/>
      <c r="S719" s="71"/>
      <c r="T719" s="71"/>
      <c r="U719" s="71"/>
      <c r="V719" s="71"/>
      <c r="W719" s="71"/>
      <c r="X719" s="71"/>
      <c r="Y719" s="71"/>
      <c r="Z719" s="71"/>
      <c r="AA719" s="71"/>
      <c r="AB719" s="71"/>
    </row>
    <row r="720" ht="15.75" customHeight="1">
      <c r="A720" s="71"/>
      <c r="B720" s="71"/>
      <c r="C720" s="61"/>
      <c r="D720" s="61"/>
      <c r="E720" s="71"/>
      <c r="F720" s="71"/>
      <c r="G720" s="61"/>
      <c r="I720" s="61"/>
      <c r="J720" s="71"/>
      <c r="K720" s="71"/>
      <c r="L720" s="71"/>
      <c r="M720" s="71"/>
      <c r="N720" s="71"/>
      <c r="O720" s="71"/>
      <c r="P720" s="71"/>
      <c r="Q720" s="71"/>
      <c r="R720" s="71"/>
      <c r="S720" s="71"/>
      <c r="T720" s="71"/>
      <c r="U720" s="71"/>
      <c r="V720" s="71"/>
      <c r="W720" s="71"/>
      <c r="X720" s="71"/>
      <c r="Y720" s="71"/>
      <c r="Z720" s="71"/>
      <c r="AA720" s="71"/>
      <c r="AB720" s="71"/>
    </row>
    <row r="721" ht="15.75" customHeight="1">
      <c r="A721" s="71"/>
      <c r="B721" s="71"/>
      <c r="C721" s="61"/>
      <c r="D721" s="61"/>
      <c r="E721" s="71"/>
      <c r="F721" s="71"/>
      <c r="G721" s="61"/>
      <c r="I721" s="61"/>
      <c r="J721" s="71"/>
      <c r="K721" s="71"/>
      <c r="L721" s="71"/>
      <c r="M721" s="71"/>
      <c r="N721" s="71"/>
      <c r="O721" s="71"/>
      <c r="P721" s="71"/>
      <c r="Q721" s="71"/>
      <c r="R721" s="71"/>
      <c r="S721" s="71"/>
      <c r="T721" s="71"/>
      <c r="U721" s="71"/>
      <c r="V721" s="71"/>
      <c r="W721" s="71"/>
      <c r="X721" s="71"/>
      <c r="Y721" s="71"/>
      <c r="Z721" s="71"/>
      <c r="AA721" s="71"/>
      <c r="AB721" s="71"/>
    </row>
    <row r="722" ht="15.75" customHeight="1">
      <c r="A722" s="71"/>
      <c r="B722" s="71"/>
      <c r="C722" s="61"/>
      <c r="D722" s="61"/>
      <c r="E722" s="71"/>
      <c r="F722" s="71"/>
      <c r="G722" s="61"/>
      <c r="I722" s="61"/>
      <c r="J722" s="71"/>
      <c r="K722" s="71"/>
      <c r="L722" s="71"/>
      <c r="M722" s="71"/>
      <c r="N722" s="71"/>
      <c r="O722" s="71"/>
      <c r="P722" s="71"/>
      <c r="Q722" s="71"/>
      <c r="R722" s="71"/>
      <c r="S722" s="71"/>
      <c r="T722" s="71"/>
      <c r="U722" s="71"/>
      <c r="V722" s="71"/>
      <c r="W722" s="71"/>
      <c r="X722" s="71"/>
      <c r="Y722" s="71"/>
      <c r="Z722" s="71"/>
      <c r="AA722" s="71"/>
      <c r="AB722" s="71"/>
    </row>
    <row r="723" ht="15.75" customHeight="1">
      <c r="A723" s="71"/>
      <c r="B723" s="71"/>
      <c r="C723" s="61"/>
      <c r="D723" s="61"/>
      <c r="E723" s="71"/>
      <c r="F723" s="71"/>
      <c r="G723" s="61"/>
      <c r="I723" s="61"/>
      <c r="J723" s="71"/>
      <c r="K723" s="71"/>
      <c r="L723" s="71"/>
      <c r="M723" s="71"/>
      <c r="N723" s="71"/>
      <c r="O723" s="71"/>
      <c r="P723" s="71"/>
      <c r="Q723" s="71"/>
      <c r="R723" s="71"/>
      <c r="S723" s="71"/>
      <c r="T723" s="71"/>
      <c r="U723" s="71"/>
      <c r="V723" s="71"/>
      <c r="W723" s="71"/>
      <c r="X723" s="71"/>
      <c r="Y723" s="71"/>
      <c r="Z723" s="71"/>
      <c r="AA723" s="71"/>
      <c r="AB723" s="71"/>
    </row>
    <row r="724" ht="15.75" customHeight="1">
      <c r="A724" s="71"/>
      <c r="B724" s="71"/>
      <c r="C724" s="61"/>
      <c r="D724" s="61"/>
      <c r="E724" s="71"/>
      <c r="F724" s="71"/>
      <c r="G724" s="61"/>
      <c r="I724" s="61"/>
      <c r="J724" s="71"/>
      <c r="K724" s="71"/>
      <c r="L724" s="71"/>
      <c r="M724" s="71"/>
      <c r="N724" s="71"/>
      <c r="O724" s="71"/>
      <c r="P724" s="71"/>
      <c r="Q724" s="71"/>
      <c r="R724" s="71"/>
      <c r="S724" s="71"/>
      <c r="T724" s="71"/>
      <c r="U724" s="71"/>
      <c r="V724" s="71"/>
      <c r="W724" s="71"/>
      <c r="X724" s="71"/>
      <c r="Y724" s="71"/>
      <c r="Z724" s="71"/>
      <c r="AA724" s="71"/>
      <c r="AB724" s="71"/>
    </row>
    <row r="725" ht="15.75" customHeight="1">
      <c r="A725" s="71"/>
      <c r="B725" s="71"/>
      <c r="C725" s="61"/>
      <c r="D725" s="61"/>
      <c r="E725" s="71"/>
      <c r="F725" s="71"/>
      <c r="G725" s="61"/>
      <c r="I725" s="61"/>
      <c r="J725" s="71"/>
      <c r="K725" s="71"/>
      <c r="L725" s="71"/>
      <c r="M725" s="71"/>
      <c r="N725" s="71"/>
      <c r="O725" s="71"/>
      <c r="P725" s="71"/>
      <c r="Q725" s="71"/>
      <c r="R725" s="71"/>
      <c r="S725" s="71"/>
      <c r="T725" s="71"/>
      <c r="U725" s="71"/>
      <c r="V725" s="71"/>
      <c r="W725" s="71"/>
      <c r="X725" s="71"/>
      <c r="Y725" s="71"/>
      <c r="Z725" s="71"/>
      <c r="AA725" s="71"/>
      <c r="AB725" s="71"/>
    </row>
    <row r="726" ht="15.75" customHeight="1">
      <c r="A726" s="71"/>
      <c r="B726" s="71"/>
      <c r="C726" s="61"/>
      <c r="D726" s="61"/>
      <c r="E726" s="71"/>
      <c r="F726" s="71"/>
      <c r="G726" s="61"/>
      <c r="I726" s="61"/>
      <c r="J726" s="71"/>
      <c r="K726" s="71"/>
      <c r="L726" s="71"/>
      <c r="M726" s="71"/>
      <c r="N726" s="71"/>
      <c r="O726" s="71"/>
      <c r="P726" s="71"/>
      <c r="Q726" s="71"/>
      <c r="R726" s="71"/>
      <c r="S726" s="71"/>
      <c r="T726" s="71"/>
      <c r="U726" s="71"/>
      <c r="V726" s="71"/>
      <c r="W726" s="71"/>
      <c r="X726" s="71"/>
      <c r="Y726" s="71"/>
      <c r="Z726" s="71"/>
      <c r="AA726" s="71"/>
      <c r="AB726" s="71"/>
    </row>
    <row r="727" ht="15.75" customHeight="1">
      <c r="A727" s="71"/>
      <c r="B727" s="71"/>
      <c r="C727" s="61"/>
      <c r="D727" s="61"/>
      <c r="E727" s="71"/>
      <c r="F727" s="71"/>
      <c r="G727" s="61"/>
      <c r="I727" s="61"/>
      <c r="J727" s="71"/>
      <c r="K727" s="71"/>
      <c r="L727" s="71"/>
      <c r="M727" s="71"/>
      <c r="N727" s="71"/>
      <c r="O727" s="71"/>
      <c r="P727" s="71"/>
      <c r="Q727" s="71"/>
      <c r="R727" s="71"/>
      <c r="S727" s="71"/>
      <c r="T727" s="71"/>
      <c r="U727" s="71"/>
      <c r="V727" s="71"/>
      <c r="W727" s="71"/>
      <c r="X727" s="71"/>
      <c r="Y727" s="71"/>
      <c r="Z727" s="71"/>
      <c r="AA727" s="71"/>
      <c r="AB727" s="71"/>
    </row>
    <row r="728" ht="15.75" customHeight="1">
      <c r="A728" s="71"/>
      <c r="B728" s="71"/>
      <c r="C728" s="61"/>
      <c r="D728" s="61"/>
      <c r="E728" s="71"/>
      <c r="F728" s="71"/>
      <c r="G728" s="61"/>
      <c r="I728" s="61"/>
      <c r="J728" s="71"/>
      <c r="K728" s="71"/>
      <c r="L728" s="71"/>
      <c r="M728" s="71"/>
      <c r="N728" s="71"/>
      <c r="O728" s="71"/>
      <c r="P728" s="71"/>
      <c r="Q728" s="71"/>
      <c r="R728" s="71"/>
      <c r="S728" s="71"/>
      <c r="T728" s="71"/>
      <c r="U728" s="71"/>
      <c r="V728" s="71"/>
      <c r="W728" s="71"/>
      <c r="X728" s="71"/>
      <c r="Y728" s="71"/>
      <c r="Z728" s="71"/>
      <c r="AA728" s="71"/>
      <c r="AB728" s="71"/>
    </row>
    <row r="729" ht="15.75" customHeight="1">
      <c r="A729" s="71"/>
      <c r="B729" s="71"/>
      <c r="C729" s="61"/>
      <c r="D729" s="61"/>
      <c r="E729" s="71"/>
      <c r="F729" s="71"/>
      <c r="G729" s="61"/>
      <c r="I729" s="61"/>
      <c r="J729" s="71"/>
      <c r="K729" s="71"/>
      <c r="L729" s="71"/>
      <c r="M729" s="71"/>
      <c r="N729" s="71"/>
      <c r="O729" s="71"/>
      <c r="P729" s="71"/>
      <c r="Q729" s="71"/>
      <c r="R729" s="71"/>
      <c r="S729" s="71"/>
      <c r="T729" s="71"/>
      <c r="U729" s="71"/>
      <c r="V729" s="71"/>
      <c r="W729" s="71"/>
      <c r="X729" s="71"/>
      <c r="Y729" s="71"/>
      <c r="Z729" s="71"/>
      <c r="AA729" s="71"/>
      <c r="AB729" s="71"/>
    </row>
    <row r="730" ht="15.75" customHeight="1">
      <c r="A730" s="71"/>
      <c r="B730" s="71"/>
      <c r="C730" s="61"/>
      <c r="D730" s="61"/>
      <c r="E730" s="71"/>
      <c r="F730" s="71"/>
      <c r="G730" s="61"/>
      <c r="I730" s="61"/>
      <c r="J730" s="71"/>
      <c r="K730" s="71"/>
      <c r="L730" s="71"/>
      <c r="M730" s="71"/>
      <c r="N730" s="71"/>
      <c r="O730" s="71"/>
      <c r="P730" s="71"/>
      <c r="Q730" s="71"/>
      <c r="R730" s="71"/>
      <c r="S730" s="71"/>
      <c r="T730" s="71"/>
      <c r="U730" s="71"/>
      <c r="V730" s="71"/>
      <c r="W730" s="71"/>
      <c r="X730" s="71"/>
      <c r="Y730" s="71"/>
      <c r="Z730" s="71"/>
      <c r="AA730" s="71"/>
      <c r="AB730" s="71"/>
    </row>
    <row r="731" ht="15.75" customHeight="1">
      <c r="A731" s="71"/>
      <c r="B731" s="71"/>
      <c r="C731" s="61"/>
      <c r="D731" s="61"/>
      <c r="E731" s="71"/>
      <c r="F731" s="71"/>
      <c r="G731" s="61"/>
      <c r="I731" s="61"/>
      <c r="J731" s="71"/>
      <c r="K731" s="71"/>
      <c r="L731" s="71"/>
      <c r="M731" s="71"/>
      <c r="N731" s="71"/>
      <c r="O731" s="71"/>
      <c r="P731" s="71"/>
      <c r="Q731" s="71"/>
      <c r="R731" s="71"/>
      <c r="S731" s="71"/>
      <c r="T731" s="71"/>
      <c r="U731" s="71"/>
      <c r="V731" s="71"/>
      <c r="W731" s="71"/>
      <c r="X731" s="71"/>
      <c r="Y731" s="71"/>
      <c r="Z731" s="71"/>
      <c r="AA731" s="71"/>
      <c r="AB731" s="71"/>
    </row>
    <row r="732" ht="15.75" customHeight="1">
      <c r="A732" s="71"/>
      <c r="B732" s="71"/>
      <c r="C732" s="61"/>
      <c r="D732" s="61"/>
      <c r="E732" s="71"/>
      <c r="F732" s="71"/>
      <c r="G732" s="61"/>
      <c r="I732" s="61"/>
      <c r="J732" s="71"/>
      <c r="K732" s="71"/>
      <c r="L732" s="71"/>
      <c r="M732" s="71"/>
      <c r="N732" s="71"/>
      <c r="O732" s="71"/>
      <c r="P732" s="71"/>
      <c r="Q732" s="71"/>
      <c r="R732" s="71"/>
      <c r="S732" s="71"/>
      <c r="T732" s="71"/>
      <c r="U732" s="71"/>
      <c r="V732" s="71"/>
      <c r="W732" s="71"/>
      <c r="X732" s="71"/>
      <c r="Y732" s="71"/>
      <c r="Z732" s="71"/>
      <c r="AA732" s="71"/>
      <c r="AB732" s="71"/>
    </row>
    <row r="733" ht="15.75" customHeight="1">
      <c r="A733" s="71"/>
      <c r="B733" s="71"/>
      <c r="C733" s="61"/>
      <c r="D733" s="61"/>
      <c r="E733" s="71"/>
      <c r="F733" s="71"/>
      <c r="G733" s="61"/>
      <c r="I733" s="61"/>
      <c r="J733" s="71"/>
      <c r="K733" s="71"/>
      <c r="L733" s="71"/>
      <c r="M733" s="71"/>
      <c r="N733" s="71"/>
      <c r="O733" s="71"/>
      <c r="P733" s="71"/>
      <c r="Q733" s="71"/>
      <c r="R733" s="71"/>
      <c r="S733" s="71"/>
      <c r="T733" s="71"/>
      <c r="U733" s="71"/>
      <c r="V733" s="71"/>
      <c r="W733" s="71"/>
      <c r="X733" s="71"/>
      <c r="Y733" s="71"/>
      <c r="Z733" s="71"/>
      <c r="AA733" s="71"/>
      <c r="AB733" s="71"/>
    </row>
    <row r="734" ht="15.75" customHeight="1">
      <c r="A734" s="71"/>
      <c r="B734" s="71"/>
      <c r="C734" s="61"/>
      <c r="D734" s="61"/>
      <c r="E734" s="71"/>
      <c r="F734" s="71"/>
      <c r="G734" s="61"/>
      <c r="I734" s="61"/>
      <c r="J734" s="71"/>
      <c r="K734" s="71"/>
      <c r="L734" s="71"/>
      <c r="M734" s="71"/>
      <c r="N734" s="71"/>
      <c r="O734" s="71"/>
      <c r="P734" s="71"/>
      <c r="Q734" s="71"/>
      <c r="R734" s="71"/>
      <c r="S734" s="71"/>
      <c r="T734" s="71"/>
      <c r="U734" s="71"/>
      <c r="V734" s="71"/>
      <c r="W734" s="71"/>
      <c r="X734" s="71"/>
      <c r="Y734" s="71"/>
      <c r="Z734" s="71"/>
      <c r="AA734" s="71"/>
      <c r="AB734" s="71"/>
    </row>
    <row r="735" ht="15.75" customHeight="1">
      <c r="A735" s="71"/>
      <c r="B735" s="71"/>
      <c r="C735" s="61"/>
      <c r="D735" s="61"/>
      <c r="E735" s="71"/>
      <c r="F735" s="71"/>
      <c r="G735" s="61"/>
      <c r="I735" s="61"/>
      <c r="J735" s="71"/>
      <c r="K735" s="71"/>
      <c r="L735" s="71"/>
      <c r="M735" s="71"/>
      <c r="N735" s="71"/>
      <c r="O735" s="71"/>
      <c r="P735" s="71"/>
      <c r="Q735" s="71"/>
      <c r="R735" s="71"/>
      <c r="S735" s="71"/>
      <c r="T735" s="71"/>
      <c r="U735" s="71"/>
      <c r="V735" s="71"/>
      <c r="W735" s="71"/>
      <c r="X735" s="71"/>
      <c r="Y735" s="71"/>
      <c r="Z735" s="71"/>
      <c r="AA735" s="71"/>
      <c r="AB735" s="71"/>
    </row>
    <row r="736" ht="15.75" customHeight="1">
      <c r="A736" s="71"/>
      <c r="B736" s="71"/>
      <c r="C736" s="61"/>
      <c r="D736" s="61"/>
      <c r="E736" s="71"/>
      <c r="F736" s="71"/>
      <c r="G736" s="61"/>
      <c r="I736" s="61"/>
      <c r="J736" s="71"/>
      <c r="K736" s="71"/>
      <c r="L736" s="71"/>
      <c r="M736" s="71"/>
      <c r="N736" s="71"/>
      <c r="O736" s="71"/>
      <c r="P736" s="71"/>
      <c r="Q736" s="71"/>
      <c r="R736" s="71"/>
      <c r="S736" s="71"/>
      <c r="T736" s="71"/>
      <c r="U736" s="71"/>
      <c r="V736" s="71"/>
      <c r="W736" s="71"/>
      <c r="X736" s="71"/>
      <c r="Y736" s="71"/>
      <c r="Z736" s="71"/>
      <c r="AA736" s="71"/>
      <c r="AB736" s="71"/>
    </row>
    <row r="737" ht="15.75" customHeight="1">
      <c r="A737" s="71"/>
      <c r="B737" s="71"/>
      <c r="C737" s="61"/>
      <c r="D737" s="61"/>
      <c r="E737" s="71"/>
      <c r="F737" s="71"/>
      <c r="G737" s="61"/>
      <c r="I737" s="61"/>
      <c r="J737" s="71"/>
      <c r="K737" s="71"/>
      <c r="L737" s="71"/>
      <c r="M737" s="71"/>
      <c r="N737" s="71"/>
      <c r="O737" s="71"/>
      <c r="P737" s="71"/>
      <c r="Q737" s="71"/>
      <c r="R737" s="71"/>
      <c r="S737" s="71"/>
      <c r="T737" s="71"/>
      <c r="U737" s="71"/>
      <c r="V737" s="71"/>
      <c r="W737" s="71"/>
      <c r="X737" s="71"/>
      <c r="Y737" s="71"/>
      <c r="Z737" s="71"/>
      <c r="AA737" s="71"/>
      <c r="AB737" s="71"/>
    </row>
    <row r="738" ht="15.75" customHeight="1">
      <c r="A738" s="71"/>
      <c r="B738" s="71"/>
      <c r="C738" s="61"/>
      <c r="D738" s="61"/>
      <c r="E738" s="71"/>
      <c r="F738" s="71"/>
      <c r="G738" s="61"/>
      <c r="I738" s="61"/>
      <c r="J738" s="71"/>
      <c r="K738" s="71"/>
      <c r="L738" s="71"/>
      <c r="M738" s="71"/>
      <c r="N738" s="71"/>
      <c r="O738" s="71"/>
      <c r="P738" s="71"/>
      <c r="Q738" s="71"/>
      <c r="R738" s="71"/>
      <c r="S738" s="71"/>
      <c r="T738" s="71"/>
      <c r="U738" s="71"/>
      <c r="V738" s="71"/>
      <c r="W738" s="71"/>
      <c r="X738" s="71"/>
      <c r="Y738" s="71"/>
      <c r="Z738" s="71"/>
      <c r="AA738" s="71"/>
      <c r="AB738" s="71"/>
    </row>
    <row r="739" ht="15.75" customHeight="1">
      <c r="A739" s="71"/>
      <c r="B739" s="71"/>
      <c r="C739" s="61"/>
      <c r="D739" s="61"/>
      <c r="E739" s="71"/>
      <c r="F739" s="71"/>
      <c r="G739" s="61"/>
      <c r="I739" s="61"/>
      <c r="J739" s="71"/>
      <c r="K739" s="71"/>
      <c r="L739" s="71"/>
      <c r="M739" s="71"/>
      <c r="N739" s="71"/>
      <c r="O739" s="71"/>
      <c r="P739" s="71"/>
      <c r="Q739" s="71"/>
      <c r="R739" s="71"/>
      <c r="S739" s="71"/>
      <c r="T739" s="71"/>
      <c r="U739" s="71"/>
      <c r="V739" s="71"/>
      <c r="W739" s="71"/>
      <c r="X739" s="71"/>
      <c r="Y739" s="71"/>
      <c r="Z739" s="71"/>
      <c r="AA739" s="71"/>
      <c r="AB739" s="71"/>
    </row>
    <row r="740" ht="15.75" customHeight="1">
      <c r="A740" s="71"/>
      <c r="B740" s="71"/>
      <c r="C740" s="61"/>
      <c r="D740" s="61"/>
      <c r="E740" s="71"/>
      <c r="F740" s="71"/>
      <c r="G740" s="61"/>
      <c r="I740" s="61"/>
      <c r="J740" s="71"/>
      <c r="K740" s="71"/>
      <c r="L740" s="71"/>
      <c r="M740" s="71"/>
      <c r="N740" s="71"/>
      <c r="O740" s="71"/>
      <c r="P740" s="71"/>
      <c r="Q740" s="71"/>
      <c r="R740" s="71"/>
      <c r="S740" s="71"/>
      <c r="T740" s="71"/>
      <c r="U740" s="71"/>
      <c r="V740" s="71"/>
      <c r="W740" s="71"/>
      <c r="X740" s="71"/>
      <c r="Y740" s="71"/>
      <c r="Z740" s="71"/>
      <c r="AA740" s="71"/>
      <c r="AB740" s="71"/>
    </row>
    <row r="741" ht="15.75" customHeight="1">
      <c r="A741" s="71"/>
      <c r="B741" s="71"/>
      <c r="C741" s="61"/>
      <c r="D741" s="61"/>
      <c r="E741" s="71"/>
      <c r="F741" s="71"/>
      <c r="G741" s="61"/>
      <c r="I741" s="61"/>
      <c r="J741" s="71"/>
      <c r="K741" s="71"/>
      <c r="L741" s="71"/>
      <c r="M741" s="71"/>
      <c r="N741" s="71"/>
      <c r="O741" s="71"/>
      <c r="P741" s="71"/>
      <c r="Q741" s="71"/>
      <c r="R741" s="71"/>
      <c r="S741" s="71"/>
      <c r="T741" s="71"/>
      <c r="U741" s="71"/>
      <c r="V741" s="71"/>
      <c r="W741" s="71"/>
      <c r="X741" s="71"/>
      <c r="Y741" s="71"/>
      <c r="Z741" s="71"/>
      <c r="AA741" s="71"/>
      <c r="AB741" s="71"/>
    </row>
    <row r="742" ht="15.75" customHeight="1">
      <c r="A742" s="71"/>
      <c r="B742" s="71"/>
      <c r="C742" s="61"/>
      <c r="D742" s="61"/>
      <c r="E742" s="71"/>
      <c r="F742" s="71"/>
      <c r="G742" s="61"/>
      <c r="I742" s="61"/>
      <c r="J742" s="71"/>
      <c r="K742" s="71"/>
      <c r="L742" s="71"/>
      <c r="M742" s="71"/>
      <c r="N742" s="71"/>
      <c r="O742" s="71"/>
      <c r="P742" s="71"/>
      <c r="Q742" s="71"/>
      <c r="R742" s="71"/>
      <c r="S742" s="71"/>
      <c r="T742" s="71"/>
      <c r="U742" s="71"/>
      <c r="V742" s="71"/>
      <c r="W742" s="71"/>
      <c r="X742" s="71"/>
      <c r="Y742" s="71"/>
      <c r="Z742" s="71"/>
      <c r="AA742" s="71"/>
      <c r="AB742" s="71"/>
    </row>
    <row r="743" ht="15.75" customHeight="1">
      <c r="A743" s="71"/>
      <c r="B743" s="71"/>
      <c r="C743" s="61"/>
      <c r="D743" s="61"/>
      <c r="E743" s="71"/>
      <c r="F743" s="71"/>
      <c r="G743" s="61"/>
      <c r="I743" s="61"/>
      <c r="J743" s="71"/>
      <c r="K743" s="71"/>
      <c r="L743" s="71"/>
      <c r="M743" s="71"/>
      <c r="N743" s="71"/>
      <c r="O743" s="71"/>
      <c r="P743" s="71"/>
      <c r="Q743" s="71"/>
      <c r="R743" s="71"/>
      <c r="S743" s="71"/>
      <c r="T743" s="71"/>
      <c r="U743" s="71"/>
      <c r="V743" s="71"/>
      <c r="W743" s="71"/>
      <c r="X743" s="71"/>
      <c r="Y743" s="71"/>
      <c r="Z743" s="71"/>
      <c r="AA743" s="71"/>
      <c r="AB743" s="71"/>
    </row>
    <row r="744" ht="15.75" customHeight="1">
      <c r="A744" s="71"/>
      <c r="B744" s="71"/>
      <c r="C744" s="61"/>
      <c r="D744" s="61"/>
      <c r="E744" s="71"/>
      <c r="F744" s="71"/>
      <c r="G744" s="61"/>
      <c r="I744" s="61"/>
      <c r="J744" s="71"/>
      <c r="K744" s="71"/>
      <c r="L744" s="71"/>
      <c r="M744" s="71"/>
      <c r="N744" s="71"/>
      <c r="O744" s="71"/>
      <c r="P744" s="71"/>
      <c r="Q744" s="71"/>
      <c r="R744" s="71"/>
      <c r="S744" s="71"/>
      <c r="T744" s="71"/>
      <c r="U744" s="71"/>
      <c r="V744" s="71"/>
      <c r="W744" s="71"/>
      <c r="X744" s="71"/>
      <c r="Y744" s="71"/>
      <c r="Z744" s="71"/>
      <c r="AA744" s="71"/>
      <c r="AB744" s="71"/>
    </row>
    <row r="745" ht="15.75" customHeight="1">
      <c r="A745" s="71"/>
      <c r="B745" s="71"/>
      <c r="C745" s="61"/>
      <c r="D745" s="61"/>
      <c r="E745" s="71"/>
      <c r="F745" s="71"/>
      <c r="G745" s="61"/>
      <c r="I745" s="61"/>
      <c r="J745" s="71"/>
      <c r="K745" s="71"/>
      <c r="L745" s="71"/>
      <c r="M745" s="71"/>
      <c r="N745" s="71"/>
      <c r="O745" s="71"/>
      <c r="P745" s="71"/>
      <c r="Q745" s="71"/>
      <c r="R745" s="71"/>
      <c r="S745" s="71"/>
      <c r="T745" s="71"/>
      <c r="U745" s="71"/>
      <c r="V745" s="71"/>
      <c r="W745" s="71"/>
      <c r="X745" s="71"/>
      <c r="Y745" s="71"/>
      <c r="Z745" s="71"/>
      <c r="AA745" s="71"/>
      <c r="AB745" s="71"/>
    </row>
    <row r="746" ht="15.75" customHeight="1">
      <c r="A746" s="71"/>
      <c r="B746" s="71"/>
      <c r="C746" s="61"/>
      <c r="D746" s="61"/>
      <c r="E746" s="71"/>
      <c r="F746" s="71"/>
      <c r="G746" s="61"/>
      <c r="I746" s="61"/>
      <c r="J746" s="71"/>
      <c r="K746" s="71"/>
      <c r="L746" s="71"/>
      <c r="M746" s="71"/>
      <c r="N746" s="71"/>
      <c r="O746" s="71"/>
      <c r="P746" s="71"/>
      <c r="Q746" s="71"/>
      <c r="R746" s="71"/>
      <c r="S746" s="71"/>
      <c r="T746" s="71"/>
      <c r="U746" s="71"/>
      <c r="V746" s="71"/>
      <c r="W746" s="71"/>
      <c r="X746" s="71"/>
      <c r="Y746" s="71"/>
      <c r="Z746" s="71"/>
      <c r="AA746" s="71"/>
      <c r="AB746" s="71"/>
    </row>
    <row r="747" ht="15.75" customHeight="1">
      <c r="A747" s="71"/>
      <c r="B747" s="71"/>
      <c r="C747" s="61"/>
      <c r="D747" s="61"/>
      <c r="E747" s="71"/>
      <c r="F747" s="71"/>
      <c r="G747" s="61"/>
      <c r="I747" s="61"/>
      <c r="J747" s="71"/>
      <c r="K747" s="71"/>
      <c r="L747" s="71"/>
      <c r="M747" s="71"/>
      <c r="N747" s="71"/>
      <c r="O747" s="71"/>
      <c r="P747" s="71"/>
      <c r="Q747" s="71"/>
      <c r="R747" s="71"/>
      <c r="S747" s="71"/>
      <c r="T747" s="71"/>
      <c r="U747" s="71"/>
      <c r="V747" s="71"/>
      <c r="W747" s="71"/>
      <c r="X747" s="71"/>
      <c r="Y747" s="71"/>
      <c r="Z747" s="71"/>
      <c r="AA747" s="71"/>
      <c r="AB747" s="71"/>
    </row>
    <row r="748" ht="15.75" customHeight="1">
      <c r="A748" s="71"/>
      <c r="B748" s="71"/>
      <c r="C748" s="61"/>
      <c r="D748" s="61"/>
      <c r="E748" s="71"/>
      <c r="F748" s="71"/>
      <c r="G748" s="61"/>
      <c r="I748" s="61"/>
      <c r="J748" s="71"/>
      <c r="K748" s="71"/>
      <c r="L748" s="71"/>
      <c r="M748" s="71"/>
      <c r="N748" s="71"/>
      <c r="O748" s="71"/>
      <c r="P748" s="71"/>
      <c r="Q748" s="71"/>
      <c r="R748" s="71"/>
      <c r="S748" s="71"/>
      <c r="T748" s="71"/>
      <c r="U748" s="71"/>
      <c r="V748" s="71"/>
      <c r="W748" s="71"/>
      <c r="X748" s="71"/>
      <c r="Y748" s="71"/>
      <c r="Z748" s="71"/>
      <c r="AA748" s="71"/>
      <c r="AB748" s="71"/>
    </row>
    <row r="749" ht="15.75" customHeight="1">
      <c r="A749" s="71"/>
      <c r="B749" s="71"/>
      <c r="C749" s="61"/>
      <c r="D749" s="61"/>
      <c r="E749" s="71"/>
      <c r="F749" s="71"/>
      <c r="G749" s="61"/>
      <c r="I749" s="61"/>
      <c r="J749" s="71"/>
      <c r="K749" s="71"/>
      <c r="L749" s="71"/>
      <c r="M749" s="71"/>
      <c r="N749" s="71"/>
      <c r="O749" s="71"/>
      <c r="P749" s="71"/>
      <c r="Q749" s="71"/>
      <c r="R749" s="71"/>
      <c r="S749" s="71"/>
      <c r="T749" s="71"/>
      <c r="U749" s="71"/>
      <c r="V749" s="71"/>
      <c r="W749" s="71"/>
      <c r="X749" s="71"/>
      <c r="Y749" s="71"/>
      <c r="Z749" s="71"/>
      <c r="AA749" s="71"/>
      <c r="AB749" s="71"/>
    </row>
    <row r="750" ht="15.75" customHeight="1">
      <c r="A750" s="71"/>
      <c r="B750" s="71"/>
      <c r="C750" s="61"/>
      <c r="D750" s="61"/>
      <c r="E750" s="71"/>
      <c r="F750" s="71"/>
      <c r="G750" s="61"/>
      <c r="I750" s="61"/>
      <c r="J750" s="71"/>
      <c r="K750" s="71"/>
      <c r="L750" s="71"/>
      <c r="M750" s="71"/>
      <c r="N750" s="71"/>
      <c r="O750" s="71"/>
      <c r="P750" s="71"/>
      <c r="Q750" s="71"/>
      <c r="R750" s="71"/>
      <c r="S750" s="71"/>
      <c r="T750" s="71"/>
      <c r="U750" s="71"/>
      <c r="V750" s="71"/>
      <c r="W750" s="71"/>
      <c r="X750" s="71"/>
      <c r="Y750" s="71"/>
      <c r="Z750" s="71"/>
      <c r="AA750" s="71"/>
      <c r="AB750" s="71"/>
    </row>
    <row r="751" ht="15.75" customHeight="1">
      <c r="A751" s="71"/>
      <c r="B751" s="71"/>
      <c r="C751" s="61"/>
      <c r="D751" s="61"/>
      <c r="E751" s="71"/>
      <c r="F751" s="71"/>
      <c r="G751" s="61"/>
      <c r="I751" s="61"/>
      <c r="J751" s="71"/>
      <c r="K751" s="71"/>
      <c r="L751" s="71"/>
      <c r="M751" s="71"/>
      <c r="N751" s="71"/>
      <c r="O751" s="71"/>
      <c r="P751" s="71"/>
      <c r="Q751" s="71"/>
      <c r="R751" s="71"/>
      <c r="S751" s="71"/>
      <c r="T751" s="71"/>
      <c r="U751" s="71"/>
      <c r="V751" s="71"/>
      <c r="W751" s="71"/>
      <c r="X751" s="71"/>
      <c r="Y751" s="71"/>
      <c r="Z751" s="71"/>
      <c r="AA751" s="71"/>
      <c r="AB751" s="71"/>
    </row>
    <row r="752" ht="15.75" customHeight="1">
      <c r="A752" s="71"/>
      <c r="B752" s="71"/>
      <c r="C752" s="61"/>
      <c r="D752" s="61"/>
      <c r="E752" s="71"/>
      <c r="F752" s="71"/>
      <c r="G752" s="61"/>
      <c r="I752" s="61"/>
      <c r="J752" s="71"/>
      <c r="K752" s="71"/>
      <c r="L752" s="71"/>
      <c r="M752" s="71"/>
      <c r="N752" s="71"/>
      <c r="O752" s="71"/>
      <c r="P752" s="71"/>
      <c r="Q752" s="71"/>
      <c r="R752" s="71"/>
      <c r="S752" s="71"/>
      <c r="T752" s="71"/>
      <c r="U752" s="71"/>
      <c r="V752" s="71"/>
      <c r="W752" s="71"/>
      <c r="X752" s="71"/>
      <c r="Y752" s="71"/>
      <c r="Z752" s="71"/>
      <c r="AA752" s="71"/>
      <c r="AB752" s="71"/>
    </row>
    <row r="753" ht="15.75" customHeight="1">
      <c r="A753" s="71"/>
      <c r="B753" s="71"/>
      <c r="C753" s="61"/>
      <c r="D753" s="61"/>
      <c r="E753" s="71"/>
      <c r="F753" s="71"/>
      <c r="G753" s="61"/>
      <c r="I753" s="61"/>
      <c r="J753" s="71"/>
      <c r="K753" s="71"/>
      <c r="L753" s="71"/>
      <c r="M753" s="71"/>
      <c r="N753" s="71"/>
      <c r="O753" s="71"/>
      <c r="P753" s="71"/>
      <c r="Q753" s="71"/>
      <c r="R753" s="71"/>
      <c r="S753" s="71"/>
      <c r="T753" s="71"/>
      <c r="U753" s="71"/>
      <c r="V753" s="71"/>
      <c r="W753" s="71"/>
      <c r="X753" s="71"/>
      <c r="Y753" s="71"/>
      <c r="Z753" s="71"/>
      <c r="AA753" s="71"/>
      <c r="AB753" s="71"/>
    </row>
    <row r="754" ht="15.75" customHeight="1">
      <c r="A754" s="71"/>
      <c r="B754" s="71"/>
      <c r="C754" s="61"/>
      <c r="D754" s="61"/>
      <c r="E754" s="71"/>
      <c r="F754" s="71"/>
      <c r="G754" s="61"/>
      <c r="I754" s="61"/>
      <c r="J754" s="71"/>
      <c r="K754" s="71"/>
      <c r="L754" s="71"/>
      <c r="M754" s="71"/>
      <c r="N754" s="71"/>
      <c r="O754" s="71"/>
      <c r="P754" s="71"/>
      <c r="Q754" s="71"/>
      <c r="R754" s="71"/>
      <c r="S754" s="71"/>
      <c r="T754" s="71"/>
      <c r="U754" s="71"/>
      <c r="V754" s="71"/>
      <c r="W754" s="71"/>
      <c r="X754" s="71"/>
      <c r="Y754" s="71"/>
      <c r="Z754" s="71"/>
      <c r="AA754" s="71"/>
      <c r="AB754" s="71"/>
    </row>
    <row r="755" ht="15.75" customHeight="1">
      <c r="A755" s="71"/>
      <c r="B755" s="71"/>
      <c r="C755" s="61"/>
      <c r="D755" s="61"/>
      <c r="E755" s="71"/>
      <c r="F755" s="71"/>
      <c r="G755" s="61"/>
      <c r="I755" s="61"/>
      <c r="J755" s="71"/>
      <c r="K755" s="71"/>
      <c r="L755" s="71"/>
      <c r="M755" s="71"/>
      <c r="N755" s="71"/>
      <c r="O755" s="71"/>
      <c r="P755" s="71"/>
      <c r="Q755" s="71"/>
      <c r="R755" s="71"/>
      <c r="S755" s="71"/>
      <c r="T755" s="71"/>
      <c r="U755" s="71"/>
      <c r="V755" s="71"/>
      <c r="W755" s="71"/>
      <c r="X755" s="71"/>
      <c r="Y755" s="71"/>
      <c r="Z755" s="71"/>
      <c r="AA755" s="71"/>
      <c r="AB755" s="71"/>
    </row>
    <row r="756" ht="15.75" customHeight="1">
      <c r="A756" s="71"/>
      <c r="B756" s="71"/>
      <c r="C756" s="61"/>
      <c r="D756" s="61"/>
      <c r="E756" s="71"/>
      <c r="F756" s="71"/>
      <c r="G756" s="61"/>
      <c r="I756" s="61"/>
      <c r="J756" s="71"/>
      <c r="K756" s="71"/>
      <c r="L756" s="71"/>
      <c r="M756" s="71"/>
      <c r="N756" s="71"/>
      <c r="O756" s="71"/>
      <c r="P756" s="71"/>
      <c r="Q756" s="71"/>
      <c r="R756" s="71"/>
      <c r="S756" s="71"/>
      <c r="T756" s="71"/>
      <c r="U756" s="71"/>
      <c r="V756" s="71"/>
      <c r="W756" s="71"/>
      <c r="X756" s="71"/>
      <c r="Y756" s="71"/>
      <c r="Z756" s="71"/>
      <c r="AA756" s="71"/>
      <c r="AB756" s="71"/>
    </row>
    <row r="757" ht="15.75" customHeight="1">
      <c r="A757" s="71"/>
      <c r="B757" s="71"/>
      <c r="C757" s="61"/>
      <c r="D757" s="61"/>
      <c r="E757" s="71"/>
      <c r="F757" s="71"/>
      <c r="G757" s="61"/>
      <c r="I757" s="61"/>
      <c r="J757" s="71"/>
      <c r="K757" s="71"/>
      <c r="L757" s="71"/>
      <c r="M757" s="71"/>
      <c r="N757" s="71"/>
      <c r="O757" s="71"/>
      <c r="P757" s="71"/>
      <c r="Q757" s="71"/>
      <c r="R757" s="71"/>
      <c r="S757" s="71"/>
      <c r="T757" s="71"/>
      <c r="U757" s="71"/>
      <c r="V757" s="71"/>
      <c r="W757" s="71"/>
      <c r="X757" s="71"/>
      <c r="Y757" s="71"/>
      <c r="Z757" s="71"/>
      <c r="AA757" s="71"/>
      <c r="AB757" s="71"/>
    </row>
    <row r="758" ht="15.75" customHeight="1">
      <c r="A758" s="71"/>
      <c r="B758" s="71"/>
      <c r="C758" s="61"/>
      <c r="D758" s="61"/>
      <c r="E758" s="71"/>
      <c r="F758" s="71"/>
      <c r="G758" s="61"/>
      <c r="I758" s="61"/>
      <c r="J758" s="71"/>
      <c r="K758" s="71"/>
      <c r="L758" s="71"/>
      <c r="M758" s="71"/>
      <c r="N758" s="71"/>
      <c r="O758" s="71"/>
      <c r="P758" s="71"/>
      <c r="Q758" s="71"/>
      <c r="R758" s="71"/>
      <c r="S758" s="71"/>
      <c r="T758" s="71"/>
      <c r="U758" s="71"/>
      <c r="V758" s="71"/>
      <c r="W758" s="71"/>
      <c r="X758" s="71"/>
      <c r="Y758" s="71"/>
      <c r="Z758" s="71"/>
      <c r="AA758" s="71"/>
      <c r="AB758" s="71"/>
    </row>
    <row r="759" ht="15.75" customHeight="1">
      <c r="A759" s="71"/>
      <c r="B759" s="71"/>
      <c r="C759" s="61"/>
      <c r="D759" s="61"/>
      <c r="E759" s="71"/>
      <c r="F759" s="71"/>
      <c r="G759" s="61"/>
      <c r="I759" s="61"/>
      <c r="J759" s="71"/>
      <c r="K759" s="71"/>
      <c r="L759" s="71"/>
      <c r="M759" s="71"/>
      <c r="N759" s="71"/>
      <c r="O759" s="71"/>
      <c r="P759" s="71"/>
      <c r="Q759" s="71"/>
      <c r="R759" s="71"/>
      <c r="S759" s="71"/>
      <c r="T759" s="71"/>
      <c r="U759" s="71"/>
      <c r="V759" s="71"/>
      <c r="W759" s="71"/>
      <c r="X759" s="71"/>
      <c r="Y759" s="71"/>
      <c r="Z759" s="71"/>
      <c r="AA759" s="71"/>
      <c r="AB759" s="71"/>
    </row>
    <row r="760" ht="15.75" customHeight="1">
      <c r="A760" s="71"/>
      <c r="B760" s="71"/>
      <c r="C760" s="61"/>
      <c r="D760" s="61"/>
      <c r="E760" s="71"/>
      <c r="F760" s="71"/>
      <c r="G760" s="61"/>
      <c r="I760" s="61"/>
      <c r="J760" s="71"/>
      <c r="K760" s="71"/>
      <c r="L760" s="71"/>
      <c r="M760" s="71"/>
      <c r="N760" s="71"/>
      <c r="O760" s="71"/>
      <c r="P760" s="71"/>
      <c r="Q760" s="71"/>
      <c r="R760" s="71"/>
      <c r="S760" s="71"/>
      <c r="T760" s="71"/>
      <c r="U760" s="71"/>
      <c r="V760" s="71"/>
      <c r="W760" s="71"/>
      <c r="X760" s="71"/>
      <c r="Y760" s="71"/>
      <c r="Z760" s="71"/>
      <c r="AA760" s="71"/>
      <c r="AB760" s="71"/>
    </row>
    <row r="761" ht="15.75" customHeight="1">
      <c r="A761" s="71"/>
      <c r="B761" s="71"/>
      <c r="C761" s="61"/>
      <c r="D761" s="61"/>
      <c r="E761" s="71"/>
      <c r="F761" s="71"/>
      <c r="G761" s="61"/>
      <c r="I761" s="61"/>
      <c r="J761" s="71"/>
      <c r="K761" s="71"/>
      <c r="L761" s="71"/>
      <c r="M761" s="71"/>
      <c r="N761" s="71"/>
      <c r="O761" s="71"/>
      <c r="P761" s="71"/>
      <c r="Q761" s="71"/>
      <c r="R761" s="71"/>
      <c r="S761" s="71"/>
      <c r="T761" s="71"/>
      <c r="U761" s="71"/>
      <c r="V761" s="71"/>
      <c r="W761" s="71"/>
      <c r="X761" s="71"/>
      <c r="Y761" s="71"/>
      <c r="Z761" s="71"/>
      <c r="AA761" s="71"/>
      <c r="AB761" s="71"/>
    </row>
    <row r="762" ht="15.75" customHeight="1">
      <c r="A762" s="71"/>
      <c r="B762" s="71"/>
      <c r="C762" s="61"/>
      <c r="D762" s="61"/>
      <c r="E762" s="71"/>
      <c r="F762" s="71"/>
      <c r="G762" s="61"/>
      <c r="I762" s="61"/>
      <c r="J762" s="71"/>
      <c r="K762" s="71"/>
      <c r="L762" s="71"/>
      <c r="M762" s="71"/>
      <c r="N762" s="71"/>
      <c r="O762" s="71"/>
      <c r="P762" s="71"/>
      <c r="Q762" s="71"/>
      <c r="R762" s="71"/>
      <c r="S762" s="71"/>
      <c r="T762" s="71"/>
      <c r="U762" s="71"/>
      <c r="V762" s="71"/>
      <c r="W762" s="71"/>
      <c r="X762" s="71"/>
      <c r="Y762" s="71"/>
      <c r="Z762" s="71"/>
      <c r="AA762" s="71"/>
      <c r="AB762" s="71"/>
    </row>
    <row r="763" ht="15.75" customHeight="1">
      <c r="A763" s="71"/>
      <c r="B763" s="71"/>
      <c r="C763" s="61"/>
      <c r="D763" s="61"/>
      <c r="E763" s="71"/>
      <c r="F763" s="71"/>
      <c r="G763" s="61"/>
      <c r="I763" s="61"/>
      <c r="J763" s="71"/>
      <c r="K763" s="71"/>
      <c r="L763" s="71"/>
      <c r="M763" s="71"/>
      <c r="N763" s="71"/>
      <c r="O763" s="71"/>
      <c r="P763" s="71"/>
      <c r="Q763" s="71"/>
      <c r="R763" s="71"/>
      <c r="S763" s="71"/>
      <c r="T763" s="71"/>
      <c r="U763" s="71"/>
      <c r="V763" s="71"/>
      <c r="W763" s="71"/>
      <c r="X763" s="71"/>
      <c r="Y763" s="71"/>
      <c r="Z763" s="71"/>
      <c r="AA763" s="71"/>
      <c r="AB763" s="71"/>
    </row>
    <row r="764" ht="15.75" customHeight="1">
      <c r="A764" s="71"/>
      <c r="B764" s="71"/>
      <c r="C764" s="61"/>
      <c r="D764" s="61"/>
      <c r="E764" s="71"/>
      <c r="F764" s="71"/>
      <c r="G764" s="61"/>
      <c r="I764" s="61"/>
      <c r="J764" s="71"/>
      <c r="K764" s="71"/>
      <c r="L764" s="71"/>
      <c r="M764" s="71"/>
      <c r="N764" s="71"/>
      <c r="O764" s="71"/>
      <c r="P764" s="71"/>
      <c r="Q764" s="71"/>
      <c r="R764" s="71"/>
      <c r="S764" s="71"/>
      <c r="T764" s="71"/>
      <c r="U764" s="71"/>
      <c r="V764" s="71"/>
      <c r="W764" s="71"/>
      <c r="X764" s="71"/>
      <c r="Y764" s="71"/>
      <c r="Z764" s="71"/>
      <c r="AA764" s="71"/>
      <c r="AB764" s="71"/>
    </row>
    <row r="765" ht="15.75" customHeight="1">
      <c r="A765" s="71"/>
      <c r="B765" s="71"/>
      <c r="C765" s="61"/>
      <c r="D765" s="61"/>
      <c r="E765" s="71"/>
      <c r="F765" s="71"/>
      <c r="G765" s="61"/>
      <c r="I765" s="61"/>
      <c r="J765" s="71"/>
      <c r="K765" s="71"/>
      <c r="L765" s="71"/>
      <c r="M765" s="71"/>
      <c r="N765" s="71"/>
      <c r="O765" s="71"/>
      <c r="P765" s="71"/>
      <c r="Q765" s="71"/>
      <c r="R765" s="71"/>
      <c r="S765" s="71"/>
      <c r="T765" s="71"/>
      <c r="U765" s="71"/>
      <c r="V765" s="71"/>
      <c r="W765" s="71"/>
      <c r="X765" s="71"/>
      <c r="Y765" s="71"/>
      <c r="Z765" s="71"/>
      <c r="AA765" s="71"/>
      <c r="AB765" s="71"/>
    </row>
    <row r="766" ht="15.75" customHeight="1">
      <c r="A766" s="71"/>
      <c r="B766" s="71"/>
      <c r="C766" s="61"/>
      <c r="D766" s="61"/>
      <c r="E766" s="71"/>
      <c r="F766" s="71"/>
      <c r="G766" s="61"/>
      <c r="I766" s="61"/>
      <c r="J766" s="71"/>
      <c r="K766" s="71"/>
      <c r="L766" s="71"/>
      <c r="M766" s="71"/>
      <c r="N766" s="71"/>
      <c r="O766" s="71"/>
      <c r="P766" s="71"/>
      <c r="Q766" s="71"/>
      <c r="R766" s="71"/>
      <c r="S766" s="71"/>
      <c r="T766" s="71"/>
      <c r="U766" s="71"/>
      <c r="V766" s="71"/>
      <c r="W766" s="71"/>
      <c r="X766" s="71"/>
      <c r="Y766" s="71"/>
      <c r="Z766" s="71"/>
      <c r="AA766" s="71"/>
      <c r="AB766" s="71"/>
    </row>
    <row r="767" ht="15.75" customHeight="1">
      <c r="A767" s="71"/>
      <c r="B767" s="71"/>
      <c r="C767" s="61"/>
      <c r="D767" s="61"/>
      <c r="E767" s="71"/>
      <c r="F767" s="71"/>
      <c r="G767" s="61"/>
      <c r="I767" s="61"/>
      <c r="J767" s="71"/>
      <c r="K767" s="71"/>
      <c r="L767" s="71"/>
      <c r="M767" s="71"/>
      <c r="N767" s="71"/>
      <c r="O767" s="71"/>
      <c r="P767" s="71"/>
      <c r="Q767" s="71"/>
      <c r="R767" s="71"/>
      <c r="S767" s="71"/>
      <c r="T767" s="71"/>
      <c r="U767" s="71"/>
      <c r="V767" s="71"/>
      <c r="W767" s="71"/>
      <c r="X767" s="71"/>
      <c r="Y767" s="71"/>
      <c r="Z767" s="71"/>
      <c r="AA767" s="71"/>
      <c r="AB767" s="71"/>
    </row>
    <row r="768" ht="15.75" customHeight="1">
      <c r="A768" s="71"/>
      <c r="B768" s="71"/>
      <c r="C768" s="61"/>
      <c r="D768" s="61"/>
      <c r="E768" s="71"/>
      <c r="F768" s="71"/>
      <c r="G768" s="61"/>
      <c r="I768" s="61"/>
      <c r="J768" s="71"/>
      <c r="K768" s="71"/>
      <c r="L768" s="71"/>
      <c r="M768" s="71"/>
      <c r="N768" s="71"/>
      <c r="O768" s="71"/>
      <c r="P768" s="71"/>
      <c r="Q768" s="71"/>
      <c r="R768" s="71"/>
      <c r="S768" s="71"/>
      <c r="T768" s="71"/>
      <c r="U768" s="71"/>
      <c r="V768" s="71"/>
      <c r="W768" s="71"/>
      <c r="X768" s="71"/>
      <c r="Y768" s="71"/>
      <c r="Z768" s="71"/>
      <c r="AA768" s="71"/>
      <c r="AB768" s="71"/>
    </row>
    <row r="769" ht="15.75" customHeight="1">
      <c r="A769" s="71"/>
      <c r="B769" s="71"/>
      <c r="C769" s="61"/>
      <c r="D769" s="61"/>
      <c r="E769" s="71"/>
      <c r="F769" s="71"/>
      <c r="G769" s="61"/>
      <c r="I769" s="61"/>
      <c r="J769" s="71"/>
      <c r="K769" s="71"/>
      <c r="L769" s="71"/>
      <c r="M769" s="71"/>
      <c r="N769" s="71"/>
      <c r="O769" s="71"/>
      <c r="P769" s="71"/>
      <c r="Q769" s="71"/>
      <c r="R769" s="71"/>
      <c r="S769" s="71"/>
      <c r="T769" s="71"/>
      <c r="U769" s="71"/>
      <c r="V769" s="71"/>
      <c r="W769" s="71"/>
      <c r="X769" s="71"/>
      <c r="Y769" s="71"/>
      <c r="Z769" s="71"/>
      <c r="AA769" s="71"/>
      <c r="AB769" s="71"/>
    </row>
    <row r="770" ht="15.75" customHeight="1">
      <c r="A770" s="71"/>
      <c r="B770" s="71"/>
      <c r="C770" s="61"/>
      <c r="D770" s="61"/>
      <c r="E770" s="71"/>
      <c r="F770" s="71"/>
      <c r="G770" s="61"/>
      <c r="I770" s="61"/>
      <c r="J770" s="71"/>
      <c r="K770" s="71"/>
      <c r="L770" s="71"/>
      <c r="M770" s="71"/>
      <c r="N770" s="71"/>
      <c r="O770" s="71"/>
      <c r="P770" s="71"/>
      <c r="Q770" s="71"/>
      <c r="R770" s="71"/>
      <c r="S770" s="71"/>
      <c r="T770" s="71"/>
      <c r="U770" s="71"/>
      <c r="V770" s="71"/>
      <c r="W770" s="71"/>
      <c r="X770" s="71"/>
      <c r="Y770" s="71"/>
      <c r="Z770" s="71"/>
      <c r="AA770" s="71"/>
      <c r="AB770" s="71"/>
    </row>
    <row r="771" ht="15.75" customHeight="1">
      <c r="A771" s="71"/>
      <c r="B771" s="71"/>
      <c r="C771" s="61"/>
      <c r="D771" s="61"/>
      <c r="E771" s="71"/>
      <c r="F771" s="71"/>
      <c r="G771" s="61"/>
      <c r="I771" s="61"/>
      <c r="J771" s="71"/>
      <c r="K771" s="71"/>
      <c r="L771" s="71"/>
      <c r="M771" s="71"/>
      <c r="N771" s="71"/>
      <c r="O771" s="71"/>
      <c r="P771" s="71"/>
      <c r="Q771" s="71"/>
      <c r="R771" s="71"/>
      <c r="S771" s="71"/>
      <c r="T771" s="71"/>
      <c r="U771" s="71"/>
      <c r="V771" s="71"/>
      <c r="W771" s="71"/>
      <c r="X771" s="71"/>
      <c r="Y771" s="71"/>
      <c r="Z771" s="71"/>
      <c r="AA771" s="71"/>
      <c r="AB771" s="71"/>
    </row>
    <row r="772" ht="15.75" customHeight="1">
      <c r="A772" s="71"/>
      <c r="B772" s="71"/>
      <c r="C772" s="61"/>
      <c r="D772" s="61"/>
      <c r="E772" s="71"/>
      <c r="F772" s="71"/>
      <c r="G772" s="61"/>
      <c r="I772" s="61"/>
      <c r="J772" s="71"/>
      <c r="K772" s="71"/>
      <c r="L772" s="71"/>
      <c r="M772" s="71"/>
      <c r="N772" s="71"/>
      <c r="O772" s="71"/>
      <c r="P772" s="71"/>
      <c r="Q772" s="71"/>
      <c r="R772" s="71"/>
      <c r="S772" s="71"/>
      <c r="T772" s="71"/>
      <c r="U772" s="71"/>
      <c r="V772" s="71"/>
      <c r="W772" s="71"/>
      <c r="X772" s="71"/>
      <c r="Y772" s="71"/>
      <c r="Z772" s="71"/>
      <c r="AA772" s="71"/>
      <c r="AB772" s="71"/>
    </row>
    <row r="773" ht="15.75" customHeight="1">
      <c r="A773" s="71"/>
      <c r="B773" s="71"/>
      <c r="C773" s="61"/>
      <c r="D773" s="61"/>
      <c r="E773" s="71"/>
      <c r="F773" s="71"/>
      <c r="G773" s="61"/>
      <c r="I773" s="61"/>
      <c r="J773" s="71"/>
      <c r="K773" s="71"/>
      <c r="L773" s="71"/>
      <c r="M773" s="71"/>
      <c r="N773" s="71"/>
      <c r="O773" s="71"/>
      <c r="P773" s="71"/>
      <c r="Q773" s="71"/>
      <c r="R773" s="71"/>
      <c r="S773" s="71"/>
      <c r="T773" s="71"/>
      <c r="U773" s="71"/>
      <c r="V773" s="71"/>
      <c r="W773" s="71"/>
      <c r="X773" s="71"/>
      <c r="Y773" s="71"/>
      <c r="Z773" s="71"/>
      <c r="AA773" s="71"/>
      <c r="AB773" s="71"/>
    </row>
    <row r="774" ht="15.75" customHeight="1">
      <c r="A774" s="71"/>
      <c r="B774" s="71"/>
      <c r="C774" s="61"/>
      <c r="D774" s="61"/>
      <c r="E774" s="71"/>
      <c r="F774" s="71"/>
      <c r="G774" s="61"/>
      <c r="I774" s="61"/>
      <c r="J774" s="71"/>
      <c r="K774" s="71"/>
      <c r="L774" s="71"/>
      <c r="M774" s="71"/>
      <c r="N774" s="71"/>
      <c r="O774" s="71"/>
      <c r="P774" s="71"/>
      <c r="Q774" s="71"/>
      <c r="R774" s="71"/>
      <c r="S774" s="71"/>
      <c r="T774" s="71"/>
      <c r="U774" s="71"/>
      <c r="V774" s="71"/>
      <c r="W774" s="71"/>
      <c r="X774" s="71"/>
      <c r="Y774" s="71"/>
      <c r="Z774" s="71"/>
      <c r="AA774" s="71"/>
      <c r="AB774" s="71"/>
    </row>
    <row r="775" ht="15.75" customHeight="1">
      <c r="A775" s="71"/>
      <c r="B775" s="71"/>
      <c r="C775" s="61"/>
      <c r="D775" s="61"/>
      <c r="E775" s="71"/>
      <c r="F775" s="71"/>
      <c r="G775" s="61"/>
      <c r="I775" s="61"/>
      <c r="J775" s="71"/>
      <c r="K775" s="71"/>
      <c r="L775" s="71"/>
      <c r="M775" s="71"/>
      <c r="N775" s="71"/>
      <c r="O775" s="71"/>
      <c r="P775" s="71"/>
      <c r="Q775" s="71"/>
      <c r="R775" s="71"/>
      <c r="S775" s="71"/>
      <c r="T775" s="71"/>
      <c r="U775" s="71"/>
      <c r="V775" s="71"/>
      <c r="W775" s="71"/>
      <c r="X775" s="71"/>
      <c r="Y775" s="71"/>
      <c r="Z775" s="71"/>
      <c r="AA775" s="71"/>
      <c r="AB775" s="71"/>
    </row>
    <row r="776" ht="15.75" customHeight="1">
      <c r="A776" s="71"/>
      <c r="B776" s="71"/>
      <c r="C776" s="61"/>
      <c r="D776" s="61"/>
      <c r="E776" s="71"/>
      <c r="F776" s="71"/>
      <c r="G776" s="61"/>
      <c r="I776" s="61"/>
      <c r="J776" s="71"/>
      <c r="K776" s="71"/>
      <c r="L776" s="71"/>
      <c r="M776" s="71"/>
      <c r="N776" s="71"/>
      <c r="O776" s="71"/>
      <c r="P776" s="71"/>
      <c r="Q776" s="71"/>
      <c r="R776" s="71"/>
      <c r="S776" s="71"/>
      <c r="T776" s="71"/>
      <c r="U776" s="71"/>
      <c r="V776" s="71"/>
      <c r="W776" s="71"/>
      <c r="X776" s="71"/>
      <c r="Y776" s="71"/>
      <c r="Z776" s="71"/>
      <c r="AA776" s="71"/>
      <c r="AB776" s="71"/>
    </row>
    <row r="777" ht="15.75" customHeight="1">
      <c r="A777" s="71"/>
      <c r="B777" s="71"/>
      <c r="C777" s="61"/>
      <c r="D777" s="61"/>
      <c r="E777" s="71"/>
      <c r="F777" s="71"/>
      <c r="G777" s="61"/>
      <c r="I777" s="61"/>
      <c r="J777" s="71"/>
      <c r="K777" s="71"/>
      <c r="L777" s="71"/>
      <c r="M777" s="71"/>
      <c r="N777" s="71"/>
      <c r="O777" s="71"/>
      <c r="P777" s="71"/>
      <c r="Q777" s="71"/>
      <c r="R777" s="71"/>
      <c r="S777" s="71"/>
      <c r="T777" s="71"/>
      <c r="U777" s="71"/>
      <c r="V777" s="71"/>
      <c r="W777" s="71"/>
      <c r="X777" s="71"/>
      <c r="Y777" s="71"/>
      <c r="Z777" s="71"/>
      <c r="AA777" s="71"/>
      <c r="AB777" s="71"/>
    </row>
    <row r="778" ht="15.75" customHeight="1">
      <c r="A778" s="71"/>
      <c r="B778" s="71"/>
      <c r="C778" s="61"/>
      <c r="D778" s="61"/>
      <c r="E778" s="71"/>
      <c r="F778" s="71"/>
      <c r="G778" s="61"/>
      <c r="I778" s="61"/>
      <c r="J778" s="71"/>
      <c r="K778" s="71"/>
      <c r="L778" s="71"/>
      <c r="M778" s="71"/>
      <c r="N778" s="71"/>
      <c r="O778" s="71"/>
      <c r="P778" s="71"/>
      <c r="Q778" s="71"/>
      <c r="R778" s="71"/>
      <c r="S778" s="71"/>
      <c r="T778" s="71"/>
      <c r="U778" s="71"/>
      <c r="V778" s="71"/>
      <c r="W778" s="71"/>
      <c r="X778" s="71"/>
      <c r="Y778" s="71"/>
      <c r="Z778" s="71"/>
      <c r="AA778" s="71"/>
      <c r="AB778" s="71"/>
    </row>
    <row r="779" ht="15.75" customHeight="1">
      <c r="A779" s="71"/>
      <c r="B779" s="71"/>
      <c r="C779" s="61"/>
      <c r="D779" s="61"/>
      <c r="E779" s="71"/>
      <c r="F779" s="71"/>
      <c r="G779" s="61"/>
      <c r="I779" s="61"/>
      <c r="J779" s="71"/>
      <c r="K779" s="71"/>
      <c r="L779" s="71"/>
      <c r="M779" s="71"/>
      <c r="N779" s="71"/>
      <c r="O779" s="71"/>
      <c r="P779" s="71"/>
      <c r="Q779" s="71"/>
      <c r="R779" s="71"/>
      <c r="S779" s="71"/>
      <c r="T779" s="71"/>
      <c r="U779" s="71"/>
      <c r="V779" s="71"/>
      <c r="W779" s="71"/>
      <c r="X779" s="71"/>
      <c r="Y779" s="71"/>
      <c r="Z779" s="71"/>
      <c r="AA779" s="71"/>
      <c r="AB779" s="71"/>
    </row>
    <row r="780" ht="15.75" customHeight="1">
      <c r="A780" s="71"/>
      <c r="B780" s="71"/>
      <c r="C780" s="61"/>
      <c r="D780" s="61"/>
      <c r="E780" s="71"/>
      <c r="F780" s="71"/>
      <c r="G780" s="61"/>
      <c r="I780" s="61"/>
      <c r="J780" s="71"/>
      <c r="K780" s="71"/>
      <c r="L780" s="71"/>
      <c r="M780" s="71"/>
      <c r="N780" s="71"/>
      <c r="O780" s="71"/>
      <c r="P780" s="71"/>
      <c r="Q780" s="71"/>
      <c r="R780" s="71"/>
      <c r="S780" s="71"/>
      <c r="T780" s="71"/>
      <c r="U780" s="71"/>
      <c r="V780" s="71"/>
      <c r="W780" s="71"/>
      <c r="X780" s="71"/>
      <c r="Y780" s="71"/>
      <c r="Z780" s="71"/>
      <c r="AA780" s="71"/>
      <c r="AB780" s="71"/>
    </row>
    <row r="781" ht="15.75" customHeight="1">
      <c r="A781" s="71"/>
      <c r="B781" s="71"/>
      <c r="C781" s="61"/>
      <c r="D781" s="61"/>
      <c r="E781" s="71"/>
      <c r="F781" s="71"/>
      <c r="G781" s="61"/>
      <c r="I781" s="61"/>
      <c r="J781" s="71"/>
      <c r="K781" s="71"/>
      <c r="L781" s="71"/>
      <c r="M781" s="71"/>
      <c r="N781" s="71"/>
      <c r="O781" s="71"/>
      <c r="P781" s="71"/>
      <c r="Q781" s="71"/>
      <c r="R781" s="71"/>
      <c r="S781" s="71"/>
      <c r="T781" s="71"/>
      <c r="U781" s="71"/>
      <c r="V781" s="71"/>
      <c r="W781" s="71"/>
      <c r="X781" s="71"/>
      <c r="Y781" s="71"/>
      <c r="Z781" s="71"/>
      <c r="AA781" s="71"/>
      <c r="AB781" s="71"/>
    </row>
    <row r="782" ht="15.75" customHeight="1">
      <c r="A782" s="71"/>
      <c r="B782" s="71"/>
      <c r="C782" s="61"/>
      <c r="D782" s="61"/>
      <c r="E782" s="71"/>
      <c r="F782" s="71"/>
      <c r="G782" s="61"/>
      <c r="I782" s="61"/>
      <c r="J782" s="71"/>
      <c r="K782" s="71"/>
      <c r="L782" s="71"/>
      <c r="M782" s="71"/>
      <c r="N782" s="71"/>
      <c r="O782" s="71"/>
      <c r="P782" s="71"/>
      <c r="Q782" s="71"/>
      <c r="R782" s="71"/>
      <c r="S782" s="71"/>
      <c r="T782" s="71"/>
      <c r="U782" s="71"/>
      <c r="V782" s="71"/>
      <c r="W782" s="71"/>
      <c r="X782" s="71"/>
      <c r="Y782" s="71"/>
      <c r="Z782" s="71"/>
      <c r="AA782" s="71"/>
      <c r="AB782" s="71"/>
    </row>
    <row r="783" ht="15.75" customHeight="1">
      <c r="A783" s="71"/>
      <c r="B783" s="71"/>
      <c r="C783" s="61"/>
      <c r="D783" s="61"/>
      <c r="E783" s="71"/>
      <c r="F783" s="71"/>
      <c r="G783" s="61"/>
      <c r="I783" s="61"/>
      <c r="J783" s="71"/>
      <c r="K783" s="71"/>
      <c r="L783" s="71"/>
      <c r="M783" s="71"/>
      <c r="N783" s="71"/>
      <c r="O783" s="71"/>
      <c r="P783" s="71"/>
      <c r="Q783" s="71"/>
      <c r="R783" s="71"/>
      <c r="S783" s="71"/>
      <c r="T783" s="71"/>
      <c r="U783" s="71"/>
      <c r="V783" s="71"/>
      <c r="W783" s="71"/>
      <c r="X783" s="71"/>
      <c r="Y783" s="71"/>
      <c r="Z783" s="71"/>
      <c r="AA783" s="71"/>
      <c r="AB783" s="71"/>
    </row>
    <row r="784" ht="15.75" customHeight="1">
      <c r="A784" s="71"/>
      <c r="B784" s="71"/>
      <c r="C784" s="61"/>
      <c r="D784" s="61"/>
      <c r="E784" s="71"/>
      <c r="F784" s="71"/>
      <c r="G784" s="61"/>
      <c r="I784" s="61"/>
      <c r="J784" s="71"/>
      <c r="K784" s="71"/>
      <c r="L784" s="71"/>
      <c r="M784" s="71"/>
      <c r="N784" s="71"/>
      <c r="O784" s="71"/>
      <c r="P784" s="71"/>
      <c r="Q784" s="71"/>
      <c r="R784" s="71"/>
      <c r="S784" s="71"/>
      <c r="T784" s="71"/>
      <c r="U784" s="71"/>
      <c r="V784" s="71"/>
      <c r="W784" s="71"/>
      <c r="X784" s="71"/>
      <c r="Y784" s="71"/>
      <c r="Z784" s="71"/>
      <c r="AA784" s="71"/>
      <c r="AB784" s="71"/>
    </row>
    <row r="785" ht="15.75" customHeight="1">
      <c r="A785" s="71"/>
      <c r="B785" s="71"/>
      <c r="C785" s="61"/>
      <c r="D785" s="61"/>
      <c r="E785" s="71"/>
      <c r="F785" s="71"/>
      <c r="G785" s="61"/>
      <c r="I785" s="61"/>
      <c r="J785" s="71"/>
      <c r="K785" s="71"/>
      <c r="L785" s="71"/>
      <c r="M785" s="71"/>
      <c r="N785" s="71"/>
      <c r="O785" s="71"/>
      <c r="P785" s="71"/>
      <c r="Q785" s="71"/>
      <c r="R785" s="71"/>
      <c r="S785" s="71"/>
      <c r="T785" s="71"/>
      <c r="U785" s="71"/>
      <c r="V785" s="71"/>
      <c r="W785" s="71"/>
      <c r="X785" s="71"/>
      <c r="Y785" s="71"/>
      <c r="Z785" s="71"/>
      <c r="AA785" s="71"/>
      <c r="AB785" s="71"/>
    </row>
    <row r="786" ht="15.75" customHeight="1">
      <c r="A786" s="71"/>
      <c r="B786" s="71"/>
      <c r="C786" s="61"/>
      <c r="D786" s="61"/>
      <c r="E786" s="71"/>
      <c r="F786" s="71"/>
      <c r="G786" s="61"/>
      <c r="I786" s="61"/>
      <c r="J786" s="71"/>
      <c r="K786" s="71"/>
      <c r="L786" s="71"/>
      <c r="M786" s="71"/>
      <c r="N786" s="71"/>
      <c r="O786" s="71"/>
      <c r="P786" s="71"/>
      <c r="Q786" s="71"/>
      <c r="R786" s="71"/>
      <c r="S786" s="71"/>
      <c r="T786" s="71"/>
      <c r="U786" s="71"/>
      <c r="V786" s="71"/>
      <c r="W786" s="71"/>
      <c r="X786" s="71"/>
      <c r="Y786" s="71"/>
      <c r="Z786" s="71"/>
      <c r="AA786" s="71"/>
      <c r="AB786" s="71"/>
    </row>
    <row r="787" ht="15.75" customHeight="1">
      <c r="A787" s="71"/>
      <c r="B787" s="71"/>
      <c r="C787" s="61"/>
      <c r="D787" s="61"/>
      <c r="E787" s="71"/>
      <c r="F787" s="71"/>
      <c r="G787" s="61"/>
      <c r="I787" s="61"/>
      <c r="J787" s="71"/>
      <c r="K787" s="71"/>
      <c r="L787" s="71"/>
      <c r="M787" s="71"/>
      <c r="N787" s="71"/>
      <c r="O787" s="71"/>
      <c r="P787" s="71"/>
      <c r="Q787" s="71"/>
      <c r="R787" s="71"/>
      <c r="S787" s="71"/>
      <c r="T787" s="71"/>
      <c r="U787" s="71"/>
      <c r="V787" s="71"/>
      <c r="W787" s="71"/>
      <c r="X787" s="71"/>
      <c r="Y787" s="71"/>
      <c r="Z787" s="71"/>
      <c r="AA787" s="71"/>
      <c r="AB787" s="71"/>
    </row>
    <row r="788" ht="15.75" customHeight="1">
      <c r="A788" s="71"/>
      <c r="B788" s="71"/>
      <c r="C788" s="61"/>
      <c r="D788" s="61"/>
      <c r="E788" s="71"/>
      <c r="F788" s="71"/>
      <c r="G788" s="61"/>
      <c r="I788" s="61"/>
      <c r="J788" s="71"/>
      <c r="K788" s="71"/>
      <c r="L788" s="71"/>
      <c r="M788" s="71"/>
      <c r="N788" s="71"/>
      <c r="O788" s="71"/>
      <c r="P788" s="71"/>
      <c r="Q788" s="71"/>
      <c r="R788" s="71"/>
      <c r="S788" s="71"/>
      <c r="T788" s="71"/>
      <c r="U788" s="71"/>
      <c r="V788" s="71"/>
      <c r="W788" s="71"/>
      <c r="X788" s="71"/>
      <c r="Y788" s="71"/>
      <c r="Z788" s="71"/>
      <c r="AA788" s="71"/>
      <c r="AB788" s="71"/>
    </row>
    <row r="789" ht="15.75" customHeight="1">
      <c r="A789" s="71"/>
      <c r="B789" s="71"/>
      <c r="C789" s="61"/>
      <c r="D789" s="61"/>
      <c r="E789" s="71"/>
      <c r="F789" s="71"/>
      <c r="G789" s="61"/>
      <c r="I789" s="61"/>
      <c r="J789" s="71"/>
      <c r="K789" s="71"/>
      <c r="L789" s="71"/>
      <c r="M789" s="71"/>
      <c r="N789" s="71"/>
      <c r="O789" s="71"/>
      <c r="P789" s="71"/>
      <c r="Q789" s="71"/>
      <c r="R789" s="71"/>
      <c r="S789" s="71"/>
      <c r="T789" s="71"/>
      <c r="U789" s="71"/>
      <c r="V789" s="71"/>
      <c r="W789" s="71"/>
      <c r="X789" s="71"/>
      <c r="Y789" s="71"/>
      <c r="Z789" s="71"/>
      <c r="AA789" s="71"/>
      <c r="AB789" s="71"/>
    </row>
    <row r="790" ht="15.75" customHeight="1">
      <c r="A790" s="71"/>
      <c r="B790" s="71"/>
      <c r="C790" s="61"/>
      <c r="D790" s="61"/>
      <c r="E790" s="71"/>
      <c r="F790" s="71"/>
      <c r="G790" s="61"/>
      <c r="I790" s="61"/>
      <c r="J790" s="71"/>
      <c r="K790" s="71"/>
      <c r="L790" s="71"/>
      <c r="M790" s="71"/>
      <c r="N790" s="71"/>
      <c r="O790" s="71"/>
      <c r="P790" s="71"/>
      <c r="Q790" s="71"/>
      <c r="R790" s="71"/>
      <c r="S790" s="71"/>
      <c r="T790" s="71"/>
      <c r="U790" s="71"/>
      <c r="V790" s="71"/>
      <c r="W790" s="71"/>
      <c r="X790" s="71"/>
      <c r="Y790" s="71"/>
      <c r="Z790" s="71"/>
      <c r="AA790" s="71"/>
      <c r="AB790" s="71"/>
    </row>
    <row r="791" ht="15.75" customHeight="1">
      <c r="A791" s="71"/>
      <c r="B791" s="71"/>
      <c r="C791" s="61"/>
      <c r="D791" s="61"/>
      <c r="E791" s="71"/>
      <c r="F791" s="71"/>
      <c r="G791" s="61"/>
      <c r="I791" s="61"/>
      <c r="J791" s="71"/>
      <c r="K791" s="71"/>
      <c r="L791" s="71"/>
      <c r="M791" s="71"/>
      <c r="N791" s="71"/>
      <c r="O791" s="71"/>
      <c r="P791" s="71"/>
      <c r="Q791" s="71"/>
      <c r="R791" s="71"/>
      <c r="S791" s="71"/>
      <c r="T791" s="71"/>
      <c r="U791" s="71"/>
      <c r="V791" s="71"/>
      <c r="W791" s="71"/>
      <c r="X791" s="71"/>
      <c r="Y791" s="71"/>
      <c r="Z791" s="71"/>
      <c r="AA791" s="71"/>
      <c r="AB791" s="71"/>
    </row>
    <row r="792" ht="15.75" customHeight="1">
      <c r="A792" s="71"/>
      <c r="B792" s="71"/>
      <c r="C792" s="61"/>
      <c r="D792" s="61"/>
      <c r="E792" s="71"/>
      <c r="F792" s="71"/>
      <c r="G792" s="61"/>
      <c r="I792" s="61"/>
      <c r="J792" s="71"/>
      <c r="K792" s="71"/>
      <c r="L792" s="71"/>
      <c r="M792" s="71"/>
      <c r="N792" s="71"/>
      <c r="O792" s="71"/>
      <c r="P792" s="71"/>
      <c r="Q792" s="71"/>
      <c r="R792" s="71"/>
      <c r="S792" s="71"/>
      <c r="T792" s="71"/>
      <c r="U792" s="71"/>
      <c r="V792" s="71"/>
      <c r="W792" s="71"/>
      <c r="X792" s="71"/>
      <c r="Y792" s="71"/>
      <c r="Z792" s="71"/>
      <c r="AA792" s="71"/>
      <c r="AB792" s="71"/>
    </row>
    <row r="793" ht="15.75" customHeight="1">
      <c r="A793" s="71"/>
      <c r="B793" s="71"/>
      <c r="C793" s="61"/>
      <c r="D793" s="61"/>
      <c r="E793" s="71"/>
      <c r="F793" s="71"/>
      <c r="G793" s="61"/>
      <c r="I793" s="61"/>
      <c r="J793" s="71"/>
      <c r="K793" s="71"/>
      <c r="L793" s="71"/>
      <c r="M793" s="71"/>
      <c r="N793" s="71"/>
      <c r="O793" s="71"/>
      <c r="P793" s="71"/>
      <c r="Q793" s="71"/>
      <c r="R793" s="71"/>
      <c r="S793" s="71"/>
      <c r="T793" s="71"/>
      <c r="U793" s="71"/>
      <c r="V793" s="71"/>
      <c r="W793" s="71"/>
      <c r="X793" s="71"/>
      <c r="Y793" s="71"/>
      <c r="Z793" s="71"/>
      <c r="AA793" s="71"/>
      <c r="AB793" s="71"/>
    </row>
    <row r="794" ht="15.75" customHeight="1">
      <c r="A794" s="71"/>
      <c r="B794" s="71"/>
      <c r="C794" s="61"/>
      <c r="D794" s="61"/>
      <c r="E794" s="71"/>
      <c r="F794" s="71"/>
      <c r="G794" s="61"/>
      <c r="I794" s="61"/>
      <c r="J794" s="71"/>
      <c r="K794" s="71"/>
      <c r="L794" s="71"/>
      <c r="M794" s="71"/>
      <c r="N794" s="71"/>
      <c r="O794" s="71"/>
      <c r="P794" s="71"/>
      <c r="Q794" s="71"/>
      <c r="R794" s="71"/>
      <c r="S794" s="71"/>
      <c r="T794" s="71"/>
      <c r="U794" s="71"/>
      <c r="V794" s="71"/>
      <c r="W794" s="71"/>
      <c r="X794" s="71"/>
      <c r="Y794" s="71"/>
      <c r="Z794" s="71"/>
      <c r="AA794" s="71"/>
      <c r="AB794" s="71"/>
    </row>
    <row r="795" ht="15.75" customHeight="1">
      <c r="A795" s="71"/>
      <c r="B795" s="71"/>
      <c r="C795" s="61"/>
      <c r="D795" s="61"/>
      <c r="E795" s="71"/>
      <c r="F795" s="71"/>
      <c r="G795" s="61"/>
      <c r="I795" s="61"/>
      <c r="J795" s="71"/>
      <c r="K795" s="71"/>
      <c r="L795" s="71"/>
      <c r="M795" s="71"/>
      <c r="N795" s="71"/>
      <c r="O795" s="71"/>
      <c r="P795" s="71"/>
      <c r="Q795" s="71"/>
      <c r="R795" s="71"/>
      <c r="S795" s="71"/>
      <c r="T795" s="71"/>
      <c r="U795" s="71"/>
      <c r="V795" s="71"/>
      <c r="W795" s="71"/>
      <c r="X795" s="71"/>
      <c r="Y795" s="71"/>
      <c r="Z795" s="71"/>
      <c r="AA795" s="71"/>
      <c r="AB795" s="71"/>
    </row>
    <row r="796" ht="15.75" customHeight="1">
      <c r="A796" s="71"/>
      <c r="B796" s="71"/>
      <c r="C796" s="61"/>
      <c r="D796" s="61"/>
      <c r="E796" s="71"/>
      <c r="F796" s="71"/>
      <c r="G796" s="61"/>
      <c r="I796" s="61"/>
      <c r="J796" s="71"/>
      <c r="K796" s="71"/>
      <c r="L796" s="71"/>
      <c r="M796" s="71"/>
      <c r="N796" s="71"/>
      <c r="O796" s="71"/>
      <c r="P796" s="71"/>
      <c r="Q796" s="71"/>
      <c r="R796" s="71"/>
      <c r="S796" s="71"/>
      <c r="T796" s="71"/>
      <c r="U796" s="71"/>
      <c r="V796" s="71"/>
      <c r="W796" s="71"/>
      <c r="X796" s="71"/>
      <c r="Y796" s="71"/>
      <c r="Z796" s="71"/>
      <c r="AA796" s="71"/>
      <c r="AB796" s="71"/>
    </row>
    <row r="797" ht="15.75" customHeight="1">
      <c r="A797" s="71"/>
      <c r="B797" s="71"/>
      <c r="C797" s="61"/>
      <c r="D797" s="61"/>
      <c r="E797" s="71"/>
      <c r="F797" s="71"/>
      <c r="G797" s="61"/>
      <c r="I797" s="61"/>
      <c r="J797" s="71"/>
      <c r="K797" s="71"/>
      <c r="L797" s="71"/>
      <c r="M797" s="71"/>
      <c r="N797" s="71"/>
      <c r="O797" s="71"/>
      <c r="P797" s="71"/>
      <c r="Q797" s="71"/>
      <c r="R797" s="71"/>
      <c r="S797" s="71"/>
      <c r="T797" s="71"/>
      <c r="U797" s="71"/>
      <c r="V797" s="71"/>
      <c r="W797" s="71"/>
      <c r="X797" s="71"/>
      <c r="Y797" s="71"/>
      <c r="Z797" s="71"/>
      <c r="AA797" s="71"/>
      <c r="AB797" s="71"/>
    </row>
    <row r="798" ht="15.75" customHeight="1">
      <c r="A798" s="71"/>
      <c r="B798" s="71"/>
      <c r="C798" s="61"/>
      <c r="D798" s="61"/>
      <c r="E798" s="71"/>
      <c r="F798" s="71"/>
      <c r="G798" s="61"/>
      <c r="I798" s="61"/>
      <c r="J798" s="71"/>
      <c r="K798" s="71"/>
      <c r="L798" s="71"/>
      <c r="M798" s="71"/>
      <c r="N798" s="71"/>
      <c r="O798" s="71"/>
      <c r="P798" s="71"/>
      <c r="Q798" s="71"/>
      <c r="R798" s="71"/>
      <c r="S798" s="71"/>
      <c r="T798" s="71"/>
      <c r="U798" s="71"/>
      <c r="V798" s="71"/>
      <c r="W798" s="71"/>
      <c r="X798" s="71"/>
      <c r="Y798" s="71"/>
      <c r="Z798" s="71"/>
      <c r="AA798" s="71"/>
      <c r="AB798" s="71"/>
    </row>
    <row r="799" ht="15.75" customHeight="1">
      <c r="A799" s="71"/>
      <c r="B799" s="71"/>
      <c r="C799" s="61"/>
      <c r="D799" s="61"/>
      <c r="E799" s="71"/>
      <c r="F799" s="71"/>
      <c r="G799" s="61"/>
      <c r="I799" s="61"/>
      <c r="J799" s="71"/>
      <c r="K799" s="71"/>
      <c r="L799" s="71"/>
      <c r="M799" s="71"/>
      <c r="N799" s="71"/>
      <c r="O799" s="71"/>
      <c r="P799" s="71"/>
      <c r="Q799" s="71"/>
      <c r="R799" s="71"/>
      <c r="S799" s="71"/>
      <c r="T799" s="71"/>
      <c r="U799" s="71"/>
      <c r="V799" s="71"/>
      <c r="W799" s="71"/>
      <c r="X799" s="71"/>
      <c r="Y799" s="71"/>
      <c r="Z799" s="71"/>
      <c r="AA799" s="71"/>
      <c r="AB799" s="71"/>
    </row>
    <row r="800" ht="15.75" customHeight="1">
      <c r="A800" s="71"/>
      <c r="B800" s="71"/>
      <c r="C800" s="61"/>
      <c r="D800" s="61"/>
      <c r="E800" s="71"/>
      <c r="F800" s="71"/>
      <c r="G800" s="61"/>
      <c r="I800" s="61"/>
      <c r="J800" s="71"/>
      <c r="K800" s="71"/>
      <c r="L800" s="71"/>
      <c r="M800" s="71"/>
      <c r="N800" s="71"/>
      <c r="O800" s="71"/>
      <c r="P800" s="71"/>
      <c r="Q800" s="71"/>
      <c r="R800" s="71"/>
      <c r="S800" s="71"/>
      <c r="T800" s="71"/>
      <c r="U800" s="71"/>
      <c r="V800" s="71"/>
      <c r="W800" s="71"/>
      <c r="X800" s="71"/>
      <c r="Y800" s="71"/>
      <c r="Z800" s="71"/>
      <c r="AA800" s="71"/>
      <c r="AB800" s="71"/>
    </row>
    <row r="801" ht="15.75" customHeight="1">
      <c r="A801" s="71"/>
      <c r="B801" s="71"/>
      <c r="C801" s="61"/>
      <c r="D801" s="61"/>
      <c r="E801" s="71"/>
      <c r="F801" s="71"/>
      <c r="G801" s="61"/>
      <c r="I801" s="61"/>
      <c r="J801" s="71"/>
      <c r="K801" s="71"/>
      <c r="L801" s="71"/>
      <c r="M801" s="71"/>
      <c r="N801" s="71"/>
      <c r="O801" s="71"/>
      <c r="P801" s="71"/>
      <c r="Q801" s="71"/>
      <c r="R801" s="71"/>
      <c r="S801" s="71"/>
      <c r="T801" s="71"/>
      <c r="U801" s="71"/>
      <c r="V801" s="71"/>
      <c r="W801" s="71"/>
      <c r="X801" s="71"/>
      <c r="Y801" s="71"/>
      <c r="Z801" s="71"/>
      <c r="AA801" s="71"/>
      <c r="AB801" s="71"/>
    </row>
    <row r="802" ht="15.75" customHeight="1">
      <c r="A802" s="71"/>
      <c r="B802" s="71"/>
      <c r="C802" s="61"/>
      <c r="D802" s="61"/>
      <c r="E802" s="71"/>
      <c r="F802" s="71"/>
      <c r="G802" s="61"/>
      <c r="I802" s="61"/>
      <c r="J802" s="71"/>
      <c r="K802" s="71"/>
      <c r="L802" s="71"/>
      <c r="M802" s="71"/>
      <c r="N802" s="71"/>
      <c r="O802" s="71"/>
      <c r="P802" s="71"/>
      <c r="Q802" s="71"/>
      <c r="R802" s="71"/>
      <c r="S802" s="71"/>
      <c r="T802" s="71"/>
      <c r="U802" s="71"/>
      <c r="V802" s="71"/>
      <c r="W802" s="71"/>
      <c r="X802" s="71"/>
      <c r="Y802" s="71"/>
      <c r="Z802" s="71"/>
      <c r="AA802" s="71"/>
      <c r="AB802" s="71"/>
    </row>
    <row r="803" ht="15.75" customHeight="1">
      <c r="A803" s="71"/>
      <c r="B803" s="71"/>
      <c r="C803" s="61"/>
      <c r="D803" s="61"/>
      <c r="E803" s="71"/>
      <c r="F803" s="71"/>
      <c r="G803" s="61"/>
      <c r="I803" s="61"/>
      <c r="J803" s="71"/>
      <c r="K803" s="71"/>
      <c r="L803" s="71"/>
      <c r="M803" s="71"/>
      <c r="N803" s="71"/>
      <c r="O803" s="71"/>
      <c r="P803" s="71"/>
      <c r="Q803" s="71"/>
      <c r="R803" s="71"/>
      <c r="S803" s="71"/>
      <c r="T803" s="71"/>
      <c r="U803" s="71"/>
      <c r="V803" s="71"/>
      <c r="W803" s="71"/>
      <c r="X803" s="71"/>
      <c r="Y803" s="71"/>
      <c r="Z803" s="71"/>
      <c r="AA803" s="71"/>
      <c r="AB803" s="71"/>
    </row>
    <row r="804" ht="15.75" customHeight="1">
      <c r="A804" s="71"/>
      <c r="B804" s="71"/>
      <c r="C804" s="61"/>
      <c r="D804" s="61"/>
      <c r="E804" s="71"/>
      <c r="F804" s="71"/>
      <c r="G804" s="61"/>
      <c r="I804" s="61"/>
      <c r="J804" s="71"/>
      <c r="K804" s="71"/>
      <c r="L804" s="71"/>
      <c r="M804" s="71"/>
      <c r="N804" s="71"/>
      <c r="O804" s="71"/>
      <c r="P804" s="71"/>
      <c r="Q804" s="71"/>
      <c r="R804" s="71"/>
      <c r="S804" s="71"/>
      <c r="T804" s="71"/>
      <c r="U804" s="71"/>
      <c r="V804" s="71"/>
      <c r="W804" s="71"/>
      <c r="X804" s="71"/>
      <c r="Y804" s="71"/>
      <c r="Z804" s="71"/>
      <c r="AA804" s="71"/>
      <c r="AB804" s="71"/>
    </row>
    <row r="805" ht="15.75" customHeight="1">
      <c r="A805" s="71"/>
      <c r="B805" s="71"/>
      <c r="C805" s="61"/>
      <c r="D805" s="61"/>
      <c r="E805" s="71"/>
      <c r="F805" s="71"/>
      <c r="G805" s="61"/>
      <c r="I805" s="61"/>
      <c r="J805" s="71"/>
      <c r="K805" s="71"/>
      <c r="L805" s="71"/>
      <c r="M805" s="71"/>
      <c r="N805" s="71"/>
      <c r="O805" s="71"/>
      <c r="P805" s="71"/>
      <c r="Q805" s="71"/>
      <c r="R805" s="71"/>
      <c r="S805" s="71"/>
      <c r="T805" s="71"/>
      <c r="U805" s="71"/>
      <c r="V805" s="71"/>
      <c r="W805" s="71"/>
      <c r="X805" s="71"/>
      <c r="Y805" s="71"/>
      <c r="Z805" s="71"/>
      <c r="AA805" s="71"/>
      <c r="AB805" s="71"/>
    </row>
    <row r="806" ht="15.75" customHeight="1">
      <c r="A806" s="71"/>
      <c r="B806" s="71"/>
      <c r="C806" s="61"/>
      <c r="D806" s="61"/>
      <c r="E806" s="71"/>
      <c r="F806" s="71"/>
      <c r="G806" s="61"/>
      <c r="I806" s="61"/>
      <c r="J806" s="71"/>
      <c r="K806" s="71"/>
      <c r="L806" s="71"/>
      <c r="M806" s="71"/>
      <c r="N806" s="71"/>
      <c r="O806" s="71"/>
      <c r="P806" s="71"/>
      <c r="Q806" s="71"/>
      <c r="R806" s="71"/>
      <c r="S806" s="71"/>
      <c r="T806" s="71"/>
      <c r="U806" s="71"/>
      <c r="V806" s="71"/>
      <c r="W806" s="71"/>
      <c r="X806" s="71"/>
      <c r="Y806" s="71"/>
      <c r="Z806" s="71"/>
      <c r="AA806" s="71"/>
      <c r="AB806" s="71"/>
    </row>
    <row r="807" ht="15.75" customHeight="1">
      <c r="A807" s="71"/>
      <c r="B807" s="71"/>
      <c r="C807" s="61"/>
      <c r="D807" s="61"/>
      <c r="E807" s="71"/>
      <c r="F807" s="71"/>
      <c r="G807" s="61"/>
      <c r="I807" s="61"/>
      <c r="J807" s="71"/>
      <c r="K807" s="71"/>
      <c r="L807" s="71"/>
      <c r="M807" s="71"/>
      <c r="N807" s="71"/>
      <c r="O807" s="71"/>
      <c r="P807" s="71"/>
      <c r="Q807" s="71"/>
      <c r="R807" s="71"/>
      <c r="S807" s="71"/>
      <c r="T807" s="71"/>
      <c r="U807" s="71"/>
      <c r="V807" s="71"/>
      <c r="W807" s="71"/>
      <c r="X807" s="71"/>
      <c r="Y807" s="71"/>
      <c r="Z807" s="71"/>
      <c r="AA807" s="71"/>
      <c r="AB807" s="71"/>
    </row>
    <row r="808" ht="15.75" customHeight="1">
      <c r="A808" s="71"/>
      <c r="B808" s="71"/>
      <c r="C808" s="61"/>
      <c r="D808" s="61"/>
      <c r="E808" s="71"/>
      <c r="F808" s="71"/>
      <c r="G808" s="61"/>
      <c r="I808" s="61"/>
      <c r="J808" s="71"/>
      <c r="K808" s="71"/>
      <c r="L808" s="71"/>
      <c r="M808" s="71"/>
      <c r="N808" s="71"/>
      <c r="O808" s="71"/>
      <c r="P808" s="71"/>
      <c r="Q808" s="71"/>
      <c r="R808" s="71"/>
      <c r="S808" s="71"/>
      <c r="T808" s="71"/>
      <c r="U808" s="71"/>
      <c r="V808" s="71"/>
      <c r="W808" s="71"/>
      <c r="X808" s="71"/>
      <c r="Y808" s="71"/>
      <c r="Z808" s="71"/>
      <c r="AA808" s="71"/>
      <c r="AB808" s="71"/>
    </row>
    <row r="809" ht="15.75" customHeight="1">
      <c r="A809" s="71"/>
      <c r="B809" s="71"/>
      <c r="C809" s="61"/>
      <c r="D809" s="61"/>
      <c r="E809" s="71"/>
      <c r="F809" s="71"/>
      <c r="G809" s="61"/>
      <c r="I809" s="61"/>
      <c r="J809" s="71"/>
      <c r="K809" s="71"/>
      <c r="L809" s="71"/>
      <c r="M809" s="71"/>
      <c r="N809" s="71"/>
      <c r="O809" s="71"/>
      <c r="P809" s="71"/>
      <c r="Q809" s="71"/>
      <c r="R809" s="71"/>
      <c r="S809" s="71"/>
      <c r="T809" s="71"/>
      <c r="U809" s="71"/>
      <c r="V809" s="71"/>
      <c r="W809" s="71"/>
      <c r="X809" s="71"/>
      <c r="Y809" s="71"/>
      <c r="Z809" s="71"/>
      <c r="AA809" s="71"/>
      <c r="AB809" s="71"/>
    </row>
    <row r="810" ht="15.75" customHeight="1">
      <c r="A810" s="71"/>
      <c r="B810" s="71"/>
      <c r="C810" s="61"/>
      <c r="D810" s="61"/>
      <c r="E810" s="71"/>
      <c r="F810" s="71"/>
      <c r="G810" s="61"/>
      <c r="I810" s="61"/>
      <c r="J810" s="71"/>
      <c r="K810" s="71"/>
      <c r="L810" s="71"/>
      <c r="M810" s="71"/>
      <c r="N810" s="71"/>
      <c r="O810" s="71"/>
      <c r="P810" s="71"/>
      <c r="Q810" s="71"/>
      <c r="R810" s="71"/>
      <c r="S810" s="71"/>
      <c r="T810" s="71"/>
      <c r="U810" s="71"/>
      <c r="V810" s="71"/>
      <c r="W810" s="71"/>
      <c r="X810" s="71"/>
      <c r="Y810" s="71"/>
      <c r="Z810" s="71"/>
      <c r="AA810" s="71"/>
      <c r="AB810" s="71"/>
    </row>
    <row r="811" ht="15.75" customHeight="1">
      <c r="A811" s="71"/>
      <c r="B811" s="71"/>
      <c r="C811" s="61"/>
      <c r="D811" s="61"/>
      <c r="E811" s="71"/>
      <c r="F811" s="71"/>
      <c r="G811" s="61"/>
      <c r="I811" s="61"/>
      <c r="J811" s="71"/>
      <c r="K811" s="71"/>
      <c r="L811" s="71"/>
      <c r="M811" s="71"/>
      <c r="N811" s="71"/>
      <c r="O811" s="71"/>
      <c r="P811" s="71"/>
      <c r="Q811" s="71"/>
      <c r="R811" s="71"/>
      <c r="S811" s="71"/>
      <c r="T811" s="71"/>
      <c r="U811" s="71"/>
      <c r="V811" s="71"/>
      <c r="W811" s="71"/>
      <c r="X811" s="71"/>
      <c r="Y811" s="71"/>
      <c r="Z811" s="71"/>
      <c r="AA811" s="71"/>
      <c r="AB811" s="71"/>
    </row>
    <row r="812" ht="15.75" customHeight="1">
      <c r="A812" s="71"/>
      <c r="B812" s="71"/>
      <c r="C812" s="61"/>
      <c r="D812" s="61"/>
      <c r="E812" s="71"/>
      <c r="F812" s="71"/>
      <c r="G812" s="61"/>
      <c r="I812" s="61"/>
      <c r="J812" s="71"/>
      <c r="K812" s="71"/>
      <c r="L812" s="71"/>
      <c r="M812" s="71"/>
      <c r="N812" s="71"/>
      <c r="O812" s="71"/>
      <c r="P812" s="71"/>
      <c r="Q812" s="71"/>
      <c r="R812" s="71"/>
      <c r="S812" s="71"/>
      <c r="T812" s="71"/>
      <c r="U812" s="71"/>
      <c r="V812" s="71"/>
      <c r="W812" s="71"/>
      <c r="X812" s="71"/>
      <c r="Y812" s="71"/>
      <c r="Z812" s="71"/>
      <c r="AA812" s="71"/>
      <c r="AB812" s="71"/>
    </row>
    <row r="813" ht="15.75" customHeight="1">
      <c r="A813" s="71"/>
      <c r="B813" s="71"/>
      <c r="C813" s="61"/>
      <c r="D813" s="61"/>
      <c r="E813" s="71"/>
      <c r="F813" s="71"/>
      <c r="G813" s="61"/>
      <c r="I813" s="61"/>
      <c r="J813" s="71"/>
      <c r="K813" s="71"/>
      <c r="L813" s="71"/>
      <c r="M813" s="71"/>
      <c r="N813" s="71"/>
      <c r="O813" s="71"/>
      <c r="P813" s="71"/>
      <c r="Q813" s="71"/>
      <c r="R813" s="71"/>
      <c r="S813" s="71"/>
      <c r="T813" s="71"/>
      <c r="U813" s="71"/>
      <c r="V813" s="71"/>
      <c r="W813" s="71"/>
      <c r="X813" s="71"/>
      <c r="Y813" s="71"/>
      <c r="Z813" s="71"/>
      <c r="AA813" s="71"/>
      <c r="AB813" s="71"/>
    </row>
    <row r="814" ht="15.75" customHeight="1">
      <c r="A814" s="71"/>
      <c r="B814" s="71"/>
      <c r="C814" s="61"/>
      <c r="D814" s="61"/>
      <c r="E814" s="71"/>
      <c r="F814" s="71"/>
      <c r="G814" s="61"/>
      <c r="I814" s="61"/>
      <c r="J814" s="71"/>
      <c r="K814" s="71"/>
      <c r="L814" s="71"/>
      <c r="M814" s="71"/>
      <c r="N814" s="71"/>
      <c r="O814" s="71"/>
      <c r="P814" s="71"/>
      <c r="Q814" s="71"/>
      <c r="R814" s="71"/>
      <c r="S814" s="71"/>
      <c r="T814" s="71"/>
      <c r="U814" s="71"/>
      <c r="V814" s="71"/>
      <c r="W814" s="71"/>
      <c r="X814" s="71"/>
      <c r="Y814" s="71"/>
      <c r="Z814" s="71"/>
      <c r="AA814" s="71"/>
      <c r="AB814" s="71"/>
    </row>
    <row r="815" ht="15.75" customHeight="1">
      <c r="A815" s="71"/>
      <c r="B815" s="71"/>
      <c r="C815" s="61"/>
      <c r="D815" s="61"/>
      <c r="E815" s="71"/>
      <c r="F815" s="71"/>
      <c r="G815" s="61"/>
      <c r="I815" s="61"/>
      <c r="J815" s="71"/>
      <c r="K815" s="71"/>
      <c r="L815" s="71"/>
      <c r="M815" s="71"/>
      <c r="N815" s="71"/>
      <c r="O815" s="71"/>
      <c r="P815" s="71"/>
      <c r="Q815" s="71"/>
      <c r="R815" s="71"/>
      <c r="S815" s="71"/>
      <c r="T815" s="71"/>
      <c r="U815" s="71"/>
      <c r="V815" s="71"/>
      <c r="W815" s="71"/>
      <c r="X815" s="71"/>
      <c r="Y815" s="71"/>
      <c r="Z815" s="71"/>
      <c r="AA815" s="71"/>
      <c r="AB815" s="71"/>
    </row>
    <row r="816" ht="15.75" customHeight="1">
      <c r="A816" s="71"/>
      <c r="B816" s="71"/>
      <c r="C816" s="61"/>
      <c r="D816" s="61"/>
      <c r="E816" s="71"/>
      <c r="F816" s="71"/>
      <c r="G816" s="61"/>
      <c r="I816" s="61"/>
      <c r="J816" s="71"/>
      <c r="K816" s="71"/>
      <c r="L816" s="71"/>
      <c r="M816" s="71"/>
      <c r="N816" s="71"/>
      <c r="O816" s="71"/>
      <c r="P816" s="71"/>
      <c r="Q816" s="71"/>
      <c r="R816" s="71"/>
      <c r="S816" s="71"/>
      <c r="T816" s="71"/>
      <c r="U816" s="71"/>
      <c r="V816" s="71"/>
      <c r="W816" s="71"/>
      <c r="X816" s="71"/>
      <c r="Y816" s="71"/>
      <c r="Z816" s="71"/>
      <c r="AA816" s="71"/>
      <c r="AB816" s="71"/>
    </row>
    <row r="817" ht="15.75" customHeight="1">
      <c r="A817" s="71"/>
      <c r="B817" s="71"/>
      <c r="C817" s="61"/>
      <c r="D817" s="61"/>
      <c r="E817" s="71"/>
      <c r="F817" s="71"/>
      <c r="G817" s="61"/>
      <c r="I817" s="61"/>
      <c r="J817" s="71"/>
      <c r="K817" s="71"/>
      <c r="L817" s="71"/>
      <c r="M817" s="71"/>
      <c r="N817" s="71"/>
      <c r="O817" s="71"/>
      <c r="P817" s="71"/>
      <c r="Q817" s="71"/>
      <c r="R817" s="71"/>
      <c r="S817" s="71"/>
      <c r="T817" s="71"/>
      <c r="U817" s="71"/>
      <c r="V817" s="71"/>
      <c r="W817" s="71"/>
      <c r="X817" s="71"/>
      <c r="Y817" s="71"/>
      <c r="Z817" s="71"/>
      <c r="AA817" s="71"/>
      <c r="AB817" s="71"/>
    </row>
    <row r="818" ht="15.75" customHeight="1">
      <c r="A818" s="71"/>
      <c r="B818" s="71"/>
      <c r="C818" s="61"/>
      <c r="D818" s="61"/>
      <c r="E818" s="71"/>
      <c r="F818" s="71"/>
      <c r="G818" s="61"/>
      <c r="I818" s="61"/>
      <c r="J818" s="71"/>
      <c r="K818" s="71"/>
      <c r="L818" s="71"/>
      <c r="M818" s="71"/>
      <c r="N818" s="71"/>
      <c r="O818" s="71"/>
      <c r="P818" s="71"/>
      <c r="Q818" s="71"/>
      <c r="R818" s="71"/>
      <c r="S818" s="71"/>
      <c r="T818" s="71"/>
      <c r="U818" s="71"/>
      <c r="V818" s="71"/>
      <c r="W818" s="71"/>
      <c r="X818" s="71"/>
      <c r="Y818" s="71"/>
      <c r="Z818" s="71"/>
      <c r="AA818" s="71"/>
      <c r="AB818" s="71"/>
    </row>
    <row r="819" ht="15.75" customHeight="1">
      <c r="A819" s="71"/>
      <c r="B819" s="71"/>
      <c r="C819" s="61"/>
      <c r="D819" s="61"/>
      <c r="E819" s="71"/>
      <c r="F819" s="71"/>
      <c r="G819" s="61"/>
      <c r="I819" s="61"/>
      <c r="J819" s="71"/>
      <c r="K819" s="71"/>
      <c r="L819" s="71"/>
      <c r="M819" s="71"/>
      <c r="N819" s="71"/>
      <c r="O819" s="71"/>
      <c r="P819" s="71"/>
      <c r="Q819" s="71"/>
      <c r="R819" s="71"/>
      <c r="S819" s="71"/>
      <c r="T819" s="71"/>
      <c r="U819" s="71"/>
      <c r="V819" s="71"/>
      <c r="W819" s="71"/>
      <c r="X819" s="71"/>
      <c r="Y819" s="71"/>
      <c r="Z819" s="71"/>
      <c r="AA819" s="71"/>
      <c r="AB819" s="71"/>
    </row>
    <row r="820" ht="15.75" customHeight="1">
      <c r="A820" s="71"/>
      <c r="B820" s="71"/>
      <c r="C820" s="61"/>
      <c r="D820" s="61"/>
      <c r="E820" s="71"/>
      <c r="F820" s="71"/>
      <c r="G820" s="61"/>
      <c r="I820" s="61"/>
      <c r="J820" s="71"/>
      <c r="K820" s="71"/>
      <c r="L820" s="71"/>
      <c r="M820" s="71"/>
      <c r="N820" s="71"/>
      <c r="O820" s="71"/>
      <c r="P820" s="71"/>
      <c r="Q820" s="71"/>
      <c r="R820" s="71"/>
      <c r="S820" s="71"/>
      <c r="T820" s="71"/>
      <c r="U820" s="71"/>
      <c r="V820" s="71"/>
      <c r="W820" s="71"/>
      <c r="X820" s="71"/>
      <c r="Y820" s="71"/>
      <c r="Z820" s="71"/>
      <c r="AA820" s="71"/>
      <c r="AB820" s="71"/>
    </row>
    <row r="821" ht="15.75" customHeight="1">
      <c r="A821" s="71"/>
      <c r="B821" s="71"/>
      <c r="C821" s="61"/>
      <c r="D821" s="61"/>
      <c r="E821" s="71"/>
      <c r="F821" s="71"/>
      <c r="G821" s="61"/>
      <c r="I821" s="61"/>
      <c r="J821" s="71"/>
      <c r="K821" s="71"/>
      <c r="L821" s="71"/>
      <c r="M821" s="71"/>
      <c r="N821" s="71"/>
      <c r="O821" s="71"/>
      <c r="P821" s="71"/>
      <c r="Q821" s="71"/>
      <c r="R821" s="71"/>
      <c r="S821" s="71"/>
      <c r="T821" s="71"/>
      <c r="U821" s="71"/>
      <c r="V821" s="71"/>
      <c r="W821" s="71"/>
      <c r="X821" s="71"/>
      <c r="Y821" s="71"/>
      <c r="Z821" s="71"/>
      <c r="AA821" s="71"/>
      <c r="AB821" s="71"/>
    </row>
    <row r="822" ht="15.75" customHeight="1">
      <c r="A822" s="71"/>
      <c r="B822" s="71"/>
      <c r="C822" s="61"/>
      <c r="D822" s="61"/>
      <c r="E822" s="71"/>
      <c r="F822" s="71"/>
      <c r="G822" s="61"/>
      <c r="I822" s="61"/>
      <c r="J822" s="71"/>
      <c r="K822" s="71"/>
      <c r="L822" s="71"/>
      <c r="M822" s="71"/>
      <c r="N822" s="71"/>
      <c r="O822" s="71"/>
      <c r="P822" s="71"/>
      <c r="Q822" s="71"/>
      <c r="R822" s="71"/>
      <c r="S822" s="71"/>
      <c r="T822" s="71"/>
      <c r="U822" s="71"/>
      <c r="V822" s="71"/>
      <c r="W822" s="71"/>
      <c r="X822" s="71"/>
      <c r="Y822" s="71"/>
      <c r="Z822" s="71"/>
      <c r="AA822" s="71"/>
      <c r="AB822" s="71"/>
    </row>
    <row r="823" ht="15.75" customHeight="1">
      <c r="A823" s="71"/>
      <c r="B823" s="71"/>
      <c r="C823" s="61"/>
      <c r="D823" s="61"/>
      <c r="E823" s="71"/>
      <c r="F823" s="71"/>
      <c r="G823" s="61"/>
      <c r="I823" s="61"/>
      <c r="J823" s="71"/>
      <c r="K823" s="71"/>
      <c r="L823" s="71"/>
      <c r="M823" s="71"/>
      <c r="N823" s="71"/>
      <c r="O823" s="71"/>
      <c r="P823" s="71"/>
      <c r="Q823" s="71"/>
      <c r="R823" s="71"/>
      <c r="S823" s="71"/>
      <c r="T823" s="71"/>
      <c r="U823" s="71"/>
      <c r="V823" s="71"/>
      <c r="W823" s="71"/>
      <c r="X823" s="71"/>
      <c r="Y823" s="71"/>
      <c r="Z823" s="71"/>
      <c r="AA823" s="71"/>
      <c r="AB823" s="71"/>
    </row>
    <row r="824" ht="15.75" customHeight="1">
      <c r="A824" s="71"/>
      <c r="B824" s="71"/>
      <c r="C824" s="61"/>
      <c r="D824" s="61"/>
      <c r="E824" s="71"/>
      <c r="F824" s="71"/>
      <c r="G824" s="61"/>
      <c r="I824" s="61"/>
      <c r="J824" s="71"/>
      <c r="K824" s="71"/>
      <c r="L824" s="71"/>
      <c r="M824" s="71"/>
      <c r="N824" s="71"/>
      <c r="O824" s="71"/>
      <c r="P824" s="71"/>
      <c r="Q824" s="71"/>
      <c r="R824" s="71"/>
      <c r="S824" s="71"/>
      <c r="T824" s="71"/>
      <c r="U824" s="71"/>
      <c r="V824" s="71"/>
      <c r="W824" s="71"/>
      <c r="X824" s="71"/>
      <c r="Y824" s="71"/>
      <c r="Z824" s="71"/>
      <c r="AA824" s="71"/>
      <c r="AB824" s="71"/>
    </row>
    <row r="825" ht="15.75" customHeight="1">
      <c r="A825" s="71"/>
      <c r="B825" s="71"/>
      <c r="C825" s="61"/>
      <c r="D825" s="61"/>
      <c r="E825" s="71"/>
      <c r="F825" s="71"/>
      <c r="G825" s="61"/>
      <c r="I825" s="61"/>
      <c r="J825" s="71"/>
      <c r="K825" s="71"/>
      <c r="L825" s="71"/>
      <c r="M825" s="71"/>
      <c r="N825" s="71"/>
      <c r="O825" s="71"/>
      <c r="P825" s="71"/>
      <c r="Q825" s="71"/>
      <c r="R825" s="71"/>
      <c r="S825" s="71"/>
      <c r="T825" s="71"/>
      <c r="U825" s="71"/>
      <c r="V825" s="71"/>
      <c r="W825" s="71"/>
      <c r="X825" s="71"/>
      <c r="Y825" s="71"/>
      <c r="Z825" s="71"/>
      <c r="AA825" s="71"/>
      <c r="AB825" s="71"/>
    </row>
    <row r="826" ht="15.75" customHeight="1">
      <c r="A826" s="71"/>
      <c r="B826" s="71"/>
      <c r="C826" s="61"/>
      <c r="D826" s="61"/>
      <c r="E826" s="71"/>
      <c r="F826" s="71"/>
      <c r="G826" s="61"/>
      <c r="I826" s="61"/>
      <c r="J826" s="71"/>
      <c r="K826" s="71"/>
      <c r="L826" s="71"/>
      <c r="M826" s="71"/>
      <c r="N826" s="71"/>
      <c r="O826" s="71"/>
      <c r="P826" s="71"/>
      <c r="Q826" s="71"/>
      <c r="R826" s="71"/>
      <c r="S826" s="71"/>
      <c r="T826" s="71"/>
      <c r="U826" s="71"/>
      <c r="V826" s="71"/>
      <c r="W826" s="71"/>
      <c r="X826" s="71"/>
      <c r="Y826" s="71"/>
      <c r="Z826" s="71"/>
      <c r="AA826" s="71"/>
      <c r="AB826" s="71"/>
    </row>
    <row r="827" ht="15.75" customHeight="1">
      <c r="A827" s="71"/>
      <c r="B827" s="71"/>
      <c r="C827" s="61"/>
      <c r="D827" s="61"/>
      <c r="E827" s="71"/>
      <c r="F827" s="71"/>
      <c r="G827" s="61"/>
      <c r="I827" s="61"/>
      <c r="J827" s="71"/>
      <c r="K827" s="71"/>
      <c r="L827" s="71"/>
      <c r="M827" s="71"/>
      <c r="N827" s="71"/>
      <c r="O827" s="71"/>
      <c r="P827" s="71"/>
      <c r="Q827" s="71"/>
      <c r="R827" s="71"/>
      <c r="S827" s="71"/>
      <c r="T827" s="71"/>
      <c r="U827" s="71"/>
      <c r="V827" s="71"/>
      <c r="W827" s="71"/>
      <c r="X827" s="71"/>
      <c r="Y827" s="71"/>
      <c r="Z827" s="71"/>
      <c r="AA827" s="71"/>
      <c r="AB827" s="71"/>
    </row>
    <row r="828" ht="15.75" customHeight="1">
      <c r="A828" s="71"/>
      <c r="B828" s="71"/>
      <c r="C828" s="61"/>
      <c r="D828" s="61"/>
      <c r="E828" s="71"/>
      <c r="F828" s="71"/>
      <c r="G828" s="61"/>
      <c r="I828" s="61"/>
      <c r="J828" s="71"/>
      <c r="K828" s="71"/>
      <c r="L828" s="71"/>
      <c r="M828" s="71"/>
      <c r="N828" s="71"/>
      <c r="O828" s="71"/>
      <c r="P828" s="71"/>
      <c r="Q828" s="71"/>
      <c r="R828" s="71"/>
      <c r="S828" s="71"/>
      <c r="T828" s="71"/>
      <c r="U828" s="71"/>
      <c r="V828" s="71"/>
      <c r="W828" s="71"/>
      <c r="X828" s="71"/>
      <c r="Y828" s="71"/>
      <c r="Z828" s="71"/>
      <c r="AA828" s="71"/>
      <c r="AB828" s="71"/>
    </row>
    <row r="829" ht="15.75" customHeight="1">
      <c r="A829" s="71"/>
      <c r="B829" s="71"/>
      <c r="C829" s="61"/>
      <c r="D829" s="61"/>
      <c r="E829" s="71"/>
      <c r="F829" s="71"/>
      <c r="G829" s="61"/>
      <c r="I829" s="61"/>
      <c r="J829" s="71"/>
      <c r="K829" s="71"/>
      <c r="L829" s="71"/>
      <c r="M829" s="71"/>
      <c r="N829" s="71"/>
      <c r="O829" s="71"/>
      <c r="P829" s="71"/>
      <c r="Q829" s="71"/>
      <c r="R829" s="71"/>
      <c r="S829" s="71"/>
      <c r="T829" s="71"/>
      <c r="U829" s="71"/>
      <c r="V829" s="71"/>
      <c r="W829" s="71"/>
      <c r="X829" s="71"/>
      <c r="Y829" s="71"/>
      <c r="Z829" s="71"/>
      <c r="AA829" s="71"/>
      <c r="AB829" s="71"/>
    </row>
    <row r="830" ht="15.75" customHeight="1">
      <c r="A830" s="71"/>
      <c r="B830" s="71"/>
      <c r="C830" s="61"/>
      <c r="D830" s="61"/>
      <c r="E830" s="71"/>
      <c r="F830" s="71"/>
      <c r="G830" s="61"/>
      <c r="I830" s="61"/>
      <c r="J830" s="71"/>
      <c r="K830" s="71"/>
      <c r="L830" s="71"/>
      <c r="M830" s="71"/>
      <c r="N830" s="71"/>
      <c r="O830" s="71"/>
      <c r="P830" s="71"/>
      <c r="Q830" s="71"/>
      <c r="R830" s="71"/>
      <c r="S830" s="71"/>
      <c r="T830" s="71"/>
      <c r="U830" s="71"/>
      <c r="V830" s="71"/>
      <c r="W830" s="71"/>
      <c r="X830" s="71"/>
      <c r="Y830" s="71"/>
      <c r="Z830" s="71"/>
      <c r="AA830" s="71"/>
      <c r="AB830" s="71"/>
    </row>
    <row r="831" ht="15.75" customHeight="1">
      <c r="A831" s="71"/>
      <c r="B831" s="71"/>
      <c r="C831" s="61"/>
      <c r="D831" s="61"/>
      <c r="E831" s="71"/>
      <c r="F831" s="71"/>
      <c r="G831" s="61"/>
      <c r="I831" s="61"/>
      <c r="J831" s="71"/>
      <c r="K831" s="71"/>
      <c r="L831" s="71"/>
      <c r="M831" s="71"/>
      <c r="N831" s="71"/>
      <c r="O831" s="71"/>
      <c r="P831" s="71"/>
      <c r="Q831" s="71"/>
      <c r="R831" s="71"/>
      <c r="S831" s="71"/>
      <c r="T831" s="71"/>
      <c r="U831" s="71"/>
      <c r="V831" s="71"/>
      <c r="W831" s="71"/>
      <c r="X831" s="71"/>
      <c r="Y831" s="71"/>
      <c r="Z831" s="71"/>
      <c r="AA831" s="71"/>
      <c r="AB831" s="71"/>
    </row>
    <row r="832" ht="15.75" customHeight="1">
      <c r="A832" s="71"/>
      <c r="B832" s="71"/>
      <c r="C832" s="61"/>
      <c r="D832" s="61"/>
      <c r="E832" s="71"/>
      <c r="F832" s="71"/>
      <c r="G832" s="61"/>
      <c r="I832" s="61"/>
      <c r="J832" s="71"/>
      <c r="K832" s="71"/>
      <c r="L832" s="71"/>
      <c r="M832" s="71"/>
      <c r="N832" s="71"/>
      <c r="O832" s="71"/>
      <c r="P832" s="71"/>
      <c r="Q832" s="71"/>
      <c r="R832" s="71"/>
      <c r="S832" s="71"/>
      <c r="T832" s="71"/>
      <c r="U832" s="71"/>
      <c r="V832" s="71"/>
      <c r="W832" s="71"/>
      <c r="X832" s="71"/>
      <c r="Y832" s="71"/>
      <c r="Z832" s="71"/>
      <c r="AA832" s="71"/>
      <c r="AB832" s="71"/>
    </row>
    <row r="833" ht="15.75" customHeight="1">
      <c r="A833" s="71"/>
      <c r="B833" s="71"/>
      <c r="C833" s="61"/>
      <c r="D833" s="61"/>
      <c r="E833" s="71"/>
      <c r="F833" s="71"/>
      <c r="G833" s="61"/>
      <c r="I833" s="61"/>
      <c r="J833" s="71"/>
      <c r="K833" s="71"/>
      <c r="L833" s="71"/>
      <c r="M833" s="71"/>
      <c r="N833" s="71"/>
      <c r="O833" s="71"/>
      <c r="P833" s="71"/>
      <c r="Q833" s="71"/>
      <c r="R833" s="71"/>
      <c r="S833" s="71"/>
      <c r="T833" s="71"/>
      <c r="U833" s="71"/>
      <c r="V833" s="71"/>
      <c r="W833" s="71"/>
      <c r="X833" s="71"/>
      <c r="Y833" s="71"/>
      <c r="Z833" s="71"/>
      <c r="AA833" s="71"/>
      <c r="AB833" s="71"/>
    </row>
    <row r="834" ht="15.75" customHeight="1">
      <c r="A834" s="71"/>
      <c r="B834" s="71"/>
      <c r="C834" s="61"/>
      <c r="D834" s="61"/>
      <c r="E834" s="71"/>
      <c r="F834" s="71"/>
      <c r="G834" s="61"/>
      <c r="I834" s="61"/>
      <c r="J834" s="71"/>
      <c r="K834" s="71"/>
      <c r="L834" s="71"/>
      <c r="M834" s="71"/>
      <c r="N834" s="71"/>
      <c r="O834" s="71"/>
      <c r="P834" s="71"/>
      <c r="Q834" s="71"/>
      <c r="R834" s="71"/>
      <c r="S834" s="71"/>
      <c r="T834" s="71"/>
      <c r="U834" s="71"/>
      <c r="V834" s="71"/>
      <c r="W834" s="71"/>
      <c r="X834" s="71"/>
      <c r="Y834" s="71"/>
      <c r="Z834" s="71"/>
      <c r="AA834" s="71"/>
      <c r="AB834" s="71"/>
    </row>
    <row r="835" ht="15.75" customHeight="1">
      <c r="A835" s="71"/>
      <c r="B835" s="71"/>
      <c r="C835" s="61"/>
      <c r="D835" s="61"/>
      <c r="E835" s="71"/>
      <c r="F835" s="71"/>
      <c r="G835" s="61"/>
      <c r="I835" s="61"/>
      <c r="J835" s="71"/>
      <c r="K835" s="71"/>
      <c r="L835" s="71"/>
      <c r="M835" s="71"/>
      <c r="N835" s="71"/>
      <c r="O835" s="71"/>
      <c r="P835" s="71"/>
      <c r="Q835" s="71"/>
      <c r="R835" s="71"/>
      <c r="S835" s="71"/>
      <c r="T835" s="71"/>
      <c r="U835" s="71"/>
      <c r="V835" s="71"/>
      <c r="W835" s="71"/>
      <c r="X835" s="71"/>
      <c r="Y835" s="71"/>
      <c r="Z835" s="71"/>
      <c r="AA835" s="71"/>
      <c r="AB835" s="71"/>
    </row>
    <row r="836" ht="15.75" customHeight="1">
      <c r="A836" s="71"/>
      <c r="B836" s="71"/>
      <c r="C836" s="61"/>
      <c r="D836" s="61"/>
      <c r="E836" s="71"/>
      <c r="F836" s="71"/>
      <c r="G836" s="61"/>
      <c r="I836" s="61"/>
      <c r="J836" s="71"/>
      <c r="K836" s="71"/>
      <c r="L836" s="71"/>
      <c r="M836" s="71"/>
      <c r="N836" s="71"/>
      <c r="O836" s="71"/>
      <c r="P836" s="71"/>
      <c r="Q836" s="71"/>
      <c r="R836" s="71"/>
      <c r="S836" s="71"/>
      <c r="T836" s="71"/>
      <c r="U836" s="71"/>
      <c r="V836" s="71"/>
      <c r="W836" s="71"/>
      <c r="X836" s="71"/>
      <c r="Y836" s="71"/>
      <c r="Z836" s="71"/>
      <c r="AA836" s="71"/>
      <c r="AB836" s="71"/>
    </row>
    <row r="837" ht="15.75" customHeight="1">
      <c r="A837" s="71"/>
      <c r="B837" s="71"/>
      <c r="C837" s="61"/>
      <c r="D837" s="61"/>
      <c r="E837" s="71"/>
      <c r="F837" s="71"/>
      <c r="G837" s="61"/>
      <c r="I837" s="61"/>
      <c r="J837" s="71"/>
      <c r="K837" s="71"/>
      <c r="L837" s="71"/>
      <c r="M837" s="71"/>
      <c r="N837" s="71"/>
      <c r="O837" s="71"/>
      <c r="P837" s="71"/>
      <c r="Q837" s="71"/>
      <c r="R837" s="71"/>
      <c r="S837" s="71"/>
      <c r="T837" s="71"/>
      <c r="U837" s="71"/>
      <c r="V837" s="71"/>
      <c r="W837" s="71"/>
      <c r="X837" s="71"/>
      <c r="Y837" s="71"/>
      <c r="Z837" s="71"/>
      <c r="AA837" s="71"/>
      <c r="AB837" s="71"/>
    </row>
    <row r="838" ht="15.75" customHeight="1">
      <c r="A838" s="71"/>
      <c r="B838" s="71"/>
      <c r="C838" s="61"/>
      <c r="D838" s="61"/>
      <c r="E838" s="71"/>
      <c r="F838" s="71"/>
      <c r="G838" s="61"/>
      <c r="I838" s="61"/>
      <c r="J838" s="71"/>
      <c r="K838" s="71"/>
      <c r="L838" s="71"/>
      <c r="M838" s="71"/>
      <c r="N838" s="71"/>
      <c r="O838" s="71"/>
      <c r="P838" s="71"/>
      <c r="Q838" s="71"/>
      <c r="R838" s="71"/>
      <c r="S838" s="71"/>
      <c r="T838" s="71"/>
      <c r="U838" s="71"/>
      <c r="V838" s="71"/>
      <c r="W838" s="71"/>
      <c r="X838" s="71"/>
      <c r="Y838" s="71"/>
      <c r="Z838" s="71"/>
      <c r="AA838" s="71"/>
      <c r="AB838" s="71"/>
    </row>
    <row r="839" ht="15.75" customHeight="1">
      <c r="A839" s="71"/>
      <c r="B839" s="71"/>
      <c r="C839" s="61"/>
      <c r="D839" s="61"/>
      <c r="E839" s="71"/>
      <c r="F839" s="71"/>
      <c r="G839" s="61"/>
      <c r="I839" s="61"/>
      <c r="J839" s="71"/>
      <c r="K839" s="71"/>
      <c r="L839" s="71"/>
      <c r="M839" s="71"/>
      <c r="N839" s="71"/>
      <c r="O839" s="71"/>
      <c r="P839" s="71"/>
      <c r="Q839" s="71"/>
      <c r="R839" s="71"/>
      <c r="S839" s="71"/>
      <c r="T839" s="71"/>
      <c r="U839" s="71"/>
      <c r="V839" s="71"/>
      <c r="W839" s="71"/>
      <c r="X839" s="71"/>
      <c r="Y839" s="71"/>
      <c r="Z839" s="71"/>
      <c r="AA839" s="71"/>
      <c r="AB839" s="71"/>
    </row>
    <row r="840" ht="15.75" customHeight="1">
      <c r="A840" s="71"/>
      <c r="B840" s="71"/>
      <c r="C840" s="61"/>
      <c r="D840" s="61"/>
      <c r="E840" s="71"/>
      <c r="F840" s="71"/>
      <c r="G840" s="61"/>
      <c r="I840" s="61"/>
      <c r="J840" s="71"/>
      <c r="K840" s="71"/>
      <c r="L840" s="71"/>
      <c r="M840" s="71"/>
      <c r="N840" s="71"/>
      <c r="O840" s="71"/>
      <c r="P840" s="71"/>
      <c r="Q840" s="71"/>
      <c r="R840" s="71"/>
      <c r="S840" s="71"/>
      <c r="T840" s="71"/>
      <c r="U840" s="71"/>
      <c r="V840" s="71"/>
      <c r="W840" s="71"/>
      <c r="X840" s="71"/>
      <c r="Y840" s="71"/>
      <c r="Z840" s="71"/>
      <c r="AA840" s="71"/>
      <c r="AB840" s="71"/>
    </row>
    <row r="841" ht="15.75" customHeight="1">
      <c r="A841" s="71"/>
      <c r="B841" s="71"/>
      <c r="C841" s="61"/>
      <c r="D841" s="61"/>
      <c r="E841" s="71"/>
      <c r="F841" s="71"/>
      <c r="G841" s="61"/>
      <c r="I841" s="61"/>
      <c r="J841" s="71"/>
      <c r="K841" s="71"/>
      <c r="L841" s="71"/>
      <c r="M841" s="71"/>
      <c r="N841" s="71"/>
      <c r="O841" s="71"/>
      <c r="P841" s="71"/>
      <c r="Q841" s="71"/>
      <c r="R841" s="71"/>
      <c r="S841" s="71"/>
      <c r="T841" s="71"/>
      <c r="U841" s="71"/>
      <c r="V841" s="71"/>
      <c r="W841" s="71"/>
      <c r="X841" s="71"/>
      <c r="Y841" s="71"/>
      <c r="Z841" s="71"/>
      <c r="AA841" s="71"/>
      <c r="AB841" s="71"/>
    </row>
    <row r="842" ht="15.75" customHeight="1">
      <c r="A842" s="71"/>
      <c r="B842" s="71"/>
      <c r="C842" s="61"/>
      <c r="D842" s="61"/>
      <c r="E842" s="71"/>
      <c r="F842" s="71"/>
      <c r="G842" s="61"/>
      <c r="I842" s="61"/>
      <c r="J842" s="71"/>
      <c r="K842" s="71"/>
      <c r="L842" s="71"/>
      <c r="M842" s="71"/>
      <c r="N842" s="71"/>
      <c r="O842" s="71"/>
      <c r="P842" s="71"/>
      <c r="Q842" s="71"/>
      <c r="R842" s="71"/>
      <c r="S842" s="71"/>
      <c r="T842" s="71"/>
      <c r="U842" s="71"/>
      <c r="V842" s="71"/>
      <c r="W842" s="71"/>
      <c r="X842" s="71"/>
      <c r="Y842" s="71"/>
      <c r="Z842" s="71"/>
      <c r="AA842" s="71"/>
      <c r="AB842" s="71"/>
    </row>
    <row r="843" ht="15.75" customHeight="1">
      <c r="A843" s="71"/>
      <c r="B843" s="71"/>
      <c r="C843" s="61"/>
      <c r="D843" s="61"/>
      <c r="E843" s="71"/>
      <c r="F843" s="71"/>
      <c r="G843" s="61"/>
      <c r="I843" s="61"/>
      <c r="J843" s="71"/>
      <c r="K843" s="71"/>
      <c r="L843" s="71"/>
      <c r="M843" s="71"/>
      <c r="N843" s="71"/>
      <c r="O843" s="71"/>
      <c r="P843" s="71"/>
      <c r="Q843" s="71"/>
      <c r="R843" s="71"/>
      <c r="S843" s="71"/>
      <c r="T843" s="71"/>
      <c r="U843" s="71"/>
      <c r="V843" s="71"/>
      <c r="W843" s="71"/>
      <c r="X843" s="71"/>
      <c r="Y843" s="71"/>
      <c r="Z843" s="71"/>
      <c r="AA843" s="71"/>
      <c r="AB843" s="71"/>
    </row>
    <row r="844" ht="15.75" customHeight="1">
      <c r="A844" s="71"/>
      <c r="B844" s="71"/>
      <c r="C844" s="61"/>
      <c r="D844" s="61"/>
      <c r="E844" s="71"/>
      <c r="F844" s="71"/>
      <c r="G844" s="61"/>
      <c r="I844" s="61"/>
      <c r="J844" s="71"/>
      <c r="K844" s="71"/>
      <c r="L844" s="71"/>
      <c r="M844" s="71"/>
      <c r="N844" s="71"/>
      <c r="O844" s="71"/>
      <c r="P844" s="71"/>
      <c r="Q844" s="71"/>
      <c r="R844" s="71"/>
      <c r="S844" s="71"/>
      <c r="T844" s="71"/>
      <c r="U844" s="71"/>
      <c r="V844" s="71"/>
      <c r="W844" s="71"/>
      <c r="X844" s="71"/>
      <c r="Y844" s="71"/>
      <c r="Z844" s="71"/>
      <c r="AA844" s="71"/>
      <c r="AB844" s="71"/>
    </row>
    <row r="845" ht="15.75" customHeight="1">
      <c r="A845" s="71"/>
      <c r="B845" s="71"/>
      <c r="C845" s="61"/>
      <c r="D845" s="61"/>
      <c r="E845" s="71"/>
      <c r="F845" s="71"/>
      <c r="G845" s="61"/>
      <c r="I845" s="61"/>
      <c r="J845" s="71"/>
      <c r="K845" s="71"/>
      <c r="L845" s="71"/>
      <c r="M845" s="71"/>
      <c r="N845" s="71"/>
      <c r="O845" s="71"/>
      <c r="P845" s="71"/>
      <c r="Q845" s="71"/>
      <c r="R845" s="71"/>
      <c r="S845" s="71"/>
      <c r="T845" s="71"/>
      <c r="U845" s="71"/>
      <c r="V845" s="71"/>
      <c r="W845" s="71"/>
      <c r="X845" s="71"/>
      <c r="Y845" s="71"/>
      <c r="Z845" s="71"/>
      <c r="AA845" s="71"/>
      <c r="AB845" s="71"/>
    </row>
    <row r="846" ht="15.75" customHeight="1">
      <c r="A846" s="71"/>
      <c r="B846" s="71"/>
      <c r="C846" s="61"/>
      <c r="D846" s="61"/>
      <c r="E846" s="71"/>
      <c r="F846" s="71"/>
      <c r="G846" s="61"/>
      <c r="I846" s="61"/>
      <c r="J846" s="71"/>
      <c r="K846" s="71"/>
      <c r="L846" s="71"/>
      <c r="M846" s="71"/>
      <c r="N846" s="71"/>
      <c r="O846" s="71"/>
      <c r="P846" s="71"/>
      <c r="Q846" s="71"/>
      <c r="R846" s="71"/>
      <c r="S846" s="71"/>
      <c r="T846" s="71"/>
      <c r="U846" s="71"/>
      <c r="V846" s="71"/>
      <c r="W846" s="71"/>
      <c r="X846" s="71"/>
      <c r="Y846" s="71"/>
      <c r="Z846" s="71"/>
      <c r="AA846" s="71"/>
      <c r="AB846" s="71"/>
    </row>
    <row r="847" ht="15.75" customHeight="1">
      <c r="A847" s="71"/>
      <c r="B847" s="71"/>
      <c r="C847" s="61"/>
      <c r="D847" s="61"/>
      <c r="E847" s="71"/>
      <c r="F847" s="71"/>
      <c r="G847" s="61"/>
      <c r="I847" s="61"/>
      <c r="J847" s="71"/>
      <c r="K847" s="71"/>
      <c r="L847" s="71"/>
      <c r="M847" s="71"/>
      <c r="N847" s="71"/>
      <c r="O847" s="71"/>
      <c r="P847" s="71"/>
      <c r="Q847" s="71"/>
      <c r="R847" s="71"/>
      <c r="S847" s="71"/>
      <c r="T847" s="71"/>
      <c r="U847" s="71"/>
      <c r="V847" s="71"/>
      <c r="W847" s="71"/>
      <c r="X847" s="71"/>
      <c r="Y847" s="71"/>
      <c r="Z847" s="71"/>
      <c r="AA847" s="71"/>
      <c r="AB847" s="71"/>
    </row>
    <row r="848" ht="15.75" customHeight="1">
      <c r="A848" s="71"/>
      <c r="B848" s="71"/>
      <c r="C848" s="61"/>
      <c r="D848" s="61"/>
      <c r="E848" s="71"/>
      <c r="F848" s="71"/>
      <c r="G848" s="61"/>
      <c r="I848" s="61"/>
      <c r="J848" s="71"/>
      <c r="K848" s="71"/>
      <c r="L848" s="71"/>
      <c r="M848" s="71"/>
      <c r="N848" s="71"/>
      <c r="O848" s="71"/>
      <c r="P848" s="71"/>
      <c r="Q848" s="71"/>
      <c r="R848" s="71"/>
      <c r="S848" s="71"/>
      <c r="T848" s="71"/>
      <c r="U848" s="71"/>
      <c r="V848" s="71"/>
      <c r="W848" s="71"/>
      <c r="X848" s="71"/>
      <c r="Y848" s="71"/>
      <c r="Z848" s="71"/>
      <c r="AA848" s="71"/>
      <c r="AB848" s="71"/>
    </row>
    <row r="849" ht="15.75" customHeight="1">
      <c r="A849" s="71"/>
      <c r="B849" s="71"/>
      <c r="C849" s="61"/>
      <c r="D849" s="61"/>
      <c r="E849" s="71"/>
      <c r="F849" s="71"/>
      <c r="G849" s="61"/>
      <c r="I849" s="61"/>
      <c r="J849" s="71"/>
      <c r="K849" s="71"/>
      <c r="L849" s="71"/>
      <c r="M849" s="71"/>
      <c r="N849" s="71"/>
      <c r="O849" s="71"/>
      <c r="P849" s="71"/>
      <c r="Q849" s="71"/>
      <c r="R849" s="71"/>
      <c r="S849" s="71"/>
      <c r="T849" s="71"/>
      <c r="U849" s="71"/>
      <c r="V849" s="71"/>
      <c r="W849" s="71"/>
      <c r="X849" s="71"/>
      <c r="Y849" s="71"/>
      <c r="Z849" s="71"/>
      <c r="AA849" s="71"/>
      <c r="AB849" s="71"/>
    </row>
    <row r="850" ht="15.75" customHeight="1">
      <c r="A850" s="71"/>
      <c r="B850" s="71"/>
      <c r="C850" s="61"/>
      <c r="D850" s="61"/>
      <c r="E850" s="71"/>
      <c r="F850" s="71"/>
      <c r="G850" s="61"/>
      <c r="I850" s="61"/>
      <c r="J850" s="71"/>
      <c r="K850" s="71"/>
      <c r="L850" s="71"/>
      <c r="M850" s="71"/>
      <c r="N850" s="71"/>
      <c r="O850" s="71"/>
      <c r="P850" s="71"/>
      <c r="Q850" s="71"/>
      <c r="R850" s="71"/>
      <c r="S850" s="71"/>
      <c r="T850" s="71"/>
      <c r="U850" s="71"/>
      <c r="V850" s="71"/>
      <c r="W850" s="71"/>
      <c r="X850" s="71"/>
      <c r="Y850" s="71"/>
      <c r="Z850" s="71"/>
      <c r="AA850" s="71"/>
      <c r="AB850" s="71"/>
    </row>
    <row r="851" ht="15.75" customHeight="1">
      <c r="A851" s="71"/>
      <c r="B851" s="71"/>
      <c r="C851" s="61"/>
      <c r="D851" s="61"/>
      <c r="E851" s="71"/>
      <c r="F851" s="71"/>
      <c r="G851" s="61"/>
      <c r="I851" s="61"/>
      <c r="J851" s="71"/>
      <c r="K851" s="71"/>
      <c r="L851" s="71"/>
      <c r="M851" s="71"/>
      <c r="N851" s="71"/>
      <c r="O851" s="71"/>
      <c r="P851" s="71"/>
      <c r="Q851" s="71"/>
      <c r="R851" s="71"/>
      <c r="S851" s="71"/>
      <c r="T851" s="71"/>
      <c r="U851" s="71"/>
      <c r="V851" s="71"/>
      <c r="W851" s="71"/>
      <c r="X851" s="71"/>
      <c r="Y851" s="71"/>
      <c r="Z851" s="71"/>
      <c r="AA851" s="71"/>
      <c r="AB851" s="71"/>
    </row>
    <row r="852" ht="15.75" customHeight="1">
      <c r="A852" s="71"/>
      <c r="B852" s="71"/>
      <c r="C852" s="61"/>
      <c r="D852" s="61"/>
      <c r="E852" s="71"/>
      <c r="F852" s="71"/>
      <c r="G852" s="61"/>
      <c r="I852" s="61"/>
      <c r="J852" s="71"/>
      <c r="K852" s="71"/>
      <c r="L852" s="71"/>
      <c r="M852" s="71"/>
      <c r="N852" s="71"/>
      <c r="O852" s="71"/>
      <c r="P852" s="71"/>
      <c r="Q852" s="71"/>
      <c r="R852" s="71"/>
      <c r="S852" s="71"/>
      <c r="T852" s="71"/>
      <c r="U852" s="71"/>
      <c r="V852" s="71"/>
      <c r="W852" s="71"/>
      <c r="X852" s="71"/>
      <c r="Y852" s="71"/>
      <c r="Z852" s="71"/>
      <c r="AA852" s="71"/>
      <c r="AB852" s="71"/>
    </row>
    <row r="853" ht="15.75" customHeight="1">
      <c r="A853" s="71"/>
      <c r="B853" s="71"/>
      <c r="C853" s="61"/>
      <c r="D853" s="61"/>
      <c r="E853" s="71"/>
      <c r="F853" s="71"/>
      <c r="G853" s="61"/>
      <c r="I853" s="61"/>
      <c r="J853" s="71"/>
      <c r="K853" s="71"/>
      <c r="L853" s="71"/>
      <c r="M853" s="71"/>
      <c r="N853" s="71"/>
      <c r="O853" s="71"/>
      <c r="P853" s="71"/>
      <c r="Q853" s="71"/>
      <c r="R853" s="71"/>
      <c r="S853" s="71"/>
      <c r="T853" s="71"/>
      <c r="U853" s="71"/>
      <c r="V853" s="71"/>
      <c r="W853" s="71"/>
      <c r="X853" s="71"/>
      <c r="Y853" s="71"/>
      <c r="Z853" s="71"/>
      <c r="AA853" s="71"/>
      <c r="AB853" s="71"/>
    </row>
    <row r="854" ht="15.75" customHeight="1">
      <c r="A854" s="71"/>
      <c r="B854" s="71"/>
      <c r="C854" s="61"/>
      <c r="D854" s="61"/>
      <c r="E854" s="71"/>
      <c r="F854" s="71"/>
      <c r="G854" s="61"/>
      <c r="I854" s="61"/>
      <c r="J854" s="71"/>
      <c r="K854" s="71"/>
      <c r="L854" s="71"/>
      <c r="M854" s="71"/>
      <c r="N854" s="71"/>
      <c r="O854" s="71"/>
      <c r="P854" s="71"/>
      <c r="Q854" s="71"/>
      <c r="R854" s="71"/>
      <c r="S854" s="71"/>
      <c r="T854" s="71"/>
      <c r="U854" s="71"/>
      <c r="V854" s="71"/>
      <c r="W854" s="71"/>
      <c r="X854" s="71"/>
      <c r="Y854" s="71"/>
      <c r="Z854" s="71"/>
      <c r="AA854" s="71"/>
      <c r="AB854" s="71"/>
    </row>
    <row r="855" ht="15.75" customHeight="1">
      <c r="A855" s="71"/>
      <c r="B855" s="71"/>
      <c r="C855" s="61"/>
      <c r="D855" s="61"/>
      <c r="E855" s="71"/>
      <c r="F855" s="71"/>
      <c r="G855" s="61"/>
      <c r="I855" s="61"/>
      <c r="J855" s="71"/>
      <c r="K855" s="71"/>
      <c r="L855" s="71"/>
      <c r="M855" s="71"/>
      <c r="N855" s="71"/>
      <c r="O855" s="71"/>
      <c r="P855" s="71"/>
      <c r="Q855" s="71"/>
      <c r="R855" s="71"/>
      <c r="S855" s="71"/>
      <c r="T855" s="71"/>
      <c r="U855" s="71"/>
      <c r="V855" s="71"/>
      <c r="W855" s="71"/>
      <c r="X855" s="71"/>
      <c r="Y855" s="71"/>
      <c r="Z855" s="71"/>
      <c r="AA855" s="71"/>
      <c r="AB855" s="71"/>
    </row>
    <row r="856" ht="15.75" customHeight="1">
      <c r="A856" s="71"/>
      <c r="B856" s="71"/>
      <c r="C856" s="61"/>
      <c r="D856" s="61"/>
      <c r="E856" s="71"/>
      <c r="F856" s="71"/>
      <c r="G856" s="61"/>
      <c r="I856" s="61"/>
      <c r="J856" s="71"/>
      <c r="K856" s="71"/>
      <c r="L856" s="71"/>
      <c r="M856" s="71"/>
      <c r="N856" s="71"/>
      <c r="O856" s="71"/>
      <c r="P856" s="71"/>
      <c r="Q856" s="71"/>
      <c r="R856" s="71"/>
      <c r="S856" s="71"/>
      <c r="T856" s="71"/>
      <c r="U856" s="71"/>
      <c r="V856" s="71"/>
      <c r="W856" s="71"/>
      <c r="X856" s="71"/>
      <c r="Y856" s="71"/>
      <c r="Z856" s="71"/>
      <c r="AA856" s="71"/>
      <c r="AB856" s="71"/>
    </row>
    <row r="857" ht="15.75" customHeight="1">
      <c r="A857" s="71"/>
      <c r="B857" s="71"/>
      <c r="C857" s="61"/>
      <c r="D857" s="61"/>
      <c r="E857" s="71"/>
      <c r="F857" s="71"/>
      <c r="G857" s="61"/>
      <c r="I857" s="61"/>
      <c r="J857" s="71"/>
      <c r="K857" s="71"/>
      <c r="L857" s="71"/>
      <c r="M857" s="71"/>
      <c r="N857" s="71"/>
      <c r="O857" s="71"/>
      <c r="P857" s="71"/>
      <c r="Q857" s="71"/>
      <c r="R857" s="71"/>
      <c r="S857" s="71"/>
      <c r="T857" s="71"/>
      <c r="U857" s="71"/>
      <c r="V857" s="71"/>
      <c r="W857" s="71"/>
      <c r="X857" s="71"/>
      <c r="Y857" s="71"/>
      <c r="Z857" s="71"/>
      <c r="AA857" s="71"/>
      <c r="AB857" s="71"/>
    </row>
    <row r="858" ht="15.75" customHeight="1">
      <c r="A858" s="71"/>
      <c r="B858" s="71"/>
      <c r="C858" s="61"/>
      <c r="D858" s="61"/>
      <c r="E858" s="71"/>
      <c r="F858" s="71"/>
      <c r="G858" s="61"/>
      <c r="I858" s="61"/>
      <c r="J858" s="71"/>
      <c r="K858" s="71"/>
      <c r="L858" s="71"/>
      <c r="M858" s="71"/>
      <c r="N858" s="71"/>
      <c r="O858" s="71"/>
      <c r="P858" s="71"/>
      <c r="Q858" s="71"/>
      <c r="R858" s="71"/>
      <c r="S858" s="71"/>
      <c r="T858" s="71"/>
      <c r="U858" s="71"/>
      <c r="V858" s="71"/>
      <c r="W858" s="71"/>
      <c r="X858" s="71"/>
      <c r="Y858" s="71"/>
      <c r="Z858" s="71"/>
      <c r="AA858" s="71"/>
      <c r="AB858" s="71"/>
    </row>
    <row r="859" ht="15.75" customHeight="1">
      <c r="A859" s="71"/>
      <c r="B859" s="71"/>
      <c r="C859" s="61"/>
      <c r="D859" s="61"/>
      <c r="E859" s="71"/>
      <c r="F859" s="71"/>
      <c r="G859" s="61"/>
      <c r="I859" s="61"/>
      <c r="J859" s="71"/>
      <c r="K859" s="71"/>
      <c r="L859" s="71"/>
      <c r="M859" s="71"/>
      <c r="N859" s="71"/>
      <c r="O859" s="71"/>
      <c r="P859" s="71"/>
      <c r="Q859" s="71"/>
      <c r="R859" s="71"/>
      <c r="S859" s="71"/>
      <c r="T859" s="71"/>
      <c r="U859" s="71"/>
      <c r="V859" s="71"/>
      <c r="W859" s="71"/>
      <c r="X859" s="71"/>
      <c r="Y859" s="71"/>
      <c r="Z859" s="71"/>
      <c r="AA859" s="71"/>
      <c r="AB859" s="71"/>
    </row>
    <row r="860" ht="15.75" customHeight="1">
      <c r="A860" s="71"/>
      <c r="B860" s="71"/>
      <c r="C860" s="61"/>
      <c r="D860" s="61"/>
      <c r="E860" s="71"/>
      <c r="F860" s="71"/>
      <c r="G860" s="61"/>
      <c r="I860" s="61"/>
      <c r="J860" s="71"/>
      <c r="K860" s="71"/>
      <c r="L860" s="71"/>
      <c r="M860" s="71"/>
      <c r="N860" s="71"/>
      <c r="O860" s="71"/>
      <c r="P860" s="71"/>
      <c r="Q860" s="71"/>
      <c r="R860" s="71"/>
      <c r="S860" s="71"/>
      <c r="T860" s="71"/>
      <c r="U860" s="71"/>
      <c r="V860" s="71"/>
      <c r="W860" s="71"/>
      <c r="X860" s="71"/>
      <c r="Y860" s="71"/>
      <c r="Z860" s="71"/>
      <c r="AA860" s="71"/>
      <c r="AB860" s="71"/>
    </row>
    <row r="861" ht="15.75" customHeight="1">
      <c r="A861" s="71"/>
      <c r="B861" s="71"/>
      <c r="C861" s="61"/>
      <c r="D861" s="61"/>
      <c r="E861" s="71"/>
      <c r="F861" s="71"/>
      <c r="G861" s="61"/>
      <c r="I861" s="61"/>
      <c r="J861" s="71"/>
      <c r="K861" s="71"/>
      <c r="L861" s="71"/>
      <c r="M861" s="71"/>
      <c r="N861" s="71"/>
      <c r="O861" s="71"/>
      <c r="P861" s="71"/>
      <c r="Q861" s="71"/>
      <c r="R861" s="71"/>
      <c r="S861" s="71"/>
      <c r="T861" s="71"/>
      <c r="U861" s="71"/>
      <c r="V861" s="71"/>
      <c r="W861" s="71"/>
      <c r="X861" s="71"/>
      <c r="Y861" s="71"/>
      <c r="Z861" s="71"/>
      <c r="AA861" s="71"/>
      <c r="AB861" s="71"/>
    </row>
    <row r="862" ht="15.75" customHeight="1">
      <c r="A862" s="71"/>
      <c r="B862" s="71"/>
      <c r="C862" s="61"/>
      <c r="D862" s="61"/>
      <c r="E862" s="71"/>
      <c r="F862" s="71"/>
      <c r="G862" s="61"/>
      <c r="I862" s="61"/>
      <c r="J862" s="71"/>
      <c r="K862" s="71"/>
      <c r="L862" s="71"/>
      <c r="M862" s="71"/>
      <c r="N862" s="71"/>
      <c r="O862" s="71"/>
      <c r="P862" s="71"/>
      <c r="Q862" s="71"/>
      <c r="R862" s="71"/>
      <c r="S862" s="71"/>
      <c r="T862" s="71"/>
      <c r="U862" s="71"/>
      <c r="V862" s="71"/>
      <c r="W862" s="71"/>
      <c r="X862" s="71"/>
      <c r="Y862" s="71"/>
      <c r="Z862" s="71"/>
      <c r="AA862" s="71"/>
      <c r="AB862" s="71"/>
    </row>
    <row r="863" ht="15.75" customHeight="1">
      <c r="A863" s="71"/>
      <c r="B863" s="71"/>
      <c r="C863" s="61"/>
      <c r="D863" s="61"/>
      <c r="E863" s="71"/>
      <c r="F863" s="71"/>
      <c r="G863" s="61"/>
      <c r="I863" s="61"/>
      <c r="J863" s="71"/>
      <c r="K863" s="71"/>
      <c r="L863" s="71"/>
      <c r="M863" s="71"/>
      <c r="N863" s="71"/>
      <c r="O863" s="71"/>
      <c r="P863" s="71"/>
      <c r="Q863" s="71"/>
      <c r="R863" s="71"/>
      <c r="S863" s="71"/>
      <c r="T863" s="71"/>
      <c r="U863" s="71"/>
      <c r="V863" s="71"/>
      <c r="W863" s="71"/>
      <c r="X863" s="71"/>
      <c r="Y863" s="71"/>
      <c r="Z863" s="71"/>
      <c r="AA863" s="71"/>
      <c r="AB863" s="71"/>
    </row>
    <row r="864" ht="15.75" customHeight="1">
      <c r="A864" s="71"/>
      <c r="B864" s="71"/>
      <c r="C864" s="61"/>
      <c r="D864" s="61"/>
      <c r="E864" s="71"/>
      <c r="F864" s="71"/>
      <c r="G864" s="61"/>
      <c r="I864" s="61"/>
      <c r="J864" s="71"/>
      <c r="K864" s="71"/>
      <c r="L864" s="71"/>
      <c r="M864" s="71"/>
      <c r="N864" s="71"/>
      <c r="O864" s="71"/>
      <c r="P864" s="71"/>
      <c r="Q864" s="71"/>
      <c r="R864" s="71"/>
      <c r="S864" s="71"/>
      <c r="T864" s="71"/>
      <c r="U864" s="71"/>
      <c r="V864" s="71"/>
      <c r="W864" s="71"/>
      <c r="X864" s="71"/>
      <c r="Y864" s="71"/>
      <c r="Z864" s="71"/>
      <c r="AA864" s="71"/>
      <c r="AB864" s="71"/>
    </row>
    <row r="865" ht="15.75" customHeight="1">
      <c r="A865" s="71"/>
      <c r="B865" s="71"/>
      <c r="C865" s="61"/>
      <c r="D865" s="61"/>
      <c r="E865" s="71"/>
      <c r="F865" s="71"/>
      <c r="G865" s="61"/>
      <c r="I865" s="61"/>
      <c r="J865" s="71"/>
      <c r="K865" s="71"/>
      <c r="L865" s="71"/>
      <c r="M865" s="71"/>
      <c r="N865" s="71"/>
      <c r="O865" s="71"/>
      <c r="P865" s="71"/>
      <c r="Q865" s="71"/>
      <c r="R865" s="71"/>
      <c r="S865" s="71"/>
      <c r="T865" s="71"/>
      <c r="U865" s="71"/>
      <c r="V865" s="71"/>
      <c r="W865" s="71"/>
      <c r="X865" s="71"/>
      <c r="Y865" s="71"/>
      <c r="Z865" s="71"/>
      <c r="AA865" s="71"/>
      <c r="AB865" s="71"/>
    </row>
    <row r="866" ht="15.75" customHeight="1">
      <c r="A866" s="71"/>
      <c r="B866" s="71"/>
      <c r="C866" s="61"/>
      <c r="D866" s="61"/>
      <c r="E866" s="71"/>
      <c r="F866" s="71"/>
      <c r="G866" s="61"/>
      <c r="I866" s="61"/>
      <c r="J866" s="71"/>
      <c r="K866" s="71"/>
      <c r="L866" s="71"/>
      <c r="M866" s="71"/>
      <c r="N866" s="71"/>
      <c r="O866" s="71"/>
      <c r="P866" s="71"/>
      <c r="Q866" s="71"/>
      <c r="R866" s="71"/>
      <c r="S866" s="71"/>
      <c r="T866" s="71"/>
      <c r="U866" s="71"/>
      <c r="V866" s="71"/>
      <c r="W866" s="71"/>
      <c r="X866" s="71"/>
      <c r="Y866" s="71"/>
      <c r="Z866" s="71"/>
      <c r="AA866" s="71"/>
      <c r="AB866" s="71"/>
    </row>
    <row r="867" ht="15.75" customHeight="1">
      <c r="A867" s="71"/>
      <c r="B867" s="71"/>
      <c r="C867" s="61"/>
      <c r="D867" s="61"/>
      <c r="E867" s="71"/>
      <c r="F867" s="71"/>
      <c r="G867" s="61"/>
      <c r="I867" s="61"/>
      <c r="J867" s="71"/>
      <c r="K867" s="71"/>
      <c r="L867" s="71"/>
      <c r="M867" s="71"/>
      <c r="N867" s="71"/>
      <c r="O867" s="71"/>
      <c r="P867" s="71"/>
      <c r="Q867" s="71"/>
      <c r="R867" s="71"/>
      <c r="S867" s="71"/>
      <c r="T867" s="71"/>
      <c r="U867" s="71"/>
      <c r="V867" s="71"/>
      <c r="W867" s="71"/>
      <c r="X867" s="71"/>
      <c r="Y867" s="71"/>
      <c r="Z867" s="71"/>
      <c r="AA867" s="71"/>
      <c r="AB867" s="71"/>
    </row>
    <row r="868" ht="15.75" customHeight="1">
      <c r="A868" s="71"/>
      <c r="B868" s="71"/>
      <c r="C868" s="61"/>
      <c r="D868" s="61"/>
      <c r="E868" s="71"/>
      <c r="F868" s="71"/>
      <c r="G868" s="61"/>
      <c r="I868" s="61"/>
      <c r="J868" s="71"/>
      <c r="K868" s="71"/>
      <c r="L868" s="71"/>
      <c r="M868" s="71"/>
      <c r="N868" s="71"/>
      <c r="O868" s="71"/>
      <c r="P868" s="71"/>
      <c r="Q868" s="71"/>
      <c r="R868" s="71"/>
      <c r="S868" s="71"/>
      <c r="T868" s="71"/>
      <c r="U868" s="71"/>
      <c r="V868" s="71"/>
      <c r="W868" s="71"/>
      <c r="X868" s="71"/>
      <c r="Y868" s="71"/>
      <c r="Z868" s="71"/>
      <c r="AA868" s="71"/>
      <c r="AB868" s="71"/>
    </row>
    <row r="869" ht="15.75" customHeight="1">
      <c r="A869" s="71"/>
      <c r="B869" s="71"/>
      <c r="C869" s="61"/>
      <c r="D869" s="61"/>
      <c r="E869" s="71"/>
      <c r="F869" s="71"/>
      <c r="G869" s="61"/>
      <c r="I869" s="61"/>
      <c r="J869" s="71"/>
      <c r="K869" s="71"/>
      <c r="L869" s="71"/>
      <c r="M869" s="71"/>
      <c r="N869" s="71"/>
      <c r="O869" s="71"/>
      <c r="P869" s="71"/>
      <c r="Q869" s="71"/>
      <c r="R869" s="71"/>
      <c r="S869" s="71"/>
      <c r="T869" s="71"/>
      <c r="U869" s="71"/>
      <c r="V869" s="71"/>
      <c r="W869" s="71"/>
      <c r="X869" s="71"/>
      <c r="Y869" s="71"/>
      <c r="Z869" s="71"/>
      <c r="AA869" s="71"/>
      <c r="AB869" s="71"/>
    </row>
    <row r="870" ht="15.75" customHeight="1">
      <c r="A870" s="71"/>
      <c r="B870" s="71"/>
      <c r="C870" s="61"/>
      <c r="D870" s="61"/>
      <c r="E870" s="71"/>
      <c r="F870" s="71"/>
      <c r="G870" s="61"/>
      <c r="I870" s="61"/>
      <c r="J870" s="71"/>
      <c r="K870" s="71"/>
      <c r="L870" s="71"/>
      <c r="M870" s="71"/>
      <c r="N870" s="71"/>
      <c r="O870" s="71"/>
      <c r="P870" s="71"/>
      <c r="Q870" s="71"/>
      <c r="R870" s="71"/>
      <c r="S870" s="71"/>
      <c r="T870" s="71"/>
      <c r="U870" s="71"/>
      <c r="V870" s="71"/>
      <c r="W870" s="71"/>
      <c r="X870" s="71"/>
      <c r="Y870" s="71"/>
      <c r="Z870" s="71"/>
      <c r="AA870" s="71"/>
      <c r="AB870" s="71"/>
    </row>
    <row r="871" ht="15.75" customHeight="1">
      <c r="A871" s="71"/>
      <c r="B871" s="71"/>
      <c r="C871" s="61"/>
      <c r="D871" s="61"/>
      <c r="E871" s="71"/>
      <c r="F871" s="71"/>
      <c r="G871" s="61"/>
      <c r="I871" s="61"/>
      <c r="J871" s="71"/>
      <c r="K871" s="71"/>
      <c r="L871" s="71"/>
      <c r="M871" s="71"/>
      <c r="N871" s="71"/>
      <c r="O871" s="71"/>
      <c r="P871" s="71"/>
      <c r="Q871" s="71"/>
      <c r="R871" s="71"/>
      <c r="S871" s="71"/>
      <c r="T871" s="71"/>
      <c r="U871" s="71"/>
      <c r="V871" s="71"/>
      <c r="W871" s="71"/>
      <c r="X871" s="71"/>
      <c r="Y871" s="71"/>
      <c r="Z871" s="71"/>
      <c r="AA871" s="71"/>
      <c r="AB871" s="71"/>
    </row>
    <row r="872" ht="15.75" customHeight="1">
      <c r="A872" s="71"/>
      <c r="B872" s="71"/>
      <c r="C872" s="61"/>
      <c r="D872" s="61"/>
      <c r="E872" s="71"/>
      <c r="F872" s="71"/>
      <c r="G872" s="61"/>
      <c r="I872" s="61"/>
      <c r="J872" s="71"/>
      <c r="K872" s="71"/>
      <c r="L872" s="71"/>
      <c r="M872" s="71"/>
      <c r="N872" s="71"/>
      <c r="O872" s="71"/>
      <c r="P872" s="71"/>
      <c r="Q872" s="71"/>
      <c r="R872" s="71"/>
      <c r="S872" s="71"/>
      <c r="T872" s="71"/>
      <c r="U872" s="71"/>
      <c r="V872" s="71"/>
      <c r="W872" s="71"/>
      <c r="X872" s="71"/>
      <c r="Y872" s="71"/>
      <c r="Z872" s="71"/>
      <c r="AA872" s="71"/>
      <c r="AB872" s="71"/>
    </row>
    <row r="873" ht="15.75" customHeight="1">
      <c r="A873" s="71"/>
      <c r="B873" s="71"/>
      <c r="C873" s="61"/>
      <c r="D873" s="61"/>
      <c r="E873" s="71"/>
      <c r="F873" s="71"/>
      <c r="G873" s="61"/>
      <c r="I873" s="61"/>
      <c r="J873" s="71"/>
      <c r="K873" s="71"/>
      <c r="L873" s="71"/>
      <c r="M873" s="71"/>
      <c r="N873" s="71"/>
      <c r="O873" s="71"/>
      <c r="P873" s="71"/>
      <c r="Q873" s="71"/>
      <c r="R873" s="71"/>
      <c r="S873" s="71"/>
      <c r="T873" s="71"/>
      <c r="U873" s="71"/>
      <c r="V873" s="71"/>
      <c r="W873" s="71"/>
      <c r="X873" s="71"/>
      <c r="Y873" s="71"/>
      <c r="Z873" s="71"/>
      <c r="AA873" s="71"/>
      <c r="AB873" s="71"/>
    </row>
    <row r="874" ht="15.75" customHeight="1">
      <c r="A874" s="71"/>
      <c r="B874" s="71"/>
      <c r="C874" s="61"/>
      <c r="D874" s="61"/>
      <c r="E874" s="71"/>
      <c r="F874" s="71"/>
      <c r="G874" s="61"/>
      <c r="I874" s="61"/>
      <c r="J874" s="71"/>
      <c r="K874" s="71"/>
      <c r="L874" s="71"/>
      <c r="M874" s="71"/>
      <c r="N874" s="71"/>
      <c r="O874" s="71"/>
      <c r="P874" s="71"/>
      <c r="Q874" s="71"/>
      <c r="R874" s="71"/>
      <c r="S874" s="71"/>
      <c r="T874" s="71"/>
      <c r="U874" s="71"/>
      <c r="V874" s="71"/>
      <c r="W874" s="71"/>
      <c r="X874" s="71"/>
      <c r="Y874" s="71"/>
      <c r="Z874" s="71"/>
      <c r="AA874" s="71"/>
      <c r="AB874" s="71"/>
    </row>
    <row r="875" ht="15.75" customHeight="1">
      <c r="A875" s="71"/>
      <c r="B875" s="71"/>
      <c r="C875" s="61"/>
      <c r="D875" s="61"/>
      <c r="E875" s="71"/>
      <c r="F875" s="71"/>
      <c r="G875" s="61"/>
      <c r="I875" s="61"/>
      <c r="J875" s="71"/>
      <c r="K875" s="71"/>
      <c r="L875" s="71"/>
      <c r="M875" s="71"/>
      <c r="N875" s="71"/>
      <c r="O875" s="71"/>
      <c r="P875" s="71"/>
      <c r="Q875" s="71"/>
      <c r="R875" s="71"/>
      <c r="S875" s="71"/>
      <c r="T875" s="71"/>
      <c r="U875" s="71"/>
      <c r="V875" s="71"/>
      <c r="W875" s="71"/>
      <c r="X875" s="71"/>
      <c r="Y875" s="71"/>
      <c r="Z875" s="71"/>
      <c r="AA875" s="71"/>
      <c r="AB875" s="71"/>
    </row>
    <row r="876" ht="15.75" customHeight="1">
      <c r="A876" s="71"/>
      <c r="B876" s="71"/>
      <c r="C876" s="61"/>
      <c r="D876" s="61"/>
      <c r="E876" s="71"/>
      <c r="F876" s="71"/>
      <c r="G876" s="61"/>
      <c r="I876" s="61"/>
      <c r="J876" s="71"/>
      <c r="K876" s="71"/>
      <c r="L876" s="71"/>
      <c r="M876" s="71"/>
      <c r="N876" s="71"/>
      <c r="O876" s="71"/>
      <c r="P876" s="71"/>
      <c r="Q876" s="71"/>
      <c r="R876" s="71"/>
      <c r="S876" s="71"/>
      <c r="T876" s="71"/>
      <c r="U876" s="71"/>
      <c r="V876" s="71"/>
      <c r="W876" s="71"/>
      <c r="X876" s="71"/>
      <c r="Y876" s="71"/>
      <c r="Z876" s="71"/>
      <c r="AA876" s="71"/>
      <c r="AB876" s="71"/>
    </row>
    <row r="877" ht="15.75" customHeight="1">
      <c r="A877" s="71"/>
      <c r="B877" s="71"/>
      <c r="C877" s="61"/>
      <c r="D877" s="61"/>
      <c r="E877" s="71"/>
      <c r="F877" s="71"/>
      <c r="G877" s="61"/>
      <c r="I877" s="61"/>
      <c r="J877" s="71"/>
      <c r="K877" s="71"/>
      <c r="L877" s="71"/>
      <c r="M877" s="71"/>
      <c r="N877" s="71"/>
      <c r="O877" s="71"/>
      <c r="P877" s="71"/>
      <c r="Q877" s="71"/>
      <c r="R877" s="71"/>
      <c r="S877" s="71"/>
      <c r="T877" s="71"/>
      <c r="U877" s="71"/>
      <c r="V877" s="71"/>
      <c r="W877" s="71"/>
      <c r="X877" s="71"/>
      <c r="Y877" s="71"/>
      <c r="Z877" s="71"/>
      <c r="AA877" s="71"/>
      <c r="AB877" s="71"/>
    </row>
    <row r="878" ht="15.75" customHeight="1">
      <c r="A878" s="71"/>
      <c r="B878" s="71"/>
      <c r="C878" s="61"/>
      <c r="D878" s="61"/>
      <c r="E878" s="71"/>
      <c r="F878" s="71"/>
      <c r="G878" s="61"/>
      <c r="I878" s="61"/>
      <c r="J878" s="71"/>
      <c r="K878" s="71"/>
      <c r="L878" s="71"/>
      <c r="M878" s="71"/>
      <c r="N878" s="71"/>
      <c r="O878" s="71"/>
      <c r="P878" s="71"/>
      <c r="Q878" s="71"/>
      <c r="R878" s="71"/>
      <c r="S878" s="71"/>
      <c r="T878" s="71"/>
      <c r="U878" s="71"/>
      <c r="V878" s="71"/>
      <c r="W878" s="71"/>
      <c r="X878" s="71"/>
      <c r="Y878" s="71"/>
      <c r="Z878" s="71"/>
      <c r="AA878" s="71"/>
      <c r="AB878" s="71"/>
    </row>
    <row r="879" ht="15.75" customHeight="1">
      <c r="A879" s="71"/>
      <c r="B879" s="71"/>
      <c r="C879" s="61"/>
      <c r="D879" s="61"/>
      <c r="E879" s="71"/>
      <c r="F879" s="71"/>
      <c r="G879" s="61"/>
      <c r="I879" s="61"/>
      <c r="J879" s="71"/>
      <c r="K879" s="71"/>
      <c r="L879" s="71"/>
      <c r="M879" s="71"/>
      <c r="N879" s="71"/>
      <c r="O879" s="71"/>
      <c r="P879" s="71"/>
      <c r="Q879" s="71"/>
      <c r="R879" s="71"/>
      <c r="S879" s="71"/>
      <c r="T879" s="71"/>
      <c r="U879" s="71"/>
      <c r="V879" s="71"/>
      <c r="W879" s="71"/>
      <c r="X879" s="71"/>
      <c r="Y879" s="71"/>
      <c r="Z879" s="71"/>
      <c r="AA879" s="71"/>
      <c r="AB879" s="71"/>
    </row>
    <row r="880" ht="15.75" customHeight="1">
      <c r="A880" s="71"/>
      <c r="B880" s="71"/>
      <c r="C880" s="61"/>
      <c r="D880" s="61"/>
      <c r="E880" s="71"/>
      <c r="F880" s="71"/>
      <c r="G880" s="61"/>
      <c r="I880" s="61"/>
      <c r="J880" s="71"/>
      <c r="K880" s="71"/>
      <c r="L880" s="71"/>
      <c r="M880" s="71"/>
      <c r="N880" s="71"/>
      <c r="O880" s="71"/>
      <c r="P880" s="71"/>
      <c r="Q880" s="71"/>
      <c r="R880" s="71"/>
      <c r="S880" s="71"/>
      <c r="T880" s="71"/>
      <c r="U880" s="71"/>
      <c r="V880" s="71"/>
      <c r="W880" s="71"/>
      <c r="X880" s="71"/>
      <c r="Y880" s="71"/>
      <c r="Z880" s="71"/>
      <c r="AA880" s="71"/>
      <c r="AB880" s="71"/>
    </row>
    <row r="881" ht="15.75" customHeight="1">
      <c r="A881" s="71"/>
      <c r="B881" s="71"/>
      <c r="C881" s="61"/>
      <c r="D881" s="61"/>
      <c r="E881" s="71"/>
      <c r="F881" s="71"/>
      <c r="G881" s="61"/>
      <c r="I881" s="61"/>
      <c r="J881" s="71"/>
      <c r="K881" s="71"/>
      <c r="L881" s="71"/>
      <c r="M881" s="71"/>
      <c r="N881" s="71"/>
      <c r="O881" s="71"/>
      <c r="P881" s="71"/>
      <c r="Q881" s="71"/>
      <c r="R881" s="71"/>
      <c r="S881" s="71"/>
      <c r="T881" s="71"/>
      <c r="U881" s="71"/>
      <c r="V881" s="71"/>
      <c r="W881" s="71"/>
      <c r="X881" s="71"/>
      <c r="Y881" s="71"/>
      <c r="Z881" s="71"/>
      <c r="AA881" s="71"/>
      <c r="AB881" s="71"/>
    </row>
    <row r="882" ht="15.75" customHeight="1">
      <c r="A882" s="71"/>
      <c r="B882" s="71"/>
      <c r="C882" s="61"/>
      <c r="D882" s="61"/>
      <c r="E882" s="71"/>
      <c r="F882" s="71"/>
      <c r="G882" s="61"/>
      <c r="I882" s="61"/>
      <c r="J882" s="71"/>
      <c r="K882" s="71"/>
      <c r="L882" s="71"/>
      <c r="M882" s="71"/>
      <c r="N882" s="71"/>
      <c r="O882" s="71"/>
      <c r="P882" s="71"/>
      <c r="Q882" s="71"/>
      <c r="R882" s="71"/>
      <c r="S882" s="71"/>
      <c r="T882" s="71"/>
      <c r="U882" s="71"/>
      <c r="V882" s="71"/>
      <c r="W882" s="71"/>
      <c r="X882" s="71"/>
      <c r="Y882" s="71"/>
      <c r="Z882" s="71"/>
      <c r="AA882" s="71"/>
      <c r="AB882" s="71"/>
    </row>
    <row r="883" ht="15.75" customHeight="1">
      <c r="A883" s="71"/>
      <c r="B883" s="71"/>
      <c r="C883" s="61"/>
      <c r="D883" s="61"/>
      <c r="E883" s="71"/>
      <c r="F883" s="71"/>
      <c r="G883" s="61"/>
      <c r="I883" s="61"/>
      <c r="J883" s="71"/>
      <c r="K883" s="71"/>
      <c r="L883" s="71"/>
      <c r="M883" s="71"/>
      <c r="N883" s="71"/>
      <c r="O883" s="71"/>
      <c r="P883" s="71"/>
      <c r="Q883" s="71"/>
      <c r="R883" s="71"/>
      <c r="S883" s="71"/>
      <c r="T883" s="71"/>
      <c r="U883" s="71"/>
      <c r="V883" s="71"/>
      <c r="W883" s="71"/>
      <c r="X883" s="71"/>
      <c r="Y883" s="71"/>
      <c r="Z883" s="71"/>
      <c r="AA883" s="71"/>
      <c r="AB883" s="71"/>
    </row>
    <row r="884" ht="15.75" customHeight="1">
      <c r="A884" s="71"/>
      <c r="B884" s="71"/>
      <c r="C884" s="61"/>
      <c r="D884" s="61"/>
      <c r="E884" s="71"/>
      <c r="F884" s="71"/>
      <c r="G884" s="61"/>
      <c r="I884" s="61"/>
      <c r="J884" s="71"/>
      <c r="K884" s="71"/>
      <c r="L884" s="71"/>
      <c r="M884" s="71"/>
      <c r="N884" s="71"/>
      <c r="O884" s="71"/>
      <c r="P884" s="71"/>
      <c r="Q884" s="71"/>
      <c r="R884" s="71"/>
      <c r="S884" s="71"/>
      <c r="T884" s="71"/>
      <c r="U884" s="71"/>
      <c r="V884" s="71"/>
      <c r="W884" s="71"/>
      <c r="X884" s="71"/>
      <c r="Y884" s="71"/>
      <c r="Z884" s="71"/>
      <c r="AA884" s="71"/>
      <c r="AB884" s="71"/>
    </row>
    <row r="885" ht="15.75" customHeight="1">
      <c r="A885" s="71"/>
      <c r="B885" s="71"/>
      <c r="C885" s="61"/>
      <c r="D885" s="61"/>
      <c r="E885" s="71"/>
      <c r="F885" s="71"/>
      <c r="G885" s="61"/>
      <c r="I885" s="61"/>
      <c r="J885" s="71"/>
      <c r="K885" s="71"/>
      <c r="L885" s="71"/>
      <c r="M885" s="71"/>
      <c r="N885" s="71"/>
      <c r="O885" s="71"/>
      <c r="P885" s="71"/>
      <c r="Q885" s="71"/>
      <c r="R885" s="71"/>
      <c r="S885" s="71"/>
      <c r="T885" s="71"/>
      <c r="U885" s="71"/>
      <c r="V885" s="71"/>
      <c r="W885" s="71"/>
      <c r="X885" s="71"/>
      <c r="Y885" s="71"/>
      <c r="Z885" s="71"/>
      <c r="AA885" s="71"/>
      <c r="AB885" s="71"/>
    </row>
    <row r="886" ht="15.75" customHeight="1">
      <c r="A886" s="71"/>
      <c r="B886" s="71"/>
      <c r="C886" s="61"/>
      <c r="D886" s="61"/>
      <c r="E886" s="71"/>
      <c r="F886" s="71"/>
      <c r="G886" s="61"/>
      <c r="I886" s="61"/>
      <c r="J886" s="71"/>
      <c r="K886" s="71"/>
      <c r="L886" s="71"/>
      <c r="M886" s="71"/>
      <c r="N886" s="71"/>
      <c r="O886" s="71"/>
      <c r="P886" s="71"/>
      <c r="Q886" s="71"/>
      <c r="R886" s="71"/>
      <c r="S886" s="71"/>
      <c r="T886" s="71"/>
      <c r="U886" s="71"/>
      <c r="V886" s="71"/>
      <c r="W886" s="71"/>
      <c r="X886" s="71"/>
      <c r="Y886" s="71"/>
      <c r="Z886" s="71"/>
      <c r="AA886" s="71"/>
      <c r="AB886" s="71"/>
    </row>
    <row r="887" ht="15.75" customHeight="1">
      <c r="A887" s="71"/>
      <c r="B887" s="71"/>
      <c r="C887" s="61"/>
      <c r="D887" s="61"/>
      <c r="E887" s="71"/>
      <c r="F887" s="71"/>
      <c r="G887" s="61"/>
      <c r="I887" s="61"/>
      <c r="J887" s="71"/>
      <c r="K887" s="71"/>
      <c r="L887" s="71"/>
      <c r="M887" s="71"/>
      <c r="N887" s="71"/>
      <c r="O887" s="71"/>
      <c r="P887" s="71"/>
      <c r="Q887" s="71"/>
      <c r="R887" s="71"/>
      <c r="S887" s="71"/>
      <c r="T887" s="71"/>
      <c r="U887" s="71"/>
      <c r="V887" s="71"/>
      <c r="W887" s="71"/>
      <c r="X887" s="71"/>
      <c r="Y887" s="71"/>
      <c r="Z887" s="71"/>
      <c r="AA887" s="71"/>
      <c r="AB887" s="71"/>
    </row>
    <row r="888" ht="15.75" customHeight="1">
      <c r="A888" s="71"/>
      <c r="B888" s="71"/>
      <c r="C888" s="61"/>
      <c r="D888" s="61"/>
      <c r="E888" s="71"/>
      <c r="F888" s="71"/>
      <c r="G888" s="61"/>
      <c r="I888" s="61"/>
      <c r="J888" s="71"/>
      <c r="K888" s="71"/>
      <c r="L888" s="71"/>
      <c r="M888" s="71"/>
      <c r="N888" s="71"/>
      <c r="O888" s="71"/>
      <c r="P888" s="71"/>
      <c r="Q888" s="71"/>
      <c r="R888" s="71"/>
      <c r="S888" s="71"/>
      <c r="T888" s="71"/>
      <c r="U888" s="71"/>
      <c r="V888" s="71"/>
      <c r="W888" s="71"/>
      <c r="X888" s="71"/>
      <c r="Y888" s="71"/>
      <c r="Z888" s="71"/>
      <c r="AA888" s="71"/>
      <c r="AB888" s="71"/>
    </row>
    <row r="889" ht="15.75" customHeight="1">
      <c r="A889" s="71"/>
      <c r="B889" s="71"/>
      <c r="C889" s="61"/>
      <c r="D889" s="61"/>
      <c r="E889" s="71"/>
      <c r="F889" s="71"/>
      <c r="G889" s="61"/>
      <c r="I889" s="61"/>
      <c r="J889" s="71"/>
      <c r="K889" s="71"/>
      <c r="L889" s="71"/>
      <c r="M889" s="71"/>
      <c r="N889" s="71"/>
      <c r="O889" s="71"/>
      <c r="P889" s="71"/>
      <c r="Q889" s="71"/>
      <c r="R889" s="71"/>
      <c r="S889" s="71"/>
      <c r="T889" s="71"/>
      <c r="U889" s="71"/>
      <c r="V889" s="71"/>
      <c r="W889" s="71"/>
      <c r="X889" s="71"/>
      <c r="Y889" s="71"/>
      <c r="Z889" s="71"/>
      <c r="AA889" s="71"/>
      <c r="AB889" s="71"/>
    </row>
    <row r="890" ht="15.75" customHeight="1">
      <c r="A890" s="71"/>
      <c r="B890" s="71"/>
      <c r="C890" s="61"/>
      <c r="D890" s="61"/>
      <c r="E890" s="71"/>
      <c r="F890" s="71"/>
      <c r="G890" s="61"/>
      <c r="I890" s="61"/>
      <c r="J890" s="71"/>
      <c r="K890" s="71"/>
      <c r="L890" s="71"/>
      <c r="M890" s="71"/>
      <c r="N890" s="71"/>
      <c r="O890" s="71"/>
      <c r="P890" s="71"/>
      <c r="Q890" s="71"/>
      <c r="R890" s="71"/>
      <c r="S890" s="71"/>
      <c r="T890" s="71"/>
      <c r="U890" s="71"/>
      <c r="V890" s="71"/>
      <c r="W890" s="71"/>
      <c r="X890" s="71"/>
      <c r="Y890" s="71"/>
      <c r="Z890" s="71"/>
      <c r="AA890" s="71"/>
      <c r="AB890" s="71"/>
    </row>
    <row r="891" ht="15.75" customHeight="1">
      <c r="A891" s="71"/>
      <c r="B891" s="71"/>
      <c r="C891" s="61"/>
      <c r="D891" s="61"/>
      <c r="E891" s="71"/>
      <c r="F891" s="71"/>
      <c r="G891" s="61"/>
      <c r="I891" s="61"/>
      <c r="J891" s="71"/>
      <c r="K891" s="71"/>
      <c r="L891" s="71"/>
      <c r="M891" s="71"/>
      <c r="N891" s="71"/>
      <c r="O891" s="71"/>
      <c r="P891" s="71"/>
      <c r="Q891" s="71"/>
      <c r="R891" s="71"/>
      <c r="S891" s="71"/>
      <c r="T891" s="71"/>
      <c r="U891" s="71"/>
      <c r="V891" s="71"/>
      <c r="W891" s="71"/>
      <c r="X891" s="71"/>
      <c r="Y891" s="71"/>
      <c r="Z891" s="71"/>
      <c r="AA891" s="71"/>
      <c r="AB891" s="71"/>
    </row>
    <row r="892" ht="15.75" customHeight="1">
      <c r="A892" s="71"/>
      <c r="B892" s="71"/>
      <c r="C892" s="61"/>
      <c r="D892" s="61"/>
      <c r="E892" s="71"/>
      <c r="F892" s="71"/>
      <c r="G892" s="61"/>
      <c r="I892" s="61"/>
      <c r="J892" s="71"/>
      <c r="K892" s="71"/>
      <c r="L892" s="71"/>
      <c r="M892" s="71"/>
      <c r="N892" s="71"/>
      <c r="O892" s="71"/>
      <c r="P892" s="71"/>
      <c r="Q892" s="71"/>
      <c r="R892" s="71"/>
      <c r="S892" s="71"/>
      <c r="T892" s="71"/>
      <c r="U892" s="71"/>
      <c r="V892" s="71"/>
      <c r="W892" s="71"/>
      <c r="X892" s="71"/>
      <c r="Y892" s="71"/>
      <c r="Z892" s="71"/>
      <c r="AA892" s="71"/>
      <c r="AB892" s="71"/>
    </row>
    <row r="893" ht="15.75" customHeight="1">
      <c r="A893" s="71"/>
      <c r="B893" s="71"/>
      <c r="C893" s="61"/>
      <c r="D893" s="61"/>
      <c r="E893" s="71"/>
      <c r="F893" s="71"/>
      <c r="G893" s="61"/>
      <c r="I893" s="61"/>
      <c r="J893" s="71"/>
      <c r="K893" s="71"/>
      <c r="L893" s="71"/>
      <c r="M893" s="71"/>
      <c r="N893" s="71"/>
      <c r="O893" s="71"/>
      <c r="P893" s="71"/>
      <c r="Q893" s="71"/>
      <c r="R893" s="71"/>
      <c r="S893" s="71"/>
      <c r="T893" s="71"/>
      <c r="U893" s="71"/>
      <c r="V893" s="71"/>
      <c r="W893" s="71"/>
      <c r="X893" s="71"/>
      <c r="Y893" s="71"/>
      <c r="Z893" s="71"/>
      <c r="AA893" s="71"/>
      <c r="AB893" s="71"/>
    </row>
    <row r="894" ht="15.75" customHeight="1">
      <c r="A894" s="71"/>
      <c r="B894" s="71"/>
      <c r="C894" s="61"/>
      <c r="D894" s="61"/>
      <c r="E894" s="71"/>
      <c r="F894" s="71"/>
      <c r="G894" s="61"/>
      <c r="I894" s="61"/>
      <c r="J894" s="71"/>
      <c r="K894" s="71"/>
      <c r="L894" s="71"/>
      <c r="M894" s="71"/>
      <c r="N894" s="71"/>
      <c r="O894" s="71"/>
      <c r="P894" s="71"/>
      <c r="Q894" s="71"/>
      <c r="R894" s="71"/>
      <c r="S894" s="71"/>
      <c r="T894" s="71"/>
      <c r="U894" s="71"/>
      <c r="V894" s="71"/>
      <c r="W894" s="71"/>
      <c r="X894" s="71"/>
      <c r="Y894" s="71"/>
      <c r="Z894" s="71"/>
      <c r="AA894" s="71"/>
      <c r="AB894" s="71"/>
    </row>
    <row r="895" ht="15.75" customHeight="1">
      <c r="A895" s="71"/>
      <c r="B895" s="71"/>
      <c r="C895" s="61"/>
      <c r="D895" s="61"/>
      <c r="E895" s="71"/>
      <c r="F895" s="71"/>
      <c r="G895" s="61"/>
      <c r="I895" s="61"/>
      <c r="J895" s="71"/>
      <c r="K895" s="71"/>
      <c r="L895" s="71"/>
      <c r="M895" s="71"/>
      <c r="N895" s="71"/>
      <c r="O895" s="71"/>
      <c r="P895" s="71"/>
      <c r="Q895" s="71"/>
      <c r="R895" s="71"/>
      <c r="S895" s="71"/>
      <c r="T895" s="71"/>
      <c r="U895" s="71"/>
      <c r="V895" s="71"/>
      <c r="W895" s="71"/>
      <c r="X895" s="71"/>
      <c r="Y895" s="71"/>
      <c r="Z895" s="71"/>
      <c r="AA895" s="71"/>
      <c r="AB895" s="71"/>
    </row>
    <row r="896" ht="15.75" customHeight="1">
      <c r="A896" s="71"/>
      <c r="B896" s="71"/>
      <c r="C896" s="61"/>
      <c r="D896" s="61"/>
      <c r="E896" s="71"/>
      <c r="F896" s="71"/>
      <c r="G896" s="61"/>
      <c r="I896" s="61"/>
      <c r="J896" s="71"/>
      <c r="K896" s="71"/>
      <c r="L896" s="71"/>
      <c r="M896" s="71"/>
      <c r="N896" s="71"/>
      <c r="O896" s="71"/>
      <c r="P896" s="71"/>
      <c r="Q896" s="71"/>
      <c r="R896" s="71"/>
      <c r="S896" s="71"/>
      <c r="T896" s="71"/>
      <c r="U896" s="71"/>
      <c r="V896" s="71"/>
      <c r="W896" s="71"/>
      <c r="X896" s="71"/>
      <c r="Y896" s="71"/>
      <c r="Z896" s="71"/>
      <c r="AA896" s="71"/>
      <c r="AB896" s="71"/>
    </row>
    <row r="897" ht="15.75" customHeight="1">
      <c r="A897" s="71"/>
      <c r="B897" s="71"/>
      <c r="C897" s="61"/>
      <c r="D897" s="61"/>
      <c r="E897" s="71"/>
      <c r="F897" s="71"/>
      <c r="G897" s="61"/>
      <c r="I897" s="61"/>
      <c r="J897" s="71"/>
      <c r="K897" s="71"/>
      <c r="L897" s="71"/>
      <c r="M897" s="71"/>
      <c r="N897" s="71"/>
      <c r="O897" s="71"/>
      <c r="P897" s="71"/>
      <c r="Q897" s="71"/>
      <c r="R897" s="71"/>
      <c r="S897" s="71"/>
      <c r="T897" s="71"/>
      <c r="U897" s="71"/>
      <c r="V897" s="71"/>
      <c r="W897" s="71"/>
      <c r="X897" s="71"/>
      <c r="Y897" s="71"/>
      <c r="Z897" s="71"/>
      <c r="AA897" s="71"/>
      <c r="AB897" s="71"/>
    </row>
    <row r="898" ht="15.75" customHeight="1">
      <c r="A898" s="71"/>
      <c r="B898" s="71"/>
      <c r="C898" s="61"/>
      <c r="D898" s="61"/>
      <c r="E898" s="71"/>
      <c r="F898" s="71"/>
      <c r="G898" s="61"/>
      <c r="I898" s="61"/>
      <c r="J898" s="71"/>
      <c r="K898" s="71"/>
      <c r="L898" s="71"/>
      <c r="M898" s="71"/>
      <c r="N898" s="71"/>
      <c r="O898" s="71"/>
      <c r="P898" s="71"/>
      <c r="Q898" s="71"/>
      <c r="R898" s="71"/>
      <c r="S898" s="71"/>
      <c r="T898" s="71"/>
      <c r="U898" s="71"/>
      <c r="V898" s="71"/>
      <c r="W898" s="71"/>
      <c r="X898" s="71"/>
      <c r="Y898" s="71"/>
      <c r="Z898" s="71"/>
      <c r="AA898" s="71"/>
      <c r="AB898" s="71"/>
    </row>
    <row r="899" ht="15.75" customHeight="1">
      <c r="A899" s="71"/>
      <c r="B899" s="71"/>
      <c r="C899" s="61"/>
      <c r="D899" s="61"/>
      <c r="E899" s="71"/>
      <c r="F899" s="71"/>
      <c r="G899" s="61"/>
      <c r="I899" s="61"/>
      <c r="J899" s="71"/>
      <c r="K899" s="71"/>
      <c r="L899" s="71"/>
      <c r="M899" s="71"/>
      <c r="N899" s="71"/>
      <c r="O899" s="71"/>
      <c r="P899" s="71"/>
      <c r="Q899" s="71"/>
      <c r="R899" s="71"/>
      <c r="S899" s="71"/>
      <c r="T899" s="71"/>
      <c r="U899" s="71"/>
      <c r="V899" s="71"/>
      <c r="W899" s="71"/>
      <c r="X899" s="71"/>
      <c r="Y899" s="71"/>
      <c r="Z899" s="71"/>
      <c r="AA899" s="71"/>
      <c r="AB899" s="71"/>
    </row>
    <row r="900" ht="15.75" customHeight="1">
      <c r="A900" s="71"/>
      <c r="B900" s="71"/>
      <c r="C900" s="61"/>
      <c r="D900" s="61"/>
      <c r="E900" s="71"/>
      <c r="F900" s="71"/>
      <c r="G900" s="61"/>
      <c r="I900" s="61"/>
      <c r="J900" s="71"/>
      <c r="K900" s="71"/>
      <c r="L900" s="71"/>
      <c r="M900" s="71"/>
      <c r="N900" s="71"/>
      <c r="O900" s="71"/>
      <c r="P900" s="71"/>
      <c r="Q900" s="71"/>
      <c r="R900" s="71"/>
      <c r="S900" s="71"/>
      <c r="T900" s="71"/>
      <c r="U900" s="71"/>
      <c r="V900" s="71"/>
      <c r="W900" s="71"/>
      <c r="X900" s="71"/>
      <c r="Y900" s="71"/>
      <c r="Z900" s="71"/>
      <c r="AA900" s="71"/>
      <c r="AB900" s="71"/>
    </row>
    <row r="901" ht="15.75" customHeight="1">
      <c r="A901" s="71"/>
      <c r="B901" s="71"/>
      <c r="C901" s="61"/>
      <c r="D901" s="61"/>
      <c r="E901" s="71"/>
      <c r="F901" s="71"/>
      <c r="G901" s="61"/>
      <c r="I901" s="61"/>
      <c r="J901" s="71"/>
      <c r="K901" s="71"/>
      <c r="L901" s="71"/>
      <c r="M901" s="71"/>
      <c r="N901" s="71"/>
      <c r="O901" s="71"/>
      <c r="P901" s="71"/>
      <c r="Q901" s="71"/>
      <c r="R901" s="71"/>
      <c r="S901" s="71"/>
      <c r="T901" s="71"/>
      <c r="U901" s="71"/>
      <c r="V901" s="71"/>
      <c r="W901" s="71"/>
      <c r="X901" s="71"/>
      <c r="Y901" s="71"/>
      <c r="Z901" s="71"/>
      <c r="AA901" s="71"/>
      <c r="AB901" s="71"/>
    </row>
    <row r="902" ht="15.75" customHeight="1">
      <c r="A902" s="71"/>
      <c r="B902" s="71"/>
      <c r="C902" s="61"/>
      <c r="D902" s="61"/>
      <c r="E902" s="71"/>
      <c r="F902" s="71"/>
      <c r="G902" s="61"/>
      <c r="I902" s="61"/>
      <c r="J902" s="71"/>
      <c r="K902" s="71"/>
      <c r="L902" s="71"/>
      <c r="M902" s="71"/>
      <c r="N902" s="71"/>
      <c r="O902" s="71"/>
      <c r="P902" s="71"/>
      <c r="Q902" s="71"/>
      <c r="R902" s="71"/>
      <c r="S902" s="71"/>
      <c r="T902" s="71"/>
      <c r="U902" s="71"/>
      <c r="V902" s="71"/>
      <c r="W902" s="71"/>
      <c r="X902" s="71"/>
      <c r="Y902" s="71"/>
      <c r="Z902" s="71"/>
      <c r="AA902" s="71"/>
      <c r="AB902" s="71"/>
    </row>
    <row r="903" ht="15.75" customHeight="1">
      <c r="A903" s="71"/>
      <c r="B903" s="71"/>
      <c r="C903" s="61"/>
      <c r="D903" s="61"/>
      <c r="E903" s="71"/>
      <c r="F903" s="71"/>
      <c r="G903" s="61"/>
      <c r="I903" s="61"/>
      <c r="J903" s="71"/>
      <c r="K903" s="71"/>
      <c r="L903" s="71"/>
      <c r="M903" s="71"/>
      <c r="N903" s="71"/>
      <c r="O903" s="71"/>
      <c r="P903" s="71"/>
      <c r="Q903" s="71"/>
      <c r="R903" s="71"/>
      <c r="S903" s="71"/>
      <c r="T903" s="71"/>
      <c r="U903" s="71"/>
      <c r="V903" s="71"/>
      <c r="W903" s="71"/>
      <c r="X903" s="71"/>
      <c r="Y903" s="71"/>
      <c r="Z903" s="71"/>
      <c r="AA903" s="71"/>
      <c r="AB903" s="71"/>
    </row>
    <row r="904" ht="15.75" customHeight="1">
      <c r="A904" s="71"/>
      <c r="B904" s="71"/>
      <c r="C904" s="61"/>
      <c r="D904" s="61"/>
      <c r="E904" s="71"/>
      <c r="F904" s="71"/>
      <c r="G904" s="61"/>
      <c r="I904" s="61"/>
      <c r="J904" s="71"/>
      <c r="K904" s="71"/>
      <c r="L904" s="71"/>
      <c r="M904" s="71"/>
      <c r="N904" s="71"/>
      <c r="O904" s="71"/>
      <c r="P904" s="71"/>
      <c r="Q904" s="71"/>
      <c r="R904" s="71"/>
      <c r="S904" s="71"/>
      <c r="T904" s="71"/>
      <c r="U904" s="71"/>
      <c r="V904" s="71"/>
      <c r="W904" s="71"/>
      <c r="X904" s="71"/>
      <c r="Y904" s="71"/>
      <c r="Z904" s="71"/>
      <c r="AA904" s="71"/>
      <c r="AB904" s="71"/>
    </row>
    <row r="905" ht="15.75" customHeight="1">
      <c r="A905" s="71"/>
      <c r="B905" s="71"/>
      <c r="C905" s="61"/>
      <c r="D905" s="61"/>
      <c r="E905" s="71"/>
      <c r="F905" s="71"/>
      <c r="G905" s="61"/>
      <c r="I905" s="61"/>
      <c r="J905" s="71"/>
      <c r="K905" s="71"/>
      <c r="L905" s="71"/>
      <c r="M905" s="71"/>
      <c r="N905" s="71"/>
      <c r="O905" s="71"/>
      <c r="P905" s="71"/>
      <c r="Q905" s="71"/>
      <c r="R905" s="71"/>
      <c r="S905" s="71"/>
      <c r="T905" s="71"/>
      <c r="U905" s="71"/>
      <c r="V905" s="71"/>
      <c r="W905" s="71"/>
      <c r="X905" s="71"/>
      <c r="Y905" s="71"/>
      <c r="Z905" s="71"/>
      <c r="AA905" s="71"/>
      <c r="AB905" s="71"/>
    </row>
    <row r="906" ht="15.75" customHeight="1">
      <c r="A906" s="71"/>
      <c r="B906" s="71"/>
      <c r="C906" s="61"/>
      <c r="D906" s="61"/>
      <c r="E906" s="71"/>
      <c r="F906" s="71"/>
      <c r="G906" s="61"/>
      <c r="I906" s="61"/>
      <c r="J906" s="71"/>
      <c r="K906" s="71"/>
      <c r="L906" s="71"/>
      <c r="M906" s="71"/>
      <c r="N906" s="71"/>
      <c r="O906" s="71"/>
      <c r="P906" s="71"/>
      <c r="Q906" s="71"/>
      <c r="R906" s="71"/>
      <c r="S906" s="71"/>
      <c r="T906" s="71"/>
      <c r="U906" s="71"/>
      <c r="V906" s="71"/>
      <c r="W906" s="71"/>
      <c r="X906" s="71"/>
      <c r="Y906" s="71"/>
      <c r="Z906" s="71"/>
      <c r="AA906" s="71"/>
      <c r="AB906" s="71"/>
    </row>
    <row r="907" ht="15.75" customHeight="1">
      <c r="A907" s="71"/>
      <c r="B907" s="71"/>
      <c r="C907" s="61"/>
      <c r="D907" s="61"/>
      <c r="E907" s="71"/>
      <c r="F907" s="71"/>
      <c r="G907" s="61"/>
      <c r="I907" s="61"/>
      <c r="J907" s="71"/>
      <c r="K907" s="71"/>
      <c r="L907" s="71"/>
      <c r="M907" s="71"/>
      <c r="N907" s="71"/>
      <c r="O907" s="71"/>
      <c r="P907" s="71"/>
      <c r="Q907" s="71"/>
      <c r="R907" s="71"/>
      <c r="S907" s="71"/>
      <c r="T907" s="71"/>
      <c r="U907" s="71"/>
      <c r="V907" s="71"/>
      <c r="W907" s="71"/>
      <c r="X907" s="71"/>
      <c r="Y907" s="71"/>
      <c r="Z907" s="71"/>
      <c r="AA907" s="71"/>
      <c r="AB907" s="71"/>
    </row>
    <row r="908" ht="15.75" customHeight="1">
      <c r="A908" s="71"/>
      <c r="B908" s="71"/>
      <c r="C908" s="61"/>
      <c r="D908" s="61"/>
      <c r="E908" s="71"/>
      <c r="F908" s="71"/>
      <c r="G908" s="61"/>
      <c r="I908" s="61"/>
      <c r="J908" s="71"/>
      <c r="K908" s="71"/>
      <c r="L908" s="71"/>
      <c r="M908" s="71"/>
      <c r="N908" s="71"/>
      <c r="O908" s="71"/>
      <c r="P908" s="71"/>
      <c r="Q908" s="71"/>
      <c r="R908" s="71"/>
      <c r="S908" s="71"/>
      <c r="T908" s="71"/>
      <c r="U908" s="71"/>
      <c r="V908" s="71"/>
      <c r="W908" s="71"/>
      <c r="X908" s="71"/>
      <c r="Y908" s="71"/>
      <c r="Z908" s="71"/>
      <c r="AA908" s="71"/>
      <c r="AB908" s="71"/>
    </row>
    <row r="909" ht="15.75" customHeight="1">
      <c r="A909" s="71"/>
      <c r="B909" s="71"/>
      <c r="C909" s="61"/>
      <c r="D909" s="61"/>
      <c r="E909" s="71"/>
      <c r="F909" s="71"/>
      <c r="G909" s="61"/>
      <c r="I909" s="61"/>
      <c r="J909" s="71"/>
      <c r="K909" s="71"/>
      <c r="L909" s="71"/>
      <c r="M909" s="71"/>
      <c r="N909" s="71"/>
      <c r="O909" s="71"/>
      <c r="P909" s="71"/>
      <c r="Q909" s="71"/>
      <c r="R909" s="71"/>
      <c r="S909" s="71"/>
      <c r="T909" s="71"/>
      <c r="U909" s="71"/>
      <c r="V909" s="71"/>
      <c r="W909" s="71"/>
      <c r="X909" s="71"/>
      <c r="Y909" s="71"/>
      <c r="Z909" s="71"/>
      <c r="AA909" s="71"/>
      <c r="AB909" s="71"/>
    </row>
    <row r="910" ht="15.75" customHeight="1">
      <c r="A910" s="71"/>
      <c r="B910" s="71"/>
      <c r="C910" s="61"/>
      <c r="D910" s="61"/>
      <c r="E910" s="71"/>
      <c r="F910" s="71"/>
      <c r="G910" s="61"/>
      <c r="I910" s="61"/>
      <c r="J910" s="71"/>
      <c r="K910" s="71"/>
      <c r="L910" s="71"/>
      <c r="M910" s="71"/>
      <c r="N910" s="71"/>
      <c r="O910" s="71"/>
      <c r="P910" s="71"/>
      <c r="Q910" s="71"/>
      <c r="R910" s="71"/>
      <c r="S910" s="71"/>
      <c r="T910" s="71"/>
      <c r="U910" s="71"/>
      <c r="V910" s="71"/>
      <c r="W910" s="71"/>
      <c r="X910" s="71"/>
      <c r="Y910" s="71"/>
      <c r="Z910" s="71"/>
      <c r="AA910" s="71"/>
      <c r="AB910" s="71"/>
    </row>
    <row r="911" ht="15.75" customHeight="1">
      <c r="A911" s="71"/>
      <c r="B911" s="71"/>
      <c r="C911" s="61"/>
      <c r="D911" s="61"/>
      <c r="E911" s="71"/>
      <c r="F911" s="71"/>
      <c r="G911" s="61"/>
      <c r="I911" s="61"/>
      <c r="J911" s="71"/>
      <c r="K911" s="71"/>
      <c r="L911" s="71"/>
      <c r="M911" s="71"/>
      <c r="N911" s="71"/>
      <c r="O911" s="71"/>
      <c r="P911" s="71"/>
      <c r="Q911" s="71"/>
      <c r="R911" s="71"/>
      <c r="S911" s="71"/>
      <c r="T911" s="71"/>
      <c r="U911" s="71"/>
      <c r="V911" s="71"/>
      <c r="W911" s="71"/>
      <c r="X911" s="71"/>
      <c r="Y911" s="71"/>
      <c r="Z911" s="71"/>
      <c r="AA911" s="71"/>
      <c r="AB911" s="71"/>
    </row>
    <row r="912" ht="15.75" customHeight="1">
      <c r="A912" s="71"/>
      <c r="B912" s="71"/>
      <c r="C912" s="61"/>
      <c r="D912" s="61"/>
      <c r="E912" s="71"/>
      <c r="F912" s="71"/>
      <c r="G912" s="61"/>
      <c r="I912" s="61"/>
      <c r="J912" s="71"/>
      <c r="K912" s="71"/>
      <c r="L912" s="71"/>
      <c r="M912" s="71"/>
      <c r="N912" s="71"/>
      <c r="O912" s="71"/>
      <c r="P912" s="71"/>
      <c r="Q912" s="71"/>
      <c r="R912" s="71"/>
      <c r="S912" s="71"/>
      <c r="T912" s="71"/>
      <c r="U912" s="71"/>
      <c r="V912" s="71"/>
      <c r="W912" s="71"/>
      <c r="X912" s="71"/>
      <c r="Y912" s="71"/>
      <c r="Z912" s="71"/>
      <c r="AA912" s="71"/>
      <c r="AB912" s="71"/>
    </row>
    <row r="913" ht="15.75" customHeight="1">
      <c r="A913" s="71"/>
      <c r="B913" s="71"/>
      <c r="C913" s="61"/>
      <c r="D913" s="61"/>
      <c r="E913" s="71"/>
      <c r="F913" s="71"/>
      <c r="G913" s="61"/>
      <c r="I913" s="61"/>
      <c r="J913" s="71"/>
      <c r="K913" s="71"/>
      <c r="L913" s="71"/>
      <c r="M913" s="71"/>
      <c r="N913" s="71"/>
      <c r="O913" s="71"/>
      <c r="P913" s="71"/>
      <c r="Q913" s="71"/>
      <c r="R913" s="71"/>
      <c r="S913" s="71"/>
      <c r="T913" s="71"/>
      <c r="U913" s="71"/>
      <c r="V913" s="71"/>
      <c r="W913" s="71"/>
      <c r="X913" s="71"/>
      <c r="Y913" s="71"/>
      <c r="Z913" s="71"/>
      <c r="AA913" s="71"/>
      <c r="AB913" s="71"/>
    </row>
    <row r="914" ht="15.75" customHeight="1">
      <c r="A914" s="71"/>
      <c r="B914" s="71"/>
      <c r="C914" s="61"/>
      <c r="D914" s="61"/>
      <c r="E914" s="71"/>
      <c r="F914" s="71"/>
      <c r="G914" s="61"/>
      <c r="I914" s="61"/>
      <c r="J914" s="71"/>
      <c r="K914" s="71"/>
      <c r="L914" s="71"/>
      <c r="M914" s="71"/>
      <c r="N914" s="71"/>
      <c r="O914" s="71"/>
      <c r="P914" s="71"/>
      <c r="Q914" s="71"/>
      <c r="R914" s="71"/>
      <c r="S914" s="71"/>
      <c r="T914" s="71"/>
      <c r="U914" s="71"/>
      <c r="V914" s="71"/>
      <c r="W914" s="71"/>
      <c r="X914" s="71"/>
      <c r="Y914" s="71"/>
      <c r="Z914" s="71"/>
      <c r="AA914" s="71"/>
      <c r="AB914" s="71"/>
    </row>
    <row r="915" ht="15.75" customHeight="1">
      <c r="A915" s="71"/>
      <c r="B915" s="71"/>
      <c r="C915" s="61"/>
      <c r="D915" s="61"/>
      <c r="E915" s="71"/>
      <c r="F915" s="71"/>
      <c r="G915" s="61"/>
      <c r="I915" s="61"/>
      <c r="J915" s="71"/>
      <c r="K915" s="71"/>
      <c r="L915" s="71"/>
      <c r="M915" s="71"/>
      <c r="N915" s="71"/>
      <c r="O915" s="71"/>
      <c r="P915" s="71"/>
      <c r="Q915" s="71"/>
      <c r="R915" s="71"/>
      <c r="S915" s="71"/>
      <c r="T915" s="71"/>
      <c r="U915" s="71"/>
      <c r="V915" s="71"/>
      <c r="W915" s="71"/>
      <c r="X915" s="71"/>
      <c r="Y915" s="71"/>
      <c r="Z915" s="71"/>
      <c r="AA915" s="71"/>
      <c r="AB915" s="71"/>
    </row>
    <row r="916" ht="15.75" customHeight="1">
      <c r="A916" s="71"/>
      <c r="B916" s="71"/>
      <c r="C916" s="61"/>
      <c r="D916" s="61"/>
      <c r="E916" s="71"/>
      <c r="F916" s="71"/>
      <c r="G916" s="61"/>
      <c r="I916" s="61"/>
      <c r="J916" s="71"/>
      <c r="K916" s="71"/>
      <c r="L916" s="71"/>
      <c r="M916" s="71"/>
      <c r="N916" s="71"/>
      <c r="O916" s="71"/>
      <c r="P916" s="71"/>
      <c r="Q916" s="71"/>
      <c r="R916" s="71"/>
      <c r="S916" s="71"/>
      <c r="T916" s="71"/>
      <c r="U916" s="71"/>
      <c r="V916" s="71"/>
      <c r="W916" s="71"/>
      <c r="X916" s="71"/>
      <c r="Y916" s="71"/>
      <c r="Z916" s="71"/>
      <c r="AA916" s="71"/>
      <c r="AB916" s="71"/>
    </row>
    <row r="917" ht="15.75" customHeight="1">
      <c r="A917" s="71"/>
      <c r="B917" s="71"/>
      <c r="C917" s="61"/>
      <c r="D917" s="61"/>
      <c r="E917" s="71"/>
      <c r="F917" s="71"/>
      <c r="G917" s="61"/>
      <c r="I917" s="61"/>
      <c r="J917" s="71"/>
      <c r="K917" s="71"/>
      <c r="L917" s="71"/>
      <c r="M917" s="71"/>
      <c r="N917" s="71"/>
      <c r="O917" s="71"/>
      <c r="P917" s="71"/>
      <c r="Q917" s="71"/>
      <c r="R917" s="71"/>
      <c r="S917" s="71"/>
      <c r="T917" s="71"/>
      <c r="U917" s="71"/>
      <c r="V917" s="71"/>
      <c r="W917" s="71"/>
      <c r="X917" s="71"/>
      <c r="Y917" s="71"/>
      <c r="Z917" s="71"/>
      <c r="AA917" s="71"/>
      <c r="AB917" s="71"/>
    </row>
    <row r="918" ht="15.75" customHeight="1">
      <c r="A918" s="71"/>
      <c r="B918" s="71"/>
      <c r="C918" s="61"/>
      <c r="D918" s="61"/>
      <c r="E918" s="71"/>
      <c r="F918" s="71"/>
      <c r="G918" s="61"/>
      <c r="I918" s="61"/>
      <c r="J918" s="71"/>
      <c r="K918" s="71"/>
      <c r="L918" s="71"/>
      <c r="M918" s="71"/>
      <c r="N918" s="71"/>
      <c r="O918" s="71"/>
      <c r="P918" s="71"/>
      <c r="Q918" s="71"/>
      <c r="R918" s="71"/>
      <c r="S918" s="71"/>
      <c r="T918" s="71"/>
      <c r="U918" s="71"/>
      <c r="V918" s="71"/>
      <c r="W918" s="71"/>
      <c r="X918" s="71"/>
      <c r="Y918" s="71"/>
      <c r="Z918" s="71"/>
      <c r="AA918" s="71"/>
      <c r="AB918" s="71"/>
    </row>
    <row r="919" ht="15.75" customHeight="1">
      <c r="A919" s="71"/>
      <c r="B919" s="71"/>
      <c r="C919" s="61"/>
      <c r="D919" s="61"/>
      <c r="E919" s="71"/>
      <c r="F919" s="71"/>
      <c r="G919" s="61"/>
      <c r="I919" s="61"/>
      <c r="J919" s="71"/>
      <c r="K919" s="71"/>
      <c r="L919" s="71"/>
      <c r="M919" s="71"/>
      <c r="N919" s="71"/>
      <c r="O919" s="71"/>
      <c r="P919" s="71"/>
      <c r="Q919" s="71"/>
      <c r="R919" s="71"/>
      <c r="S919" s="71"/>
      <c r="T919" s="71"/>
      <c r="U919" s="71"/>
      <c r="V919" s="71"/>
      <c r="W919" s="71"/>
      <c r="X919" s="71"/>
      <c r="Y919" s="71"/>
      <c r="Z919" s="71"/>
      <c r="AA919" s="71"/>
      <c r="AB919" s="71"/>
    </row>
    <row r="920" ht="15.75" customHeight="1">
      <c r="A920" s="71"/>
      <c r="B920" s="71"/>
      <c r="C920" s="61"/>
      <c r="D920" s="61"/>
      <c r="E920" s="71"/>
      <c r="F920" s="71"/>
      <c r="G920" s="61"/>
      <c r="I920" s="61"/>
      <c r="J920" s="71"/>
      <c r="K920" s="71"/>
      <c r="L920" s="71"/>
      <c r="M920" s="71"/>
      <c r="N920" s="71"/>
      <c r="O920" s="71"/>
      <c r="P920" s="71"/>
      <c r="Q920" s="71"/>
      <c r="R920" s="71"/>
      <c r="S920" s="71"/>
      <c r="T920" s="71"/>
      <c r="U920" s="71"/>
      <c r="V920" s="71"/>
      <c r="W920" s="71"/>
      <c r="X920" s="71"/>
      <c r="Y920" s="71"/>
      <c r="Z920" s="71"/>
      <c r="AA920" s="71"/>
      <c r="AB920" s="71"/>
    </row>
    <row r="921" ht="15.75" customHeight="1">
      <c r="A921" s="71"/>
      <c r="B921" s="71"/>
      <c r="C921" s="61"/>
      <c r="D921" s="61"/>
      <c r="E921" s="71"/>
      <c r="F921" s="71"/>
      <c r="G921" s="61"/>
      <c r="I921" s="61"/>
      <c r="J921" s="71"/>
      <c r="K921" s="71"/>
      <c r="L921" s="71"/>
      <c r="M921" s="71"/>
      <c r="N921" s="71"/>
      <c r="O921" s="71"/>
      <c r="P921" s="71"/>
      <c r="Q921" s="71"/>
      <c r="R921" s="71"/>
      <c r="S921" s="71"/>
      <c r="T921" s="71"/>
      <c r="U921" s="71"/>
      <c r="V921" s="71"/>
      <c r="W921" s="71"/>
      <c r="X921" s="71"/>
      <c r="Y921" s="71"/>
      <c r="Z921" s="71"/>
      <c r="AA921" s="71"/>
      <c r="AB921" s="71"/>
    </row>
    <row r="922" ht="15.75" customHeight="1">
      <c r="A922" s="71"/>
      <c r="B922" s="71"/>
      <c r="C922" s="61"/>
      <c r="D922" s="61"/>
      <c r="E922" s="71"/>
      <c r="F922" s="71"/>
      <c r="G922" s="61"/>
      <c r="I922" s="61"/>
      <c r="J922" s="71"/>
      <c r="K922" s="71"/>
      <c r="L922" s="71"/>
      <c r="M922" s="71"/>
      <c r="N922" s="71"/>
      <c r="O922" s="71"/>
      <c r="P922" s="71"/>
      <c r="Q922" s="71"/>
      <c r="R922" s="71"/>
      <c r="S922" s="71"/>
      <c r="T922" s="71"/>
      <c r="U922" s="71"/>
      <c r="V922" s="71"/>
      <c r="W922" s="71"/>
      <c r="X922" s="71"/>
      <c r="Y922" s="71"/>
      <c r="Z922" s="71"/>
      <c r="AA922" s="71"/>
      <c r="AB922" s="71"/>
    </row>
    <row r="923" ht="15.75" customHeight="1">
      <c r="A923" s="71"/>
      <c r="B923" s="71"/>
      <c r="C923" s="61"/>
      <c r="D923" s="61"/>
      <c r="E923" s="71"/>
      <c r="F923" s="71"/>
      <c r="G923" s="61"/>
      <c r="I923" s="61"/>
      <c r="J923" s="71"/>
      <c r="K923" s="71"/>
      <c r="L923" s="71"/>
      <c r="M923" s="71"/>
      <c r="N923" s="71"/>
      <c r="O923" s="71"/>
      <c r="P923" s="71"/>
      <c r="Q923" s="71"/>
      <c r="R923" s="71"/>
      <c r="S923" s="71"/>
      <c r="T923" s="71"/>
      <c r="U923" s="71"/>
      <c r="V923" s="71"/>
      <c r="W923" s="71"/>
      <c r="X923" s="71"/>
      <c r="Y923" s="71"/>
      <c r="Z923" s="71"/>
      <c r="AA923" s="71"/>
      <c r="AB923" s="71"/>
    </row>
    <row r="924" ht="15.75" customHeight="1">
      <c r="A924" s="71"/>
      <c r="B924" s="71"/>
      <c r="C924" s="61"/>
      <c r="D924" s="61"/>
      <c r="E924" s="71"/>
      <c r="F924" s="71"/>
      <c r="G924" s="61"/>
      <c r="I924" s="61"/>
      <c r="J924" s="71"/>
      <c r="K924" s="71"/>
      <c r="L924" s="71"/>
      <c r="M924" s="71"/>
      <c r="N924" s="71"/>
      <c r="O924" s="71"/>
      <c r="P924" s="71"/>
      <c r="Q924" s="71"/>
      <c r="R924" s="71"/>
      <c r="S924" s="71"/>
      <c r="T924" s="71"/>
      <c r="U924" s="71"/>
      <c r="V924" s="71"/>
      <c r="W924" s="71"/>
      <c r="X924" s="71"/>
      <c r="Y924" s="71"/>
      <c r="Z924" s="71"/>
      <c r="AA924" s="71"/>
      <c r="AB924" s="71"/>
    </row>
    <row r="925" ht="15.75" customHeight="1">
      <c r="A925" s="71"/>
      <c r="B925" s="71"/>
      <c r="C925" s="61"/>
      <c r="D925" s="61"/>
      <c r="E925" s="71"/>
      <c r="F925" s="71"/>
      <c r="G925" s="61"/>
      <c r="I925" s="61"/>
      <c r="J925" s="71"/>
      <c r="K925" s="71"/>
      <c r="L925" s="71"/>
      <c r="M925" s="71"/>
      <c r="N925" s="71"/>
      <c r="O925" s="71"/>
      <c r="P925" s="71"/>
      <c r="Q925" s="71"/>
      <c r="R925" s="71"/>
      <c r="S925" s="71"/>
      <c r="T925" s="71"/>
      <c r="U925" s="71"/>
      <c r="V925" s="71"/>
      <c r="W925" s="71"/>
      <c r="X925" s="71"/>
      <c r="Y925" s="71"/>
      <c r="Z925" s="71"/>
      <c r="AA925" s="71"/>
      <c r="AB925" s="71"/>
    </row>
    <row r="926" ht="15.75" customHeight="1">
      <c r="A926" s="71"/>
      <c r="B926" s="71"/>
      <c r="C926" s="61"/>
      <c r="D926" s="61"/>
      <c r="E926" s="71"/>
      <c r="F926" s="71"/>
      <c r="G926" s="61"/>
      <c r="I926" s="61"/>
      <c r="J926" s="71"/>
      <c r="K926" s="71"/>
      <c r="L926" s="71"/>
      <c r="M926" s="71"/>
      <c r="N926" s="71"/>
      <c r="O926" s="71"/>
      <c r="P926" s="71"/>
      <c r="Q926" s="71"/>
      <c r="R926" s="71"/>
      <c r="S926" s="71"/>
      <c r="T926" s="71"/>
      <c r="U926" s="71"/>
      <c r="V926" s="71"/>
      <c r="W926" s="71"/>
      <c r="X926" s="71"/>
      <c r="Y926" s="71"/>
      <c r="Z926" s="71"/>
      <c r="AA926" s="71"/>
      <c r="AB926" s="71"/>
    </row>
    <row r="927" ht="15.75" customHeight="1">
      <c r="A927" s="71"/>
      <c r="B927" s="71"/>
      <c r="C927" s="61"/>
      <c r="D927" s="61"/>
      <c r="E927" s="71"/>
      <c r="F927" s="71"/>
      <c r="G927" s="61"/>
      <c r="I927" s="61"/>
      <c r="J927" s="71"/>
      <c r="K927" s="71"/>
      <c r="L927" s="71"/>
      <c r="M927" s="71"/>
      <c r="N927" s="71"/>
      <c r="O927" s="71"/>
      <c r="P927" s="71"/>
      <c r="Q927" s="71"/>
      <c r="R927" s="71"/>
      <c r="S927" s="71"/>
      <c r="T927" s="71"/>
      <c r="U927" s="71"/>
      <c r="V927" s="71"/>
      <c r="W927" s="71"/>
      <c r="X927" s="71"/>
      <c r="Y927" s="71"/>
      <c r="Z927" s="71"/>
      <c r="AA927" s="71"/>
      <c r="AB927" s="71"/>
    </row>
    <row r="928" ht="15.75" customHeight="1">
      <c r="A928" s="71"/>
      <c r="B928" s="71"/>
      <c r="C928" s="61"/>
      <c r="D928" s="61"/>
      <c r="E928" s="71"/>
      <c r="F928" s="71"/>
      <c r="G928" s="61"/>
      <c r="I928" s="61"/>
      <c r="J928" s="71"/>
      <c r="K928" s="71"/>
      <c r="L928" s="71"/>
      <c r="M928" s="71"/>
      <c r="N928" s="71"/>
      <c r="O928" s="71"/>
      <c r="P928" s="71"/>
      <c r="Q928" s="71"/>
      <c r="R928" s="71"/>
      <c r="S928" s="71"/>
      <c r="T928" s="71"/>
      <c r="U928" s="71"/>
      <c r="V928" s="71"/>
      <c r="W928" s="71"/>
      <c r="X928" s="71"/>
      <c r="Y928" s="71"/>
      <c r="Z928" s="71"/>
      <c r="AA928" s="71"/>
      <c r="AB928" s="71"/>
    </row>
    <row r="929" ht="15.75" customHeight="1">
      <c r="A929" s="71"/>
      <c r="B929" s="71"/>
      <c r="C929" s="61"/>
      <c r="D929" s="61"/>
      <c r="E929" s="71"/>
      <c r="F929" s="71"/>
      <c r="G929" s="61"/>
      <c r="I929" s="61"/>
      <c r="J929" s="71"/>
      <c r="K929" s="71"/>
      <c r="L929" s="71"/>
      <c r="M929" s="71"/>
      <c r="N929" s="71"/>
      <c r="O929" s="71"/>
      <c r="P929" s="71"/>
      <c r="Q929" s="71"/>
      <c r="R929" s="71"/>
      <c r="S929" s="71"/>
      <c r="T929" s="71"/>
      <c r="U929" s="71"/>
      <c r="V929" s="71"/>
      <c r="W929" s="71"/>
      <c r="X929" s="71"/>
      <c r="Y929" s="71"/>
      <c r="Z929" s="71"/>
      <c r="AA929" s="71"/>
      <c r="AB929" s="71"/>
    </row>
    <row r="930" ht="15.75" customHeight="1">
      <c r="A930" s="71"/>
      <c r="B930" s="71"/>
      <c r="C930" s="61"/>
      <c r="D930" s="61"/>
      <c r="E930" s="71"/>
      <c r="F930" s="71"/>
      <c r="G930" s="61"/>
      <c r="I930" s="61"/>
      <c r="J930" s="71"/>
      <c r="K930" s="71"/>
      <c r="L930" s="71"/>
      <c r="M930" s="71"/>
      <c r="N930" s="71"/>
      <c r="O930" s="71"/>
      <c r="P930" s="71"/>
      <c r="Q930" s="71"/>
      <c r="R930" s="71"/>
      <c r="S930" s="71"/>
      <c r="T930" s="71"/>
      <c r="U930" s="71"/>
      <c r="V930" s="71"/>
      <c r="W930" s="71"/>
      <c r="X930" s="71"/>
      <c r="Y930" s="71"/>
      <c r="Z930" s="71"/>
      <c r="AA930" s="71"/>
      <c r="AB930" s="71"/>
    </row>
    <row r="931" ht="15.75" customHeight="1">
      <c r="A931" s="71"/>
      <c r="B931" s="71"/>
      <c r="C931" s="61"/>
      <c r="D931" s="61"/>
      <c r="E931" s="71"/>
      <c r="F931" s="71"/>
      <c r="G931" s="61"/>
      <c r="I931" s="61"/>
      <c r="J931" s="71"/>
      <c r="K931" s="71"/>
      <c r="L931" s="71"/>
      <c r="M931" s="71"/>
      <c r="N931" s="71"/>
      <c r="O931" s="71"/>
      <c r="P931" s="71"/>
      <c r="Q931" s="71"/>
      <c r="R931" s="71"/>
      <c r="S931" s="71"/>
      <c r="T931" s="71"/>
      <c r="U931" s="71"/>
      <c r="V931" s="71"/>
      <c r="W931" s="71"/>
      <c r="X931" s="71"/>
      <c r="Y931" s="71"/>
      <c r="Z931" s="71"/>
      <c r="AA931" s="71"/>
      <c r="AB931" s="71"/>
    </row>
    <row r="932" ht="15.75" customHeight="1">
      <c r="A932" s="71"/>
      <c r="B932" s="71"/>
      <c r="C932" s="61"/>
      <c r="D932" s="61"/>
      <c r="E932" s="71"/>
      <c r="F932" s="71"/>
      <c r="G932" s="61"/>
      <c r="I932" s="61"/>
      <c r="J932" s="71"/>
      <c r="K932" s="71"/>
      <c r="L932" s="71"/>
      <c r="M932" s="71"/>
      <c r="N932" s="71"/>
      <c r="O932" s="71"/>
      <c r="P932" s="71"/>
      <c r="Q932" s="71"/>
      <c r="R932" s="71"/>
      <c r="S932" s="71"/>
      <c r="T932" s="71"/>
      <c r="U932" s="71"/>
      <c r="V932" s="71"/>
      <c r="W932" s="71"/>
      <c r="X932" s="71"/>
      <c r="Y932" s="71"/>
      <c r="Z932" s="71"/>
      <c r="AA932" s="71"/>
      <c r="AB932" s="71"/>
    </row>
    <row r="933" ht="15.75" customHeight="1">
      <c r="A933" s="71"/>
      <c r="B933" s="71"/>
      <c r="C933" s="61"/>
      <c r="D933" s="61"/>
      <c r="E933" s="71"/>
      <c r="F933" s="71"/>
      <c r="G933" s="61"/>
      <c r="I933" s="61"/>
      <c r="J933" s="71"/>
      <c r="K933" s="71"/>
      <c r="L933" s="71"/>
      <c r="M933" s="71"/>
      <c r="N933" s="71"/>
      <c r="O933" s="71"/>
      <c r="P933" s="71"/>
      <c r="Q933" s="71"/>
      <c r="R933" s="71"/>
      <c r="S933" s="71"/>
      <c r="T933" s="71"/>
      <c r="U933" s="71"/>
      <c r="V933" s="71"/>
      <c r="W933" s="71"/>
      <c r="X933" s="71"/>
      <c r="Y933" s="71"/>
      <c r="Z933" s="71"/>
      <c r="AA933" s="71"/>
      <c r="AB933" s="71"/>
    </row>
    <row r="934" ht="15.75" customHeight="1">
      <c r="A934" s="71"/>
      <c r="B934" s="71"/>
      <c r="C934" s="61"/>
      <c r="D934" s="61"/>
      <c r="E934" s="71"/>
      <c r="F934" s="71"/>
      <c r="G934" s="61"/>
      <c r="I934" s="61"/>
      <c r="J934" s="71"/>
      <c r="K934" s="71"/>
      <c r="L934" s="71"/>
      <c r="M934" s="71"/>
      <c r="N934" s="71"/>
      <c r="O934" s="71"/>
      <c r="P934" s="71"/>
      <c r="Q934" s="71"/>
      <c r="R934" s="71"/>
      <c r="S934" s="71"/>
      <c r="T934" s="71"/>
      <c r="U934" s="71"/>
      <c r="V934" s="71"/>
      <c r="W934" s="71"/>
      <c r="X934" s="71"/>
      <c r="Y934" s="71"/>
      <c r="Z934" s="71"/>
      <c r="AA934" s="71"/>
      <c r="AB934" s="71"/>
    </row>
    <row r="935" ht="15.75" customHeight="1">
      <c r="A935" s="71"/>
      <c r="B935" s="71"/>
      <c r="C935" s="61"/>
      <c r="D935" s="61"/>
      <c r="E935" s="71"/>
      <c r="F935" s="71"/>
      <c r="G935" s="61"/>
      <c r="I935" s="61"/>
      <c r="J935" s="71"/>
      <c r="K935" s="71"/>
      <c r="L935" s="71"/>
      <c r="M935" s="71"/>
      <c r="N935" s="71"/>
      <c r="O935" s="71"/>
      <c r="P935" s="71"/>
      <c r="Q935" s="71"/>
      <c r="R935" s="71"/>
      <c r="S935" s="71"/>
      <c r="T935" s="71"/>
      <c r="U935" s="71"/>
      <c r="V935" s="71"/>
      <c r="W935" s="71"/>
      <c r="X935" s="71"/>
      <c r="Y935" s="71"/>
      <c r="Z935" s="71"/>
      <c r="AA935" s="71"/>
      <c r="AB935" s="71"/>
    </row>
    <row r="936" ht="15.75" customHeight="1">
      <c r="A936" s="71"/>
      <c r="B936" s="71"/>
      <c r="C936" s="61"/>
      <c r="D936" s="61"/>
      <c r="E936" s="71"/>
      <c r="F936" s="71"/>
      <c r="G936" s="61"/>
      <c r="I936" s="61"/>
      <c r="J936" s="71"/>
      <c r="K936" s="71"/>
      <c r="L936" s="71"/>
      <c r="M936" s="71"/>
      <c r="N936" s="71"/>
      <c r="O936" s="71"/>
      <c r="P936" s="71"/>
      <c r="Q936" s="71"/>
      <c r="R936" s="71"/>
      <c r="S936" s="71"/>
      <c r="T936" s="71"/>
      <c r="U936" s="71"/>
      <c r="V936" s="71"/>
      <c r="W936" s="71"/>
      <c r="X936" s="71"/>
      <c r="Y936" s="71"/>
      <c r="Z936" s="71"/>
      <c r="AA936" s="71"/>
      <c r="AB936" s="71"/>
    </row>
    <row r="937" ht="15.75" customHeight="1">
      <c r="A937" s="71"/>
      <c r="B937" s="71"/>
      <c r="C937" s="61"/>
      <c r="D937" s="61"/>
      <c r="E937" s="71"/>
      <c r="F937" s="71"/>
      <c r="G937" s="61"/>
      <c r="I937" s="61"/>
      <c r="J937" s="71"/>
      <c r="K937" s="71"/>
      <c r="L937" s="71"/>
      <c r="M937" s="71"/>
      <c r="N937" s="71"/>
      <c r="O937" s="71"/>
      <c r="P937" s="71"/>
      <c r="Q937" s="71"/>
      <c r="R937" s="71"/>
      <c r="S937" s="71"/>
      <c r="T937" s="71"/>
      <c r="U937" s="71"/>
      <c r="V937" s="71"/>
      <c r="W937" s="71"/>
      <c r="X937" s="71"/>
      <c r="Y937" s="71"/>
      <c r="Z937" s="71"/>
      <c r="AA937" s="71"/>
      <c r="AB937" s="71"/>
    </row>
    <row r="938" ht="15.75" customHeight="1">
      <c r="A938" s="71"/>
      <c r="B938" s="71"/>
      <c r="C938" s="61"/>
      <c r="D938" s="61"/>
      <c r="E938" s="71"/>
      <c r="F938" s="71"/>
      <c r="G938" s="61"/>
      <c r="I938" s="61"/>
      <c r="J938" s="71"/>
      <c r="K938" s="71"/>
      <c r="L938" s="71"/>
      <c r="M938" s="71"/>
      <c r="N938" s="71"/>
      <c r="O938" s="71"/>
      <c r="P938" s="71"/>
      <c r="Q938" s="71"/>
      <c r="R938" s="71"/>
      <c r="S938" s="71"/>
      <c r="T938" s="71"/>
      <c r="U938" s="71"/>
      <c r="V938" s="71"/>
      <c r="W938" s="71"/>
      <c r="X938" s="71"/>
      <c r="Y938" s="71"/>
      <c r="Z938" s="71"/>
      <c r="AA938" s="71"/>
      <c r="AB938" s="71"/>
    </row>
    <row r="939" ht="15.75" customHeight="1">
      <c r="A939" s="71"/>
      <c r="B939" s="71"/>
      <c r="C939" s="61"/>
      <c r="D939" s="61"/>
      <c r="E939" s="71"/>
      <c r="F939" s="71"/>
      <c r="G939" s="61"/>
      <c r="I939" s="61"/>
      <c r="J939" s="71"/>
      <c r="K939" s="71"/>
      <c r="L939" s="71"/>
      <c r="M939" s="71"/>
      <c r="N939" s="71"/>
      <c r="O939" s="71"/>
      <c r="P939" s="71"/>
      <c r="Q939" s="71"/>
      <c r="R939" s="71"/>
      <c r="S939" s="71"/>
      <c r="T939" s="71"/>
      <c r="U939" s="71"/>
      <c r="V939" s="71"/>
      <c r="W939" s="71"/>
      <c r="X939" s="71"/>
      <c r="Y939" s="71"/>
      <c r="Z939" s="71"/>
      <c r="AA939" s="71"/>
      <c r="AB939" s="71"/>
    </row>
    <row r="940" ht="15.75" customHeight="1">
      <c r="A940" s="71"/>
      <c r="B940" s="71"/>
      <c r="C940" s="61"/>
      <c r="D940" s="61"/>
      <c r="E940" s="71"/>
      <c r="F940" s="71"/>
      <c r="G940" s="61"/>
      <c r="I940" s="61"/>
      <c r="J940" s="71"/>
      <c r="K940" s="71"/>
      <c r="L940" s="71"/>
      <c r="M940" s="71"/>
      <c r="N940" s="71"/>
      <c r="O940" s="71"/>
      <c r="P940" s="71"/>
      <c r="Q940" s="71"/>
      <c r="R940" s="71"/>
      <c r="S940" s="71"/>
      <c r="T940" s="71"/>
      <c r="U940" s="71"/>
      <c r="V940" s="71"/>
      <c r="W940" s="71"/>
      <c r="X940" s="71"/>
      <c r="Y940" s="71"/>
      <c r="Z940" s="71"/>
      <c r="AA940" s="71"/>
      <c r="AB940" s="71"/>
    </row>
    <row r="941" ht="15.75" customHeight="1">
      <c r="A941" s="71"/>
      <c r="B941" s="71"/>
      <c r="C941" s="61"/>
      <c r="D941" s="61"/>
      <c r="E941" s="71"/>
      <c r="F941" s="71"/>
      <c r="G941" s="61"/>
      <c r="I941" s="61"/>
      <c r="J941" s="71"/>
      <c r="K941" s="71"/>
      <c r="L941" s="71"/>
      <c r="M941" s="71"/>
      <c r="N941" s="71"/>
      <c r="O941" s="71"/>
      <c r="P941" s="71"/>
      <c r="Q941" s="71"/>
      <c r="R941" s="71"/>
      <c r="S941" s="71"/>
      <c r="T941" s="71"/>
      <c r="U941" s="71"/>
      <c r="V941" s="71"/>
      <c r="W941" s="71"/>
      <c r="X941" s="71"/>
      <c r="Y941" s="71"/>
      <c r="Z941" s="71"/>
      <c r="AA941" s="71"/>
      <c r="AB941" s="71"/>
    </row>
    <row r="942" ht="15.75" customHeight="1">
      <c r="A942" s="71"/>
      <c r="B942" s="71"/>
      <c r="C942" s="61"/>
      <c r="D942" s="61"/>
      <c r="E942" s="71"/>
      <c r="F942" s="71"/>
      <c r="G942" s="61"/>
      <c r="I942" s="61"/>
      <c r="J942" s="71"/>
      <c r="K942" s="71"/>
      <c r="L942" s="71"/>
      <c r="M942" s="71"/>
      <c r="N942" s="71"/>
      <c r="O942" s="71"/>
      <c r="P942" s="71"/>
      <c r="Q942" s="71"/>
      <c r="R942" s="71"/>
      <c r="S942" s="71"/>
      <c r="T942" s="71"/>
      <c r="U942" s="71"/>
      <c r="V942" s="71"/>
      <c r="W942" s="71"/>
      <c r="X942" s="71"/>
      <c r="Y942" s="71"/>
      <c r="Z942" s="71"/>
      <c r="AA942" s="71"/>
      <c r="AB942" s="71"/>
    </row>
    <row r="943" ht="15.75" customHeight="1">
      <c r="A943" s="71"/>
      <c r="B943" s="71"/>
      <c r="C943" s="61"/>
      <c r="D943" s="61"/>
      <c r="E943" s="71"/>
      <c r="F943" s="71"/>
      <c r="G943" s="61"/>
      <c r="I943" s="61"/>
      <c r="J943" s="71"/>
      <c r="K943" s="71"/>
      <c r="L943" s="71"/>
      <c r="M943" s="71"/>
      <c r="N943" s="71"/>
      <c r="O943" s="71"/>
      <c r="P943" s="71"/>
      <c r="Q943" s="71"/>
      <c r="R943" s="71"/>
      <c r="S943" s="71"/>
      <c r="T943" s="71"/>
      <c r="U943" s="71"/>
      <c r="V943" s="71"/>
      <c r="W943" s="71"/>
      <c r="X943" s="71"/>
      <c r="Y943" s="71"/>
      <c r="Z943" s="71"/>
      <c r="AA943" s="71"/>
      <c r="AB943" s="71"/>
    </row>
    <row r="944" ht="15.75" customHeight="1">
      <c r="A944" s="71"/>
      <c r="B944" s="71"/>
      <c r="C944" s="61"/>
      <c r="D944" s="61"/>
      <c r="E944" s="71"/>
      <c r="F944" s="71"/>
      <c r="G944" s="61"/>
      <c r="I944" s="61"/>
      <c r="J944" s="71"/>
      <c r="K944" s="71"/>
      <c r="L944" s="71"/>
      <c r="M944" s="71"/>
      <c r="N944" s="71"/>
      <c r="O944" s="71"/>
      <c r="P944" s="71"/>
      <c r="Q944" s="71"/>
      <c r="R944" s="71"/>
      <c r="S944" s="71"/>
      <c r="T944" s="71"/>
      <c r="U944" s="71"/>
      <c r="V944" s="71"/>
      <c r="W944" s="71"/>
      <c r="X944" s="71"/>
      <c r="Y944" s="71"/>
      <c r="Z944" s="71"/>
      <c r="AA944" s="71"/>
      <c r="AB944" s="71"/>
    </row>
    <row r="945" ht="15.75" customHeight="1">
      <c r="A945" s="71"/>
      <c r="B945" s="71"/>
      <c r="C945" s="61"/>
      <c r="D945" s="61"/>
      <c r="E945" s="71"/>
      <c r="F945" s="71"/>
      <c r="G945" s="61"/>
      <c r="I945" s="61"/>
      <c r="J945" s="71"/>
      <c r="K945" s="71"/>
      <c r="L945" s="71"/>
      <c r="M945" s="71"/>
      <c r="N945" s="71"/>
      <c r="O945" s="71"/>
      <c r="P945" s="71"/>
      <c r="Q945" s="71"/>
      <c r="R945" s="71"/>
      <c r="S945" s="71"/>
      <c r="T945" s="71"/>
      <c r="U945" s="71"/>
      <c r="V945" s="71"/>
      <c r="W945" s="71"/>
      <c r="X945" s="71"/>
      <c r="Y945" s="71"/>
      <c r="Z945" s="71"/>
      <c r="AA945" s="71"/>
      <c r="AB945" s="71"/>
    </row>
    <row r="946" ht="15.75" customHeight="1">
      <c r="A946" s="71"/>
      <c r="B946" s="71"/>
      <c r="C946" s="61"/>
      <c r="D946" s="61"/>
      <c r="E946" s="71"/>
      <c r="F946" s="71"/>
      <c r="G946" s="61"/>
      <c r="I946" s="61"/>
      <c r="J946" s="71"/>
      <c r="K946" s="71"/>
      <c r="L946" s="71"/>
      <c r="M946" s="71"/>
      <c r="N946" s="71"/>
      <c r="O946" s="71"/>
      <c r="P946" s="71"/>
      <c r="Q946" s="71"/>
      <c r="R946" s="71"/>
      <c r="S946" s="71"/>
      <c r="T946" s="71"/>
      <c r="U946" s="71"/>
      <c r="V946" s="71"/>
      <c r="W946" s="71"/>
      <c r="X946" s="71"/>
      <c r="Y946" s="71"/>
      <c r="Z946" s="71"/>
      <c r="AA946" s="71"/>
      <c r="AB946" s="71"/>
    </row>
    <row r="947" ht="15.75" customHeight="1">
      <c r="A947" s="71"/>
      <c r="B947" s="71"/>
      <c r="C947" s="61"/>
      <c r="D947" s="61"/>
      <c r="E947" s="71"/>
      <c r="F947" s="71"/>
      <c r="G947" s="61"/>
      <c r="I947" s="61"/>
      <c r="J947" s="71"/>
      <c r="K947" s="71"/>
      <c r="L947" s="71"/>
      <c r="M947" s="71"/>
      <c r="N947" s="71"/>
      <c r="O947" s="71"/>
      <c r="P947" s="71"/>
      <c r="Q947" s="71"/>
      <c r="R947" s="71"/>
      <c r="S947" s="71"/>
      <c r="T947" s="71"/>
      <c r="U947" s="71"/>
      <c r="V947" s="71"/>
      <c r="W947" s="71"/>
      <c r="X947" s="71"/>
      <c r="Y947" s="71"/>
      <c r="Z947" s="71"/>
      <c r="AA947" s="71"/>
      <c r="AB947" s="71"/>
    </row>
    <row r="948" ht="15.75" customHeight="1">
      <c r="A948" s="71"/>
      <c r="B948" s="71"/>
      <c r="C948" s="61"/>
      <c r="D948" s="61"/>
      <c r="E948" s="71"/>
      <c r="F948" s="71"/>
      <c r="G948" s="61"/>
      <c r="I948" s="61"/>
      <c r="J948" s="71"/>
      <c r="K948" s="71"/>
      <c r="L948" s="71"/>
      <c r="M948" s="71"/>
      <c r="N948" s="71"/>
      <c r="O948" s="71"/>
      <c r="P948" s="71"/>
      <c r="Q948" s="71"/>
      <c r="R948" s="71"/>
      <c r="S948" s="71"/>
      <c r="T948" s="71"/>
      <c r="U948" s="71"/>
      <c r="V948" s="71"/>
      <c r="W948" s="71"/>
      <c r="X948" s="71"/>
      <c r="Y948" s="71"/>
      <c r="Z948" s="71"/>
      <c r="AA948" s="71"/>
      <c r="AB948" s="71"/>
    </row>
    <row r="949" ht="15.75" customHeight="1">
      <c r="A949" s="71"/>
      <c r="B949" s="71"/>
      <c r="C949" s="61"/>
      <c r="D949" s="61"/>
      <c r="E949" s="71"/>
      <c r="F949" s="71"/>
      <c r="G949" s="61"/>
      <c r="I949" s="61"/>
      <c r="J949" s="71"/>
      <c r="K949" s="71"/>
      <c r="L949" s="71"/>
      <c r="M949" s="71"/>
      <c r="N949" s="71"/>
      <c r="O949" s="71"/>
      <c r="P949" s="71"/>
      <c r="Q949" s="71"/>
      <c r="R949" s="71"/>
      <c r="S949" s="71"/>
      <c r="T949" s="71"/>
      <c r="U949" s="71"/>
      <c r="V949" s="71"/>
      <c r="W949" s="71"/>
      <c r="X949" s="71"/>
      <c r="Y949" s="71"/>
      <c r="Z949" s="71"/>
      <c r="AA949" s="71"/>
      <c r="AB949" s="71"/>
    </row>
    <row r="950" ht="15.75" customHeight="1">
      <c r="A950" s="71"/>
      <c r="B950" s="71"/>
      <c r="C950" s="61"/>
      <c r="D950" s="61"/>
      <c r="E950" s="71"/>
      <c r="F950" s="71"/>
      <c r="G950" s="61"/>
      <c r="I950" s="61"/>
      <c r="J950" s="71"/>
      <c r="K950" s="71"/>
      <c r="L950" s="71"/>
      <c r="M950" s="71"/>
      <c r="N950" s="71"/>
      <c r="O950" s="71"/>
      <c r="P950" s="71"/>
      <c r="Q950" s="71"/>
      <c r="R950" s="71"/>
      <c r="S950" s="71"/>
      <c r="T950" s="71"/>
      <c r="U950" s="71"/>
      <c r="V950" s="71"/>
      <c r="W950" s="71"/>
      <c r="X950" s="71"/>
      <c r="Y950" s="71"/>
      <c r="Z950" s="71"/>
      <c r="AA950" s="71"/>
      <c r="AB950" s="71"/>
    </row>
    <row r="951" ht="15.75" customHeight="1">
      <c r="A951" s="71"/>
      <c r="B951" s="71"/>
      <c r="C951" s="61"/>
      <c r="D951" s="61"/>
      <c r="E951" s="71"/>
      <c r="F951" s="71"/>
      <c r="G951" s="61"/>
      <c r="I951" s="61"/>
      <c r="J951" s="71"/>
      <c r="K951" s="71"/>
      <c r="L951" s="71"/>
      <c r="M951" s="71"/>
      <c r="N951" s="71"/>
      <c r="O951" s="71"/>
      <c r="P951" s="71"/>
      <c r="Q951" s="71"/>
      <c r="R951" s="71"/>
      <c r="S951" s="71"/>
      <c r="T951" s="71"/>
      <c r="U951" s="71"/>
      <c r="V951" s="71"/>
      <c r="W951" s="71"/>
      <c r="X951" s="71"/>
      <c r="Y951" s="71"/>
      <c r="Z951" s="71"/>
      <c r="AA951" s="71"/>
      <c r="AB951" s="71"/>
    </row>
    <row r="952" ht="15.75" customHeight="1">
      <c r="A952" s="71"/>
      <c r="B952" s="71"/>
      <c r="C952" s="61"/>
      <c r="D952" s="61"/>
      <c r="E952" s="71"/>
      <c r="F952" s="71"/>
      <c r="G952" s="61"/>
      <c r="I952" s="61"/>
      <c r="J952" s="71"/>
      <c r="K952" s="71"/>
      <c r="L952" s="71"/>
      <c r="M952" s="71"/>
      <c r="N952" s="71"/>
      <c r="O952" s="71"/>
      <c r="P952" s="71"/>
      <c r="Q952" s="71"/>
      <c r="R952" s="71"/>
      <c r="S952" s="71"/>
      <c r="T952" s="71"/>
      <c r="U952" s="71"/>
      <c r="V952" s="71"/>
      <c r="W952" s="71"/>
      <c r="X952" s="71"/>
      <c r="Y952" s="71"/>
      <c r="Z952" s="71"/>
      <c r="AA952" s="71"/>
      <c r="AB952" s="71"/>
    </row>
    <row r="953" ht="15.75" customHeight="1">
      <c r="A953" s="71"/>
      <c r="B953" s="71"/>
      <c r="C953" s="61"/>
      <c r="D953" s="61"/>
      <c r="E953" s="71"/>
      <c r="F953" s="71"/>
      <c r="G953" s="61"/>
      <c r="I953" s="61"/>
      <c r="J953" s="71"/>
      <c r="K953" s="71"/>
      <c r="L953" s="71"/>
      <c r="M953" s="71"/>
      <c r="N953" s="71"/>
      <c r="O953" s="71"/>
      <c r="P953" s="71"/>
      <c r="Q953" s="71"/>
      <c r="R953" s="71"/>
      <c r="S953" s="71"/>
      <c r="T953" s="71"/>
      <c r="U953" s="71"/>
      <c r="V953" s="71"/>
      <c r="W953" s="71"/>
      <c r="X953" s="71"/>
      <c r="Y953" s="71"/>
      <c r="Z953" s="71"/>
      <c r="AA953" s="71"/>
      <c r="AB953" s="71"/>
    </row>
    <row r="954" ht="15.75" customHeight="1">
      <c r="A954" s="71"/>
      <c r="B954" s="71"/>
      <c r="C954" s="61"/>
      <c r="D954" s="61"/>
      <c r="E954" s="71"/>
      <c r="F954" s="71"/>
      <c r="G954" s="61"/>
      <c r="I954" s="61"/>
      <c r="J954" s="71"/>
      <c r="K954" s="71"/>
      <c r="L954" s="71"/>
      <c r="M954" s="71"/>
      <c r="N954" s="71"/>
      <c r="O954" s="71"/>
      <c r="P954" s="71"/>
      <c r="Q954" s="71"/>
      <c r="R954" s="71"/>
      <c r="S954" s="71"/>
      <c r="T954" s="71"/>
      <c r="U954" s="71"/>
      <c r="V954" s="71"/>
      <c r="W954" s="71"/>
      <c r="X954" s="71"/>
      <c r="Y954" s="71"/>
      <c r="Z954" s="71"/>
      <c r="AA954" s="71"/>
      <c r="AB954" s="71"/>
    </row>
    <row r="955" ht="15.75" customHeight="1">
      <c r="A955" s="71"/>
      <c r="B955" s="71"/>
      <c r="C955" s="61"/>
      <c r="D955" s="61"/>
      <c r="E955" s="71"/>
      <c r="F955" s="71"/>
      <c r="G955" s="61"/>
      <c r="I955" s="61"/>
      <c r="J955" s="71"/>
      <c r="K955" s="71"/>
      <c r="L955" s="71"/>
      <c r="M955" s="71"/>
      <c r="N955" s="71"/>
      <c r="O955" s="71"/>
      <c r="P955" s="71"/>
      <c r="Q955" s="71"/>
      <c r="R955" s="71"/>
      <c r="S955" s="71"/>
      <c r="T955" s="71"/>
      <c r="U955" s="71"/>
      <c r="V955" s="71"/>
      <c r="W955" s="71"/>
      <c r="X955" s="71"/>
      <c r="Y955" s="71"/>
      <c r="Z955" s="71"/>
      <c r="AA955" s="71"/>
      <c r="AB955" s="71"/>
    </row>
    <row r="956" ht="15.75" customHeight="1">
      <c r="A956" s="71"/>
      <c r="B956" s="71"/>
      <c r="C956" s="61"/>
      <c r="D956" s="61"/>
      <c r="E956" s="71"/>
      <c r="F956" s="71"/>
      <c r="G956" s="61"/>
      <c r="I956" s="61"/>
      <c r="J956" s="71"/>
      <c r="K956" s="71"/>
      <c r="L956" s="71"/>
      <c r="M956" s="71"/>
      <c r="N956" s="71"/>
      <c r="O956" s="71"/>
      <c r="P956" s="71"/>
      <c r="Q956" s="71"/>
      <c r="R956" s="71"/>
      <c r="S956" s="71"/>
      <c r="T956" s="71"/>
      <c r="U956" s="71"/>
      <c r="V956" s="71"/>
      <c r="W956" s="71"/>
      <c r="X956" s="71"/>
      <c r="Y956" s="71"/>
      <c r="Z956" s="71"/>
      <c r="AA956" s="71"/>
      <c r="AB956" s="71"/>
    </row>
    <row r="957" ht="15.75" customHeight="1">
      <c r="A957" s="71"/>
      <c r="B957" s="71"/>
      <c r="C957" s="61"/>
      <c r="D957" s="61"/>
      <c r="E957" s="71"/>
      <c r="F957" s="71"/>
      <c r="G957" s="61"/>
      <c r="I957" s="61"/>
      <c r="J957" s="71"/>
      <c r="K957" s="71"/>
      <c r="L957" s="71"/>
      <c r="M957" s="71"/>
      <c r="N957" s="71"/>
      <c r="O957" s="71"/>
      <c r="P957" s="71"/>
      <c r="Q957" s="71"/>
      <c r="R957" s="71"/>
      <c r="S957" s="71"/>
      <c r="T957" s="71"/>
      <c r="U957" s="71"/>
      <c r="V957" s="71"/>
      <c r="W957" s="71"/>
      <c r="X957" s="71"/>
      <c r="Y957" s="71"/>
      <c r="Z957" s="71"/>
      <c r="AA957" s="71"/>
      <c r="AB957" s="71"/>
    </row>
    <row r="958" ht="15.75" customHeight="1">
      <c r="A958" s="71"/>
      <c r="B958" s="71"/>
      <c r="C958" s="61"/>
      <c r="D958" s="61"/>
      <c r="E958" s="71"/>
      <c r="F958" s="71"/>
      <c r="G958" s="61"/>
      <c r="I958" s="61"/>
      <c r="J958" s="71"/>
      <c r="K958" s="71"/>
      <c r="L958" s="71"/>
      <c r="M958" s="71"/>
      <c r="N958" s="71"/>
      <c r="O958" s="71"/>
      <c r="P958" s="71"/>
      <c r="Q958" s="71"/>
      <c r="R958" s="71"/>
      <c r="S958" s="71"/>
      <c r="T958" s="71"/>
      <c r="U958" s="71"/>
      <c r="V958" s="71"/>
      <c r="W958" s="71"/>
      <c r="X958" s="71"/>
      <c r="Y958" s="71"/>
      <c r="Z958" s="71"/>
      <c r="AA958" s="71"/>
      <c r="AB958" s="71"/>
    </row>
    <row r="959" ht="15.75" customHeight="1">
      <c r="A959" s="71"/>
      <c r="B959" s="71"/>
      <c r="C959" s="61"/>
      <c r="D959" s="61"/>
      <c r="E959" s="71"/>
      <c r="F959" s="71"/>
      <c r="G959" s="61"/>
      <c r="I959" s="61"/>
      <c r="J959" s="71"/>
      <c r="K959" s="71"/>
      <c r="L959" s="71"/>
      <c r="M959" s="71"/>
      <c r="N959" s="71"/>
      <c r="O959" s="71"/>
      <c r="P959" s="71"/>
      <c r="Q959" s="71"/>
      <c r="R959" s="71"/>
      <c r="S959" s="71"/>
      <c r="T959" s="71"/>
      <c r="U959" s="71"/>
      <c r="V959" s="71"/>
      <c r="W959" s="71"/>
      <c r="X959" s="71"/>
      <c r="Y959" s="71"/>
      <c r="Z959" s="71"/>
      <c r="AA959" s="71"/>
      <c r="AB959" s="71"/>
    </row>
    <row r="960" ht="15.75" customHeight="1">
      <c r="A960" s="71"/>
      <c r="B960" s="71"/>
      <c r="C960" s="61"/>
      <c r="D960" s="61"/>
      <c r="E960" s="71"/>
      <c r="F960" s="71"/>
      <c r="G960" s="61"/>
      <c r="I960" s="61"/>
      <c r="J960" s="71"/>
      <c r="K960" s="71"/>
      <c r="L960" s="71"/>
      <c r="M960" s="71"/>
      <c r="N960" s="71"/>
      <c r="O960" s="71"/>
      <c r="P960" s="71"/>
      <c r="Q960" s="71"/>
      <c r="R960" s="71"/>
      <c r="S960" s="71"/>
      <c r="T960" s="71"/>
      <c r="U960" s="71"/>
      <c r="V960" s="71"/>
      <c r="W960" s="71"/>
      <c r="X960" s="71"/>
      <c r="Y960" s="71"/>
      <c r="Z960" s="71"/>
      <c r="AA960" s="71"/>
      <c r="AB960" s="71"/>
    </row>
    <row r="961" ht="15.75" customHeight="1">
      <c r="A961" s="71"/>
      <c r="B961" s="71"/>
      <c r="C961" s="61"/>
      <c r="D961" s="61"/>
      <c r="E961" s="71"/>
      <c r="F961" s="71"/>
      <c r="G961" s="61"/>
      <c r="I961" s="61"/>
      <c r="J961" s="71"/>
      <c r="K961" s="71"/>
      <c r="L961" s="71"/>
      <c r="M961" s="71"/>
      <c r="N961" s="71"/>
      <c r="O961" s="71"/>
      <c r="P961" s="71"/>
      <c r="Q961" s="71"/>
      <c r="R961" s="71"/>
      <c r="S961" s="71"/>
      <c r="T961" s="71"/>
      <c r="U961" s="71"/>
      <c r="V961" s="71"/>
      <c r="W961" s="71"/>
      <c r="X961" s="71"/>
      <c r="Y961" s="71"/>
      <c r="Z961" s="71"/>
      <c r="AA961" s="71"/>
      <c r="AB961" s="71"/>
    </row>
    <row r="962" ht="15.75" customHeight="1">
      <c r="A962" s="71"/>
      <c r="B962" s="71"/>
      <c r="C962" s="61"/>
      <c r="D962" s="61"/>
      <c r="E962" s="71"/>
      <c r="F962" s="71"/>
      <c r="G962" s="61"/>
      <c r="I962" s="61"/>
      <c r="J962" s="71"/>
      <c r="K962" s="71"/>
      <c r="L962" s="71"/>
      <c r="M962" s="71"/>
      <c r="N962" s="71"/>
      <c r="O962" s="71"/>
      <c r="P962" s="71"/>
      <c r="Q962" s="71"/>
      <c r="R962" s="71"/>
      <c r="S962" s="71"/>
      <c r="T962" s="71"/>
      <c r="U962" s="71"/>
      <c r="V962" s="71"/>
      <c r="W962" s="71"/>
      <c r="X962" s="71"/>
      <c r="Y962" s="71"/>
      <c r="Z962" s="71"/>
      <c r="AA962" s="71"/>
      <c r="AB962" s="71"/>
    </row>
    <row r="963" ht="15.75" customHeight="1">
      <c r="A963" s="71"/>
      <c r="B963" s="71"/>
      <c r="C963" s="61"/>
      <c r="D963" s="61"/>
      <c r="E963" s="71"/>
      <c r="F963" s="71"/>
      <c r="G963" s="61"/>
      <c r="I963" s="61"/>
      <c r="J963" s="71"/>
      <c r="K963" s="71"/>
      <c r="L963" s="71"/>
      <c r="M963" s="71"/>
      <c r="N963" s="71"/>
      <c r="O963" s="71"/>
      <c r="P963" s="71"/>
      <c r="Q963" s="71"/>
      <c r="R963" s="71"/>
      <c r="S963" s="71"/>
      <c r="T963" s="71"/>
      <c r="U963" s="71"/>
      <c r="V963" s="71"/>
      <c r="W963" s="71"/>
      <c r="X963" s="71"/>
      <c r="Y963" s="71"/>
      <c r="Z963" s="71"/>
      <c r="AA963" s="71"/>
      <c r="AB963" s="71"/>
    </row>
    <row r="964" ht="15.75" customHeight="1">
      <c r="A964" s="71"/>
      <c r="B964" s="71"/>
      <c r="C964" s="61"/>
      <c r="D964" s="61"/>
      <c r="E964" s="71"/>
      <c r="F964" s="71"/>
      <c r="G964" s="61"/>
      <c r="I964" s="61"/>
      <c r="J964" s="71"/>
      <c r="K964" s="71"/>
      <c r="L964" s="71"/>
      <c r="M964" s="71"/>
      <c r="N964" s="71"/>
      <c r="O964" s="71"/>
      <c r="P964" s="71"/>
      <c r="Q964" s="71"/>
      <c r="R964" s="71"/>
      <c r="S964" s="71"/>
      <c r="T964" s="71"/>
      <c r="U964" s="71"/>
      <c r="V964" s="71"/>
      <c r="W964" s="71"/>
      <c r="X964" s="71"/>
      <c r="Y964" s="71"/>
      <c r="Z964" s="71"/>
      <c r="AA964" s="71"/>
      <c r="AB964" s="71"/>
    </row>
    <row r="965" ht="15.75" customHeight="1">
      <c r="A965" s="71"/>
      <c r="B965" s="71"/>
      <c r="C965" s="61"/>
      <c r="D965" s="61"/>
      <c r="E965" s="71"/>
      <c r="F965" s="71"/>
      <c r="G965" s="61"/>
      <c r="I965" s="61"/>
      <c r="J965" s="71"/>
      <c r="K965" s="71"/>
      <c r="L965" s="71"/>
      <c r="M965" s="71"/>
      <c r="N965" s="71"/>
      <c r="O965" s="71"/>
      <c r="P965" s="71"/>
      <c r="Q965" s="71"/>
      <c r="R965" s="71"/>
      <c r="S965" s="71"/>
      <c r="T965" s="71"/>
      <c r="U965" s="71"/>
      <c r="V965" s="71"/>
      <c r="W965" s="71"/>
      <c r="X965" s="71"/>
      <c r="Y965" s="71"/>
      <c r="Z965" s="71"/>
      <c r="AA965" s="71"/>
      <c r="AB965" s="71"/>
    </row>
    <row r="966" ht="15.75" customHeight="1">
      <c r="A966" s="71"/>
      <c r="B966" s="71"/>
      <c r="C966" s="61"/>
      <c r="D966" s="61"/>
      <c r="E966" s="71"/>
      <c r="F966" s="71"/>
      <c r="G966" s="61"/>
      <c r="I966" s="61"/>
      <c r="J966" s="71"/>
      <c r="K966" s="71"/>
      <c r="L966" s="71"/>
      <c r="M966" s="71"/>
      <c r="N966" s="71"/>
      <c r="O966" s="71"/>
      <c r="P966" s="71"/>
      <c r="Q966" s="71"/>
      <c r="R966" s="71"/>
      <c r="S966" s="71"/>
      <c r="T966" s="71"/>
      <c r="U966" s="71"/>
      <c r="V966" s="71"/>
      <c r="W966" s="71"/>
      <c r="X966" s="71"/>
      <c r="Y966" s="71"/>
      <c r="Z966" s="71"/>
      <c r="AA966" s="71"/>
      <c r="AB966" s="71"/>
    </row>
    <row r="967" ht="15.75" customHeight="1">
      <c r="A967" s="71"/>
      <c r="B967" s="71"/>
      <c r="C967" s="61"/>
      <c r="D967" s="61"/>
      <c r="E967" s="71"/>
      <c r="F967" s="71"/>
      <c r="G967" s="61"/>
      <c r="I967" s="61"/>
      <c r="J967" s="71"/>
      <c r="K967" s="71"/>
      <c r="L967" s="71"/>
      <c r="M967" s="71"/>
      <c r="N967" s="71"/>
      <c r="O967" s="71"/>
      <c r="P967" s="71"/>
      <c r="Q967" s="71"/>
      <c r="R967" s="71"/>
      <c r="S967" s="71"/>
      <c r="T967" s="71"/>
      <c r="U967" s="71"/>
      <c r="V967" s="71"/>
      <c r="W967" s="71"/>
      <c r="X967" s="71"/>
      <c r="Y967" s="71"/>
      <c r="Z967" s="71"/>
      <c r="AA967" s="71"/>
      <c r="AB967" s="71"/>
    </row>
    <row r="968" ht="15.75" customHeight="1">
      <c r="A968" s="71"/>
      <c r="B968" s="71"/>
      <c r="C968" s="61"/>
      <c r="D968" s="61"/>
      <c r="E968" s="71"/>
      <c r="F968" s="71"/>
      <c r="G968" s="61"/>
      <c r="I968" s="61"/>
      <c r="J968" s="71"/>
      <c r="K968" s="71"/>
      <c r="L968" s="71"/>
      <c r="M968" s="71"/>
      <c r="N968" s="71"/>
      <c r="O968" s="71"/>
      <c r="P968" s="71"/>
      <c r="Q968" s="71"/>
      <c r="R968" s="71"/>
      <c r="S968" s="71"/>
      <c r="T968" s="71"/>
      <c r="U968" s="71"/>
      <c r="V968" s="71"/>
      <c r="W968" s="71"/>
      <c r="X968" s="71"/>
      <c r="Y968" s="71"/>
      <c r="Z968" s="71"/>
      <c r="AA968" s="71"/>
      <c r="AB968" s="71"/>
    </row>
    <row r="969" ht="15.75" customHeight="1">
      <c r="A969" s="71"/>
      <c r="B969" s="71"/>
      <c r="C969" s="61"/>
      <c r="D969" s="61"/>
      <c r="E969" s="71"/>
      <c r="F969" s="71"/>
      <c r="G969" s="61"/>
      <c r="I969" s="61"/>
      <c r="J969" s="71"/>
      <c r="K969" s="71"/>
      <c r="L969" s="71"/>
      <c r="M969" s="71"/>
      <c r="N969" s="71"/>
      <c r="O969" s="71"/>
      <c r="P969" s="71"/>
      <c r="Q969" s="71"/>
      <c r="R969" s="71"/>
      <c r="S969" s="71"/>
      <c r="T969" s="71"/>
      <c r="U969" s="71"/>
      <c r="V969" s="71"/>
      <c r="W969" s="71"/>
      <c r="X969" s="71"/>
      <c r="Y969" s="71"/>
      <c r="Z969" s="71"/>
      <c r="AA969" s="71"/>
      <c r="AB969" s="71"/>
    </row>
    <row r="970" ht="15.75" customHeight="1">
      <c r="A970" s="71"/>
      <c r="B970" s="71"/>
      <c r="C970" s="61"/>
      <c r="D970" s="61"/>
      <c r="E970" s="71"/>
      <c r="F970" s="71"/>
      <c r="G970" s="61"/>
      <c r="I970" s="61"/>
      <c r="J970" s="71"/>
      <c r="K970" s="71"/>
      <c r="L970" s="71"/>
      <c r="M970" s="71"/>
      <c r="N970" s="71"/>
      <c r="O970" s="71"/>
      <c r="P970" s="71"/>
      <c r="Q970" s="71"/>
      <c r="R970" s="71"/>
      <c r="S970" s="71"/>
      <c r="T970" s="71"/>
      <c r="U970" s="71"/>
      <c r="V970" s="71"/>
      <c r="W970" s="71"/>
      <c r="X970" s="71"/>
      <c r="Y970" s="71"/>
      <c r="Z970" s="71"/>
      <c r="AA970" s="71"/>
      <c r="AB970" s="71"/>
    </row>
    <row r="971" ht="15.75" customHeight="1">
      <c r="A971" s="71"/>
      <c r="B971" s="71"/>
      <c r="C971" s="61"/>
      <c r="D971" s="61"/>
      <c r="E971" s="71"/>
      <c r="F971" s="71"/>
      <c r="G971" s="61"/>
      <c r="I971" s="61"/>
      <c r="J971" s="71"/>
      <c r="K971" s="71"/>
      <c r="L971" s="71"/>
      <c r="M971" s="71"/>
      <c r="N971" s="71"/>
      <c r="O971" s="71"/>
      <c r="P971" s="71"/>
      <c r="Q971" s="71"/>
      <c r="R971" s="71"/>
      <c r="S971" s="71"/>
      <c r="T971" s="71"/>
      <c r="U971" s="71"/>
      <c r="V971" s="71"/>
      <c r="W971" s="71"/>
      <c r="X971" s="71"/>
      <c r="Y971" s="71"/>
      <c r="Z971" s="71"/>
      <c r="AA971" s="71"/>
      <c r="AB971" s="71"/>
    </row>
    <row r="972" ht="15.75" customHeight="1">
      <c r="A972" s="71"/>
      <c r="B972" s="71"/>
      <c r="C972" s="61"/>
      <c r="D972" s="61"/>
      <c r="E972" s="71"/>
      <c r="F972" s="71"/>
      <c r="G972" s="61"/>
      <c r="I972" s="61"/>
      <c r="J972" s="71"/>
      <c r="K972" s="71"/>
      <c r="L972" s="71"/>
      <c r="M972" s="71"/>
      <c r="N972" s="71"/>
      <c r="O972" s="71"/>
      <c r="P972" s="71"/>
      <c r="Q972" s="71"/>
      <c r="R972" s="71"/>
      <c r="S972" s="71"/>
      <c r="T972" s="71"/>
      <c r="U972" s="71"/>
      <c r="V972" s="71"/>
      <c r="W972" s="71"/>
      <c r="X972" s="71"/>
      <c r="Y972" s="71"/>
      <c r="Z972" s="71"/>
      <c r="AA972" s="71"/>
      <c r="AB972" s="71"/>
    </row>
    <row r="973" ht="15.75" customHeight="1">
      <c r="A973" s="71"/>
      <c r="B973" s="71"/>
      <c r="C973" s="61"/>
      <c r="D973" s="61"/>
      <c r="E973" s="71"/>
      <c r="F973" s="71"/>
      <c r="G973" s="61"/>
      <c r="I973" s="61"/>
      <c r="J973" s="71"/>
      <c r="K973" s="71"/>
      <c r="L973" s="71"/>
      <c r="M973" s="71"/>
      <c r="N973" s="71"/>
      <c r="O973" s="71"/>
      <c r="P973" s="71"/>
      <c r="Q973" s="71"/>
      <c r="R973" s="71"/>
      <c r="S973" s="71"/>
      <c r="T973" s="71"/>
      <c r="U973" s="71"/>
      <c r="V973" s="71"/>
      <c r="W973" s="71"/>
      <c r="X973" s="71"/>
      <c r="Y973" s="71"/>
      <c r="Z973" s="71"/>
      <c r="AA973" s="71"/>
      <c r="AB973" s="71"/>
    </row>
    <row r="974" ht="15.75" customHeight="1">
      <c r="A974" s="71"/>
      <c r="B974" s="71"/>
      <c r="C974" s="61"/>
      <c r="D974" s="61"/>
      <c r="E974" s="71"/>
      <c r="F974" s="71"/>
      <c r="G974" s="61"/>
      <c r="I974" s="61"/>
      <c r="J974" s="71"/>
      <c r="K974" s="71"/>
      <c r="L974" s="71"/>
      <c r="M974" s="71"/>
      <c r="N974" s="71"/>
      <c r="O974" s="71"/>
      <c r="P974" s="71"/>
      <c r="Q974" s="71"/>
      <c r="R974" s="71"/>
      <c r="S974" s="71"/>
      <c r="T974" s="71"/>
      <c r="U974" s="71"/>
      <c r="V974" s="71"/>
      <c r="W974" s="71"/>
      <c r="X974" s="71"/>
      <c r="Y974" s="71"/>
      <c r="Z974" s="71"/>
      <c r="AA974" s="71"/>
      <c r="AB974" s="71"/>
    </row>
    <row r="975" ht="15.75" customHeight="1">
      <c r="A975" s="71"/>
      <c r="B975" s="71"/>
      <c r="C975" s="61"/>
      <c r="D975" s="61"/>
      <c r="E975" s="71"/>
      <c r="F975" s="71"/>
      <c r="G975" s="61"/>
      <c r="I975" s="61"/>
      <c r="J975" s="71"/>
      <c r="K975" s="71"/>
      <c r="L975" s="71"/>
      <c r="M975" s="71"/>
      <c r="N975" s="71"/>
      <c r="O975" s="71"/>
      <c r="P975" s="71"/>
      <c r="Q975" s="71"/>
      <c r="R975" s="71"/>
      <c r="S975" s="71"/>
      <c r="T975" s="71"/>
      <c r="U975" s="71"/>
      <c r="V975" s="71"/>
      <c r="W975" s="71"/>
      <c r="X975" s="71"/>
      <c r="Y975" s="71"/>
      <c r="Z975" s="71"/>
      <c r="AA975" s="71"/>
      <c r="AB975" s="71"/>
    </row>
    <row r="976" ht="15.75" customHeight="1">
      <c r="A976" s="71"/>
      <c r="B976" s="71"/>
      <c r="C976" s="61"/>
      <c r="D976" s="61"/>
      <c r="E976" s="71"/>
      <c r="F976" s="71"/>
      <c r="G976" s="61"/>
      <c r="I976" s="61"/>
      <c r="J976" s="71"/>
      <c r="K976" s="71"/>
      <c r="L976" s="71"/>
      <c r="M976" s="71"/>
      <c r="N976" s="71"/>
      <c r="O976" s="71"/>
      <c r="P976" s="71"/>
      <c r="Q976" s="71"/>
      <c r="R976" s="71"/>
      <c r="S976" s="71"/>
      <c r="T976" s="71"/>
      <c r="U976" s="71"/>
      <c r="V976" s="71"/>
      <c r="W976" s="71"/>
      <c r="X976" s="71"/>
      <c r="Y976" s="71"/>
      <c r="Z976" s="71"/>
      <c r="AA976" s="71"/>
      <c r="AB976" s="71"/>
    </row>
    <row r="977" ht="15.75" customHeight="1">
      <c r="A977" s="71"/>
      <c r="B977" s="71"/>
      <c r="C977" s="61"/>
      <c r="D977" s="61"/>
      <c r="E977" s="71"/>
      <c r="F977" s="71"/>
      <c r="G977" s="61"/>
      <c r="I977" s="61"/>
      <c r="J977" s="71"/>
      <c r="K977" s="71"/>
      <c r="L977" s="71"/>
      <c r="M977" s="71"/>
      <c r="N977" s="71"/>
      <c r="O977" s="71"/>
      <c r="P977" s="71"/>
      <c r="Q977" s="71"/>
      <c r="R977" s="71"/>
      <c r="S977" s="71"/>
      <c r="T977" s="71"/>
      <c r="U977" s="71"/>
      <c r="V977" s="71"/>
      <c r="W977" s="71"/>
      <c r="X977" s="71"/>
      <c r="Y977" s="71"/>
      <c r="Z977" s="71"/>
      <c r="AA977" s="71"/>
      <c r="AB977" s="71"/>
    </row>
    <row r="978" ht="15.75" customHeight="1">
      <c r="A978" s="71"/>
      <c r="B978" s="71"/>
      <c r="C978" s="61"/>
      <c r="D978" s="61"/>
      <c r="E978" s="71"/>
      <c r="F978" s="71"/>
      <c r="G978" s="61"/>
      <c r="I978" s="61"/>
      <c r="J978" s="71"/>
      <c r="K978" s="71"/>
      <c r="L978" s="71"/>
      <c r="M978" s="71"/>
      <c r="N978" s="71"/>
      <c r="O978" s="71"/>
      <c r="P978" s="71"/>
      <c r="Q978" s="71"/>
      <c r="R978" s="71"/>
      <c r="S978" s="71"/>
      <c r="T978" s="71"/>
      <c r="U978" s="71"/>
      <c r="V978" s="71"/>
      <c r="W978" s="71"/>
      <c r="X978" s="71"/>
      <c r="Y978" s="71"/>
      <c r="Z978" s="71"/>
      <c r="AA978" s="71"/>
      <c r="AB978" s="71"/>
    </row>
    <row r="979" ht="15.75" customHeight="1">
      <c r="A979" s="71"/>
      <c r="B979" s="71"/>
      <c r="C979" s="61"/>
      <c r="D979" s="61"/>
      <c r="E979" s="71"/>
      <c r="F979" s="71"/>
      <c r="G979" s="61"/>
      <c r="I979" s="61"/>
      <c r="J979" s="71"/>
      <c r="K979" s="71"/>
      <c r="L979" s="71"/>
      <c r="M979" s="71"/>
      <c r="N979" s="71"/>
      <c r="O979" s="71"/>
      <c r="P979" s="71"/>
      <c r="Q979" s="71"/>
      <c r="R979" s="71"/>
      <c r="S979" s="71"/>
      <c r="T979" s="71"/>
      <c r="U979" s="71"/>
      <c r="V979" s="71"/>
      <c r="W979" s="71"/>
      <c r="X979" s="71"/>
      <c r="Y979" s="71"/>
      <c r="Z979" s="71"/>
      <c r="AA979" s="71"/>
      <c r="AB979" s="71"/>
    </row>
    <row r="980" ht="15.75" customHeight="1">
      <c r="A980" s="71"/>
      <c r="B980" s="71"/>
      <c r="C980" s="61"/>
      <c r="D980" s="61"/>
      <c r="E980" s="71"/>
      <c r="F980" s="71"/>
      <c r="G980" s="61"/>
      <c r="I980" s="61"/>
      <c r="J980" s="71"/>
      <c r="K980" s="71"/>
      <c r="L980" s="71"/>
      <c r="M980" s="71"/>
      <c r="N980" s="71"/>
      <c r="O980" s="71"/>
      <c r="P980" s="71"/>
      <c r="Q980" s="71"/>
      <c r="R980" s="71"/>
      <c r="S980" s="71"/>
      <c r="T980" s="71"/>
      <c r="U980" s="71"/>
      <c r="V980" s="71"/>
      <c r="W980" s="71"/>
      <c r="X980" s="71"/>
      <c r="Y980" s="71"/>
      <c r="Z980" s="71"/>
      <c r="AA980" s="71"/>
      <c r="AB980" s="71"/>
    </row>
    <row r="981" ht="15.75" customHeight="1">
      <c r="A981" s="71"/>
      <c r="B981" s="71"/>
      <c r="C981" s="61"/>
      <c r="D981" s="61"/>
      <c r="E981" s="71"/>
      <c r="F981" s="71"/>
      <c r="G981" s="61"/>
      <c r="I981" s="61"/>
      <c r="J981" s="71"/>
      <c r="K981" s="71"/>
      <c r="L981" s="71"/>
      <c r="M981" s="71"/>
      <c r="N981" s="71"/>
      <c r="O981" s="71"/>
      <c r="P981" s="71"/>
      <c r="Q981" s="71"/>
      <c r="R981" s="71"/>
      <c r="S981" s="71"/>
      <c r="T981" s="71"/>
      <c r="U981" s="71"/>
      <c r="V981" s="71"/>
      <c r="W981" s="71"/>
      <c r="X981" s="71"/>
      <c r="Y981" s="71"/>
      <c r="Z981" s="71"/>
      <c r="AA981" s="71"/>
      <c r="AB981" s="71"/>
    </row>
    <row r="982" ht="15.75" customHeight="1">
      <c r="A982" s="71"/>
      <c r="B982" s="71"/>
      <c r="C982" s="61"/>
      <c r="D982" s="61"/>
      <c r="E982" s="71"/>
      <c r="F982" s="71"/>
      <c r="G982" s="61"/>
      <c r="I982" s="61"/>
      <c r="J982" s="71"/>
      <c r="K982" s="71"/>
      <c r="L982" s="71"/>
      <c r="M982" s="71"/>
      <c r="N982" s="71"/>
      <c r="O982" s="71"/>
      <c r="P982" s="71"/>
      <c r="Q982" s="71"/>
      <c r="R982" s="71"/>
      <c r="S982" s="71"/>
      <c r="T982" s="71"/>
      <c r="U982" s="71"/>
      <c r="V982" s="71"/>
      <c r="W982" s="71"/>
      <c r="X982" s="71"/>
      <c r="Y982" s="71"/>
      <c r="Z982" s="71"/>
      <c r="AA982" s="71"/>
      <c r="AB982" s="71"/>
    </row>
    <row r="983" ht="15.75" customHeight="1">
      <c r="A983" s="71"/>
      <c r="B983" s="71"/>
      <c r="C983" s="61"/>
      <c r="D983" s="61"/>
      <c r="E983" s="71"/>
      <c r="F983" s="71"/>
      <c r="G983" s="61"/>
      <c r="I983" s="61"/>
      <c r="J983" s="71"/>
      <c r="K983" s="71"/>
      <c r="L983" s="71"/>
      <c r="M983" s="71"/>
      <c r="N983" s="71"/>
      <c r="O983" s="71"/>
      <c r="P983" s="71"/>
      <c r="Q983" s="71"/>
      <c r="R983" s="71"/>
      <c r="S983" s="71"/>
      <c r="T983" s="71"/>
      <c r="U983" s="71"/>
      <c r="V983" s="71"/>
      <c r="W983" s="71"/>
      <c r="X983" s="71"/>
      <c r="Y983" s="71"/>
      <c r="Z983" s="71"/>
      <c r="AA983" s="71"/>
      <c r="AB983" s="71"/>
    </row>
    <row r="984" ht="15.75" customHeight="1">
      <c r="A984" s="71"/>
      <c r="B984" s="71"/>
      <c r="C984" s="61"/>
      <c r="D984" s="61"/>
      <c r="E984" s="71"/>
      <c r="F984" s="71"/>
      <c r="G984" s="61"/>
      <c r="I984" s="61"/>
      <c r="J984" s="71"/>
      <c r="K984" s="71"/>
      <c r="L984" s="71"/>
      <c r="M984" s="71"/>
      <c r="N984" s="71"/>
      <c r="O984" s="71"/>
      <c r="P984" s="71"/>
      <c r="Q984" s="71"/>
      <c r="R984" s="71"/>
      <c r="S984" s="71"/>
      <c r="T984" s="71"/>
      <c r="U984" s="71"/>
      <c r="V984" s="71"/>
      <c r="W984" s="71"/>
      <c r="X984" s="71"/>
      <c r="Y984" s="71"/>
      <c r="Z984" s="71"/>
      <c r="AA984" s="71"/>
      <c r="AB984" s="71"/>
    </row>
    <row r="985" ht="15.75" customHeight="1">
      <c r="A985" s="71"/>
      <c r="B985" s="71"/>
      <c r="C985" s="61"/>
      <c r="D985" s="61"/>
      <c r="E985" s="71"/>
      <c r="F985" s="71"/>
      <c r="G985" s="61"/>
      <c r="I985" s="61"/>
      <c r="J985" s="71"/>
      <c r="K985" s="71"/>
      <c r="L985" s="71"/>
      <c r="M985" s="71"/>
      <c r="N985" s="71"/>
      <c r="O985" s="71"/>
      <c r="P985" s="71"/>
      <c r="Q985" s="71"/>
      <c r="R985" s="71"/>
      <c r="S985" s="71"/>
      <c r="T985" s="71"/>
      <c r="U985" s="71"/>
      <c r="V985" s="71"/>
      <c r="W985" s="71"/>
      <c r="X985" s="71"/>
      <c r="Y985" s="71"/>
      <c r="Z985" s="71"/>
      <c r="AA985" s="71"/>
      <c r="AB985" s="71"/>
    </row>
    <row r="986" ht="15.75" customHeight="1">
      <c r="A986" s="71"/>
      <c r="B986" s="71"/>
      <c r="C986" s="61"/>
      <c r="D986" s="61"/>
      <c r="E986" s="71"/>
      <c r="F986" s="71"/>
      <c r="G986" s="61"/>
      <c r="I986" s="61"/>
      <c r="J986" s="71"/>
      <c r="K986" s="71"/>
      <c r="L986" s="71"/>
      <c r="M986" s="71"/>
      <c r="N986" s="71"/>
      <c r="O986" s="71"/>
      <c r="P986" s="71"/>
      <c r="Q986" s="71"/>
      <c r="R986" s="71"/>
      <c r="S986" s="71"/>
      <c r="T986" s="71"/>
      <c r="U986" s="71"/>
      <c r="V986" s="71"/>
      <c r="W986" s="71"/>
      <c r="X986" s="71"/>
      <c r="Y986" s="71"/>
      <c r="Z986" s="71"/>
      <c r="AA986" s="71"/>
      <c r="AB986" s="71"/>
    </row>
    <row r="987" ht="15.75" customHeight="1">
      <c r="A987" s="71"/>
      <c r="B987" s="71"/>
      <c r="C987" s="61"/>
      <c r="D987" s="61"/>
      <c r="E987" s="71"/>
      <c r="F987" s="71"/>
      <c r="G987" s="61"/>
      <c r="I987" s="61"/>
      <c r="J987" s="71"/>
      <c r="K987" s="71"/>
      <c r="L987" s="71"/>
      <c r="M987" s="71"/>
      <c r="N987" s="71"/>
      <c r="O987" s="71"/>
      <c r="P987" s="71"/>
      <c r="Q987" s="71"/>
      <c r="R987" s="71"/>
      <c r="S987" s="71"/>
      <c r="T987" s="71"/>
      <c r="U987" s="71"/>
      <c r="V987" s="71"/>
      <c r="W987" s="71"/>
      <c r="X987" s="71"/>
      <c r="Y987" s="71"/>
      <c r="Z987" s="71"/>
      <c r="AA987" s="71"/>
      <c r="AB987" s="71"/>
    </row>
    <row r="988" ht="15.75" customHeight="1">
      <c r="A988" s="71"/>
      <c r="B988" s="71"/>
      <c r="C988" s="61"/>
      <c r="D988" s="61"/>
      <c r="E988" s="71"/>
      <c r="F988" s="71"/>
      <c r="G988" s="61"/>
      <c r="I988" s="61"/>
      <c r="J988" s="71"/>
      <c r="K988" s="71"/>
      <c r="L988" s="71"/>
      <c r="M988" s="71"/>
      <c r="N988" s="71"/>
      <c r="O988" s="71"/>
      <c r="P988" s="71"/>
      <c r="Q988" s="71"/>
      <c r="R988" s="71"/>
      <c r="S988" s="71"/>
      <c r="T988" s="71"/>
      <c r="U988" s="71"/>
      <c r="V988" s="71"/>
      <c r="W988" s="71"/>
      <c r="X988" s="71"/>
      <c r="Y988" s="71"/>
      <c r="Z988" s="71"/>
      <c r="AA988" s="71"/>
      <c r="AB988" s="71"/>
    </row>
    <row r="989" ht="15.75" customHeight="1">
      <c r="A989" s="71"/>
      <c r="B989" s="71"/>
      <c r="C989" s="61"/>
      <c r="D989" s="61"/>
      <c r="E989" s="71"/>
      <c r="F989" s="71"/>
      <c r="G989" s="61"/>
      <c r="I989" s="61"/>
      <c r="J989" s="71"/>
      <c r="K989" s="71"/>
      <c r="L989" s="71"/>
      <c r="M989" s="71"/>
      <c r="N989" s="71"/>
      <c r="O989" s="71"/>
      <c r="P989" s="71"/>
      <c r="Q989" s="71"/>
      <c r="R989" s="71"/>
      <c r="S989" s="71"/>
      <c r="T989" s="71"/>
      <c r="U989" s="71"/>
      <c r="V989" s="71"/>
      <c r="W989" s="71"/>
      <c r="X989" s="71"/>
      <c r="Y989" s="71"/>
      <c r="Z989" s="71"/>
      <c r="AA989" s="71"/>
      <c r="AB989" s="71"/>
    </row>
    <row r="990" ht="15.75" customHeight="1">
      <c r="A990" s="71"/>
      <c r="B990" s="71"/>
      <c r="C990" s="61"/>
      <c r="D990" s="61"/>
      <c r="E990" s="71"/>
      <c r="F990" s="71"/>
      <c r="G990" s="61"/>
      <c r="I990" s="61"/>
      <c r="J990" s="71"/>
      <c r="K990" s="71"/>
      <c r="L990" s="71"/>
      <c r="M990" s="71"/>
      <c r="N990" s="71"/>
      <c r="O990" s="71"/>
      <c r="P990" s="71"/>
      <c r="Q990" s="71"/>
      <c r="R990" s="71"/>
      <c r="S990" s="71"/>
      <c r="T990" s="71"/>
      <c r="U990" s="71"/>
      <c r="V990" s="71"/>
      <c r="W990" s="71"/>
      <c r="X990" s="71"/>
      <c r="Y990" s="71"/>
      <c r="Z990" s="71"/>
      <c r="AA990" s="71"/>
      <c r="AB990" s="71"/>
    </row>
    <row r="991" ht="15.75" customHeight="1">
      <c r="A991" s="71"/>
      <c r="B991" s="71"/>
      <c r="C991" s="61"/>
      <c r="D991" s="61"/>
      <c r="E991" s="71"/>
      <c r="F991" s="71"/>
      <c r="G991" s="61"/>
      <c r="I991" s="61"/>
      <c r="J991" s="71"/>
      <c r="K991" s="71"/>
      <c r="L991" s="71"/>
      <c r="M991" s="71"/>
      <c r="N991" s="71"/>
      <c r="O991" s="71"/>
      <c r="P991" s="71"/>
      <c r="Q991" s="71"/>
      <c r="R991" s="71"/>
      <c r="S991" s="71"/>
      <c r="T991" s="71"/>
      <c r="U991" s="71"/>
      <c r="V991" s="71"/>
      <c r="W991" s="71"/>
      <c r="X991" s="71"/>
      <c r="Y991" s="71"/>
      <c r="Z991" s="71"/>
      <c r="AA991" s="71"/>
      <c r="AB991" s="71"/>
    </row>
    <row r="992" ht="15.75" customHeight="1">
      <c r="A992" s="71"/>
      <c r="B992" s="71"/>
      <c r="C992" s="61"/>
      <c r="D992" s="61"/>
      <c r="E992" s="71"/>
      <c r="F992" s="71"/>
      <c r="G992" s="61"/>
      <c r="I992" s="61"/>
      <c r="J992" s="71"/>
      <c r="K992" s="71"/>
      <c r="L992" s="71"/>
      <c r="M992" s="71"/>
      <c r="N992" s="71"/>
      <c r="O992" s="71"/>
      <c r="P992" s="71"/>
      <c r="Q992" s="71"/>
      <c r="R992" s="71"/>
      <c r="S992" s="71"/>
      <c r="T992" s="71"/>
      <c r="U992" s="71"/>
      <c r="V992" s="71"/>
      <c r="W992" s="71"/>
      <c r="X992" s="71"/>
      <c r="Y992" s="71"/>
      <c r="Z992" s="71"/>
      <c r="AA992" s="71"/>
      <c r="AB992" s="71"/>
    </row>
    <row r="993" ht="15.75" customHeight="1">
      <c r="A993" s="71"/>
      <c r="B993" s="71"/>
      <c r="C993" s="61"/>
      <c r="D993" s="61"/>
      <c r="E993" s="71"/>
      <c r="F993" s="71"/>
      <c r="G993" s="61"/>
      <c r="I993" s="61"/>
      <c r="J993" s="71"/>
      <c r="K993" s="71"/>
      <c r="L993" s="71"/>
      <c r="M993" s="71"/>
      <c r="N993" s="71"/>
      <c r="O993" s="71"/>
      <c r="P993" s="71"/>
      <c r="Q993" s="71"/>
      <c r="R993" s="71"/>
      <c r="S993" s="71"/>
      <c r="T993" s="71"/>
      <c r="U993" s="71"/>
      <c r="V993" s="71"/>
      <c r="W993" s="71"/>
      <c r="X993" s="71"/>
      <c r="Y993" s="71"/>
      <c r="Z993" s="71"/>
      <c r="AA993" s="71"/>
      <c r="AB993" s="71"/>
    </row>
    <row r="994" ht="15.75" customHeight="1">
      <c r="A994" s="71"/>
      <c r="B994" s="71"/>
      <c r="C994" s="61"/>
      <c r="D994" s="61"/>
      <c r="E994" s="71"/>
      <c r="F994" s="71"/>
      <c r="G994" s="61"/>
      <c r="I994" s="61"/>
      <c r="J994" s="71"/>
      <c r="K994" s="71"/>
      <c r="L994" s="71"/>
      <c r="M994" s="71"/>
      <c r="N994" s="71"/>
      <c r="O994" s="71"/>
      <c r="P994" s="71"/>
      <c r="Q994" s="71"/>
      <c r="R994" s="71"/>
      <c r="S994" s="71"/>
      <c r="T994" s="71"/>
      <c r="U994" s="71"/>
      <c r="V994" s="71"/>
      <c r="W994" s="71"/>
      <c r="X994" s="71"/>
      <c r="Y994" s="71"/>
      <c r="Z994" s="71"/>
      <c r="AA994" s="71"/>
      <c r="AB994" s="71"/>
    </row>
    <row r="995" ht="15.75" customHeight="1">
      <c r="A995" s="71"/>
      <c r="B995" s="71"/>
      <c r="C995" s="61"/>
      <c r="D995" s="61"/>
      <c r="E995" s="71"/>
      <c r="F995" s="71"/>
      <c r="G995" s="61"/>
      <c r="I995" s="61"/>
      <c r="J995" s="71"/>
      <c r="K995" s="71"/>
      <c r="L995" s="71"/>
      <c r="M995" s="71"/>
      <c r="N995" s="71"/>
      <c r="O995" s="71"/>
      <c r="P995" s="71"/>
      <c r="Q995" s="71"/>
      <c r="R995" s="71"/>
      <c r="S995" s="71"/>
      <c r="T995" s="71"/>
      <c r="U995" s="71"/>
      <c r="V995" s="71"/>
      <c r="W995" s="71"/>
      <c r="X995" s="71"/>
      <c r="Y995" s="71"/>
      <c r="Z995" s="71"/>
      <c r="AA995" s="71"/>
      <c r="AB995" s="71"/>
    </row>
    <row r="996" ht="15.75" customHeight="1">
      <c r="A996" s="71"/>
      <c r="B996" s="71"/>
      <c r="C996" s="61"/>
      <c r="D996" s="61"/>
      <c r="E996" s="71"/>
      <c r="F996" s="71"/>
      <c r="G996" s="61"/>
      <c r="I996" s="61"/>
      <c r="J996" s="71"/>
      <c r="K996" s="71"/>
      <c r="L996" s="71"/>
      <c r="M996" s="71"/>
      <c r="N996" s="71"/>
      <c r="O996" s="71"/>
      <c r="P996" s="71"/>
      <c r="Q996" s="71"/>
      <c r="R996" s="71"/>
      <c r="S996" s="71"/>
      <c r="T996" s="71"/>
      <c r="U996" s="71"/>
      <c r="V996" s="71"/>
      <c r="W996" s="71"/>
      <c r="X996" s="71"/>
      <c r="Y996" s="71"/>
      <c r="Z996" s="71"/>
      <c r="AA996" s="71"/>
      <c r="AB996" s="71"/>
    </row>
    <row r="997" ht="15.75" customHeight="1">
      <c r="A997" s="71"/>
      <c r="B997" s="71"/>
      <c r="C997" s="61"/>
      <c r="D997" s="61"/>
      <c r="E997" s="71"/>
      <c r="F997" s="71"/>
      <c r="G997" s="61"/>
      <c r="I997" s="61"/>
      <c r="J997" s="71"/>
      <c r="K997" s="71"/>
      <c r="L997" s="71"/>
      <c r="M997" s="71"/>
      <c r="N997" s="71"/>
      <c r="O997" s="71"/>
      <c r="P997" s="71"/>
      <c r="Q997" s="71"/>
      <c r="R997" s="71"/>
      <c r="S997" s="71"/>
      <c r="T997" s="71"/>
      <c r="U997" s="71"/>
      <c r="V997" s="71"/>
      <c r="W997" s="71"/>
      <c r="X997" s="71"/>
      <c r="Y997" s="71"/>
      <c r="Z997" s="71"/>
      <c r="AA997" s="71"/>
      <c r="AB997" s="71"/>
    </row>
    <row r="998" ht="15.75" customHeight="1">
      <c r="A998" s="71"/>
      <c r="B998" s="71"/>
      <c r="C998" s="61"/>
      <c r="D998" s="61"/>
      <c r="E998" s="71"/>
      <c r="F998" s="71"/>
      <c r="G998" s="61"/>
      <c r="I998" s="61"/>
      <c r="J998" s="71"/>
      <c r="K998" s="71"/>
      <c r="L998" s="71"/>
      <c r="M998" s="71"/>
      <c r="N998" s="71"/>
      <c r="O998" s="71"/>
      <c r="P998" s="71"/>
      <c r="Q998" s="71"/>
      <c r="R998" s="71"/>
      <c r="S998" s="71"/>
      <c r="T998" s="71"/>
      <c r="U998" s="71"/>
      <c r="V998" s="71"/>
      <c r="W998" s="71"/>
      <c r="X998" s="71"/>
      <c r="Y998" s="71"/>
      <c r="Z998" s="71"/>
      <c r="AA998" s="71"/>
      <c r="AB998" s="71"/>
    </row>
    <row r="999" ht="15.75" customHeight="1">
      <c r="A999" s="71"/>
      <c r="B999" s="71"/>
      <c r="C999" s="61"/>
      <c r="D999" s="61"/>
      <c r="E999" s="71"/>
      <c r="F999" s="71"/>
      <c r="G999" s="61"/>
      <c r="I999" s="61"/>
      <c r="J999" s="71"/>
      <c r="K999" s="71"/>
      <c r="L999" s="71"/>
      <c r="M999" s="71"/>
      <c r="N999" s="71"/>
      <c r="O999" s="71"/>
      <c r="P999" s="71"/>
      <c r="Q999" s="71"/>
      <c r="R999" s="71"/>
      <c r="S999" s="71"/>
      <c r="T999" s="71"/>
      <c r="U999" s="71"/>
      <c r="V999" s="71"/>
      <c r="W999" s="71"/>
      <c r="X999" s="71"/>
      <c r="Y999" s="71"/>
      <c r="Z999" s="71"/>
      <c r="AA999" s="71"/>
      <c r="AB999" s="71"/>
    </row>
    <row r="1000" ht="15.75" customHeight="1">
      <c r="A1000" s="71"/>
      <c r="B1000" s="71"/>
      <c r="C1000" s="61"/>
      <c r="D1000" s="61"/>
      <c r="E1000" s="71"/>
      <c r="F1000" s="71"/>
      <c r="G1000" s="61"/>
      <c r="I1000" s="61"/>
      <c r="J1000" s="71"/>
      <c r="K1000" s="71"/>
      <c r="L1000" s="71"/>
      <c r="M1000" s="71"/>
      <c r="N1000" s="71"/>
      <c r="O1000" s="71"/>
      <c r="P1000" s="71"/>
      <c r="Q1000" s="71"/>
      <c r="R1000" s="71"/>
      <c r="S1000" s="71"/>
      <c r="T1000" s="71"/>
      <c r="U1000" s="71"/>
      <c r="V1000" s="71"/>
      <c r="W1000" s="71"/>
      <c r="X1000" s="71"/>
      <c r="Y1000" s="71"/>
      <c r="Z1000" s="71"/>
      <c r="AA1000" s="71"/>
      <c r="AB1000" s="71"/>
    </row>
  </sheetData>
  <conditionalFormatting sqref="F2:F9">
    <cfRule type="expression" dxfId="5" priority="1">
      <formula>E2/$G2&gt;=0.75</formula>
    </cfRule>
  </conditionalFormatting>
  <conditionalFormatting sqref="F2:F9">
    <cfRule type="expression" dxfId="6" priority="2">
      <formula>AND(E2/$G2&gt;0.3,E2/$G2&lt;0.75)</formula>
    </cfRule>
  </conditionalFormatting>
  <conditionalFormatting sqref="F2:F9">
    <cfRule type="expression" dxfId="7" priority="3">
      <formula>E2/$G2&lt;=0.3</formula>
    </cfRule>
  </conditionalFormatting>
  <conditionalFormatting sqref="K2:K10">
    <cfRule type="expression" dxfId="7" priority="4">
      <formula>J2/$L2&lt;=0.3</formula>
    </cfRule>
  </conditionalFormatting>
  <conditionalFormatting sqref="K2:K10">
    <cfRule type="expression" dxfId="8" priority="5">
      <formula>J2/$L2&gt;=0.75</formula>
    </cfRule>
  </conditionalFormatting>
  <conditionalFormatting sqref="K2:K10">
    <cfRule type="expression" dxfId="6" priority="6">
      <formula>AND(J2/$L2&gt;0.3,J2/$L2&lt;0.75)</formula>
    </cfRule>
  </conditionalFormatting>
  <conditionalFormatting sqref="U2:U3 U6:U7 U10:U11">
    <cfRule type="expression" dxfId="9" priority="7">
      <formula>AND($T2="Done",$U2/250&lt;=0.3)</formula>
    </cfRule>
  </conditionalFormatting>
  <conditionalFormatting sqref="U2:U3">
    <cfRule type="expression" dxfId="10" priority="8">
      <formula>AND($T2="Done",$U2/200&gt;0.3,$U2/250&lt;0.75)</formula>
    </cfRule>
  </conditionalFormatting>
  <conditionalFormatting sqref="U2:U3 U10:U11">
    <cfRule type="expression" dxfId="11" priority="9">
      <formula>AND($T2="Done",$U2/250&gt;=0.75)</formula>
    </cfRule>
  </conditionalFormatting>
  <conditionalFormatting sqref="U6:U7">
    <cfRule type="cellIs" dxfId="12" priority="10" operator="greaterThanOrEqual">
      <formula>24</formula>
    </cfRule>
  </conditionalFormatting>
  <dataValidations>
    <dataValidation type="custom" allowBlank="1" showDropDown="1" sqref="X2:AA10">
      <formula1>AND(ISNUMBER(X2),(NOT(OR(NOT(ISERROR(DATEVALUE(X2))), AND(ISNUMBER(X2), LEFT(CELL("format", X2))="D")))))</formula1>
    </dataValidation>
  </dataValidations>
  <printOptions/>
  <pageMargins bottom="1.0" footer="0.0" header="0.0" left="0.75" right="0.75" top="1.0"/>
  <pageSetup orientation="landscape"/>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9.71"/>
    <col customWidth="1" hidden="1" min="2" max="2" width="23.0"/>
    <col customWidth="1" min="3" max="3" width="56.29"/>
    <col customWidth="1" min="4" max="4" width="52.86"/>
    <col customWidth="1" min="5" max="5" width="35.14"/>
    <col customWidth="1" min="6" max="6" width="50.14"/>
  </cols>
  <sheetData>
    <row r="1">
      <c r="A1" s="109" t="s">
        <v>2595</v>
      </c>
      <c r="B1" s="110" t="s">
        <v>2596</v>
      </c>
      <c r="C1" s="111" t="s">
        <v>2597</v>
      </c>
      <c r="D1" s="33" t="s">
        <v>2598</v>
      </c>
      <c r="E1" s="112" t="s">
        <v>2599</v>
      </c>
      <c r="F1" s="109" t="s">
        <v>2600</v>
      </c>
      <c r="G1" s="113"/>
      <c r="H1" s="113"/>
      <c r="I1" s="114"/>
      <c r="J1" s="113"/>
      <c r="K1" s="113"/>
      <c r="L1" s="106"/>
      <c r="M1" s="113"/>
      <c r="N1" s="113"/>
      <c r="O1" s="114"/>
      <c r="P1" s="113"/>
      <c r="Q1" s="113"/>
      <c r="R1" s="113"/>
      <c r="S1" s="113"/>
      <c r="T1" s="113"/>
      <c r="U1" s="113"/>
      <c r="V1" s="113"/>
      <c r="W1" s="113"/>
      <c r="X1" s="113"/>
      <c r="Y1" s="113"/>
      <c r="Z1" s="113"/>
    </row>
    <row r="2">
      <c r="A2" s="106" t="s">
        <v>2601</v>
      </c>
      <c r="B2" s="115" t="s">
        <v>1660</v>
      </c>
      <c r="C2" s="116" t="s">
        <v>2602</v>
      </c>
      <c r="D2" s="41" t="s">
        <v>2603</v>
      </c>
      <c r="E2" s="41" t="s">
        <v>2604</v>
      </c>
      <c r="F2" s="106" t="s">
        <v>2605</v>
      </c>
      <c r="G2" s="113"/>
      <c r="H2" s="113"/>
      <c r="I2" s="113"/>
      <c r="J2" s="113"/>
      <c r="K2" s="113"/>
      <c r="L2" s="113"/>
      <c r="M2" s="113"/>
      <c r="N2" s="113"/>
      <c r="O2" s="113"/>
      <c r="P2" s="113"/>
      <c r="Q2" s="113"/>
      <c r="R2" s="113"/>
      <c r="S2" s="113"/>
      <c r="T2" s="113"/>
      <c r="U2" s="113"/>
      <c r="V2" s="113"/>
      <c r="W2" s="113"/>
      <c r="X2" s="113"/>
      <c r="Y2" s="113"/>
      <c r="Z2" s="113"/>
    </row>
    <row r="3">
      <c r="A3" s="106" t="s">
        <v>2606</v>
      </c>
      <c r="B3" s="115" t="s">
        <v>1131</v>
      </c>
      <c r="C3" s="116" t="s">
        <v>2607</v>
      </c>
      <c r="D3" s="116" t="s">
        <v>2608</v>
      </c>
      <c r="E3" s="114"/>
      <c r="F3" s="113"/>
      <c r="G3" s="113"/>
      <c r="H3" s="113"/>
      <c r="I3" s="113"/>
      <c r="J3" s="113"/>
      <c r="K3" s="113"/>
      <c r="L3" s="113"/>
      <c r="M3" s="113"/>
      <c r="N3" s="113"/>
      <c r="O3" s="113"/>
      <c r="P3" s="106"/>
      <c r="Q3" s="113"/>
      <c r="R3" s="113"/>
      <c r="S3" s="113"/>
      <c r="T3" s="113"/>
      <c r="U3" s="113"/>
      <c r="V3" s="113"/>
      <c r="W3" s="113"/>
      <c r="X3" s="113"/>
      <c r="Y3" s="113"/>
      <c r="Z3" s="113"/>
    </row>
    <row r="4">
      <c r="A4" s="106" t="s">
        <v>2609</v>
      </c>
      <c r="B4" s="115" t="s">
        <v>616</v>
      </c>
      <c r="C4" s="116" t="s">
        <v>2610</v>
      </c>
      <c r="D4" s="116" t="s">
        <v>2611</v>
      </c>
      <c r="E4" s="114"/>
      <c r="F4" s="113"/>
      <c r="G4" s="113"/>
      <c r="H4" s="113"/>
      <c r="I4" s="113"/>
      <c r="J4" s="113"/>
      <c r="K4" s="113"/>
      <c r="L4" s="113"/>
      <c r="M4" s="113"/>
      <c r="N4" s="113"/>
      <c r="O4" s="113"/>
      <c r="P4" s="113"/>
      <c r="Q4" s="113"/>
      <c r="R4" s="113"/>
      <c r="S4" s="113"/>
      <c r="T4" s="113"/>
      <c r="U4" s="113"/>
      <c r="V4" s="113"/>
      <c r="W4" s="113"/>
      <c r="X4" s="113"/>
      <c r="Y4" s="113"/>
      <c r="Z4" s="113"/>
    </row>
    <row r="5">
      <c r="A5" s="117" t="s">
        <v>2612</v>
      </c>
      <c r="B5" s="115" t="s">
        <v>1096</v>
      </c>
      <c r="C5" s="41" t="s">
        <v>2613</v>
      </c>
      <c r="D5" s="118" t="s">
        <v>2614</v>
      </c>
      <c r="E5" s="114"/>
      <c r="F5" s="113"/>
      <c r="G5" s="113"/>
      <c r="H5" s="113"/>
      <c r="I5" s="113"/>
      <c r="J5" s="113"/>
      <c r="K5" s="113"/>
      <c r="L5" s="113"/>
      <c r="M5" s="113"/>
      <c r="N5" s="113"/>
      <c r="O5" s="113"/>
      <c r="P5" s="113"/>
      <c r="Q5" s="113"/>
      <c r="R5" s="113"/>
      <c r="S5" s="113"/>
      <c r="T5" s="113"/>
      <c r="U5" s="113"/>
      <c r="V5" s="113"/>
      <c r="W5" s="113"/>
      <c r="X5" s="113"/>
      <c r="Y5" s="113"/>
      <c r="Z5" s="113"/>
    </row>
    <row r="6">
      <c r="A6" s="106" t="s">
        <v>2615</v>
      </c>
      <c r="B6" s="115" t="s">
        <v>2428</v>
      </c>
      <c r="C6" s="119"/>
      <c r="D6" s="41" t="s">
        <v>2616</v>
      </c>
      <c r="E6" s="114"/>
      <c r="F6" s="113"/>
      <c r="G6" s="113"/>
      <c r="H6" s="113"/>
      <c r="I6" s="113"/>
      <c r="J6" s="113"/>
      <c r="K6" s="113"/>
      <c r="L6" s="113"/>
      <c r="M6" s="113"/>
      <c r="N6" s="113"/>
      <c r="O6" s="113"/>
      <c r="P6" s="113"/>
      <c r="Q6" s="113"/>
      <c r="R6" s="113"/>
      <c r="S6" s="113"/>
      <c r="T6" s="113"/>
      <c r="U6" s="113"/>
      <c r="V6" s="113"/>
      <c r="W6" s="113"/>
      <c r="X6" s="113"/>
      <c r="Y6" s="113"/>
      <c r="Z6" s="113"/>
    </row>
    <row r="7">
      <c r="A7" s="106" t="s">
        <v>2617</v>
      </c>
      <c r="B7" s="115" t="s">
        <v>1602</v>
      </c>
      <c r="C7" s="119"/>
      <c r="D7" s="40"/>
      <c r="E7" s="114"/>
      <c r="F7" s="113"/>
      <c r="G7" s="113"/>
      <c r="H7" s="113"/>
      <c r="I7" s="113"/>
      <c r="J7" s="113"/>
      <c r="K7" s="113"/>
      <c r="L7" s="113"/>
      <c r="M7" s="113"/>
      <c r="N7" s="113"/>
      <c r="O7" s="113"/>
      <c r="P7" s="113"/>
      <c r="Q7" s="113"/>
      <c r="R7" s="113"/>
      <c r="S7" s="113"/>
      <c r="T7" s="113"/>
      <c r="U7" s="113"/>
      <c r="V7" s="113"/>
      <c r="W7" s="113"/>
      <c r="X7" s="113"/>
      <c r="Y7" s="113"/>
      <c r="Z7" s="113"/>
    </row>
    <row r="8">
      <c r="A8" s="109" t="s">
        <v>2618</v>
      </c>
      <c r="B8" s="120"/>
      <c r="C8" s="115" t="s">
        <v>2619</v>
      </c>
      <c r="D8" s="116" t="s">
        <v>2620</v>
      </c>
      <c r="E8" s="114"/>
      <c r="F8" s="113"/>
      <c r="G8" s="113"/>
      <c r="H8" s="113"/>
      <c r="I8" s="113"/>
      <c r="J8" s="113"/>
      <c r="K8" s="113"/>
      <c r="L8" s="113"/>
      <c r="M8" s="113"/>
      <c r="N8" s="113"/>
      <c r="O8" s="113"/>
      <c r="P8" s="113"/>
      <c r="Q8" s="113"/>
      <c r="R8" s="113"/>
      <c r="S8" s="113"/>
      <c r="T8" s="113"/>
      <c r="U8" s="113"/>
      <c r="V8" s="113"/>
      <c r="W8" s="113"/>
      <c r="X8" s="113"/>
      <c r="Y8" s="113"/>
      <c r="Z8" s="113"/>
    </row>
    <row r="9">
      <c r="A9" s="106" t="s">
        <v>2621</v>
      </c>
      <c r="B9" s="120"/>
      <c r="C9" s="115" t="s">
        <v>2622</v>
      </c>
      <c r="D9" s="41" t="s">
        <v>2623</v>
      </c>
      <c r="E9" s="114"/>
      <c r="F9" s="113"/>
      <c r="G9" s="113"/>
      <c r="H9" s="113"/>
      <c r="I9" s="113"/>
      <c r="J9" s="113"/>
      <c r="K9" s="113"/>
      <c r="L9" s="113"/>
      <c r="M9" s="113"/>
      <c r="N9" s="113"/>
      <c r="O9" s="113"/>
      <c r="P9" s="113"/>
      <c r="Q9" s="113"/>
      <c r="R9" s="113"/>
      <c r="S9" s="113"/>
      <c r="T9" s="113"/>
      <c r="U9" s="113"/>
      <c r="V9" s="113"/>
      <c r="W9" s="113"/>
      <c r="X9" s="113"/>
      <c r="Y9" s="113"/>
      <c r="Z9" s="113"/>
    </row>
    <row r="10">
      <c r="A10" s="106" t="s">
        <v>2624</v>
      </c>
      <c r="B10" s="120"/>
      <c r="C10" s="115" t="s">
        <v>2625</v>
      </c>
      <c r="D10" s="116" t="s">
        <v>2626</v>
      </c>
      <c r="E10" s="114"/>
      <c r="F10" s="113"/>
      <c r="G10" s="113"/>
      <c r="H10" s="113"/>
      <c r="I10" s="113"/>
      <c r="J10" s="113"/>
      <c r="K10" s="113"/>
      <c r="L10" s="113"/>
      <c r="M10" s="113"/>
      <c r="N10" s="113"/>
      <c r="O10" s="113"/>
      <c r="P10" s="113"/>
      <c r="Q10" s="113"/>
      <c r="R10" s="113"/>
      <c r="S10" s="113"/>
      <c r="T10" s="113"/>
      <c r="U10" s="113"/>
      <c r="V10" s="113"/>
      <c r="W10" s="113"/>
      <c r="X10" s="113"/>
      <c r="Y10" s="113"/>
      <c r="Z10" s="113"/>
    </row>
    <row r="11">
      <c r="A11" s="106" t="s">
        <v>2627</v>
      </c>
      <c r="B11" s="120"/>
      <c r="C11" s="115" t="s">
        <v>2628</v>
      </c>
      <c r="D11" s="116" t="s">
        <v>2629</v>
      </c>
      <c r="E11" s="114"/>
      <c r="F11" s="113"/>
      <c r="G11" s="113"/>
      <c r="H11" s="113"/>
      <c r="I11" s="113"/>
      <c r="J11" s="113"/>
      <c r="K11" s="113"/>
      <c r="L11" s="113"/>
      <c r="M11" s="113"/>
      <c r="N11" s="113"/>
      <c r="O11" s="113"/>
      <c r="P11" s="113"/>
      <c r="Q11" s="113"/>
      <c r="R11" s="113"/>
      <c r="S11" s="113"/>
      <c r="T11" s="113"/>
      <c r="U11" s="113"/>
      <c r="V11" s="113"/>
      <c r="W11" s="113"/>
      <c r="X11" s="113"/>
      <c r="Y11" s="113"/>
      <c r="Z11" s="113"/>
    </row>
    <row r="12">
      <c r="A12" s="112" t="s">
        <v>2630</v>
      </c>
      <c r="B12" s="120"/>
      <c r="C12" s="115" t="s">
        <v>2631</v>
      </c>
      <c r="D12" s="116" t="s">
        <v>2632</v>
      </c>
      <c r="E12" s="114"/>
      <c r="F12" s="113"/>
      <c r="G12" s="113"/>
      <c r="H12" s="113"/>
      <c r="I12" s="113"/>
      <c r="J12" s="113"/>
      <c r="K12" s="113"/>
      <c r="L12" s="113"/>
      <c r="M12" s="113"/>
      <c r="N12" s="113"/>
      <c r="O12" s="113"/>
      <c r="P12" s="113"/>
      <c r="Q12" s="113"/>
      <c r="R12" s="113"/>
      <c r="S12" s="113"/>
      <c r="T12" s="113"/>
      <c r="U12" s="113"/>
      <c r="V12" s="113"/>
      <c r="W12" s="113"/>
      <c r="X12" s="113"/>
      <c r="Y12" s="113"/>
      <c r="Z12" s="113"/>
    </row>
    <row r="13">
      <c r="A13" s="106"/>
      <c r="B13" s="120"/>
      <c r="C13" s="119"/>
      <c r="D13" s="121" t="s">
        <v>2633</v>
      </c>
      <c r="E13" s="114"/>
      <c r="F13" s="113"/>
      <c r="G13" s="113"/>
      <c r="H13" s="113"/>
      <c r="I13" s="113"/>
      <c r="J13" s="113"/>
      <c r="K13" s="113"/>
      <c r="L13" s="113"/>
      <c r="M13" s="113"/>
      <c r="N13" s="113"/>
      <c r="O13" s="113"/>
      <c r="P13" s="113"/>
      <c r="Q13" s="113"/>
      <c r="R13" s="113"/>
      <c r="S13" s="113"/>
      <c r="T13" s="113"/>
      <c r="U13" s="113"/>
      <c r="V13" s="113"/>
      <c r="W13" s="113"/>
      <c r="X13" s="113"/>
      <c r="Y13" s="113"/>
      <c r="Z13" s="113"/>
    </row>
    <row r="14">
      <c r="A14" s="122" t="s">
        <v>2634</v>
      </c>
      <c r="B14" s="120"/>
      <c r="C14" s="119"/>
      <c r="D14" s="41" t="s">
        <v>2635</v>
      </c>
      <c r="E14" s="114"/>
      <c r="F14" s="113"/>
      <c r="G14" s="113"/>
      <c r="H14" s="113"/>
      <c r="I14" s="113"/>
      <c r="J14" s="113"/>
      <c r="K14" s="113"/>
      <c r="L14" s="113"/>
      <c r="M14" s="113"/>
      <c r="N14" s="113"/>
      <c r="O14" s="113"/>
      <c r="P14" s="113"/>
      <c r="Q14" s="113"/>
      <c r="R14" s="113"/>
      <c r="S14" s="113"/>
      <c r="T14" s="113"/>
      <c r="U14" s="113"/>
      <c r="V14" s="113"/>
      <c r="W14" s="113"/>
      <c r="X14" s="113"/>
      <c r="Y14" s="113"/>
      <c r="Z14" s="113"/>
    </row>
    <row r="15">
      <c r="A15" s="106" t="s">
        <v>2636</v>
      </c>
      <c r="B15" s="120"/>
      <c r="C15" s="119"/>
      <c r="D15" s="41" t="s">
        <v>2637</v>
      </c>
      <c r="E15" s="114"/>
      <c r="F15" s="113"/>
      <c r="G15" s="113"/>
      <c r="H15" s="113"/>
      <c r="I15" s="113"/>
      <c r="J15" s="113"/>
      <c r="K15" s="113"/>
      <c r="L15" s="113"/>
      <c r="M15" s="113"/>
      <c r="N15" s="113"/>
      <c r="O15" s="113"/>
      <c r="P15" s="113"/>
      <c r="Q15" s="113"/>
      <c r="R15" s="113"/>
      <c r="S15" s="113"/>
      <c r="T15" s="113"/>
      <c r="U15" s="113"/>
      <c r="V15" s="113"/>
      <c r="W15" s="113"/>
      <c r="X15" s="113"/>
      <c r="Y15" s="113"/>
      <c r="Z15" s="113"/>
    </row>
    <row r="16">
      <c r="A16" s="113"/>
      <c r="B16" s="120"/>
      <c r="C16" s="123" t="s">
        <v>2638</v>
      </c>
      <c r="D16" s="41" t="s">
        <v>2639</v>
      </c>
      <c r="E16" s="114"/>
      <c r="F16" s="113"/>
      <c r="G16" s="113"/>
      <c r="H16" s="113"/>
      <c r="I16" s="113"/>
      <c r="J16" s="113"/>
      <c r="K16" s="113"/>
      <c r="L16" s="113"/>
      <c r="M16" s="113"/>
      <c r="N16" s="113"/>
      <c r="O16" s="113"/>
      <c r="P16" s="113"/>
      <c r="Q16" s="113"/>
      <c r="R16" s="113"/>
      <c r="S16" s="113"/>
      <c r="T16" s="113"/>
      <c r="U16" s="113"/>
      <c r="V16" s="113"/>
      <c r="W16" s="113"/>
      <c r="X16" s="113"/>
      <c r="Y16" s="113"/>
      <c r="Z16" s="113"/>
    </row>
    <row r="17">
      <c r="A17" s="113"/>
      <c r="B17" s="120"/>
      <c r="C17" s="115" t="s">
        <v>2640</v>
      </c>
      <c r="D17" s="40"/>
      <c r="E17" s="114"/>
      <c r="F17" s="113"/>
      <c r="G17" s="113"/>
      <c r="H17" s="113"/>
      <c r="I17" s="113"/>
      <c r="J17" s="113"/>
      <c r="K17" s="113"/>
      <c r="L17" s="113"/>
      <c r="M17" s="113"/>
      <c r="N17" s="113"/>
      <c r="O17" s="113"/>
      <c r="P17" s="113"/>
      <c r="Q17" s="113"/>
      <c r="R17" s="113"/>
      <c r="S17" s="113"/>
      <c r="T17" s="113"/>
      <c r="U17" s="113"/>
      <c r="V17" s="113"/>
      <c r="W17" s="113"/>
      <c r="X17" s="113"/>
      <c r="Y17" s="113"/>
      <c r="Z17" s="113"/>
    </row>
    <row r="18">
      <c r="A18" s="113"/>
      <c r="B18" s="120"/>
      <c r="C18" s="119"/>
      <c r="D18" s="40"/>
      <c r="E18" s="114"/>
      <c r="F18" s="113"/>
      <c r="G18" s="113"/>
      <c r="H18" s="113"/>
      <c r="I18" s="113"/>
      <c r="J18" s="113"/>
      <c r="K18" s="113"/>
      <c r="L18" s="113"/>
      <c r="M18" s="113"/>
      <c r="N18" s="113"/>
      <c r="O18" s="113"/>
      <c r="P18" s="113"/>
      <c r="Q18" s="113"/>
      <c r="R18" s="113"/>
      <c r="S18" s="113"/>
      <c r="T18" s="113"/>
      <c r="U18" s="113"/>
      <c r="V18" s="113"/>
      <c r="W18" s="113"/>
      <c r="X18" s="113"/>
      <c r="Y18" s="113"/>
      <c r="Z18" s="113"/>
    </row>
    <row r="19">
      <c r="A19" s="113"/>
      <c r="B19" s="120"/>
      <c r="C19" s="119"/>
      <c r="D19" s="40"/>
      <c r="E19" s="114"/>
      <c r="F19" s="113"/>
      <c r="G19" s="113"/>
      <c r="H19" s="113"/>
      <c r="I19" s="113"/>
      <c r="J19" s="113"/>
      <c r="K19" s="113"/>
      <c r="L19" s="113"/>
      <c r="M19" s="113"/>
      <c r="N19" s="113"/>
      <c r="O19" s="113"/>
      <c r="P19" s="113"/>
      <c r="Q19" s="113"/>
      <c r="R19" s="113"/>
      <c r="S19" s="113"/>
      <c r="T19" s="113"/>
      <c r="U19" s="113"/>
      <c r="V19" s="113"/>
      <c r="W19" s="113"/>
      <c r="X19" s="113"/>
      <c r="Y19" s="113"/>
      <c r="Z19" s="113"/>
    </row>
    <row r="20">
      <c r="A20" s="113"/>
      <c r="B20" s="120"/>
      <c r="C20" s="119"/>
      <c r="D20" s="40"/>
      <c r="E20" s="114"/>
      <c r="F20" s="113"/>
      <c r="G20" s="113"/>
      <c r="H20" s="113"/>
      <c r="I20" s="113"/>
      <c r="J20" s="113"/>
      <c r="K20" s="113"/>
      <c r="L20" s="113"/>
      <c r="M20" s="113"/>
      <c r="N20" s="113"/>
      <c r="O20" s="106"/>
      <c r="P20" s="113"/>
      <c r="Q20" s="113"/>
      <c r="R20" s="113"/>
      <c r="S20" s="113"/>
      <c r="T20" s="113"/>
      <c r="U20" s="113"/>
      <c r="V20" s="113"/>
      <c r="W20" s="113"/>
      <c r="X20" s="113"/>
      <c r="Y20" s="113"/>
      <c r="Z20" s="113"/>
    </row>
    <row r="21">
      <c r="A21" s="113"/>
      <c r="B21" s="120"/>
      <c r="C21" s="119"/>
      <c r="D21" s="40"/>
      <c r="E21" s="114"/>
      <c r="F21" s="113"/>
      <c r="G21" s="113"/>
      <c r="H21" s="113"/>
      <c r="I21" s="113"/>
      <c r="J21" s="113"/>
      <c r="K21" s="113"/>
      <c r="L21" s="113"/>
      <c r="M21" s="113"/>
      <c r="N21" s="113"/>
      <c r="O21" s="113"/>
      <c r="P21" s="113"/>
      <c r="Q21" s="113"/>
      <c r="R21" s="113"/>
      <c r="S21" s="113"/>
      <c r="T21" s="113"/>
      <c r="U21" s="113"/>
      <c r="V21" s="113"/>
      <c r="W21" s="113"/>
      <c r="X21" s="113"/>
      <c r="Y21" s="113"/>
      <c r="Z21" s="113"/>
    </row>
    <row r="22">
      <c r="A22" s="113"/>
      <c r="B22" s="120"/>
      <c r="C22" s="119"/>
      <c r="D22" s="40"/>
      <c r="E22" s="114"/>
      <c r="F22" s="113"/>
      <c r="G22" s="113"/>
      <c r="H22" s="113"/>
      <c r="I22" s="113"/>
      <c r="J22" s="113"/>
      <c r="K22" s="113"/>
      <c r="L22" s="113"/>
      <c r="M22" s="113"/>
      <c r="N22" s="113"/>
      <c r="O22" s="113"/>
      <c r="P22" s="113"/>
      <c r="Q22" s="113"/>
      <c r="R22" s="113"/>
      <c r="S22" s="113"/>
      <c r="T22" s="113"/>
      <c r="U22" s="113"/>
      <c r="V22" s="113"/>
      <c r="W22" s="113"/>
      <c r="X22" s="113"/>
      <c r="Y22" s="113"/>
      <c r="Z22" s="113"/>
    </row>
    <row r="23">
      <c r="A23" s="113"/>
      <c r="B23" s="120"/>
      <c r="C23" s="119"/>
      <c r="D23" s="40"/>
      <c r="E23" s="114"/>
      <c r="F23" s="113"/>
      <c r="G23" s="113"/>
      <c r="H23" s="113"/>
      <c r="I23" s="113"/>
      <c r="J23" s="113"/>
      <c r="K23" s="113"/>
      <c r="L23" s="113"/>
      <c r="M23" s="113"/>
      <c r="N23" s="113"/>
      <c r="O23" s="113"/>
      <c r="P23" s="113"/>
      <c r="Q23" s="113"/>
      <c r="R23" s="113"/>
      <c r="S23" s="113"/>
      <c r="T23" s="113"/>
      <c r="U23" s="113"/>
      <c r="V23" s="113"/>
      <c r="W23" s="113"/>
      <c r="X23" s="113"/>
      <c r="Y23" s="113"/>
      <c r="Z23" s="113"/>
    </row>
    <row r="24">
      <c r="A24" s="113"/>
      <c r="B24" s="120"/>
      <c r="C24" s="119"/>
      <c r="D24" s="40"/>
      <c r="E24" s="114"/>
      <c r="F24" s="113"/>
      <c r="G24" s="113"/>
      <c r="H24" s="113"/>
      <c r="I24" s="113"/>
      <c r="J24" s="113"/>
      <c r="K24" s="113"/>
      <c r="L24" s="113"/>
      <c r="M24" s="113"/>
      <c r="N24" s="113"/>
      <c r="O24" s="113"/>
      <c r="P24" s="113"/>
      <c r="Q24" s="113"/>
      <c r="R24" s="113"/>
      <c r="S24" s="113"/>
      <c r="T24" s="113"/>
      <c r="U24" s="113"/>
      <c r="V24" s="113"/>
      <c r="W24" s="113"/>
      <c r="X24" s="113"/>
      <c r="Y24" s="113"/>
      <c r="Z24" s="113"/>
    </row>
    <row r="25">
      <c r="A25" s="113"/>
      <c r="B25" s="120"/>
      <c r="C25" s="119"/>
      <c r="D25" s="40"/>
      <c r="E25" s="114"/>
      <c r="F25" s="113"/>
      <c r="G25" s="113"/>
      <c r="H25" s="113"/>
      <c r="I25" s="113"/>
      <c r="J25" s="113"/>
      <c r="K25" s="113"/>
      <c r="L25" s="113"/>
      <c r="M25" s="113"/>
      <c r="N25" s="113"/>
      <c r="O25" s="113"/>
      <c r="P25" s="113"/>
      <c r="Q25" s="113"/>
      <c r="R25" s="113"/>
      <c r="S25" s="113"/>
      <c r="T25" s="113"/>
      <c r="U25" s="113"/>
      <c r="V25" s="113"/>
      <c r="W25" s="113"/>
      <c r="X25" s="113"/>
      <c r="Y25" s="113"/>
      <c r="Z25" s="113"/>
    </row>
    <row r="26">
      <c r="A26" s="113"/>
      <c r="B26" s="120"/>
      <c r="C26" s="119"/>
      <c r="D26" s="40"/>
      <c r="E26" s="114"/>
      <c r="F26" s="113"/>
      <c r="G26" s="113"/>
      <c r="H26" s="113"/>
      <c r="I26" s="113"/>
      <c r="J26" s="113"/>
      <c r="K26" s="113"/>
      <c r="L26" s="113"/>
      <c r="M26" s="113"/>
      <c r="N26" s="113"/>
      <c r="O26" s="113"/>
      <c r="P26" s="113"/>
      <c r="Q26" s="113"/>
      <c r="R26" s="113"/>
      <c r="S26" s="113"/>
      <c r="T26" s="113"/>
      <c r="U26" s="113"/>
      <c r="V26" s="113"/>
      <c r="W26" s="113"/>
      <c r="X26" s="113"/>
      <c r="Y26" s="113"/>
      <c r="Z26" s="113"/>
    </row>
    <row r="27">
      <c r="A27" s="113"/>
      <c r="B27" s="120"/>
      <c r="C27" s="119"/>
      <c r="D27" s="40"/>
      <c r="E27" s="114"/>
      <c r="F27" s="113"/>
      <c r="G27" s="113"/>
      <c r="H27" s="113"/>
      <c r="I27" s="113"/>
      <c r="J27" s="113"/>
      <c r="K27" s="113"/>
      <c r="L27" s="113"/>
      <c r="M27" s="113"/>
      <c r="N27" s="113"/>
      <c r="O27" s="113"/>
      <c r="P27" s="113"/>
      <c r="Q27" s="113"/>
      <c r="R27" s="113"/>
      <c r="S27" s="113"/>
      <c r="T27" s="113"/>
      <c r="U27" s="113"/>
      <c r="V27" s="113"/>
      <c r="W27" s="113"/>
      <c r="X27" s="113"/>
      <c r="Y27" s="113"/>
      <c r="Z27" s="113"/>
    </row>
    <row r="28">
      <c r="A28" s="113"/>
      <c r="B28" s="120"/>
      <c r="C28" s="119"/>
      <c r="D28" s="40"/>
      <c r="E28" s="114"/>
      <c r="F28" s="113"/>
      <c r="G28" s="113"/>
      <c r="H28" s="113"/>
      <c r="I28" s="113"/>
      <c r="J28" s="113"/>
      <c r="K28" s="113"/>
      <c r="L28" s="113"/>
      <c r="M28" s="113"/>
      <c r="N28" s="113"/>
      <c r="O28" s="113"/>
      <c r="P28" s="113"/>
      <c r="Q28" s="113"/>
      <c r="R28" s="113"/>
      <c r="S28" s="113"/>
      <c r="T28" s="113"/>
      <c r="U28" s="113"/>
      <c r="V28" s="113"/>
      <c r="W28" s="113"/>
      <c r="X28" s="113"/>
      <c r="Y28" s="113"/>
      <c r="Z28" s="113"/>
    </row>
    <row r="29">
      <c r="A29" s="113"/>
      <c r="B29" s="120"/>
      <c r="C29" s="119"/>
      <c r="D29" s="40"/>
      <c r="E29" s="114"/>
      <c r="F29" s="113"/>
      <c r="G29" s="113"/>
      <c r="H29" s="113"/>
      <c r="I29" s="113"/>
      <c r="J29" s="113"/>
      <c r="K29" s="113"/>
      <c r="L29" s="113"/>
      <c r="M29" s="113"/>
      <c r="N29" s="113"/>
      <c r="O29" s="113"/>
      <c r="P29" s="113"/>
      <c r="Q29" s="113"/>
      <c r="R29" s="113"/>
      <c r="S29" s="113"/>
      <c r="T29" s="113"/>
      <c r="U29" s="113"/>
      <c r="V29" s="113"/>
      <c r="W29" s="113"/>
      <c r="X29" s="113"/>
      <c r="Y29" s="113"/>
      <c r="Z29" s="113"/>
    </row>
    <row r="30">
      <c r="A30" s="113"/>
      <c r="B30" s="120"/>
      <c r="C30" s="119"/>
      <c r="D30" s="40"/>
      <c r="E30" s="114"/>
      <c r="F30" s="113"/>
      <c r="G30" s="113"/>
      <c r="H30" s="113"/>
      <c r="I30" s="113"/>
      <c r="J30" s="113"/>
      <c r="K30" s="113"/>
      <c r="L30" s="113"/>
      <c r="M30" s="113"/>
      <c r="N30" s="113"/>
      <c r="O30" s="113"/>
      <c r="P30" s="113"/>
      <c r="Q30" s="113"/>
      <c r="R30" s="113"/>
      <c r="S30" s="113"/>
      <c r="T30" s="113"/>
      <c r="U30" s="113"/>
      <c r="V30" s="113"/>
      <c r="W30" s="113"/>
      <c r="X30" s="113"/>
      <c r="Y30" s="113"/>
      <c r="Z30" s="113"/>
    </row>
    <row r="31">
      <c r="A31" s="113"/>
      <c r="B31" s="120"/>
      <c r="C31" s="119"/>
      <c r="D31" s="40"/>
      <c r="E31" s="114"/>
      <c r="F31" s="113"/>
      <c r="G31" s="113"/>
      <c r="H31" s="113"/>
      <c r="I31" s="113"/>
      <c r="J31" s="113"/>
      <c r="K31" s="113"/>
      <c r="L31" s="113"/>
      <c r="M31" s="113"/>
      <c r="N31" s="113"/>
      <c r="O31" s="113"/>
      <c r="P31" s="113"/>
      <c r="Q31" s="113"/>
      <c r="R31" s="113"/>
      <c r="S31" s="113"/>
      <c r="T31" s="113"/>
      <c r="U31" s="113"/>
      <c r="V31" s="113"/>
      <c r="W31" s="113"/>
      <c r="X31" s="113"/>
      <c r="Y31" s="113"/>
      <c r="Z31" s="113"/>
    </row>
    <row r="32">
      <c r="A32" s="113"/>
      <c r="B32" s="120"/>
      <c r="C32" s="119"/>
      <c r="D32" s="40"/>
      <c r="E32" s="114"/>
      <c r="F32" s="113"/>
      <c r="G32" s="113"/>
      <c r="H32" s="113"/>
      <c r="I32" s="113"/>
      <c r="J32" s="113"/>
      <c r="K32" s="113"/>
      <c r="L32" s="113"/>
      <c r="M32" s="113"/>
      <c r="N32" s="113"/>
      <c r="O32" s="113"/>
      <c r="P32" s="113"/>
      <c r="Q32" s="113"/>
      <c r="R32" s="113"/>
      <c r="S32" s="113"/>
      <c r="T32" s="113"/>
      <c r="U32" s="113"/>
      <c r="V32" s="113"/>
      <c r="W32" s="113"/>
      <c r="X32" s="113"/>
      <c r="Y32" s="113"/>
      <c r="Z32" s="113"/>
    </row>
    <row r="33">
      <c r="A33" s="113"/>
      <c r="B33" s="120"/>
      <c r="C33" s="119"/>
      <c r="D33" s="40"/>
      <c r="E33" s="114"/>
      <c r="F33" s="113"/>
      <c r="G33" s="113"/>
      <c r="H33" s="113"/>
      <c r="I33" s="113"/>
      <c r="J33" s="113"/>
      <c r="K33" s="113"/>
      <c r="L33" s="113"/>
      <c r="M33" s="113"/>
      <c r="N33" s="113"/>
      <c r="O33" s="113"/>
      <c r="P33" s="113"/>
      <c r="Q33" s="113"/>
      <c r="R33" s="113"/>
      <c r="S33" s="113"/>
      <c r="T33" s="113"/>
      <c r="U33" s="113"/>
      <c r="V33" s="113"/>
      <c r="W33" s="113"/>
      <c r="X33" s="113"/>
      <c r="Y33" s="113"/>
      <c r="Z33" s="113"/>
    </row>
    <row r="34">
      <c r="A34" s="113"/>
      <c r="B34" s="120"/>
      <c r="C34" s="119"/>
      <c r="D34" s="40"/>
      <c r="E34" s="114"/>
      <c r="F34" s="113"/>
      <c r="G34" s="113"/>
      <c r="H34" s="113"/>
      <c r="I34" s="113"/>
      <c r="J34" s="113"/>
      <c r="K34" s="113"/>
      <c r="L34" s="113"/>
      <c r="M34" s="113"/>
      <c r="N34" s="113"/>
      <c r="O34" s="113"/>
      <c r="P34" s="113"/>
      <c r="Q34" s="113"/>
      <c r="R34" s="113"/>
      <c r="S34" s="113"/>
      <c r="T34" s="113"/>
      <c r="U34" s="113"/>
      <c r="V34" s="113"/>
      <c r="W34" s="113"/>
      <c r="X34" s="113"/>
      <c r="Y34" s="113"/>
      <c r="Z34" s="113"/>
    </row>
    <row r="35">
      <c r="A35" s="113"/>
      <c r="B35" s="120"/>
      <c r="C35" s="119"/>
      <c r="D35" s="40"/>
      <c r="E35" s="114"/>
      <c r="F35" s="113"/>
      <c r="G35" s="113"/>
      <c r="H35" s="113"/>
      <c r="I35" s="113"/>
      <c r="J35" s="113"/>
      <c r="K35" s="113"/>
      <c r="L35" s="113"/>
      <c r="M35" s="113"/>
      <c r="N35" s="113"/>
      <c r="O35" s="113"/>
      <c r="P35" s="113"/>
      <c r="Q35" s="113"/>
      <c r="R35" s="113"/>
      <c r="S35" s="113"/>
      <c r="T35" s="113"/>
      <c r="U35" s="113"/>
      <c r="V35" s="113"/>
      <c r="W35" s="113"/>
      <c r="X35" s="113"/>
      <c r="Y35" s="113"/>
      <c r="Z35" s="113"/>
    </row>
    <row r="36">
      <c r="A36" s="113"/>
      <c r="B36" s="120"/>
      <c r="C36" s="119"/>
      <c r="D36" s="40"/>
      <c r="E36" s="114"/>
      <c r="F36" s="113"/>
      <c r="G36" s="113"/>
      <c r="H36" s="113"/>
      <c r="I36" s="113"/>
      <c r="J36" s="113"/>
      <c r="K36" s="113"/>
      <c r="L36" s="113"/>
      <c r="M36" s="113"/>
      <c r="N36" s="113"/>
      <c r="O36" s="113"/>
      <c r="P36" s="113"/>
      <c r="Q36" s="113"/>
      <c r="R36" s="113"/>
      <c r="S36" s="113"/>
      <c r="T36" s="113"/>
      <c r="U36" s="113"/>
      <c r="V36" s="113"/>
      <c r="W36" s="113"/>
      <c r="X36" s="113"/>
      <c r="Y36" s="113"/>
      <c r="Z36" s="113"/>
    </row>
    <row r="37">
      <c r="A37" s="113"/>
      <c r="B37" s="120"/>
      <c r="C37" s="119"/>
      <c r="D37" s="40"/>
      <c r="E37" s="114"/>
      <c r="F37" s="113"/>
      <c r="G37" s="113"/>
      <c r="H37" s="113"/>
      <c r="I37" s="113"/>
      <c r="J37" s="113"/>
      <c r="K37" s="113"/>
      <c r="L37" s="113"/>
      <c r="M37" s="113"/>
      <c r="N37" s="113"/>
      <c r="O37" s="113"/>
      <c r="P37" s="113"/>
      <c r="Q37" s="113"/>
      <c r="R37" s="113"/>
      <c r="S37" s="113"/>
      <c r="T37" s="113"/>
      <c r="U37" s="113"/>
      <c r="V37" s="113"/>
      <c r="W37" s="113"/>
      <c r="X37" s="113"/>
      <c r="Y37" s="113"/>
      <c r="Z37" s="113"/>
    </row>
    <row r="38">
      <c r="A38" s="109" t="s">
        <v>2641</v>
      </c>
      <c r="B38" s="120"/>
      <c r="C38" s="119"/>
      <c r="D38" s="40"/>
      <c r="E38" s="114"/>
      <c r="F38" s="113"/>
      <c r="G38" s="113"/>
      <c r="H38" s="113"/>
      <c r="I38" s="113"/>
      <c r="J38" s="113"/>
      <c r="K38" s="113"/>
      <c r="L38" s="113"/>
      <c r="M38" s="113"/>
      <c r="N38" s="113"/>
      <c r="O38" s="113"/>
      <c r="P38" s="113"/>
      <c r="Q38" s="113"/>
      <c r="R38" s="113"/>
      <c r="S38" s="113"/>
      <c r="T38" s="113"/>
      <c r="U38" s="113"/>
      <c r="V38" s="113"/>
      <c r="W38" s="113"/>
      <c r="X38" s="113"/>
      <c r="Y38" s="113"/>
      <c r="Z38" s="113"/>
    </row>
    <row r="39">
      <c r="A39" s="106" t="s">
        <v>2642</v>
      </c>
      <c r="B39" s="120"/>
      <c r="C39" s="119"/>
      <c r="D39" s="40"/>
      <c r="E39" s="114"/>
      <c r="F39" s="113"/>
      <c r="G39" s="113"/>
      <c r="H39" s="113"/>
      <c r="I39" s="113"/>
      <c r="J39" s="113"/>
      <c r="K39" s="113"/>
      <c r="L39" s="113"/>
      <c r="M39" s="113"/>
      <c r="N39" s="113"/>
      <c r="O39" s="113"/>
      <c r="P39" s="113"/>
      <c r="Q39" s="113"/>
      <c r="R39" s="113"/>
      <c r="S39" s="113"/>
      <c r="T39" s="113"/>
      <c r="U39" s="113"/>
      <c r="V39" s="113"/>
      <c r="W39" s="113"/>
      <c r="X39" s="113"/>
      <c r="Y39" s="113"/>
      <c r="Z39" s="113"/>
    </row>
    <row r="40">
      <c r="A40" s="106" t="s">
        <v>2643</v>
      </c>
      <c r="B40" s="120"/>
      <c r="C40" s="119"/>
      <c r="D40" s="40"/>
      <c r="E40" s="114"/>
      <c r="F40" s="113"/>
      <c r="G40" s="113"/>
      <c r="H40" s="113"/>
      <c r="I40" s="113"/>
      <c r="J40" s="113"/>
      <c r="K40" s="113"/>
      <c r="L40" s="113"/>
      <c r="M40" s="113"/>
      <c r="N40" s="113"/>
      <c r="O40" s="113"/>
      <c r="P40" s="113"/>
      <c r="Q40" s="113"/>
      <c r="R40" s="113"/>
      <c r="S40" s="113"/>
      <c r="T40" s="113"/>
      <c r="U40" s="113"/>
      <c r="V40" s="113"/>
      <c r="W40" s="113"/>
      <c r="X40" s="113"/>
      <c r="Y40" s="113"/>
      <c r="Z40" s="113"/>
    </row>
    <row r="41">
      <c r="A41" s="106" t="s">
        <v>2644</v>
      </c>
      <c r="B41" s="120"/>
      <c r="C41" s="115" t="s">
        <v>2645</v>
      </c>
      <c r="D41" s="40"/>
      <c r="E41" s="114"/>
      <c r="F41" s="113"/>
      <c r="G41" s="113"/>
      <c r="H41" s="113"/>
      <c r="I41" s="113"/>
      <c r="J41" s="113"/>
      <c r="K41" s="113"/>
      <c r="L41" s="113"/>
      <c r="M41" s="113"/>
      <c r="N41" s="113"/>
      <c r="O41" s="113"/>
      <c r="P41" s="113"/>
      <c r="Q41" s="113"/>
      <c r="R41" s="113"/>
      <c r="S41" s="113"/>
      <c r="T41" s="113"/>
      <c r="U41" s="113"/>
      <c r="V41" s="113"/>
      <c r="W41" s="113"/>
      <c r="X41" s="113"/>
      <c r="Y41" s="113"/>
      <c r="Z41" s="113"/>
    </row>
    <row r="42">
      <c r="A42" s="106" t="s">
        <v>2646</v>
      </c>
      <c r="B42" s="120"/>
      <c r="C42" s="119"/>
      <c r="D42" s="40"/>
      <c r="E42" s="114"/>
      <c r="F42" s="113"/>
      <c r="G42" s="113"/>
      <c r="H42" s="113"/>
      <c r="I42" s="113"/>
      <c r="J42" s="113"/>
      <c r="K42" s="113"/>
      <c r="L42" s="113"/>
      <c r="M42" s="113"/>
      <c r="N42" s="113"/>
      <c r="O42" s="113"/>
      <c r="P42" s="113"/>
      <c r="Q42" s="113"/>
      <c r="R42" s="113"/>
      <c r="S42" s="113"/>
      <c r="T42" s="113"/>
      <c r="U42" s="113"/>
      <c r="V42" s="113"/>
      <c r="W42" s="113"/>
      <c r="X42" s="113"/>
      <c r="Y42" s="113"/>
      <c r="Z42" s="113"/>
    </row>
    <row r="43">
      <c r="A43" s="106" t="s">
        <v>2647</v>
      </c>
      <c r="B43" s="120"/>
      <c r="C43" s="119"/>
      <c r="D43" s="40"/>
      <c r="E43" s="114"/>
      <c r="F43" s="113"/>
      <c r="G43" s="113"/>
      <c r="H43" s="113"/>
      <c r="I43" s="113"/>
      <c r="J43" s="113"/>
      <c r="K43" s="113"/>
      <c r="L43" s="113"/>
      <c r="M43" s="113"/>
      <c r="N43" s="113"/>
      <c r="O43" s="113"/>
      <c r="P43" s="113"/>
      <c r="Q43" s="113"/>
      <c r="R43" s="113"/>
      <c r="S43" s="113"/>
      <c r="T43" s="113"/>
      <c r="U43" s="113"/>
      <c r="V43" s="113"/>
      <c r="W43" s="113"/>
      <c r="X43" s="113"/>
      <c r="Y43" s="113"/>
      <c r="Z43" s="113"/>
    </row>
    <row r="44">
      <c r="A44" s="106" t="s">
        <v>2648</v>
      </c>
      <c r="B44" s="120"/>
      <c r="C44" s="119"/>
      <c r="D44" s="40"/>
      <c r="E44" s="114"/>
      <c r="F44" s="113"/>
      <c r="G44" s="113"/>
      <c r="H44" s="113"/>
      <c r="I44" s="113"/>
      <c r="J44" s="113"/>
      <c r="K44" s="113"/>
      <c r="L44" s="113"/>
      <c r="M44" s="113"/>
      <c r="N44" s="113"/>
      <c r="O44" s="113"/>
      <c r="P44" s="113"/>
      <c r="Q44" s="113"/>
      <c r="R44" s="113"/>
      <c r="S44" s="113"/>
      <c r="T44" s="113"/>
      <c r="U44" s="113"/>
      <c r="V44" s="113"/>
      <c r="W44" s="113"/>
      <c r="X44" s="113"/>
      <c r="Y44" s="113"/>
      <c r="Z44" s="113"/>
    </row>
    <row r="45">
      <c r="A45" s="106" t="s">
        <v>2649</v>
      </c>
      <c r="B45" s="120"/>
      <c r="C45" s="119"/>
      <c r="D45" s="40"/>
      <c r="E45" s="114"/>
      <c r="F45" s="113"/>
      <c r="G45" s="113"/>
      <c r="H45" s="113"/>
      <c r="I45" s="113"/>
      <c r="J45" s="113"/>
      <c r="K45" s="113"/>
      <c r="L45" s="113"/>
      <c r="M45" s="113"/>
      <c r="N45" s="113"/>
      <c r="O45" s="113"/>
      <c r="P45" s="113"/>
      <c r="Q45" s="113"/>
      <c r="R45" s="113"/>
      <c r="S45" s="113"/>
      <c r="T45" s="113"/>
      <c r="U45" s="113"/>
      <c r="V45" s="113"/>
      <c r="W45" s="113"/>
      <c r="X45" s="113"/>
      <c r="Y45" s="113"/>
      <c r="Z45" s="113"/>
    </row>
    <row r="46">
      <c r="A46" s="113"/>
      <c r="B46" s="120"/>
      <c r="C46" s="119"/>
      <c r="D46" s="40"/>
      <c r="E46" s="114"/>
      <c r="F46" s="113"/>
      <c r="G46" s="113"/>
      <c r="H46" s="113"/>
      <c r="I46" s="113"/>
      <c r="J46" s="113"/>
      <c r="K46" s="113"/>
      <c r="L46" s="113"/>
      <c r="M46" s="113"/>
      <c r="N46" s="113"/>
      <c r="O46" s="113"/>
      <c r="P46" s="113"/>
      <c r="Q46" s="113"/>
      <c r="R46" s="113"/>
      <c r="S46" s="113"/>
      <c r="T46" s="113"/>
      <c r="U46" s="113"/>
      <c r="V46" s="113"/>
      <c r="W46" s="113"/>
      <c r="X46" s="113"/>
      <c r="Y46" s="113"/>
      <c r="Z46" s="113"/>
    </row>
    <row r="47">
      <c r="A47" s="113"/>
      <c r="B47" s="120"/>
      <c r="C47" s="119"/>
      <c r="D47" s="40"/>
      <c r="E47" s="114"/>
      <c r="F47" s="113"/>
      <c r="G47" s="113"/>
      <c r="H47" s="113"/>
      <c r="I47" s="113"/>
      <c r="J47" s="113"/>
      <c r="K47" s="113"/>
      <c r="L47" s="113"/>
      <c r="M47" s="113"/>
      <c r="N47" s="113"/>
      <c r="O47" s="113"/>
      <c r="P47" s="113"/>
      <c r="Q47" s="113"/>
      <c r="R47" s="113"/>
      <c r="S47" s="113"/>
      <c r="T47" s="113"/>
      <c r="U47" s="113"/>
      <c r="V47" s="113"/>
      <c r="W47" s="113"/>
      <c r="X47" s="113"/>
      <c r="Y47" s="113"/>
      <c r="Z47" s="113"/>
    </row>
    <row r="48">
      <c r="A48" s="113"/>
      <c r="B48" s="120"/>
      <c r="C48" s="119"/>
      <c r="D48" s="40"/>
      <c r="E48" s="114"/>
      <c r="F48" s="113"/>
      <c r="G48" s="113"/>
      <c r="H48" s="113"/>
      <c r="I48" s="113"/>
      <c r="J48" s="113"/>
      <c r="K48" s="113"/>
      <c r="L48" s="113"/>
      <c r="M48" s="113"/>
      <c r="N48" s="113"/>
      <c r="O48" s="113"/>
      <c r="P48" s="113"/>
      <c r="Q48" s="113"/>
      <c r="R48" s="113"/>
      <c r="S48" s="113"/>
      <c r="T48" s="113"/>
      <c r="U48" s="113"/>
      <c r="V48" s="113"/>
      <c r="W48" s="113"/>
      <c r="X48" s="113"/>
      <c r="Y48" s="113"/>
      <c r="Z48" s="113"/>
    </row>
    <row r="49">
      <c r="A49" s="113"/>
      <c r="B49" s="120"/>
      <c r="C49" s="119"/>
      <c r="D49" s="40"/>
      <c r="E49" s="114"/>
      <c r="F49" s="113"/>
      <c r="G49" s="113"/>
      <c r="H49" s="113"/>
      <c r="I49" s="113"/>
      <c r="J49" s="113"/>
      <c r="K49" s="113"/>
      <c r="L49" s="113"/>
      <c r="M49" s="113"/>
      <c r="N49" s="113"/>
      <c r="O49" s="113"/>
      <c r="P49" s="113"/>
      <c r="Q49" s="113"/>
      <c r="R49" s="113"/>
      <c r="S49" s="113"/>
      <c r="T49" s="113"/>
      <c r="U49" s="113"/>
      <c r="V49" s="113"/>
      <c r="W49" s="113"/>
      <c r="X49" s="113"/>
      <c r="Y49" s="113"/>
      <c r="Z49" s="113"/>
    </row>
    <row r="50">
      <c r="A50" s="113"/>
      <c r="B50" s="120"/>
      <c r="C50" s="119"/>
      <c r="D50" s="40"/>
      <c r="E50" s="114"/>
      <c r="F50" s="113"/>
      <c r="G50" s="113"/>
      <c r="H50" s="113"/>
      <c r="I50" s="113"/>
      <c r="J50" s="113"/>
      <c r="K50" s="113"/>
      <c r="L50" s="113"/>
      <c r="M50" s="113"/>
      <c r="N50" s="113"/>
      <c r="O50" s="113"/>
      <c r="P50" s="113"/>
      <c r="Q50" s="113"/>
      <c r="R50" s="113"/>
      <c r="S50" s="113"/>
      <c r="T50" s="113"/>
      <c r="U50" s="113"/>
      <c r="V50" s="113"/>
      <c r="W50" s="113"/>
      <c r="X50" s="113"/>
      <c r="Y50" s="113"/>
      <c r="Z50" s="113"/>
    </row>
    <row r="51">
      <c r="A51" s="113"/>
      <c r="B51" s="120"/>
      <c r="C51" s="124" t="s">
        <v>1226</v>
      </c>
      <c r="D51" s="41" t="s">
        <v>2650</v>
      </c>
      <c r="E51" s="114"/>
      <c r="F51" s="113"/>
      <c r="G51" s="113"/>
      <c r="H51" s="113"/>
      <c r="I51" s="113"/>
      <c r="J51" s="113"/>
      <c r="K51" s="113"/>
      <c r="L51" s="113"/>
      <c r="M51" s="113"/>
      <c r="N51" s="113"/>
      <c r="O51" s="113"/>
      <c r="P51" s="113"/>
      <c r="Q51" s="113"/>
      <c r="R51" s="113"/>
      <c r="S51" s="113"/>
      <c r="T51" s="113"/>
      <c r="U51" s="113"/>
      <c r="V51" s="113"/>
      <c r="W51" s="113"/>
      <c r="X51" s="113"/>
      <c r="Y51" s="113"/>
      <c r="Z51" s="113"/>
    </row>
    <row r="52">
      <c r="A52" s="113"/>
      <c r="B52" s="120"/>
      <c r="C52" s="119"/>
      <c r="D52" s="40"/>
      <c r="E52" s="114"/>
      <c r="F52" s="113"/>
      <c r="G52" s="113"/>
      <c r="H52" s="113"/>
      <c r="I52" s="113"/>
      <c r="J52" s="113"/>
      <c r="K52" s="113"/>
      <c r="L52" s="113"/>
      <c r="M52" s="113"/>
      <c r="N52" s="113"/>
      <c r="O52" s="113"/>
      <c r="P52" s="113"/>
      <c r="Q52" s="113"/>
      <c r="R52" s="113"/>
      <c r="S52" s="113"/>
      <c r="T52" s="113"/>
      <c r="U52" s="113"/>
      <c r="V52" s="113"/>
      <c r="W52" s="113"/>
      <c r="X52" s="113"/>
      <c r="Y52" s="113"/>
      <c r="Z52" s="113"/>
    </row>
    <row r="53">
      <c r="A53" s="113"/>
      <c r="B53" s="120"/>
      <c r="C53" s="119"/>
      <c r="D53" s="40"/>
      <c r="E53" s="114"/>
      <c r="F53" s="113"/>
      <c r="G53" s="113"/>
      <c r="H53" s="113"/>
      <c r="I53" s="113"/>
      <c r="J53" s="113"/>
      <c r="K53" s="113"/>
      <c r="L53" s="113"/>
      <c r="M53" s="113"/>
      <c r="N53" s="113"/>
      <c r="O53" s="113"/>
      <c r="P53" s="113"/>
      <c r="Q53" s="113"/>
      <c r="R53" s="113"/>
      <c r="S53" s="113"/>
      <c r="T53" s="113"/>
      <c r="U53" s="113"/>
      <c r="V53" s="113"/>
      <c r="W53" s="113"/>
      <c r="X53" s="113"/>
      <c r="Y53" s="113"/>
      <c r="Z53" s="113"/>
    </row>
    <row r="54">
      <c r="A54" s="113"/>
      <c r="B54" s="120"/>
      <c r="C54" s="119"/>
      <c r="D54" s="40"/>
      <c r="E54" s="114"/>
      <c r="F54" s="113"/>
      <c r="G54" s="113"/>
      <c r="H54" s="113"/>
      <c r="I54" s="113"/>
      <c r="J54" s="113"/>
      <c r="K54" s="113"/>
      <c r="L54" s="113"/>
      <c r="M54" s="113"/>
      <c r="N54" s="113"/>
      <c r="O54" s="113"/>
      <c r="P54" s="113"/>
      <c r="Q54" s="113"/>
      <c r="R54" s="113"/>
      <c r="S54" s="113"/>
      <c r="T54" s="113"/>
      <c r="U54" s="113"/>
      <c r="V54" s="113"/>
      <c r="W54" s="113"/>
      <c r="X54" s="113"/>
      <c r="Y54" s="113"/>
      <c r="Z54" s="113"/>
    </row>
    <row r="55">
      <c r="A55" s="113"/>
      <c r="B55" s="120"/>
      <c r="C55" s="119"/>
      <c r="D55" s="40"/>
      <c r="E55" s="114"/>
      <c r="F55" s="113"/>
      <c r="G55" s="113"/>
      <c r="H55" s="113"/>
      <c r="I55" s="113"/>
      <c r="J55" s="113"/>
      <c r="K55" s="113"/>
      <c r="L55" s="113"/>
      <c r="M55" s="113"/>
      <c r="N55" s="113"/>
      <c r="O55" s="113"/>
      <c r="P55" s="113"/>
      <c r="Q55" s="113"/>
      <c r="R55" s="113"/>
      <c r="S55" s="113"/>
      <c r="T55" s="113"/>
      <c r="U55" s="113"/>
      <c r="V55" s="113"/>
      <c r="W55" s="113"/>
      <c r="X55" s="113"/>
      <c r="Y55" s="113"/>
      <c r="Z55" s="113"/>
    </row>
    <row r="56">
      <c r="A56" s="113"/>
      <c r="B56" s="120"/>
      <c r="C56" s="119"/>
      <c r="D56" s="40"/>
      <c r="E56" s="114"/>
      <c r="F56" s="113"/>
      <c r="G56" s="113"/>
      <c r="H56" s="113"/>
      <c r="I56" s="113"/>
      <c r="J56" s="113"/>
      <c r="K56" s="113"/>
      <c r="L56" s="113"/>
      <c r="M56" s="113"/>
      <c r="N56" s="113"/>
      <c r="O56" s="113"/>
      <c r="P56" s="113"/>
      <c r="Q56" s="113"/>
      <c r="R56" s="113"/>
      <c r="S56" s="113"/>
      <c r="T56" s="113"/>
      <c r="U56" s="113"/>
      <c r="V56" s="113"/>
      <c r="W56" s="113"/>
      <c r="X56" s="113"/>
      <c r="Y56" s="113"/>
      <c r="Z56" s="113"/>
    </row>
    <row r="57">
      <c r="A57" s="113"/>
      <c r="B57" s="120"/>
      <c r="C57" s="119"/>
      <c r="D57" s="40"/>
      <c r="E57" s="114"/>
      <c r="F57" s="113"/>
      <c r="G57" s="113"/>
      <c r="H57" s="113"/>
      <c r="I57" s="113"/>
      <c r="J57" s="113"/>
      <c r="K57" s="113"/>
      <c r="L57" s="113"/>
      <c r="M57" s="113"/>
      <c r="N57" s="113"/>
      <c r="O57" s="113"/>
      <c r="P57" s="113"/>
      <c r="Q57" s="113"/>
      <c r="R57" s="113"/>
      <c r="S57" s="113"/>
      <c r="T57" s="113"/>
      <c r="U57" s="113"/>
      <c r="V57" s="113"/>
      <c r="W57" s="113"/>
      <c r="X57" s="113"/>
      <c r="Y57" s="113"/>
      <c r="Z57" s="113"/>
    </row>
    <row r="58">
      <c r="A58" s="113"/>
      <c r="B58" s="120"/>
      <c r="C58" s="119"/>
      <c r="D58" s="40"/>
      <c r="E58" s="114"/>
      <c r="F58" s="113"/>
      <c r="G58" s="113"/>
      <c r="H58" s="113"/>
      <c r="I58" s="113"/>
      <c r="J58" s="113"/>
      <c r="K58" s="113"/>
      <c r="L58" s="113"/>
      <c r="M58" s="113"/>
      <c r="N58" s="113"/>
      <c r="O58" s="113"/>
      <c r="P58" s="113"/>
      <c r="Q58" s="113"/>
      <c r="R58" s="113"/>
      <c r="S58" s="113"/>
      <c r="T58" s="113"/>
      <c r="U58" s="113"/>
      <c r="V58" s="113"/>
      <c r="W58" s="113"/>
      <c r="X58" s="113"/>
      <c r="Y58" s="113"/>
      <c r="Z58" s="113"/>
    </row>
    <row r="59">
      <c r="A59" s="113"/>
      <c r="B59" s="120"/>
      <c r="C59" s="119"/>
      <c r="D59" s="40"/>
      <c r="E59" s="114"/>
      <c r="F59" s="113"/>
      <c r="G59" s="113"/>
      <c r="H59" s="113"/>
      <c r="I59" s="113"/>
      <c r="J59" s="113"/>
      <c r="K59" s="113"/>
      <c r="L59" s="113"/>
      <c r="M59" s="113"/>
      <c r="N59" s="113"/>
      <c r="O59" s="113"/>
      <c r="P59" s="113"/>
      <c r="Q59" s="113"/>
      <c r="R59" s="113"/>
      <c r="S59" s="113"/>
      <c r="T59" s="113"/>
      <c r="U59" s="113"/>
      <c r="V59" s="113"/>
      <c r="W59" s="113"/>
      <c r="X59" s="113"/>
      <c r="Y59" s="113"/>
      <c r="Z59" s="113"/>
    </row>
    <row r="60">
      <c r="A60" s="113"/>
      <c r="B60" s="120"/>
      <c r="C60" s="119"/>
      <c r="D60" s="40"/>
      <c r="E60" s="114"/>
      <c r="F60" s="113"/>
      <c r="G60" s="113"/>
      <c r="H60" s="113"/>
      <c r="I60" s="113"/>
      <c r="J60" s="113"/>
      <c r="K60" s="113"/>
      <c r="L60" s="113"/>
      <c r="M60" s="113"/>
      <c r="N60" s="113"/>
      <c r="O60" s="113"/>
      <c r="P60" s="113"/>
      <c r="Q60" s="113"/>
      <c r="R60" s="113"/>
      <c r="S60" s="113"/>
      <c r="T60" s="113"/>
      <c r="U60" s="113"/>
      <c r="V60" s="113"/>
      <c r="W60" s="113"/>
      <c r="X60" s="113"/>
      <c r="Y60" s="113"/>
      <c r="Z60" s="113"/>
    </row>
    <row r="61">
      <c r="A61" s="113"/>
      <c r="B61" s="120"/>
      <c r="C61" s="119"/>
      <c r="D61" s="40"/>
      <c r="E61" s="114"/>
      <c r="F61" s="113"/>
      <c r="G61" s="113"/>
      <c r="H61" s="113"/>
      <c r="I61" s="113"/>
      <c r="J61" s="113"/>
      <c r="K61" s="113"/>
      <c r="L61" s="113"/>
      <c r="M61" s="113"/>
      <c r="N61" s="113"/>
      <c r="O61" s="113"/>
      <c r="P61" s="113"/>
      <c r="Q61" s="113"/>
      <c r="R61" s="113"/>
      <c r="S61" s="113"/>
      <c r="T61" s="113"/>
      <c r="U61" s="113"/>
      <c r="V61" s="113"/>
      <c r="W61" s="113"/>
      <c r="X61" s="113"/>
      <c r="Y61" s="113"/>
      <c r="Z61" s="113"/>
    </row>
    <row r="62">
      <c r="A62" s="113"/>
      <c r="B62" s="120"/>
      <c r="C62" s="119"/>
      <c r="D62" s="40"/>
      <c r="E62" s="114"/>
      <c r="F62" s="113"/>
      <c r="G62" s="113"/>
      <c r="H62" s="113"/>
      <c r="I62" s="113"/>
      <c r="J62" s="113"/>
      <c r="K62" s="113"/>
      <c r="L62" s="113"/>
      <c r="M62" s="113"/>
      <c r="N62" s="113"/>
      <c r="O62" s="113"/>
      <c r="P62" s="113"/>
      <c r="Q62" s="113"/>
      <c r="R62" s="113"/>
      <c r="S62" s="113"/>
      <c r="T62" s="113"/>
      <c r="U62" s="113"/>
      <c r="V62" s="113"/>
      <c r="W62" s="113"/>
      <c r="X62" s="113"/>
      <c r="Y62" s="113"/>
      <c r="Z62" s="113"/>
    </row>
    <row r="63">
      <c r="A63" s="113"/>
      <c r="B63" s="120"/>
      <c r="C63" s="119"/>
      <c r="D63" s="40"/>
      <c r="E63" s="114"/>
      <c r="F63" s="113"/>
      <c r="G63" s="113"/>
      <c r="H63" s="113"/>
      <c r="I63" s="113"/>
      <c r="J63" s="113"/>
      <c r="K63" s="113"/>
      <c r="L63" s="113"/>
      <c r="M63" s="113"/>
      <c r="N63" s="113"/>
      <c r="O63" s="113"/>
      <c r="P63" s="113"/>
      <c r="Q63" s="113"/>
      <c r="R63" s="113"/>
      <c r="S63" s="113"/>
      <c r="T63" s="113"/>
      <c r="U63" s="113"/>
      <c r="V63" s="113"/>
      <c r="W63" s="113"/>
      <c r="X63" s="113"/>
      <c r="Y63" s="113"/>
      <c r="Z63" s="113"/>
    </row>
    <row r="64">
      <c r="A64" s="113"/>
      <c r="B64" s="120"/>
      <c r="C64" s="119"/>
      <c r="D64" s="40"/>
      <c r="E64" s="114"/>
      <c r="F64" s="113"/>
      <c r="G64" s="113"/>
      <c r="H64" s="113"/>
      <c r="I64" s="113"/>
      <c r="J64" s="113"/>
      <c r="K64" s="113"/>
      <c r="L64" s="113"/>
      <c r="M64" s="113"/>
      <c r="N64" s="113"/>
      <c r="O64" s="113"/>
      <c r="P64" s="113"/>
      <c r="Q64" s="113"/>
      <c r="R64" s="113"/>
      <c r="S64" s="113"/>
      <c r="T64" s="113"/>
      <c r="U64" s="113"/>
      <c r="V64" s="113"/>
      <c r="W64" s="113"/>
      <c r="X64" s="113"/>
      <c r="Y64" s="113"/>
      <c r="Z64" s="113"/>
    </row>
    <row r="65">
      <c r="A65" s="113"/>
      <c r="B65" s="120"/>
      <c r="C65" s="119"/>
      <c r="D65" s="40"/>
      <c r="E65" s="114"/>
      <c r="F65" s="113"/>
      <c r="G65" s="113"/>
      <c r="H65" s="113"/>
      <c r="I65" s="113"/>
      <c r="J65" s="113"/>
      <c r="K65" s="113"/>
      <c r="L65" s="113"/>
      <c r="M65" s="113"/>
      <c r="N65" s="113"/>
      <c r="O65" s="113"/>
      <c r="P65" s="113"/>
      <c r="Q65" s="113"/>
      <c r="R65" s="113"/>
      <c r="S65" s="113"/>
      <c r="T65" s="113"/>
      <c r="U65" s="113"/>
      <c r="V65" s="113"/>
      <c r="W65" s="113"/>
      <c r="X65" s="113"/>
      <c r="Y65" s="113"/>
      <c r="Z65" s="113"/>
    </row>
    <row r="66">
      <c r="A66" s="113"/>
      <c r="B66" s="120"/>
      <c r="C66" s="119"/>
      <c r="D66" s="40"/>
      <c r="E66" s="114"/>
      <c r="F66" s="113"/>
      <c r="G66" s="113"/>
      <c r="H66" s="113"/>
      <c r="I66" s="113"/>
      <c r="J66" s="113"/>
      <c r="K66" s="113"/>
      <c r="L66" s="113"/>
      <c r="M66" s="113"/>
      <c r="N66" s="113"/>
      <c r="O66" s="113"/>
      <c r="P66" s="113"/>
      <c r="Q66" s="113"/>
      <c r="R66" s="113"/>
      <c r="S66" s="113"/>
      <c r="T66" s="113"/>
      <c r="U66" s="113"/>
      <c r="V66" s="113"/>
      <c r="W66" s="113"/>
      <c r="X66" s="113"/>
      <c r="Y66" s="113"/>
      <c r="Z66" s="113"/>
    </row>
    <row r="67">
      <c r="A67" s="113"/>
      <c r="B67" s="120"/>
      <c r="C67" s="119"/>
      <c r="D67" s="40"/>
      <c r="E67" s="114"/>
      <c r="F67" s="113"/>
      <c r="G67" s="113"/>
      <c r="H67" s="113"/>
      <c r="I67" s="113"/>
      <c r="J67" s="113"/>
      <c r="K67" s="113"/>
      <c r="L67" s="113"/>
      <c r="M67" s="113"/>
      <c r="N67" s="113"/>
      <c r="O67" s="113"/>
      <c r="P67" s="113"/>
      <c r="Q67" s="113"/>
      <c r="R67" s="113"/>
      <c r="S67" s="113"/>
      <c r="T67" s="113"/>
      <c r="U67" s="113"/>
      <c r="V67" s="113"/>
      <c r="W67" s="113"/>
      <c r="X67" s="113"/>
      <c r="Y67" s="113"/>
      <c r="Z67" s="113"/>
    </row>
    <row r="68">
      <c r="A68" s="113"/>
      <c r="B68" s="120"/>
      <c r="C68" s="119"/>
      <c r="D68" s="40"/>
      <c r="E68" s="114"/>
      <c r="F68" s="113"/>
      <c r="G68" s="113"/>
      <c r="H68" s="113"/>
      <c r="I68" s="113"/>
      <c r="J68" s="113"/>
      <c r="K68" s="113"/>
      <c r="L68" s="113"/>
      <c r="M68" s="113"/>
      <c r="N68" s="113"/>
      <c r="O68" s="113"/>
      <c r="P68" s="113"/>
      <c r="Q68" s="113"/>
      <c r="R68" s="113"/>
      <c r="S68" s="113"/>
      <c r="T68" s="113"/>
      <c r="U68" s="113"/>
      <c r="V68" s="113"/>
      <c r="W68" s="113"/>
      <c r="X68" s="113"/>
      <c r="Y68" s="113"/>
      <c r="Z68" s="113"/>
    </row>
    <row r="69">
      <c r="A69" s="113"/>
      <c r="B69" s="120"/>
      <c r="C69" s="119"/>
      <c r="D69" s="40"/>
      <c r="E69" s="114"/>
      <c r="F69" s="113"/>
      <c r="G69" s="113"/>
      <c r="H69" s="113"/>
      <c r="I69" s="113"/>
      <c r="J69" s="113"/>
      <c r="K69" s="113"/>
      <c r="L69" s="113"/>
      <c r="M69" s="113"/>
      <c r="N69" s="113"/>
      <c r="O69" s="113"/>
      <c r="P69" s="113"/>
      <c r="Q69" s="113"/>
      <c r="R69" s="113"/>
      <c r="S69" s="113"/>
      <c r="T69" s="113"/>
      <c r="U69" s="113"/>
      <c r="V69" s="113"/>
      <c r="W69" s="113"/>
      <c r="X69" s="113"/>
      <c r="Y69" s="113"/>
      <c r="Z69" s="113"/>
    </row>
    <row r="70">
      <c r="A70" s="113"/>
      <c r="B70" s="120"/>
      <c r="C70" s="119"/>
      <c r="D70" s="40"/>
      <c r="E70" s="114"/>
      <c r="F70" s="113"/>
      <c r="G70" s="113"/>
      <c r="H70" s="113"/>
      <c r="I70" s="113"/>
      <c r="J70" s="113"/>
      <c r="K70" s="113"/>
      <c r="L70" s="113"/>
      <c r="M70" s="113"/>
      <c r="N70" s="113"/>
      <c r="O70" s="113"/>
      <c r="P70" s="113"/>
      <c r="Q70" s="113"/>
      <c r="R70" s="113"/>
      <c r="S70" s="113"/>
      <c r="T70" s="113"/>
      <c r="U70" s="113"/>
      <c r="V70" s="113"/>
      <c r="W70" s="113"/>
      <c r="X70" s="113"/>
      <c r="Y70" s="113"/>
      <c r="Z70" s="113"/>
    </row>
    <row r="71">
      <c r="A71" s="113"/>
      <c r="B71" s="120"/>
      <c r="C71" s="119"/>
      <c r="D71" s="40"/>
      <c r="E71" s="114"/>
      <c r="F71" s="113"/>
      <c r="G71" s="113"/>
      <c r="H71" s="113"/>
      <c r="I71" s="113"/>
      <c r="J71" s="113"/>
      <c r="K71" s="113"/>
      <c r="L71" s="113"/>
      <c r="M71" s="113"/>
      <c r="N71" s="113"/>
      <c r="O71" s="113"/>
      <c r="P71" s="113"/>
      <c r="Q71" s="113"/>
      <c r="R71" s="113"/>
      <c r="S71" s="113"/>
      <c r="T71" s="113"/>
      <c r="U71" s="113"/>
      <c r="V71" s="113"/>
      <c r="W71" s="113"/>
      <c r="X71" s="113"/>
      <c r="Y71" s="113"/>
      <c r="Z71" s="113"/>
    </row>
    <row r="72">
      <c r="A72" s="113"/>
      <c r="B72" s="120"/>
      <c r="C72" s="119"/>
      <c r="D72" s="40"/>
      <c r="E72" s="114"/>
      <c r="F72" s="113"/>
      <c r="G72" s="113"/>
      <c r="H72" s="113"/>
      <c r="I72" s="113"/>
      <c r="J72" s="113"/>
      <c r="K72" s="113"/>
      <c r="L72" s="113"/>
      <c r="M72" s="113"/>
      <c r="N72" s="113"/>
      <c r="O72" s="113"/>
      <c r="P72" s="113"/>
      <c r="Q72" s="113"/>
      <c r="R72" s="113"/>
      <c r="S72" s="113"/>
      <c r="T72" s="113"/>
      <c r="U72" s="113"/>
      <c r="V72" s="113"/>
      <c r="W72" s="113"/>
      <c r="X72" s="113"/>
      <c r="Y72" s="113"/>
      <c r="Z72" s="113"/>
    </row>
    <row r="73">
      <c r="A73" s="113"/>
      <c r="B73" s="120"/>
      <c r="C73" s="119"/>
      <c r="D73" s="40"/>
      <c r="E73" s="114"/>
      <c r="F73" s="113"/>
      <c r="G73" s="113"/>
      <c r="H73" s="113"/>
      <c r="I73" s="113"/>
      <c r="J73" s="113"/>
      <c r="K73" s="113"/>
      <c r="L73" s="113"/>
      <c r="M73" s="113"/>
      <c r="N73" s="113"/>
      <c r="O73" s="113"/>
      <c r="P73" s="113"/>
      <c r="Q73" s="113"/>
      <c r="R73" s="113"/>
      <c r="S73" s="113"/>
      <c r="T73" s="113"/>
      <c r="U73" s="113"/>
      <c r="V73" s="113"/>
      <c r="W73" s="113"/>
      <c r="X73" s="113"/>
      <c r="Y73" s="113"/>
      <c r="Z73" s="113"/>
    </row>
    <row r="74">
      <c r="A74" s="113"/>
      <c r="B74" s="120"/>
      <c r="C74" s="119"/>
      <c r="D74" s="40"/>
      <c r="E74" s="114"/>
      <c r="F74" s="113"/>
      <c r="G74" s="113"/>
      <c r="H74" s="113"/>
      <c r="I74" s="113"/>
      <c r="J74" s="113"/>
      <c r="K74" s="113"/>
      <c r="L74" s="113"/>
      <c r="M74" s="113"/>
      <c r="N74" s="113"/>
      <c r="O74" s="113"/>
      <c r="P74" s="113"/>
      <c r="Q74" s="113"/>
      <c r="R74" s="113"/>
      <c r="S74" s="113"/>
      <c r="T74" s="113"/>
      <c r="U74" s="113"/>
      <c r="V74" s="113"/>
      <c r="W74" s="113"/>
      <c r="X74" s="113"/>
      <c r="Y74" s="113"/>
      <c r="Z74" s="113"/>
    </row>
    <row r="75">
      <c r="A75" s="113"/>
      <c r="B75" s="120"/>
      <c r="C75" s="119"/>
      <c r="D75" s="40"/>
      <c r="E75" s="114"/>
      <c r="F75" s="113"/>
      <c r="G75" s="113"/>
      <c r="H75" s="113"/>
      <c r="I75" s="113"/>
      <c r="J75" s="113"/>
      <c r="K75" s="113"/>
      <c r="L75" s="113"/>
      <c r="M75" s="113"/>
      <c r="N75" s="113"/>
      <c r="O75" s="113"/>
      <c r="P75" s="113"/>
      <c r="Q75" s="113"/>
      <c r="R75" s="113"/>
      <c r="S75" s="113"/>
      <c r="T75" s="113"/>
      <c r="U75" s="113"/>
      <c r="V75" s="113"/>
      <c r="W75" s="113"/>
      <c r="X75" s="113"/>
      <c r="Y75" s="113"/>
      <c r="Z75" s="113"/>
    </row>
    <row r="76">
      <c r="A76" s="113"/>
      <c r="B76" s="120"/>
      <c r="C76" s="119"/>
      <c r="D76" s="40"/>
      <c r="E76" s="114"/>
      <c r="F76" s="113"/>
      <c r="G76" s="113"/>
      <c r="H76" s="113"/>
      <c r="I76" s="113"/>
      <c r="J76" s="113"/>
      <c r="K76" s="113"/>
      <c r="L76" s="113"/>
      <c r="M76" s="113"/>
      <c r="N76" s="113"/>
      <c r="O76" s="113"/>
      <c r="P76" s="113"/>
      <c r="Q76" s="113"/>
      <c r="R76" s="113"/>
      <c r="S76" s="113"/>
      <c r="T76" s="113"/>
      <c r="U76" s="113"/>
      <c r="V76" s="113"/>
      <c r="W76" s="113"/>
      <c r="X76" s="113"/>
      <c r="Y76" s="113"/>
      <c r="Z76" s="113"/>
    </row>
    <row r="77">
      <c r="A77" s="113"/>
      <c r="B77" s="120"/>
      <c r="C77" s="119"/>
      <c r="D77" s="40"/>
      <c r="E77" s="114"/>
      <c r="F77" s="113"/>
      <c r="G77" s="113"/>
      <c r="H77" s="113"/>
      <c r="I77" s="113"/>
      <c r="J77" s="113"/>
      <c r="K77" s="113"/>
      <c r="L77" s="113"/>
      <c r="M77" s="113"/>
      <c r="N77" s="113"/>
      <c r="O77" s="113"/>
      <c r="P77" s="113"/>
      <c r="Q77" s="113"/>
      <c r="R77" s="113"/>
      <c r="S77" s="113"/>
      <c r="T77" s="113"/>
      <c r="U77" s="113"/>
      <c r="V77" s="113"/>
      <c r="W77" s="113"/>
      <c r="X77" s="113"/>
      <c r="Y77" s="113"/>
      <c r="Z77" s="113"/>
    </row>
    <row r="78">
      <c r="A78" s="113"/>
      <c r="B78" s="120"/>
      <c r="C78" s="119"/>
      <c r="D78" s="40"/>
      <c r="E78" s="114"/>
      <c r="F78" s="113"/>
      <c r="G78" s="113"/>
      <c r="H78" s="113"/>
      <c r="I78" s="113"/>
      <c r="J78" s="113"/>
      <c r="K78" s="113"/>
      <c r="L78" s="113"/>
      <c r="M78" s="113"/>
      <c r="N78" s="113"/>
      <c r="O78" s="113"/>
      <c r="P78" s="113"/>
      <c r="Q78" s="113"/>
      <c r="R78" s="113"/>
      <c r="S78" s="113"/>
      <c r="T78" s="113"/>
      <c r="U78" s="113"/>
      <c r="V78" s="113"/>
      <c r="W78" s="113"/>
      <c r="X78" s="113"/>
      <c r="Y78" s="113"/>
      <c r="Z78" s="113"/>
    </row>
    <row r="79">
      <c r="A79" s="113"/>
      <c r="B79" s="120"/>
      <c r="C79" s="119"/>
      <c r="D79" s="40"/>
      <c r="E79" s="114"/>
      <c r="F79" s="113"/>
      <c r="G79" s="113"/>
      <c r="H79" s="113"/>
      <c r="I79" s="113"/>
      <c r="J79" s="113"/>
      <c r="K79" s="113"/>
      <c r="L79" s="113"/>
      <c r="M79" s="113"/>
      <c r="N79" s="113"/>
      <c r="O79" s="113"/>
      <c r="P79" s="113"/>
      <c r="Q79" s="113"/>
      <c r="R79" s="113"/>
      <c r="S79" s="113"/>
      <c r="T79" s="113"/>
      <c r="U79" s="113"/>
      <c r="V79" s="113"/>
      <c r="W79" s="113"/>
      <c r="X79" s="113"/>
      <c r="Y79" s="113"/>
      <c r="Z79" s="113"/>
    </row>
    <row r="80">
      <c r="A80" s="113"/>
      <c r="B80" s="120"/>
      <c r="C80" s="119"/>
      <c r="D80" s="40"/>
      <c r="E80" s="114"/>
      <c r="F80" s="113"/>
      <c r="G80" s="113"/>
      <c r="H80" s="113"/>
      <c r="I80" s="113"/>
      <c r="J80" s="113"/>
      <c r="K80" s="113"/>
      <c r="L80" s="113"/>
      <c r="M80" s="113"/>
      <c r="N80" s="113"/>
      <c r="O80" s="113"/>
      <c r="P80" s="113"/>
      <c r="Q80" s="113"/>
      <c r="R80" s="113"/>
      <c r="S80" s="113"/>
      <c r="T80" s="113"/>
      <c r="U80" s="113"/>
      <c r="V80" s="113"/>
      <c r="W80" s="113"/>
      <c r="X80" s="113"/>
      <c r="Y80" s="113"/>
      <c r="Z80" s="113"/>
    </row>
    <row r="81">
      <c r="A81" s="113"/>
      <c r="B81" s="120"/>
      <c r="C81" s="119"/>
      <c r="D81" s="40"/>
      <c r="E81" s="114"/>
      <c r="F81" s="113"/>
      <c r="G81" s="113"/>
      <c r="H81" s="113"/>
      <c r="I81" s="113"/>
      <c r="J81" s="113"/>
      <c r="K81" s="113"/>
      <c r="L81" s="113"/>
      <c r="M81" s="113"/>
      <c r="N81" s="113"/>
      <c r="O81" s="113"/>
      <c r="P81" s="113"/>
      <c r="Q81" s="113"/>
      <c r="R81" s="113"/>
      <c r="S81" s="113"/>
      <c r="T81" s="113"/>
      <c r="U81" s="113"/>
      <c r="V81" s="113"/>
      <c r="W81" s="113"/>
      <c r="X81" s="113"/>
      <c r="Y81" s="113"/>
      <c r="Z81" s="113"/>
    </row>
    <row r="82">
      <c r="A82" s="113"/>
      <c r="B82" s="120"/>
      <c r="C82" s="119"/>
      <c r="D82" s="40"/>
      <c r="E82" s="114"/>
      <c r="F82" s="113"/>
      <c r="G82" s="113"/>
      <c r="H82" s="113"/>
      <c r="I82" s="113"/>
      <c r="J82" s="113"/>
      <c r="K82" s="113"/>
      <c r="L82" s="113"/>
      <c r="M82" s="113"/>
      <c r="N82" s="113"/>
      <c r="O82" s="113"/>
      <c r="P82" s="113"/>
      <c r="Q82" s="113"/>
      <c r="R82" s="113"/>
      <c r="S82" s="113"/>
      <c r="T82" s="113"/>
      <c r="U82" s="113"/>
      <c r="V82" s="113"/>
      <c r="W82" s="113"/>
      <c r="X82" s="113"/>
      <c r="Y82" s="113"/>
      <c r="Z82" s="113"/>
    </row>
    <row r="83">
      <c r="A83" s="113"/>
      <c r="B83" s="120"/>
      <c r="C83" s="119"/>
      <c r="D83" s="40"/>
      <c r="E83" s="114"/>
      <c r="F83" s="113"/>
      <c r="G83" s="113"/>
      <c r="H83" s="113"/>
      <c r="I83" s="113"/>
      <c r="J83" s="113"/>
      <c r="K83" s="113"/>
      <c r="L83" s="113"/>
      <c r="M83" s="113"/>
      <c r="N83" s="113"/>
      <c r="O83" s="113"/>
      <c r="P83" s="113"/>
      <c r="Q83" s="113"/>
      <c r="R83" s="113"/>
      <c r="S83" s="113"/>
      <c r="T83" s="113"/>
      <c r="U83" s="113"/>
      <c r="V83" s="113"/>
      <c r="W83" s="113"/>
      <c r="X83" s="113"/>
      <c r="Y83" s="113"/>
      <c r="Z83" s="113"/>
    </row>
    <row r="84">
      <c r="A84" s="113"/>
      <c r="B84" s="120"/>
      <c r="C84" s="119"/>
      <c r="D84" s="40"/>
      <c r="E84" s="114"/>
      <c r="F84" s="113"/>
      <c r="G84" s="113"/>
      <c r="H84" s="113"/>
      <c r="I84" s="113"/>
      <c r="J84" s="113"/>
      <c r="K84" s="113"/>
      <c r="L84" s="113"/>
      <c r="M84" s="113"/>
      <c r="N84" s="113"/>
      <c r="O84" s="113"/>
      <c r="P84" s="113"/>
      <c r="Q84" s="113"/>
      <c r="R84" s="113"/>
      <c r="S84" s="113"/>
      <c r="T84" s="113"/>
      <c r="U84" s="113"/>
      <c r="V84" s="113"/>
      <c r="W84" s="113"/>
      <c r="X84" s="113"/>
      <c r="Y84" s="113"/>
      <c r="Z84" s="113"/>
    </row>
    <row r="85">
      <c r="A85" s="113"/>
      <c r="B85" s="120"/>
      <c r="C85" s="119"/>
      <c r="D85" s="40"/>
      <c r="E85" s="114"/>
      <c r="F85" s="113"/>
      <c r="G85" s="113"/>
      <c r="H85" s="113"/>
      <c r="I85" s="113"/>
      <c r="J85" s="113"/>
      <c r="K85" s="113"/>
      <c r="L85" s="113"/>
      <c r="M85" s="113"/>
      <c r="N85" s="113"/>
      <c r="O85" s="113"/>
      <c r="P85" s="113"/>
      <c r="Q85" s="113"/>
      <c r="R85" s="113"/>
      <c r="S85" s="113"/>
      <c r="T85" s="113"/>
      <c r="U85" s="113"/>
      <c r="V85" s="113"/>
      <c r="W85" s="113"/>
      <c r="X85" s="113"/>
      <c r="Y85" s="113"/>
      <c r="Z85" s="113"/>
    </row>
    <row r="86">
      <c r="A86" s="113"/>
      <c r="B86" s="120"/>
      <c r="C86" s="119"/>
      <c r="D86" s="40"/>
      <c r="E86" s="114"/>
      <c r="F86" s="113"/>
      <c r="G86" s="113"/>
      <c r="H86" s="113"/>
      <c r="I86" s="113"/>
      <c r="J86" s="113"/>
      <c r="K86" s="113"/>
      <c r="L86" s="113"/>
      <c r="M86" s="113"/>
      <c r="N86" s="113"/>
      <c r="O86" s="113"/>
      <c r="P86" s="113"/>
      <c r="Q86" s="113"/>
      <c r="R86" s="113"/>
      <c r="S86" s="113"/>
      <c r="T86" s="113"/>
      <c r="U86" s="113"/>
      <c r="V86" s="113"/>
      <c r="W86" s="113"/>
      <c r="X86" s="113"/>
      <c r="Y86" s="113"/>
      <c r="Z86" s="113"/>
    </row>
    <row r="87">
      <c r="A87" s="113"/>
      <c r="B87" s="120"/>
      <c r="C87" s="119"/>
      <c r="D87" s="40"/>
      <c r="E87" s="114"/>
      <c r="F87" s="113"/>
      <c r="G87" s="113"/>
      <c r="H87" s="113"/>
      <c r="I87" s="113"/>
      <c r="J87" s="113"/>
      <c r="K87" s="113"/>
      <c r="L87" s="113"/>
      <c r="M87" s="113"/>
      <c r="N87" s="113"/>
      <c r="O87" s="113"/>
      <c r="P87" s="113"/>
      <c r="Q87" s="113"/>
      <c r="R87" s="113"/>
      <c r="S87" s="113"/>
      <c r="T87" s="113"/>
      <c r="U87" s="113"/>
      <c r="V87" s="113"/>
      <c r="W87" s="113"/>
      <c r="X87" s="113"/>
      <c r="Y87" s="113"/>
      <c r="Z87" s="113"/>
    </row>
    <row r="88">
      <c r="A88" s="113"/>
      <c r="B88" s="120"/>
      <c r="C88" s="119"/>
      <c r="D88" s="40"/>
      <c r="E88" s="114"/>
      <c r="F88" s="113"/>
      <c r="G88" s="113"/>
      <c r="H88" s="113"/>
      <c r="I88" s="113"/>
      <c r="J88" s="113"/>
      <c r="K88" s="113"/>
      <c r="L88" s="113"/>
      <c r="M88" s="113"/>
      <c r="N88" s="113"/>
      <c r="O88" s="113"/>
      <c r="P88" s="113"/>
      <c r="Q88" s="113"/>
      <c r="R88" s="113"/>
      <c r="S88" s="113"/>
      <c r="T88" s="113"/>
      <c r="U88" s="113"/>
      <c r="V88" s="113"/>
      <c r="W88" s="113"/>
      <c r="X88" s="113"/>
      <c r="Y88" s="113"/>
      <c r="Z88" s="113"/>
    </row>
    <row r="89">
      <c r="A89" s="113"/>
      <c r="B89" s="120"/>
      <c r="C89" s="119"/>
      <c r="D89" s="40"/>
      <c r="E89" s="114"/>
      <c r="F89" s="113"/>
      <c r="G89" s="113"/>
      <c r="H89" s="113"/>
      <c r="I89" s="113"/>
      <c r="J89" s="113"/>
      <c r="K89" s="113"/>
      <c r="L89" s="113"/>
      <c r="M89" s="113"/>
      <c r="N89" s="113"/>
      <c r="O89" s="113"/>
      <c r="P89" s="113"/>
      <c r="Q89" s="113"/>
      <c r="R89" s="113"/>
      <c r="S89" s="113"/>
      <c r="T89" s="113"/>
      <c r="U89" s="113"/>
      <c r="V89" s="113"/>
      <c r="W89" s="113"/>
      <c r="X89" s="113"/>
      <c r="Y89" s="113"/>
      <c r="Z89" s="113"/>
    </row>
    <row r="90">
      <c r="A90" s="113"/>
      <c r="B90" s="120"/>
      <c r="C90" s="119"/>
      <c r="D90" s="40"/>
      <c r="E90" s="114"/>
      <c r="F90" s="113"/>
      <c r="G90" s="113"/>
      <c r="H90" s="113"/>
      <c r="I90" s="113"/>
      <c r="J90" s="113"/>
      <c r="K90" s="113"/>
      <c r="L90" s="113"/>
      <c r="M90" s="113"/>
      <c r="N90" s="113"/>
      <c r="O90" s="113"/>
      <c r="P90" s="113"/>
      <c r="Q90" s="113"/>
      <c r="R90" s="113"/>
      <c r="S90" s="113"/>
      <c r="T90" s="113"/>
      <c r="U90" s="113"/>
      <c r="V90" s="113"/>
      <c r="W90" s="113"/>
      <c r="X90" s="113"/>
      <c r="Y90" s="113"/>
      <c r="Z90" s="113"/>
    </row>
    <row r="91">
      <c r="A91" s="113"/>
      <c r="B91" s="120"/>
      <c r="C91" s="119"/>
      <c r="D91" s="40"/>
      <c r="E91" s="114"/>
      <c r="F91" s="113"/>
      <c r="G91" s="113"/>
      <c r="H91" s="113"/>
      <c r="I91" s="113"/>
      <c r="J91" s="113"/>
      <c r="K91" s="113"/>
      <c r="L91" s="113"/>
      <c r="M91" s="113"/>
      <c r="N91" s="113"/>
      <c r="O91" s="113"/>
      <c r="P91" s="113"/>
      <c r="Q91" s="113"/>
      <c r="R91" s="113"/>
      <c r="S91" s="113"/>
      <c r="T91" s="113"/>
      <c r="U91" s="113"/>
      <c r="V91" s="113"/>
      <c r="W91" s="113"/>
      <c r="X91" s="113"/>
      <c r="Y91" s="113"/>
      <c r="Z91" s="113"/>
    </row>
    <row r="92">
      <c r="A92" s="113"/>
      <c r="B92" s="120"/>
      <c r="C92" s="119"/>
      <c r="D92" s="40"/>
      <c r="E92" s="114"/>
      <c r="F92" s="113"/>
      <c r="G92" s="113"/>
      <c r="H92" s="113"/>
      <c r="I92" s="113"/>
      <c r="J92" s="113"/>
      <c r="K92" s="113"/>
      <c r="L92" s="113"/>
      <c r="M92" s="113"/>
      <c r="N92" s="113"/>
      <c r="O92" s="113"/>
      <c r="P92" s="113"/>
      <c r="Q92" s="113"/>
      <c r="R92" s="113"/>
      <c r="S92" s="113"/>
      <c r="T92" s="113"/>
      <c r="U92" s="113"/>
      <c r="V92" s="113"/>
      <c r="W92" s="113"/>
      <c r="X92" s="113"/>
      <c r="Y92" s="113"/>
      <c r="Z92" s="113"/>
    </row>
    <row r="93">
      <c r="A93" s="113"/>
      <c r="B93" s="120"/>
      <c r="C93" s="119"/>
      <c r="D93" s="40"/>
      <c r="E93" s="114"/>
      <c r="F93" s="113"/>
      <c r="G93" s="113"/>
      <c r="H93" s="113"/>
      <c r="I93" s="113"/>
      <c r="J93" s="113"/>
      <c r="K93" s="113"/>
      <c r="L93" s="113"/>
      <c r="M93" s="113"/>
      <c r="N93" s="113"/>
      <c r="O93" s="113"/>
      <c r="P93" s="113"/>
      <c r="Q93" s="113"/>
      <c r="R93" s="113"/>
      <c r="S93" s="113"/>
      <c r="T93" s="113"/>
      <c r="U93" s="113"/>
      <c r="V93" s="113"/>
      <c r="W93" s="113"/>
      <c r="X93" s="113"/>
      <c r="Y93" s="113"/>
      <c r="Z93" s="113"/>
    </row>
    <row r="94">
      <c r="A94" s="113"/>
      <c r="B94" s="120"/>
      <c r="C94" s="119"/>
      <c r="D94" s="40"/>
      <c r="E94" s="114"/>
      <c r="F94" s="113"/>
      <c r="G94" s="113"/>
      <c r="H94" s="113"/>
      <c r="I94" s="113"/>
      <c r="J94" s="113"/>
      <c r="K94" s="113"/>
      <c r="L94" s="113"/>
      <c r="M94" s="113"/>
      <c r="N94" s="113"/>
      <c r="O94" s="113"/>
      <c r="P94" s="113"/>
      <c r="Q94" s="113"/>
      <c r="R94" s="113"/>
      <c r="S94" s="113"/>
      <c r="T94" s="113"/>
      <c r="U94" s="113"/>
      <c r="V94" s="113"/>
      <c r="W94" s="113"/>
      <c r="X94" s="113"/>
      <c r="Y94" s="113"/>
      <c r="Z94" s="113"/>
    </row>
    <row r="95">
      <c r="A95" s="113"/>
      <c r="B95" s="120"/>
      <c r="C95" s="119"/>
      <c r="D95" s="40"/>
      <c r="E95" s="114"/>
      <c r="F95" s="113"/>
      <c r="G95" s="113"/>
      <c r="H95" s="113"/>
      <c r="I95" s="113"/>
      <c r="J95" s="113"/>
      <c r="K95" s="113"/>
      <c r="L95" s="113"/>
      <c r="M95" s="113"/>
      <c r="N95" s="113"/>
      <c r="O95" s="113"/>
      <c r="P95" s="113"/>
      <c r="Q95" s="113"/>
      <c r="R95" s="113"/>
      <c r="S95" s="113"/>
      <c r="T95" s="113"/>
      <c r="U95" s="113"/>
      <c r="V95" s="113"/>
      <c r="W95" s="113"/>
      <c r="X95" s="113"/>
      <c r="Y95" s="113"/>
      <c r="Z95" s="113"/>
    </row>
    <row r="96">
      <c r="A96" s="113"/>
      <c r="B96" s="120"/>
      <c r="C96" s="119"/>
      <c r="D96" s="40"/>
      <c r="E96" s="114"/>
      <c r="F96" s="113"/>
      <c r="G96" s="113"/>
      <c r="H96" s="113"/>
      <c r="I96" s="113"/>
      <c r="J96" s="113"/>
      <c r="K96" s="113"/>
      <c r="L96" s="113"/>
      <c r="M96" s="113"/>
      <c r="N96" s="113"/>
      <c r="O96" s="113"/>
      <c r="P96" s="113"/>
      <c r="Q96" s="113"/>
      <c r="R96" s="113"/>
      <c r="S96" s="113"/>
      <c r="T96" s="113"/>
      <c r="U96" s="113"/>
      <c r="V96" s="113"/>
      <c r="W96" s="113"/>
      <c r="X96" s="113"/>
      <c r="Y96" s="113"/>
      <c r="Z96" s="113"/>
    </row>
    <row r="97">
      <c r="A97" s="113"/>
      <c r="B97" s="120"/>
      <c r="C97" s="119"/>
      <c r="D97" s="40"/>
      <c r="E97" s="114"/>
      <c r="F97" s="113"/>
      <c r="G97" s="113"/>
      <c r="H97" s="113"/>
      <c r="I97" s="113"/>
      <c r="J97" s="113"/>
      <c r="K97" s="113"/>
      <c r="L97" s="113"/>
      <c r="M97" s="113"/>
      <c r="N97" s="113"/>
      <c r="O97" s="113"/>
      <c r="P97" s="113"/>
      <c r="Q97" s="113"/>
      <c r="R97" s="113"/>
      <c r="S97" s="113"/>
      <c r="T97" s="113"/>
      <c r="U97" s="113"/>
      <c r="V97" s="113"/>
      <c r="W97" s="113"/>
      <c r="X97" s="113"/>
      <c r="Y97" s="113"/>
      <c r="Z97" s="113"/>
    </row>
    <row r="98">
      <c r="A98" s="113"/>
      <c r="B98" s="120"/>
      <c r="C98" s="119"/>
      <c r="D98" s="40"/>
      <c r="E98" s="114"/>
      <c r="F98" s="113"/>
      <c r="G98" s="113"/>
      <c r="H98" s="113"/>
      <c r="I98" s="113"/>
      <c r="J98" s="113"/>
      <c r="K98" s="113"/>
      <c r="L98" s="113"/>
      <c r="M98" s="113"/>
      <c r="N98" s="113"/>
      <c r="O98" s="113"/>
      <c r="P98" s="113"/>
      <c r="Q98" s="113"/>
      <c r="R98" s="113"/>
      <c r="S98" s="113"/>
      <c r="T98" s="113"/>
      <c r="U98" s="113"/>
      <c r="V98" s="113"/>
      <c r="W98" s="113"/>
      <c r="X98" s="113"/>
      <c r="Y98" s="113"/>
      <c r="Z98" s="113"/>
    </row>
    <row r="99">
      <c r="A99" s="113"/>
      <c r="B99" s="120"/>
      <c r="C99" s="119"/>
      <c r="D99" s="40"/>
      <c r="E99" s="114"/>
      <c r="F99" s="113"/>
      <c r="G99" s="113"/>
      <c r="H99" s="113"/>
      <c r="I99" s="113"/>
      <c r="J99" s="113"/>
      <c r="K99" s="113"/>
      <c r="L99" s="113"/>
      <c r="M99" s="113"/>
      <c r="N99" s="113"/>
      <c r="O99" s="113"/>
      <c r="P99" s="113"/>
      <c r="Q99" s="113"/>
      <c r="R99" s="113"/>
      <c r="S99" s="113"/>
      <c r="T99" s="113"/>
      <c r="U99" s="113"/>
      <c r="V99" s="113"/>
      <c r="W99" s="113"/>
      <c r="X99" s="113"/>
      <c r="Y99" s="113"/>
      <c r="Z99" s="113"/>
    </row>
    <row r="100">
      <c r="A100" s="113"/>
      <c r="B100" s="120"/>
      <c r="C100" s="119"/>
      <c r="D100" s="40"/>
      <c r="E100" s="114"/>
      <c r="F100" s="113"/>
      <c r="G100" s="113"/>
      <c r="H100" s="113"/>
      <c r="I100" s="113"/>
      <c r="J100" s="113"/>
      <c r="K100" s="113"/>
      <c r="L100" s="113"/>
      <c r="M100" s="113"/>
      <c r="N100" s="113"/>
      <c r="O100" s="113"/>
      <c r="P100" s="113"/>
      <c r="Q100" s="113"/>
      <c r="R100" s="113"/>
      <c r="S100" s="113"/>
      <c r="T100" s="113"/>
      <c r="U100" s="113"/>
      <c r="V100" s="113"/>
      <c r="W100" s="113"/>
      <c r="X100" s="113"/>
      <c r="Y100" s="113"/>
      <c r="Z100" s="113"/>
    </row>
    <row r="101">
      <c r="A101" s="113"/>
      <c r="B101" s="120"/>
      <c r="C101" s="120"/>
      <c r="D101" s="40"/>
      <c r="E101" s="114"/>
      <c r="F101" s="113"/>
      <c r="G101" s="113"/>
      <c r="H101" s="113"/>
      <c r="I101" s="113"/>
      <c r="J101" s="113"/>
      <c r="K101" s="113"/>
      <c r="L101" s="113"/>
      <c r="M101" s="113"/>
      <c r="N101" s="113"/>
      <c r="O101" s="113"/>
      <c r="P101" s="113"/>
      <c r="Q101" s="113"/>
      <c r="R101" s="113"/>
      <c r="S101" s="113"/>
      <c r="T101" s="113"/>
      <c r="U101" s="113"/>
      <c r="V101" s="113"/>
      <c r="W101" s="113"/>
      <c r="X101" s="113"/>
      <c r="Y101" s="113"/>
      <c r="Z101" s="113"/>
    </row>
    <row r="102">
      <c r="A102" s="113"/>
      <c r="B102" s="120"/>
      <c r="C102" s="120"/>
      <c r="D102" s="40"/>
      <c r="E102" s="114"/>
      <c r="F102" s="113"/>
      <c r="G102" s="113"/>
      <c r="H102" s="113"/>
      <c r="I102" s="113"/>
      <c r="J102" s="113"/>
      <c r="K102" s="113"/>
      <c r="L102" s="113"/>
      <c r="M102" s="113"/>
      <c r="N102" s="113"/>
      <c r="O102" s="113"/>
      <c r="P102" s="113"/>
      <c r="Q102" s="113"/>
      <c r="R102" s="113"/>
      <c r="S102" s="113"/>
      <c r="T102" s="113"/>
      <c r="U102" s="113"/>
      <c r="V102" s="113"/>
      <c r="W102" s="113"/>
      <c r="X102" s="113"/>
      <c r="Y102" s="113"/>
      <c r="Z102" s="113"/>
    </row>
    <row r="103">
      <c r="A103" s="113"/>
      <c r="B103" s="120"/>
      <c r="C103" s="120"/>
      <c r="D103" s="40"/>
      <c r="E103" s="114"/>
      <c r="F103" s="113"/>
      <c r="G103" s="113"/>
      <c r="H103" s="113"/>
      <c r="I103" s="113"/>
      <c r="J103" s="113"/>
      <c r="K103" s="113"/>
      <c r="L103" s="113"/>
      <c r="M103" s="113"/>
      <c r="N103" s="113"/>
      <c r="O103" s="113"/>
      <c r="P103" s="113"/>
      <c r="Q103" s="113"/>
      <c r="R103" s="113"/>
      <c r="S103" s="113"/>
      <c r="T103" s="113"/>
      <c r="U103" s="113"/>
      <c r="V103" s="113"/>
      <c r="W103" s="113"/>
      <c r="X103" s="113"/>
      <c r="Y103" s="113"/>
      <c r="Z103" s="113"/>
    </row>
    <row r="104">
      <c r="A104" s="113"/>
      <c r="B104" s="120"/>
      <c r="C104" s="120"/>
      <c r="D104" s="40"/>
      <c r="E104" s="114"/>
      <c r="F104" s="113"/>
      <c r="G104" s="113"/>
      <c r="H104" s="113"/>
      <c r="I104" s="113"/>
      <c r="J104" s="113"/>
      <c r="K104" s="113"/>
      <c r="L104" s="113"/>
      <c r="M104" s="113"/>
      <c r="N104" s="113"/>
      <c r="O104" s="113"/>
      <c r="P104" s="113"/>
      <c r="Q104" s="113"/>
      <c r="R104" s="113"/>
      <c r="S104" s="113"/>
      <c r="T104" s="113"/>
      <c r="U104" s="113"/>
      <c r="V104" s="113"/>
      <c r="W104" s="113"/>
      <c r="X104" s="113"/>
      <c r="Y104" s="113"/>
      <c r="Z104" s="113"/>
    </row>
    <row r="105">
      <c r="A105" s="113"/>
      <c r="B105" s="120"/>
      <c r="C105" s="120"/>
      <c r="D105" s="40"/>
      <c r="E105" s="114"/>
      <c r="F105" s="113"/>
      <c r="G105" s="113"/>
      <c r="H105" s="113"/>
      <c r="I105" s="113"/>
      <c r="J105" s="113"/>
      <c r="K105" s="113"/>
      <c r="L105" s="113"/>
      <c r="M105" s="113"/>
      <c r="N105" s="113"/>
      <c r="O105" s="113"/>
      <c r="P105" s="113"/>
      <c r="Q105" s="113"/>
      <c r="R105" s="113"/>
      <c r="S105" s="113"/>
      <c r="T105" s="113"/>
      <c r="U105" s="113"/>
      <c r="V105" s="113"/>
      <c r="W105" s="113"/>
      <c r="X105" s="113"/>
      <c r="Y105" s="113"/>
      <c r="Z105" s="113"/>
    </row>
    <row r="106">
      <c r="A106" s="113"/>
      <c r="B106" s="120"/>
      <c r="C106" s="120"/>
      <c r="D106" s="40"/>
      <c r="E106" s="114"/>
      <c r="F106" s="113"/>
      <c r="G106" s="113"/>
      <c r="H106" s="113"/>
      <c r="I106" s="113"/>
      <c r="J106" s="113"/>
      <c r="K106" s="113"/>
      <c r="L106" s="113"/>
      <c r="M106" s="113"/>
      <c r="N106" s="113"/>
      <c r="O106" s="113"/>
      <c r="P106" s="113"/>
      <c r="Q106" s="113"/>
      <c r="R106" s="113"/>
      <c r="S106" s="113"/>
      <c r="T106" s="113"/>
      <c r="U106" s="113"/>
      <c r="V106" s="113"/>
      <c r="W106" s="113"/>
      <c r="X106" s="113"/>
      <c r="Y106" s="113"/>
      <c r="Z106" s="113"/>
    </row>
    <row r="107">
      <c r="A107" s="113"/>
      <c r="B107" s="120"/>
      <c r="C107" s="120"/>
      <c r="D107" s="40"/>
      <c r="E107" s="114"/>
      <c r="F107" s="113"/>
      <c r="G107" s="113"/>
      <c r="H107" s="113"/>
      <c r="I107" s="113"/>
      <c r="J107" s="113"/>
      <c r="K107" s="113"/>
      <c r="L107" s="113"/>
      <c r="M107" s="113"/>
      <c r="N107" s="113"/>
      <c r="O107" s="113"/>
      <c r="P107" s="113"/>
      <c r="Q107" s="113"/>
      <c r="R107" s="113"/>
      <c r="S107" s="113"/>
      <c r="T107" s="113"/>
      <c r="U107" s="113"/>
      <c r="V107" s="113"/>
      <c r="W107" s="113"/>
      <c r="X107" s="113"/>
      <c r="Y107" s="113"/>
      <c r="Z107" s="113"/>
    </row>
    <row r="108">
      <c r="A108" s="113"/>
      <c r="B108" s="120"/>
      <c r="C108" s="120"/>
      <c r="D108" s="40"/>
      <c r="E108" s="114"/>
      <c r="F108" s="113"/>
      <c r="G108" s="113"/>
      <c r="H108" s="113"/>
      <c r="I108" s="113"/>
      <c r="J108" s="113"/>
      <c r="K108" s="113"/>
      <c r="L108" s="113"/>
      <c r="M108" s="113"/>
      <c r="N108" s="113"/>
      <c r="O108" s="113"/>
      <c r="P108" s="113"/>
      <c r="Q108" s="113"/>
      <c r="R108" s="113"/>
      <c r="S108" s="113"/>
      <c r="T108" s="113"/>
      <c r="U108" s="113"/>
      <c r="V108" s="113"/>
      <c r="W108" s="113"/>
      <c r="X108" s="113"/>
      <c r="Y108" s="113"/>
      <c r="Z108" s="113"/>
    </row>
    <row r="109">
      <c r="A109" s="113"/>
      <c r="B109" s="120"/>
      <c r="C109" s="120"/>
      <c r="D109" s="40"/>
      <c r="E109" s="114"/>
      <c r="F109" s="113"/>
      <c r="G109" s="113"/>
      <c r="H109" s="113"/>
      <c r="I109" s="113"/>
      <c r="J109" s="113"/>
      <c r="K109" s="113"/>
      <c r="L109" s="113"/>
      <c r="M109" s="113"/>
      <c r="N109" s="113"/>
      <c r="O109" s="113"/>
      <c r="P109" s="113"/>
      <c r="Q109" s="113"/>
      <c r="R109" s="113"/>
      <c r="S109" s="113"/>
      <c r="T109" s="113"/>
      <c r="U109" s="113"/>
      <c r="V109" s="113"/>
      <c r="W109" s="113"/>
      <c r="X109" s="113"/>
      <c r="Y109" s="113"/>
      <c r="Z109" s="113"/>
    </row>
    <row r="110">
      <c r="A110" s="113"/>
      <c r="B110" s="120"/>
      <c r="C110" s="120"/>
      <c r="D110" s="40"/>
      <c r="E110" s="114"/>
      <c r="F110" s="113"/>
      <c r="G110" s="113"/>
      <c r="H110" s="113"/>
      <c r="I110" s="113"/>
      <c r="J110" s="113"/>
      <c r="K110" s="113"/>
      <c r="L110" s="113"/>
      <c r="M110" s="113"/>
      <c r="N110" s="113"/>
      <c r="O110" s="113"/>
      <c r="P110" s="113"/>
      <c r="Q110" s="113"/>
      <c r="R110" s="113"/>
      <c r="S110" s="113"/>
      <c r="T110" s="113"/>
      <c r="U110" s="113"/>
      <c r="V110" s="113"/>
      <c r="W110" s="113"/>
      <c r="X110" s="113"/>
      <c r="Y110" s="113"/>
      <c r="Z110" s="113"/>
    </row>
    <row r="111">
      <c r="A111" s="113"/>
      <c r="B111" s="120"/>
      <c r="C111" s="120"/>
      <c r="D111" s="40"/>
      <c r="E111" s="114"/>
      <c r="F111" s="113"/>
      <c r="G111" s="113"/>
      <c r="H111" s="113"/>
      <c r="I111" s="113"/>
      <c r="J111" s="113"/>
      <c r="K111" s="113"/>
      <c r="L111" s="113"/>
      <c r="M111" s="113"/>
      <c r="N111" s="113"/>
      <c r="O111" s="113"/>
      <c r="P111" s="113"/>
      <c r="Q111" s="113"/>
      <c r="R111" s="113"/>
      <c r="S111" s="113"/>
      <c r="T111" s="113"/>
      <c r="U111" s="113"/>
      <c r="V111" s="113"/>
      <c r="W111" s="113"/>
      <c r="X111" s="113"/>
      <c r="Y111" s="113"/>
      <c r="Z111" s="113"/>
    </row>
    <row r="112">
      <c r="A112" s="113"/>
      <c r="B112" s="120"/>
      <c r="C112" s="120"/>
      <c r="D112" s="40"/>
      <c r="E112" s="114"/>
      <c r="F112" s="113"/>
      <c r="G112" s="113"/>
      <c r="H112" s="113"/>
      <c r="I112" s="113"/>
      <c r="J112" s="113"/>
      <c r="K112" s="113"/>
      <c r="L112" s="113"/>
      <c r="M112" s="113"/>
      <c r="N112" s="113"/>
      <c r="O112" s="113"/>
      <c r="P112" s="113"/>
      <c r="Q112" s="113"/>
      <c r="R112" s="113"/>
      <c r="S112" s="113"/>
      <c r="T112" s="113"/>
      <c r="U112" s="113"/>
      <c r="V112" s="113"/>
      <c r="W112" s="113"/>
      <c r="X112" s="113"/>
      <c r="Y112" s="113"/>
      <c r="Z112" s="113"/>
    </row>
    <row r="113">
      <c r="A113" s="113"/>
      <c r="B113" s="120"/>
      <c r="C113" s="120"/>
      <c r="D113" s="40"/>
      <c r="E113" s="114"/>
      <c r="F113" s="113"/>
      <c r="G113" s="113"/>
      <c r="H113" s="113"/>
      <c r="I113" s="113"/>
      <c r="J113" s="113"/>
      <c r="K113" s="113"/>
      <c r="L113" s="113"/>
      <c r="M113" s="113"/>
      <c r="N113" s="113"/>
      <c r="O113" s="113"/>
      <c r="P113" s="113"/>
      <c r="Q113" s="113"/>
      <c r="R113" s="113"/>
      <c r="S113" s="113"/>
      <c r="T113" s="113"/>
      <c r="U113" s="113"/>
      <c r="V113" s="113"/>
      <c r="W113" s="113"/>
      <c r="X113" s="113"/>
      <c r="Y113" s="113"/>
      <c r="Z113" s="113"/>
    </row>
    <row r="114">
      <c r="A114" s="113"/>
      <c r="B114" s="120"/>
      <c r="C114" s="120"/>
      <c r="D114" s="40"/>
      <c r="E114" s="114"/>
      <c r="F114" s="113"/>
      <c r="G114" s="113"/>
      <c r="H114" s="113"/>
      <c r="I114" s="113"/>
      <c r="J114" s="113"/>
      <c r="K114" s="113"/>
      <c r="L114" s="113"/>
      <c r="M114" s="113"/>
      <c r="N114" s="113"/>
      <c r="O114" s="113"/>
      <c r="P114" s="113"/>
      <c r="Q114" s="113"/>
      <c r="R114" s="113"/>
      <c r="S114" s="113"/>
      <c r="T114" s="113"/>
      <c r="U114" s="113"/>
      <c r="V114" s="113"/>
      <c r="W114" s="113"/>
      <c r="X114" s="113"/>
      <c r="Y114" s="113"/>
      <c r="Z114" s="113"/>
    </row>
    <row r="115">
      <c r="A115" s="113"/>
      <c r="B115" s="120"/>
      <c r="C115" s="120"/>
      <c r="D115" s="40"/>
      <c r="E115" s="114"/>
      <c r="F115" s="113"/>
      <c r="G115" s="113"/>
      <c r="H115" s="113"/>
      <c r="I115" s="113"/>
      <c r="J115" s="113"/>
      <c r="K115" s="113"/>
      <c r="L115" s="113"/>
      <c r="M115" s="113"/>
      <c r="N115" s="113"/>
      <c r="O115" s="113"/>
      <c r="P115" s="113"/>
      <c r="Q115" s="113"/>
      <c r="R115" s="113"/>
      <c r="S115" s="113"/>
      <c r="T115" s="113"/>
      <c r="U115" s="113"/>
      <c r="V115" s="113"/>
      <c r="W115" s="113"/>
      <c r="X115" s="113"/>
      <c r="Y115" s="113"/>
      <c r="Z115" s="113"/>
    </row>
    <row r="116">
      <c r="A116" s="113"/>
      <c r="B116" s="120"/>
      <c r="C116" s="120"/>
      <c r="D116" s="40"/>
      <c r="E116" s="114"/>
      <c r="F116" s="113"/>
      <c r="G116" s="113"/>
      <c r="H116" s="113"/>
      <c r="I116" s="113"/>
      <c r="J116" s="113"/>
      <c r="K116" s="113"/>
      <c r="L116" s="113"/>
      <c r="M116" s="113"/>
      <c r="N116" s="113"/>
      <c r="O116" s="113"/>
      <c r="P116" s="113"/>
      <c r="Q116" s="113"/>
      <c r="R116" s="113"/>
      <c r="S116" s="113"/>
      <c r="T116" s="113"/>
      <c r="U116" s="113"/>
      <c r="V116" s="113"/>
      <c r="W116" s="113"/>
      <c r="X116" s="113"/>
      <c r="Y116" s="113"/>
      <c r="Z116" s="113"/>
    </row>
    <row r="117">
      <c r="A117" s="113"/>
      <c r="B117" s="120"/>
      <c r="C117" s="120"/>
      <c r="D117" s="40"/>
      <c r="E117" s="114"/>
      <c r="F117" s="113"/>
      <c r="G117" s="113"/>
      <c r="H117" s="113"/>
      <c r="I117" s="113"/>
      <c r="J117" s="113"/>
      <c r="K117" s="113"/>
      <c r="L117" s="113"/>
      <c r="M117" s="113"/>
      <c r="N117" s="113"/>
      <c r="O117" s="113"/>
      <c r="P117" s="113"/>
      <c r="Q117" s="113"/>
      <c r="R117" s="113"/>
      <c r="S117" s="113"/>
      <c r="T117" s="113"/>
      <c r="U117" s="113"/>
      <c r="V117" s="113"/>
      <c r="W117" s="113"/>
      <c r="X117" s="113"/>
      <c r="Y117" s="113"/>
      <c r="Z117" s="113"/>
    </row>
    <row r="118">
      <c r="A118" s="113"/>
      <c r="B118" s="120"/>
      <c r="C118" s="120"/>
      <c r="D118" s="40"/>
      <c r="E118" s="114"/>
      <c r="F118" s="113"/>
      <c r="G118" s="113"/>
      <c r="H118" s="113"/>
      <c r="I118" s="113"/>
      <c r="J118" s="113"/>
      <c r="K118" s="113"/>
      <c r="L118" s="113"/>
      <c r="M118" s="113"/>
      <c r="N118" s="113"/>
      <c r="O118" s="113"/>
      <c r="P118" s="113"/>
      <c r="Q118" s="113"/>
      <c r="R118" s="113"/>
      <c r="S118" s="113"/>
      <c r="T118" s="113"/>
      <c r="U118" s="113"/>
      <c r="V118" s="113"/>
      <c r="W118" s="113"/>
      <c r="X118" s="113"/>
      <c r="Y118" s="113"/>
      <c r="Z118" s="113"/>
    </row>
    <row r="119">
      <c r="A119" s="113"/>
      <c r="B119" s="120"/>
      <c r="C119" s="120"/>
      <c r="D119" s="40"/>
      <c r="E119" s="114"/>
      <c r="F119" s="113"/>
      <c r="G119" s="113"/>
      <c r="H119" s="113"/>
      <c r="I119" s="113"/>
      <c r="J119" s="113"/>
      <c r="K119" s="113"/>
      <c r="L119" s="113"/>
      <c r="M119" s="113"/>
      <c r="N119" s="113"/>
      <c r="O119" s="113"/>
      <c r="P119" s="113"/>
      <c r="Q119" s="113"/>
      <c r="R119" s="113"/>
      <c r="S119" s="113"/>
      <c r="T119" s="113"/>
      <c r="U119" s="113"/>
      <c r="V119" s="113"/>
      <c r="W119" s="113"/>
      <c r="X119" s="113"/>
      <c r="Y119" s="113"/>
      <c r="Z119" s="113"/>
    </row>
    <row r="120">
      <c r="A120" s="113"/>
      <c r="B120" s="120"/>
      <c r="C120" s="120"/>
      <c r="D120" s="40"/>
      <c r="E120" s="114"/>
      <c r="F120" s="113"/>
      <c r="G120" s="113"/>
      <c r="H120" s="113"/>
      <c r="I120" s="113"/>
      <c r="J120" s="113"/>
      <c r="K120" s="113"/>
      <c r="L120" s="113"/>
      <c r="M120" s="113"/>
      <c r="N120" s="113"/>
      <c r="O120" s="113"/>
      <c r="P120" s="113"/>
      <c r="Q120" s="113"/>
      <c r="R120" s="113"/>
      <c r="S120" s="113"/>
      <c r="T120" s="113"/>
      <c r="U120" s="113"/>
      <c r="V120" s="113"/>
      <c r="W120" s="113"/>
      <c r="X120" s="113"/>
      <c r="Y120" s="113"/>
      <c r="Z120" s="113"/>
    </row>
    <row r="121">
      <c r="A121" s="113"/>
      <c r="B121" s="120"/>
      <c r="C121" s="120"/>
      <c r="D121" s="40"/>
      <c r="E121" s="114"/>
      <c r="F121" s="113"/>
      <c r="G121" s="113"/>
      <c r="H121" s="113"/>
      <c r="I121" s="113"/>
      <c r="J121" s="113"/>
      <c r="K121" s="113"/>
      <c r="L121" s="113"/>
      <c r="M121" s="113"/>
      <c r="N121" s="113"/>
      <c r="O121" s="113"/>
      <c r="P121" s="113"/>
      <c r="Q121" s="113"/>
      <c r="R121" s="113"/>
      <c r="S121" s="113"/>
      <c r="T121" s="113"/>
      <c r="U121" s="113"/>
      <c r="V121" s="113"/>
      <c r="W121" s="113"/>
      <c r="X121" s="113"/>
      <c r="Y121" s="113"/>
      <c r="Z121" s="113"/>
    </row>
    <row r="122">
      <c r="A122" s="113"/>
      <c r="B122" s="120"/>
      <c r="C122" s="120"/>
      <c r="D122" s="40"/>
      <c r="E122" s="114"/>
      <c r="F122" s="113"/>
      <c r="G122" s="113"/>
      <c r="H122" s="113"/>
      <c r="I122" s="113"/>
      <c r="J122" s="113"/>
      <c r="K122" s="113"/>
      <c r="L122" s="113"/>
      <c r="M122" s="113"/>
      <c r="N122" s="113"/>
      <c r="O122" s="113"/>
      <c r="P122" s="113"/>
      <c r="Q122" s="113"/>
      <c r="R122" s="113"/>
      <c r="S122" s="113"/>
      <c r="T122" s="113"/>
      <c r="U122" s="113"/>
      <c r="V122" s="113"/>
      <c r="W122" s="113"/>
      <c r="X122" s="113"/>
      <c r="Y122" s="113"/>
      <c r="Z122" s="113"/>
    </row>
    <row r="123">
      <c r="A123" s="113"/>
      <c r="B123" s="120"/>
      <c r="C123" s="120"/>
      <c r="D123" s="40"/>
      <c r="E123" s="114"/>
      <c r="F123" s="113"/>
      <c r="G123" s="113"/>
      <c r="H123" s="113"/>
      <c r="I123" s="113"/>
      <c r="J123" s="113"/>
      <c r="K123" s="113"/>
      <c r="L123" s="113"/>
      <c r="M123" s="113"/>
      <c r="N123" s="113"/>
      <c r="O123" s="113"/>
      <c r="P123" s="113"/>
      <c r="Q123" s="113"/>
      <c r="R123" s="113"/>
      <c r="S123" s="113"/>
      <c r="T123" s="113"/>
      <c r="U123" s="113"/>
      <c r="V123" s="113"/>
      <c r="W123" s="113"/>
      <c r="X123" s="113"/>
      <c r="Y123" s="113"/>
      <c r="Z123" s="113"/>
    </row>
    <row r="124">
      <c r="A124" s="113"/>
      <c r="B124" s="120"/>
      <c r="C124" s="120"/>
      <c r="D124" s="40"/>
      <c r="E124" s="114"/>
      <c r="F124" s="113"/>
      <c r="G124" s="113"/>
      <c r="H124" s="113"/>
      <c r="I124" s="113"/>
      <c r="J124" s="113"/>
      <c r="K124" s="113"/>
      <c r="L124" s="113"/>
      <c r="M124" s="113"/>
      <c r="N124" s="113"/>
      <c r="O124" s="113"/>
      <c r="P124" s="113"/>
      <c r="Q124" s="113"/>
      <c r="R124" s="113"/>
      <c r="S124" s="113"/>
      <c r="T124" s="113"/>
      <c r="U124" s="113"/>
      <c r="V124" s="113"/>
      <c r="W124" s="113"/>
      <c r="X124" s="113"/>
      <c r="Y124" s="113"/>
      <c r="Z124" s="113"/>
    </row>
    <row r="125">
      <c r="A125" s="113"/>
      <c r="B125" s="120"/>
      <c r="C125" s="120"/>
      <c r="D125" s="40"/>
      <c r="E125" s="114"/>
      <c r="F125" s="113"/>
      <c r="G125" s="113"/>
      <c r="H125" s="113"/>
      <c r="I125" s="113"/>
      <c r="J125" s="113"/>
      <c r="K125" s="113"/>
      <c r="L125" s="113"/>
      <c r="M125" s="113"/>
      <c r="N125" s="113"/>
      <c r="O125" s="113"/>
      <c r="P125" s="113"/>
      <c r="Q125" s="113"/>
      <c r="R125" s="113"/>
      <c r="S125" s="113"/>
      <c r="T125" s="113"/>
      <c r="U125" s="113"/>
      <c r="V125" s="113"/>
      <c r="W125" s="113"/>
      <c r="X125" s="113"/>
      <c r="Y125" s="113"/>
      <c r="Z125" s="113"/>
    </row>
    <row r="126">
      <c r="A126" s="113"/>
      <c r="B126" s="120"/>
      <c r="C126" s="120"/>
      <c r="D126" s="40"/>
      <c r="E126" s="114"/>
      <c r="F126" s="113"/>
      <c r="G126" s="113"/>
      <c r="H126" s="113"/>
      <c r="I126" s="113"/>
      <c r="J126" s="113"/>
      <c r="K126" s="113"/>
      <c r="L126" s="113"/>
      <c r="M126" s="113"/>
      <c r="N126" s="113"/>
      <c r="O126" s="113"/>
      <c r="P126" s="113"/>
      <c r="Q126" s="113"/>
      <c r="R126" s="113"/>
      <c r="S126" s="113"/>
      <c r="T126" s="113"/>
      <c r="U126" s="113"/>
      <c r="V126" s="113"/>
      <c r="W126" s="113"/>
      <c r="X126" s="113"/>
      <c r="Y126" s="113"/>
      <c r="Z126" s="113"/>
    </row>
    <row r="127">
      <c r="A127" s="113"/>
      <c r="B127" s="120"/>
      <c r="C127" s="120"/>
      <c r="D127" s="40"/>
      <c r="E127" s="114"/>
      <c r="F127" s="113"/>
      <c r="G127" s="113"/>
      <c r="H127" s="113"/>
      <c r="I127" s="113"/>
      <c r="J127" s="113"/>
      <c r="K127" s="113"/>
      <c r="L127" s="113"/>
      <c r="M127" s="113"/>
      <c r="N127" s="113"/>
      <c r="O127" s="113"/>
      <c r="P127" s="113"/>
      <c r="Q127" s="113"/>
      <c r="R127" s="113"/>
      <c r="S127" s="113"/>
      <c r="T127" s="113"/>
      <c r="U127" s="113"/>
      <c r="V127" s="113"/>
      <c r="W127" s="113"/>
      <c r="X127" s="113"/>
      <c r="Y127" s="113"/>
      <c r="Z127" s="113"/>
    </row>
    <row r="128">
      <c r="A128" s="113"/>
      <c r="B128" s="120"/>
      <c r="C128" s="120"/>
      <c r="D128" s="40"/>
      <c r="E128" s="114"/>
      <c r="F128" s="113"/>
      <c r="G128" s="113"/>
      <c r="H128" s="113"/>
      <c r="I128" s="113"/>
      <c r="J128" s="113"/>
      <c r="K128" s="113"/>
      <c r="L128" s="113"/>
      <c r="M128" s="113"/>
      <c r="N128" s="113"/>
      <c r="O128" s="113"/>
      <c r="P128" s="113"/>
      <c r="Q128" s="113"/>
      <c r="R128" s="113"/>
      <c r="S128" s="113"/>
      <c r="T128" s="113"/>
      <c r="U128" s="113"/>
      <c r="V128" s="113"/>
      <c r="W128" s="113"/>
      <c r="X128" s="113"/>
      <c r="Y128" s="113"/>
      <c r="Z128" s="113"/>
    </row>
    <row r="129">
      <c r="A129" s="113"/>
      <c r="B129" s="120"/>
      <c r="C129" s="120"/>
      <c r="D129" s="40"/>
      <c r="E129" s="114"/>
      <c r="F129" s="113"/>
      <c r="G129" s="113"/>
      <c r="H129" s="113"/>
      <c r="I129" s="113"/>
      <c r="J129" s="113"/>
      <c r="K129" s="113"/>
      <c r="L129" s="113"/>
      <c r="M129" s="113"/>
      <c r="N129" s="113"/>
      <c r="O129" s="113"/>
      <c r="P129" s="113"/>
      <c r="Q129" s="113"/>
      <c r="R129" s="113"/>
      <c r="S129" s="113"/>
      <c r="T129" s="113"/>
      <c r="U129" s="113"/>
      <c r="V129" s="113"/>
      <c r="W129" s="113"/>
      <c r="X129" s="113"/>
      <c r="Y129" s="113"/>
      <c r="Z129" s="113"/>
    </row>
    <row r="130">
      <c r="A130" s="113"/>
      <c r="B130" s="120"/>
      <c r="C130" s="120"/>
      <c r="D130" s="40"/>
      <c r="E130" s="114"/>
      <c r="F130" s="113"/>
      <c r="G130" s="113"/>
      <c r="H130" s="113"/>
      <c r="I130" s="113"/>
      <c r="J130" s="113"/>
      <c r="K130" s="113"/>
      <c r="L130" s="113"/>
      <c r="M130" s="113"/>
      <c r="N130" s="113"/>
      <c r="O130" s="113"/>
      <c r="P130" s="113"/>
      <c r="Q130" s="113"/>
      <c r="R130" s="113"/>
      <c r="S130" s="113"/>
      <c r="T130" s="113"/>
      <c r="U130" s="113"/>
      <c r="V130" s="113"/>
      <c r="W130" s="113"/>
      <c r="X130" s="113"/>
      <c r="Y130" s="113"/>
      <c r="Z130" s="113"/>
    </row>
    <row r="131">
      <c r="A131" s="113"/>
      <c r="B131" s="120"/>
      <c r="C131" s="120"/>
      <c r="D131" s="40"/>
      <c r="E131" s="114"/>
      <c r="F131" s="113"/>
      <c r="G131" s="113"/>
      <c r="H131" s="113"/>
      <c r="I131" s="113"/>
      <c r="J131" s="113"/>
      <c r="K131" s="113"/>
      <c r="L131" s="113"/>
      <c r="M131" s="113"/>
      <c r="N131" s="113"/>
      <c r="O131" s="113"/>
      <c r="P131" s="113"/>
      <c r="Q131" s="113"/>
      <c r="R131" s="113"/>
      <c r="S131" s="113"/>
      <c r="T131" s="113"/>
      <c r="U131" s="113"/>
      <c r="V131" s="113"/>
      <c r="W131" s="113"/>
      <c r="X131" s="113"/>
      <c r="Y131" s="113"/>
      <c r="Z131" s="113"/>
    </row>
    <row r="132">
      <c r="A132" s="113"/>
      <c r="B132" s="120"/>
      <c r="C132" s="120"/>
      <c r="D132" s="40"/>
      <c r="E132" s="114"/>
      <c r="F132" s="113"/>
      <c r="G132" s="113"/>
      <c r="H132" s="113"/>
      <c r="I132" s="113"/>
      <c r="J132" s="113"/>
      <c r="K132" s="113"/>
      <c r="L132" s="113"/>
      <c r="M132" s="113"/>
      <c r="N132" s="113"/>
      <c r="O132" s="113"/>
      <c r="P132" s="113"/>
      <c r="Q132" s="113"/>
      <c r="R132" s="113"/>
      <c r="S132" s="113"/>
      <c r="T132" s="113"/>
      <c r="U132" s="113"/>
      <c r="V132" s="113"/>
      <c r="W132" s="113"/>
      <c r="X132" s="113"/>
      <c r="Y132" s="113"/>
      <c r="Z132" s="113"/>
    </row>
    <row r="133">
      <c r="A133" s="113"/>
      <c r="B133" s="120"/>
      <c r="C133" s="120"/>
      <c r="D133" s="40"/>
      <c r="E133" s="114"/>
      <c r="F133" s="113"/>
      <c r="G133" s="113"/>
      <c r="H133" s="113"/>
      <c r="I133" s="113"/>
      <c r="J133" s="113"/>
      <c r="K133" s="113"/>
      <c r="L133" s="113"/>
      <c r="M133" s="113"/>
      <c r="N133" s="113"/>
      <c r="O133" s="113"/>
      <c r="P133" s="113"/>
      <c r="Q133" s="113"/>
      <c r="R133" s="113"/>
      <c r="S133" s="113"/>
      <c r="T133" s="113"/>
      <c r="U133" s="113"/>
      <c r="V133" s="113"/>
      <c r="W133" s="113"/>
      <c r="X133" s="113"/>
      <c r="Y133" s="113"/>
      <c r="Z133" s="113"/>
    </row>
    <row r="134">
      <c r="A134" s="113"/>
      <c r="B134" s="120"/>
      <c r="C134" s="120"/>
      <c r="D134" s="40"/>
      <c r="E134" s="114"/>
      <c r="F134" s="113"/>
      <c r="G134" s="113"/>
      <c r="H134" s="113"/>
      <c r="I134" s="113"/>
      <c r="J134" s="113"/>
      <c r="K134" s="113"/>
      <c r="L134" s="113"/>
      <c r="M134" s="113"/>
      <c r="N134" s="113"/>
      <c r="O134" s="113"/>
      <c r="P134" s="113"/>
      <c r="Q134" s="113"/>
      <c r="R134" s="113"/>
      <c r="S134" s="113"/>
      <c r="T134" s="113"/>
      <c r="U134" s="113"/>
      <c r="V134" s="113"/>
      <c r="W134" s="113"/>
      <c r="X134" s="113"/>
      <c r="Y134" s="113"/>
      <c r="Z134" s="113"/>
    </row>
    <row r="135">
      <c r="A135" s="113"/>
      <c r="B135" s="120"/>
      <c r="C135" s="120"/>
      <c r="D135" s="40"/>
      <c r="E135" s="114"/>
      <c r="F135" s="113"/>
      <c r="G135" s="113"/>
      <c r="H135" s="113"/>
      <c r="I135" s="113"/>
      <c r="J135" s="113"/>
      <c r="K135" s="113"/>
      <c r="L135" s="113"/>
      <c r="M135" s="113"/>
      <c r="N135" s="113"/>
      <c r="O135" s="113"/>
      <c r="P135" s="113"/>
      <c r="Q135" s="113"/>
      <c r="R135" s="113"/>
      <c r="S135" s="113"/>
      <c r="T135" s="113"/>
      <c r="U135" s="113"/>
      <c r="V135" s="113"/>
      <c r="W135" s="113"/>
      <c r="X135" s="113"/>
      <c r="Y135" s="113"/>
      <c r="Z135" s="113"/>
    </row>
    <row r="136">
      <c r="A136" s="113"/>
      <c r="B136" s="120"/>
      <c r="C136" s="120"/>
      <c r="D136" s="40"/>
      <c r="E136" s="114"/>
      <c r="F136" s="113"/>
      <c r="G136" s="113"/>
      <c r="H136" s="113"/>
      <c r="I136" s="113"/>
      <c r="J136" s="113"/>
      <c r="K136" s="113"/>
      <c r="L136" s="113"/>
      <c r="M136" s="113"/>
      <c r="N136" s="113"/>
      <c r="O136" s="113"/>
      <c r="P136" s="113"/>
      <c r="Q136" s="113"/>
      <c r="R136" s="113"/>
      <c r="S136" s="113"/>
      <c r="T136" s="113"/>
      <c r="U136" s="113"/>
      <c r="V136" s="113"/>
      <c r="W136" s="113"/>
      <c r="X136" s="113"/>
      <c r="Y136" s="113"/>
      <c r="Z136" s="113"/>
    </row>
    <row r="137">
      <c r="A137" s="113"/>
      <c r="B137" s="120"/>
      <c r="C137" s="120"/>
      <c r="D137" s="40"/>
      <c r="E137" s="114"/>
      <c r="F137" s="113"/>
      <c r="G137" s="113"/>
      <c r="H137" s="113"/>
      <c r="I137" s="113"/>
      <c r="J137" s="113"/>
      <c r="K137" s="113"/>
      <c r="L137" s="113"/>
      <c r="M137" s="113"/>
      <c r="N137" s="113"/>
      <c r="O137" s="113"/>
      <c r="P137" s="113"/>
      <c r="Q137" s="113"/>
      <c r="R137" s="113"/>
      <c r="S137" s="113"/>
      <c r="T137" s="113"/>
      <c r="U137" s="113"/>
      <c r="V137" s="113"/>
      <c r="W137" s="113"/>
      <c r="X137" s="113"/>
      <c r="Y137" s="113"/>
      <c r="Z137" s="113"/>
    </row>
    <row r="138">
      <c r="A138" s="113"/>
      <c r="B138" s="120"/>
      <c r="C138" s="120"/>
      <c r="D138" s="40"/>
      <c r="E138" s="114"/>
      <c r="F138" s="113"/>
      <c r="G138" s="113"/>
      <c r="H138" s="113"/>
      <c r="I138" s="113"/>
      <c r="J138" s="113"/>
      <c r="K138" s="113"/>
      <c r="L138" s="113"/>
      <c r="M138" s="113"/>
      <c r="N138" s="113"/>
      <c r="O138" s="113"/>
      <c r="P138" s="113"/>
      <c r="Q138" s="113"/>
      <c r="R138" s="113"/>
      <c r="S138" s="113"/>
      <c r="T138" s="113"/>
      <c r="U138" s="113"/>
      <c r="V138" s="113"/>
      <c r="W138" s="113"/>
      <c r="X138" s="113"/>
      <c r="Y138" s="113"/>
      <c r="Z138" s="113"/>
    </row>
    <row r="139">
      <c r="A139" s="113"/>
      <c r="B139" s="120"/>
      <c r="C139" s="120"/>
      <c r="D139" s="40"/>
      <c r="E139" s="114"/>
      <c r="F139" s="113"/>
      <c r="G139" s="113"/>
      <c r="H139" s="113"/>
      <c r="I139" s="113"/>
      <c r="J139" s="113"/>
      <c r="K139" s="113"/>
      <c r="L139" s="113"/>
      <c r="M139" s="113"/>
      <c r="N139" s="113"/>
      <c r="O139" s="113"/>
      <c r="P139" s="113"/>
      <c r="Q139" s="113"/>
      <c r="R139" s="113"/>
      <c r="S139" s="113"/>
      <c r="T139" s="113"/>
      <c r="U139" s="113"/>
      <c r="V139" s="113"/>
      <c r="W139" s="113"/>
      <c r="X139" s="113"/>
      <c r="Y139" s="113"/>
      <c r="Z139" s="113"/>
    </row>
    <row r="140">
      <c r="A140" s="113"/>
      <c r="B140" s="120"/>
      <c r="C140" s="120"/>
      <c r="D140" s="40"/>
      <c r="E140" s="114"/>
      <c r="F140" s="113"/>
      <c r="G140" s="113"/>
      <c r="H140" s="113"/>
      <c r="I140" s="113"/>
      <c r="J140" s="113"/>
      <c r="K140" s="113"/>
      <c r="L140" s="113"/>
      <c r="M140" s="113"/>
      <c r="N140" s="113"/>
      <c r="O140" s="113"/>
      <c r="P140" s="113"/>
      <c r="Q140" s="113"/>
      <c r="R140" s="113"/>
      <c r="S140" s="113"/>
      <c r="T140" s="113"/>
      <c r="U140" s="113"/>
      <c r="V140" s="113"/>
      <c r="W140" s="113"/>
      <c r="X140" s="113"/>
      <c r="Y140" s="113"/>
      <c r="Z140" s="113"/>
    </row>
    <row r="141">
      <c r="A141" s="113"/>
      <c r="B141" s="120"/>
      <c r="C141" s="120"/>
      <c r="D141" s="40"/>
      <c r="E141" s="114"/>
      <c r="F141" s="113"/>
      <c r="G141" s="113"/>
      <c r="H141" s="113"/>
      <c r="I141" s="113"/>
      <c r="J141" s="113"/>
      <c r="K141" s="113"/>
      <c r="L141" s="113"/>
      <c r="M141" s="113"/>
      <c r="N141" s="113"/>
      <c r="O141" s="113"/>
      <c r="P141" s="113"/>
      <c r="Q141" s="113"/>
      <c r="R141" s="113"/>
      <c r="S141" s="113"/>
      <c r="T141" s="113"/>
      <c r="U141" s="113"/>
      <c r="V141" s="113"/>
      <c r="W141" s="113"/>
      <c r="X141" s="113"/>
      <c r="Y141" s="113"/>
      <c r="Z141" s="113"/>
    </row>
    <row r="142">
      <c r="A142" s="113"/>
      <c r="B142" s="120"/>
      <c r="C142" s="120"/>
      <c r="D142" s="40"/>
      <c r="E142" s="114"/>
      <c r="F142" s="113"/>
      <c r="G142" s="113"/>
      <c r="H142" s="113"/>
      <c r="I142" s="113"/>
      <c r="J142" s="113"/>
      <c r="K142" s="113"/>
      <c r="L142" s="113"/>
      <c r="M142" s="113"/>
      <c r="N142" s="113"/>
      <c r="O142" s="113"/>
      <c r="P142" s="113"/>
      <c r="Q142" s="113"/>
      <c r="R142" s="113"/>
      <c r="S142" s="113"/>
      <c r="T142" s="113"/>
      <c r="U142" s="113"/>
      <c r="V142" s="113"/>
      <c r="W142" s="113"/>
      <c r="X142" s="113"/>
      <c r="Y142" s="113"/>
      <c r="Z142" s="113"/>
    </row>
    <row r="143">
      <c r="A143" s="113"/>
      <c r="B143" s="120"/>
      <c r="C143" s="120"/>
      <c r="D143" s="40"/>
      <c r="E143" s="114"/>
      <c r="F143" s="113"/>
      <c r="G143" s="113"/>
      <c r="H143" s="113"/>
      <c r="I143" s="113"/>
      <c r="J143" s="113"/>
      <c r="K143" s="113"/>
      <c r="L143" s="113"/>
      <c r="M143" s="113"/>
      <c r="N143" s="113"/>
      <c r="O143" s="113"/>
      <c r="P143" s="113"/>
      <c r="Q143" s="113"/>
      <c r="R143" s="113"/>
      <c r="S143" s="113"/>
      <c r="T143" s="113"/>
      <c r="U143" s="113"/>
      <c r="V143" s="113"/>
      <c r="W143" s="113"/>
      <c r="X143" s="113"/>
      <c r="Y143" s="113"/>
      <c r="Z143" s="113"/>
    </row>
    <row r="144">
      <c r="A144" s="113"/>
      <c r="B144" s="120"/>
      <c r="C144" s="120"/>
      <c r="D144" s="40"/>
      <c r="E144" s="114"/>
      <c r="F144" s="113"/>
      <c r="G144" s="113"/>
      <c r="H144" s="113"/>
      <c r="I144" s="113"/>
      <c r="J144" s="113"/>
      <c r="K144" s="113"/>
      <c r="L144" s="113"/>
      <c r="M144" s="113"/>
      <c r="N144" s="113"/>
      <c r="O144" s="113"/>
      <c r="P144" s="113"/>
      <c r="Q144" s="113"/>
      <c r="R144" s="113"/>
      <c r="S144" s="113"/>
      <c r="T144" s="113"/>
      <c r="U144" s="113"/>
      <c r="V144" s="113"/>
      <c r="W144" s="113"/>
      <c r="X144" s="113"/>
      <c r="Y144" s="113"/>
      <c r="Z144" s="113"/>
    </row>
    <row r="145">
      <c r="A145" s="113"/>
      <c r="B145" s="120"/>
      <c r="C145" s="120"/>
      <c r="D145" s="40"/>
      <c r="E145" s="114"/>
      <c r="F145" s="113"/>
      <c r="G145" s="113"/>
      <c r="H145" s="113"/>
      <c r="I145" s="113"/>
      <c r="J145" s="113"/>
      <c r="K145" s="113"/>
      <c r="L145" s="113"/>
      <c r="M145" s="113"/>
      <c r="N145" s="113"/>
      <c r="O145" s="113"/>
      <c r="P145" s="113"/>
      <c r="Q145" s="113"/>
      <c r="R145" s="113"/>
      <c r="S145" s="113"/>
      <c r="T145" s="113"/>
      <c r="U145" s="113"/>
      <c r="V145" s="113"/>
      <c r="W145" s="113"/>
      <c r="X145" s="113"/>
      <c r="Y145" s="113"/>
      <c r="Z145" s="113"/>
    </row>
    <row r="146">
      <c r="A146" s="113"/>
      <c r="B146" s="120"/>
      <c r="C146" s="120"/>
      <c r="D146" s="40"/>
      <c r="E146" s="114"/>
      <c r="F146" s="113"/>
      <c r="G146" s="113"/>
      <c r="H146" s="113"/>
      <c r="I146" s="113"/>
      <c r="J146" s="113"/>
      <c r="K146" s="113"/>
      <c r="L146" s="113"/>
      <c r="M146" s="113"/>
      <c r="N146" s="113"/>
      <c r="O146" s="113"/>
      <c r="P146" s="113"/>
      <c r="Q146" s="113"/>
      <c r="R146" s="113"/>
      <c r="S146" s="113"/>
      <c r="T146" s="113"/>
      <c r="U146" s="113"/>
      <c r="V146" s="113"/>
      <c r="W146" s="113"/>
      <c r="X146" s="113"/>
      <c r="Y146" s="113"/>
      <c r="Z146" s="113"/>
    </row>
    <row r="147">
      <c r="A147" s="113"/>
      <c r="B147" s="120"/>
      <c r="C147" s="120"/>
      <c r="D147" s="40"/>
      <c r="E147" s="114"/>
      <c r="F147" s="113"/>
      <c r="G147" s="113"/>
      <c r="H147" s="113"/>
      <c r="I147" s="113"/>
      <c r="J147" s="113"/>
      <c r="K147" s="113"/>
      <c r="L147" s="113"/>
      <c r="M147" s="113"/>
      <c r="N147" s="113"/>
      <c r="O147" s="113"/>
      <c r="P147" s="113"/>
      <c r="Q147" s="113"/>
      <c r="R147" s="113"/>
      <c r="S147" s="113"/>
      <c r="T147" s="113"/>
      <c r="U147" s="113"/>
      <c r="V147" s="113"/>
      <c r="W147" s="113"/>
      <c r="X147" s="113"/>
      <c r="Y147" s="113"/>
      <c r="Z147" s="113"/>
    </row>
    <row r="148">
      <c r="A148" s="113"/>
      <c r="B148" s="120"/>
      <c r="C148" s="120"/>
      <c r="D148" s="40"/>
      <c r="E148" s="114"/>
      <c r="F148" s="113"/>
      <c r="G148" s="113"/>
      <c r="H148" s="113"/>
      <c r="I148" s="113"/>
      <c r="J148" s="113"/>
      <c r="K148" s="113"/>
      <c r="L148" s="113"/>
      <c r="M148" s="113"/>
      <c r="N148" s="113"/>
      <c r="O148" s="113"/>
      <c r="P148" s="113"/>
      <c r="Q148" s="113"/>
      <c r="R148" s="113"/>
      <c r="S148" s="113"/>
      <c r="T148" s="113"/>
      <c r="U148" s="113"/>
      <c r="V148" s="113"/>
      <c r="W148" s="113"/>
      <c r="X148" s="113"/>
      <c r="Y148" s="113"/>
      <c r="Z148" s="113"/>
    </row>
    <row r="149">
      <c r="A149" s="113"/>
      <c r="B149" s="120"/>
      <c r="C149" s="120"/>
      <c r="D149" s="40"/>
      <c r="E149" s="114"/>
      <c r="F149" s="113"/>
      <c r="G149" s="113"/>
      <c r="H149" s="113"/>
      <c r="I149" s="113"/>
      <c r="J149" s="113"/>
      <c r="K149" s="113"/>
      <c r="L149" s="113"/>
      <c r="M149" s="113"/>
      <c r="N149" s="113"/>
      <c r="O149" s="113"/>
      <c r="P149" s="113"/>
      <c r="Q149" s="113"/>
      <c r="R149" s="113"/>
      <c r="S149" s="113"/>
      <c r="T149" s="113"/>
      <c r="U149" s="113"/>
      <c r="V149" s="113"/>
      <c r="W149" s="113"/>
      <c r="X149" s="113"/>
      <c r="Y149" s="113"/>
      <c r="Z149" s="113"/>
    </row>
    <row r="150">
      <c r="A150" s="113"/>
      <c r="B150" s="120"/>
      <c r="C150" s="120"/>
      <c r="D150" s="40"/>
      <c r="E150" s="114"/>
      <c r="F150" s="113"/>
      <c r="G150" s="113"/>
      <c r="H150" s="113"/>
      <c r="I150" s="113"/>
      <c r="J150" s="113"/>
      <c r="K150" s="113"/>
      <c r="L150" s="113"/>
      <c r="M150" s="113"/>
      <c r="N150" s="113"/>
      <c r="O150" s="113"/>
      <c r="P150" s="113"/>
      <c r="Q150" s="113"/>
      <c r="R150" s="113"/>
      <c r="S150" s="113"/>
      <c r="T150" s="113"/>
      <c r="U150" s="113"/>
      <c r="V150" s="113"/>
      <c r="W150" s="113"/>
      <c r="X150" s="113"/>
      <c r="Y150" s="113"/>
      <c r="Z150" s="113"/>
    </row>
    <row r="151">
      <c r="A151" s="113"/>
      <c r="B151" s="120"/>
      <c r="C151" s="120"/>
      <c r="D151" s="40"/>
      <c r="E151" s="114"/>
      <c r="F151" s="113"/>
      <c r="G151" s="113"/>
      <c r="H151" s="113"/>
      <c r="I151" s="113"/>
      <c r="J151" s="113"/>
      <c r="K151" s="113"/>
      <c r="L151" s="113"/>
      <c r="M151" s="113"/>
      <c r="N151" s="113"/>
      <c r="O151" s="113"/>
      <c r="P151" s="113"/>
      <c r="Q151" s="113"/>
      <c r="R151" s="113"/>
      <c r="S151" s="113"/>
      <c r="T151" s="113"/>
      <c r="U151" s="113"/>
      <c r="V151" s="113"/>
      <c r="W151" s="113"/>
      <c r="X151" s="113"/>
      <c r="Y151" s="113"/>
      <c r="Z151" s="113"/>
    </row>
    <row r="152">
      <c r="A152" s="113"/>
      <c r="B152" s="120"/>
      <c r="C152" s="120"/>
      <c r="D152" s="40"/>
      <c r="E152" s="114"/>
      <c r="F152" s="113"/>
      <c r="G152" s="113"/>
      <c r="H152" s="113"/>
      <c r="I152" s="113"/>
      <c r="J152" s="113"/>
      <c r="K152" s="113"/>
      <c r="L152" s="113"/>
      <c r="M152" s="113"/>
      <c r="N152" s="113"/>
      <c r="O152" s="113"/>
      <c r="P152" s="113"/>
      <c r="Q152" s="113"/>
      <c r="R152" s="113"/>
      <c r="S152" s="113"/>
      <c r="T152" s="113"/>
      <c r="U152" s="113"/>
      <c r="V152" s="113"/>
      <c r="W152" s="113"/>
      <c r="X152" s="113"/>
      <c r="Y152" s="113"/>
      <c r="Z152" s="113"/>
    </row>
    <row r="153">
      <c r="A153" s="113"/>
      <c r="B153" s="120"/>
      <c r="C153" s="120"/>
      <c r="D153" s="40"/>
      <c r="E153" s="114"/>
      <c r="F153" s="113"/>
      <c r="G153" s="113"/>
      <c r="H153" s="113"/>
      <c r="I153" s="113"/>
      <c r="J153" s="113"/>
      <c r="K153" s="113"/>
      <c r="L153" s="113"/>
      <c r="M153" s="113"/>
      <c r="N153" s="113"/>
      <c r="O153" s="113"/>
      <c r="P153" s="113"/>
      <c r="Q153" s="113"/>
      <c r="R153" s="113"/>
      <c r="S153" s="113"/>
      <c r="T153" s="113"/>
      <c r="U153" s="113"/>
      <c r="V153" s="113"/>
      <c r="W153" s="113"/>
      <c r="X153" s="113"/>
      <c r="Y153" s="113"/>
      <c r="Z153" s="113"/>
    </row>
    <row r="154">
      <c r="A154" s="113"/>
      <c r="B154" s="120"/>
      <c r="C154" s="120"/>
      <c r="D154" s="40"/>
      <c r="E154" s="114"/>
      <c r="F154" s="113"/>
      <c r="G154" s="113"/>
      <c r="H154" s="113"/>
      <c r="I154" s="113"/>
      <c r="J154" s="113"/>
      <c r="K154" s="113"/>
      <c r="L154" s="113"/>
      <c r="M154" s="113"/>
      <c r="N154" s="113"/>
      <c r="O154" s="113"/>
      <c r="P154" s="113"/>
      <c r="Q154" s="113"/>
      <c r="R154" s="113"/>
      <c r="S154" s="113"/>
      <c r="T154" s="113"/>
      <c r="U154" s="113"/>
      <c r="V154" s="113"/>
      <c r="W154" s="113"/>
      <c r="X154" s="113"/>
      <c r="Y154" s="113"/>
      <c r="Z154" s="113"/>
    </row>
    <row r="155">
      <c r="A155" s="113"/>
      <c r="B155" s="120"/>
      <c r="C155" s="120"/>
      <c r="D155" s="40"/>
      <c r="E155" s="114"/>
      <c r="F155" s="113"/>
      <c r="G155" s="113"/>
      <c r="H155" s="113"/>
      <c r="I155" s="113"/>
      <c r="J155" s="113"/>
      <c r="K155" s="113"/>
      <c r="L155" s="113"/>
      <c r="M155" s="113"/>
      <c r="N155" s="113"/>
      <c r="O155" s="113"/>
      <c r="P155" s="113"/>
      <c r="Q155" s="113"/>
      <c r="R155" s="113"/>
      <c r="S155" s="113"/>
      <c r="T155" s="113"/>
      <c r="U155" s="113"/>
      <c r="V155" s="113"/>
      <c r="W155" s="113"/>
      <c r="X155" s="113"/>
      <c r="Y155" s="113"/>
      <c r="Z155" s="113"/>
    </row>
    <row r="156">
      <c r="A156" s="113"/>
      <c r="B156" s="120"/>
      <c r="C156" s="120"/>
      <c r="D156" s="40"/>
      <c r="E156" s="114"/>
      <c r="F156" s="113"/>
      <c r="G156" s="113"/>
      <c r="H156" s="113"/>
      <c r="I156" s="113"/>
      <c r="J156" s="113"/>
      <c r="K156" s="113"/>
      <c r="L156" s="113"/>
      <c r="M156" s="113"/>
      <c r="N156" s="113"/>
      <c r="O156" s="113"/>
      <c r="P156" s="113"/>
      <c r="Q156" s="113"/>
      <c r="R156" s="113"/>
      <c r="S156" s="113"/>
      <c r="T156" s="113"/>
      <c r="U156" s="113"/>
      <c r="V156" s="113"/>
      <c r="W156" s="113"/>
      <c r="X156" s="113"/>
      <c r="Y156" s="113"/>
      <c r="Z156" s="113"/>
    </row>
    <row r="157">
      <c r="A157" s="113"/>
      <c r="B157" s="120"/>
      <c r="C157" s="120"/>
      <c r="D157" s="40"/>
      <c r="E157" s="114"/>
      <c r="F157" s="113"/>
      <c r="G157" s="113"/>
      <c r="H157" s="113"/>
      <c r="I157" s="113"/>
      <c r="J157" s="113"/>
      <c r="K157" s="113"/>
      <c r="L157" s="113"/>
      <c r="M157" s="113"/>
      <c r="N157" s="113"/>
      <c r="O157" s="113"/>
      <c r="P157" s="113"/>
      <c r="Q157" s="113"/>
      <c r="R157" s="113"/>
      <c r="S157" s="113"/>
      <c r="T157" s="113"/>
      <c r="U157" s="113"/>
      <c r="V157" s="113"/>
      <c r="W157" s="113"/>
      <c r="X157" s="113"/>
      <c r="Y157" s="113"/>
      <c r="Z157" s="113"/>
    </row>
    <row r="158">
      <c r="A158" s="113"/>
      <c r="B158" s="120"/>
      <c r="C158" s="120"/>
      <c r="D158" s="40"/>
      <c r="E158" s="114"/>
      <c r="F158" s="113"/>
      <c r="G158" s="113"/>
      <c r="H158" s="113"/>
      <c r="I158" s="113"/>
      <c r="J158" s="113"/>
      <c r="K158" s="113"/>
      <c r="L158" s="113"/>
      <c r="M158" s="113"/>
      <c r="N158" s="113"/>
      <c r="O158" s="113"/>
      <c r="P158" s="113"/>
      <c r="Q158" s="113"/>
      <c r="R158" s="113"/>
      <c r="S158" s="113"/>
      <c r="T158" s="113"/>
      <c r="U158" s="113"/>
      <c r="V158" s="113"/>
      <c r="W158" s="113"/>
      <c r="X158" s="113"/>
      <c r="Y158" s="113"/>
      <c r="Z158" s="113"/>
    </row>
    <row r="159">
      <c r="A159" s="113"/>
      <c r="B159" s="120"/>
      <c r="C159" s="120"/>
      <c r="D159" s="40"/>
      <c r="E159" s="114"/>
      <c r="F159" s="113"/>
      <c r="G159" s="113"/>
      <c r="H159" s="113"/>
      <c r="I159" s="113"/>
      <c r="J159" s="113"/>
      <c r="K159" s="113"/>
      <c r="L159" s="113"/>
      <c r="M159" s="113"/>
      <c r="N159" s="113"/>
      <c r="O159" s="113"/>
      <c r="P159" s="113"/>
      <c r="Q159" s="113"/>
      <c r="R159" s="113"/>
      <c r="S159" s="113"/>
      <c r="T159" s="113"/>
      <c r="U159" s="113"/>
      <c r="V159" s="113"/>
      <c r="W159" s="113"/>
      <c r="X159" s="113"/>
      <c r="Y159" s="113"/>
      <c r="Z159" s="113"/>
    </row>
    <row r="160">
      <c r="A160" s="113"/>
      <c r="B160" s="120"/>
      <c r="C160" s="120"/>
      <c r="D160" s="40"/>
      <c r="E160" s="114"/>
      <c r="F160" s="113"/>
      <c r="G160" s="113"/>
      <c r="H160" s="113"/>
      <c r="I160" s="113"/>
      <c r="J160" s="113"/>
      <c r="K160" s="113"/>
      <c r="L160" s="113"/>
      <c r="M160" s="113"/>
      <c r="N160" s="113"/>
      <c r="O160" s="113"/>
      <c r="P160" s="113"/>
      <c r="Q160" s="113"/>
      <c r="R160" s="113"/>
      <c r="S160" s="113"/>
      <c r="T160" s="113"/>
      <c r="U160" s="113"/>
      <c r="V160" s="113"/>
      <c r="W160" s="113"/>
      <c r="X160" s="113"/>
      <c r="Y160" s="113"/>
      <c r="Z160" s="113"/>
    </row>
    <row r="161">
      <c r="A161" s="113"/>
      <c r="B161" s="120"/>
      <c r="C161" s="120"/>
      <c r="D161" s="40"/>
      <c r="E161" s="114"/>
      <c r="F161" s="113"/>
      <c r="G161" s="113"/>
      <c r="H161" s="113"/>
      <c r="I161" s="113"/>
      <c r="J161" s="113"/>
      <c r="K161" s="113"/>
      <c r="L161" s="113"/>
      <c r="M161" s="113"/>
      <c r="N161" s="113"/>
      <c r="O161" s="113"/>
      <c r="P161" s="113"/>
      <c r="Q161" s="113"/>
      <c r="R161" s="113"/>
      <c r="S161" s="113"/>
      <c r="T161" s="113"/>
      <c r="U161" s="113"/>
      <c r="V161" s="113"/>
      <c r="W161" s="113"/>
      <c r="X161" s="113"/>
      <c r="Y161" s="113"/>
      <c r="Z161" s="113"/>
    </row>
    <row r="162">
      <c r="A162" s="113"/>
      <c r="B162" s="120"/>
      <c r="C162" s="120"/>
      <c r="D162" s="40"/>
      <c r="E162" s="114"/>
      <c r="F162" s="113"/>
      <c r="G162" s="113"/>
      <c r="H162" s="113"/>
      <c r="I162" s="113"/>
      <c r="J162" s="113"/>
      <c r="K162" s="113"/>
      <c r="L162" s="113"/>
      <c r="M162" s="113"/>
      <c r="N162" s="113"/>
      <c r="O162" s="113"/>
      <c r="P162" s="113"/>
      <c r="Q162" s="113"/>
      <c r="R162" s="113"/>
      <c r="S162" s="113"/>
      <c r="T162" s="113"/>
      <c r="U162" s="113"/>
      <c r="V162" s="113"/>
      <c r="W162" s="113"/>
      <c r="X162" s="113"/>
      <c r="Y162" s="113"/>
      <c r="Z162" s="113"/>
    </row>
    <row r="163">
      <c r="A163" s="113"/>
      <c r="B163" s="120"/>
      <c r="C163" s="120"/>
      <c r="D163" s="40"/>
      <c r="E163" s="114"/>
      <c r="F163" s="113"/>
      <c r="G163" s="113"/>
      <c r="H163" s="113"/>
      <c r="I163" s="113"/>
      <c r="J163" s="113"/>
      <c r="K163" s="113"/>
      <c r="L163" s="113"/>
      <c r="M163" s="113"/>
      <c r="N163" s="113"/>
      <c r="O163" s="113"/>
      <c r="P163" s="113"/>
      <c r="Q163" s="113"/>
      <c r="R163" s="113"/>
      <c r="S163" s="113"/>
      <c r="T163" s="113"/>
      <c r="U163" s="113"/>
      <c r="V163" s="113"/>
      <c r="W163" s="113"/>
      <c r="X163" s="113"/>
      <c r="Y163" s="113"/>
      <c r="Z163" s="113"/>
    </row>
    <row r="164">
      <c r="A164" s="113"/>
      <c r="B164" s="120"/>
      <c r="C164" s="120"/>
      <c r="D164" s="40"/>
      <c r="E164" s="114"/>
      <c r="F164" s="113"/>
      <c r="G164" s="113"/>
      <c r="H164" s="113"/>
      <c r="I164" s="113"/>
      <c r="J164" s="113"/>
      <c r="K164" s="113"/>
      <c r="L164" s="113"/>
      <c r="M164" s="113"/>
      <c r="N164" s="113"/>
      <c r="O164" s="113"/>
      <c r="P164" s="113"/>
      <c r="Q164" s="113"/>
      <c r="R164" s="113"/>
      <c r="S164" s="113"/>
      <c r="T164" s="113"/>
      <c r="U164" s="113"/>
      <c r="V164" s="113"/>
      <c r="W164" s="113"/>
      <c r="X164" s="113"/>
      <c r="Y164" s="113"/>
      <c r="Z164" s="113"/>
    </row>
    <row r="165">
      <c r="A165" s="113"/>
      <c r="B165" s="120"/>
      <c r="C165" s="120"/>
      <c r="D165" s="40"/>
      <c r="E165" s="114"/>
      <c r="F165" s="113"/>
      <c r="G165" s="113"/>
      <c r="H165" s="113"/>
      <c r="I165" s="113"/>
      <c r="J165" s="113"/>
      <c r="K165" s="113"/>
      <c r="L165" s="113"/>
      <c r="M165" s="113"/>
      <c r="N165" s="113"/>
      <c r="O165" s="113"/>
      <c r="P165" s="113"/>
      <c r="Q165" s="113"/>
      <c r="R165" s="113"/>
      <c r="S165" s="113"/>
      <c r="T165" s="113"/>
      <c r="U165" s="113"/>
      <c r="V165" s="113"/>
      <c r="W165" s="113"/>
      <c r="X165" s="113"/>
      <c r="Y165" s="113"/>
      <c r="Z165" s="113"/>
    </row>
    <row r="166">
      <c r="A166" s="113"/>
      <c r="B166" s="120"/>
      <c r="C166" s="120"/>
      <c r="D166" s="40"/>
      <c r="E166" s="114"/>
      <c r="F166" s="113"/>
      <c r="G166" s="113"/>
      <c r="H166" s="113"/>
      <c r="I166" s="113"/>
      <c r="J166" s="113"/>
      <c r="K166" s="113"/>
      <c r="L166" s="113"/>
      <c r="M166" s="113"/>
      <c r="N166" s="113"/>
      <c r="O166" s="113"/>
      <c r="P166" s="113"/>
      <c r="Q166" s="113"/>
      <c r="R166" s="113"/>
      <c r="S166" s="113"/>
      <c r="T166" s="113"/>
      <c r="U166" s="113"/>
      <c r="V166" s="113"/>
      <c r="W166" s="113"/>
      <c r="X166" s="113"/>
      <c r="Y166" s="113"/>
      <c r="Z166" s="113"/>
    </row>
    <row r="167">
      <c r="A167" s="113"/>
      <c r="B167" s="120"/>
      <c r="C167" s="120"/>
      <c r="D167" s="40"/>
      <c r="E167" s="114"/>
      <c r="F167" s="113"/>
      <c r="G167" s="113"/>
      <c r="H167" s="113"/>
      <c r="I167" s="113"/>
      <c r="J167" s="113"/>
      <c r="K167" s="113"/>
      <c r="L167" s="113"/>
      <c r="M167" s="113"/>
      <c r="N167" s="113"/>
      <c r="O167" s="113"/>
      <c r="P167" s="113"/>
      <c r="Q167" s="113"/>
      <c r="R167" s="113"/>
      <c r="S167" s="113"/>
      <c r="T167" s="113"/>
      <c r="U167" s="113"/>
      <c r="V167" s="113"/>
      <c r="W167" s="113"/>
      <c r="X167" s="113"/>
      <c r="Y167" s="113"/>
      <c r="Z167" s="113"/>
    </row>
    <row r="168">
      <c r="A168" s="113"/>
      <c r="B168" s="120"/>
      <c r="C168" s="120"/>
      <c r="D168" s="40"/>
      <c r="E168" s="114"/>
      <c r="F168" s="113"/>
      <c r="G168" s="113"/>
      <c r="H168" s="113"/>
      <c r="I168" s="113"/>
      <c r="J168" s="113"/>
      <c r="K168" s="113"/>
      <c r="L168" s="113"/>
      <c r="M168" s="113"/>
      <c r="N168" s="113"/>
      <c r="O168" s="113"/>
      <c r="P168" s="113"/>
      <c r="Q168" s="113"/>
      <c r="R168" s="113"/>
      <c r="S168" s="113"/>
      <c r="T168" s="113"/>
      <c r="U168" s="113"/>
      <c r="V168" s="113"/>
      <c r="W168" s="113"/>
      <c r="X168" s="113"/>
      <c r="Y168" s="113"/>
      <c r="Z168" s="113"/>
    </row>
    <row r="169">
      <c r="A169" s="113"/>
      <c r="B169" s="120"/>
      <c r="C169" s="120"/>
      <c r="D169" s="40"/>
      <c r="E169" s="114"/>
      <c r="F169" s="113"/>
      <c r="G169" s="113"/>
      <c r="H169" s="113"/>
      <c r="I169" s="113"/>
      <c r="J169" s="113"/>
      <c r="K169" s="113"/>
      <c r="L169" s="113"/>
      <c r="M169" s="113"/>
      <c r="N169" s="113"/>
      <c r="O169" s="113"/>
      <c r="P169" s="113"/>
      <c r="Q169" s="113"/>
      <c r="R169" s="113"/>
      <c r="S169" s="113"/>
      <c r="T169" s="113"/>
      <c r="U169" s="113"/>
      <c r="V169" s="113"/>
      <c r="W169" s="113"/>
      <c r="X169" s="113"/>
      <c r="Y169" s="113"/>
      <c r="Z169" s="113"/>
    </row>
    <row r="170">
      <c r="A170" s="113"/>
      <c r="B170" s="120"/>
      <c r="C170" s="120"/>
      <c r="D170" s="40"/>
      <c r="E170" s="114"/>
      <c r="F170" s="113"/>
      <c r="G170" s="113"/>
      <c r="H170" s="113"/>
      <c r="I170" s="113"/>
      <c r="J170" s="113"/>
      <c r="K170" s="113"/>
      <c r="L170" s="113"/>
      <c r="M170" s="113"/>
      <c r="N170" s="113"/>
      <c r="O170" s="113"/>
      <c r="P170" s="113"/>
      <c r="Q170" s="113"/>
      <c r="R170" s="113"/>
      <c r="S170" s="113"/>
      <c r="T170" s="113"/>
      <c r="U170" s="113"/>
      <c r="V170" s="113"/>
      <c r="W170" s="113"/>
      <c r="X170" s="113"/>
      <c r="Y170" s="113"/>
      <c r="Z170" s="113"/>
    </row>
    <row r="171">
      <c r="A171" s="113"/>
      <c r="B171" s="120"/>
      <c r="C171" s="120"/>
      <c r="D171" s="40"/>
      <c r="E171" s="114"/>
      <c r="F171" s="113"/>
      <c r="G171" s="113"/>
      <c r="H171" s="113"/>
      <c r="I171" s="113"/>
      <c r="J171" s="113"/>
      <c r="K171" s="113"/>
      <c r="L171" s="113"/>
      <c r="M171" s="113"/>
      <c r="N171" s="113"/>
      <c r="O171" s="113"/>
      <c r="P171" s="113"/>
      <c r="Q171" s="113"/>
      <c r="R171" s="113"/>
      <c r="S171" s="113"/>
      <c r="T171" s="113"/>
      <c r="U171" s="113"/>
      <c r="V171" s="113"/>
      <c r="W171" s="113"/>
      <c r="X171" s="113"/>
      <c r="Y171" s="113"/>
      <c r="Z171" s="113"/>
    </row>
    <row r="172">
      <c r="A172" s="113"/>
      <c r="B172" s="120"/>
      <c r="C172" s="120"/>
      <c r="D172" s="40"/>
      <c r="E172" s="114"/>
      <c r="F172" s="113"/>
      <c r="G172" s="113"/>
      <c r="H172" s="113"/>
      <c r="I172" s="113"/>
      <c r="J172" s="113"/>
      <c r="K172" s="113"/>
      <c r="L172" s="113"/>
      <c r="M172" s="113"/>
      <c r="N172" s="113"/>
      <c r="O172" s="113"/>
      <c r="P172" s="113"/>
      <c r="Q172" s="113"/>
      <c r="R172" s="113"/>
      <c r="S172" s="113"/>
      <c r="T172" s="113"/>
      <c r="U172" s="113"/>
      <c r="V172" s="113"/>
      <c r="W172" s="113"/>
      <c r="X172" s="113"/>
      <c r="Y172" s="113"/>
      <c r="Z172" s="113"/>
    </row>
    <row r="173">
      <c r="A173" s="113"/>
      <c r="B173" s="120"/>
      <c r="C173" s="120"/>
      <c r="D173" s="40"/>
      <c r="E173" s="114"/>
      <c r="F173" s="113"/>
      <c r="G173" s="113"/>
      <c r="H173" s="113"/>
      <c r="I173" s="113"/>
      <c r="J173" s="113"/>
      <c r="K173" s="113"/>
      <c r="L173" s="113"/>
      <c r="M173" s="113"/>
      <c r="N173" s="113"/>
      <c r="O173" s="113"/>
      <c r="P173" s="113"/>
      <c r="Q173" s="113"/>
      <c r="R173" s="113"/>
      <c r="S173" s="113"/>
      <c r="T173" s="113"/>
      <c r="U173" s="113"/>
      <c r="V173" s="113"/>
      <c r="W173" s="113"/>
      <c r="X173" s="113"/>
      <c r="Y173" s="113"/>
      <c r="Z173" s="113"/>
    </row>
    <row r="174">
      <c r="A174" s="113"/>
      <c r="B174" s="120"/>
      <c r="C174" s="120"/>
      <c r="D174" s="40"/>
      <c r="E174" s="114"/>
      <c r="F174" s="113"/>
      <c r="G174" s="113"/>
      <c r="H174" s="113"/>
      <c r="I174" s="113"/>
      <c r="J174" s="113"/>
      <c r="K174" s="113"/>
      <c r="L174" s="113"/>
      <c r="M174" s="113"/>
      <c r="N174" s="113"/>
      <c r="O174" s="113"/>
      <c r="P174" s="113"/>
      <c r="Q174" s="113"/>
      <c r="R174" s="113"/>
      <c r="S174" s="113"/>
      <c r="T174" s="113"/>
      <c r="U174" s="113"/>
      <c r="V174" s="113"/>
      <c r="W174" s="113"/>
      <c r="X174" s="113"/>
      <c r="Y174" s="113"/>
      <c r="Z174" s="113"/>
    </row>
    <row r="175">
      <c r="A175" s="113"/>
      <c r="B175" s="120"/>
      <c r="C175" s="120"/>
      <c r="D175" s="40"/>
      <c r="E175" s="114"/>
      <c r="F175" s="113"/>
      <c r="G175" s="113"/>
      <c r="H175" s="113"/>
      <c r="I175" s="113"/>
      <c r="J175" s="113"/>
      <c r="K175" s="113"/>
      <c r="L175" s="113"/>
      <c r="M175" s="113"/>
      <c r="N175" s="113"/>
      <c r="O175" s="113"/>
      <c r="P175" s="113"/>
      <c r="Q175" s="113"/>
      <c r="R175" s="113"/>
      <c r="S175" s="113"/>
      <c r="T175" s="113"/>
      <c r="U175" s="113"/>
      <c r="V175" s="113"/>
      <c r="W175" s="113"/>
      <c r="X175" s="113"/>
      <c r="Y175" s="113"/>
      <c r="Z175" s="113"/>
    </row>
    <row r="176">
      <c r="A176" s="113"/>
      <c r="B176" s="120"/>
      <c r="C176" s="120"/>
      <c r="D176" s="40"/>
      <c r="E176" s="114"/>
      <c r="F176" s="113"/>
      <c r="G176" s="113"/>
      <c r="H176" s="113"/>
      <c r="I176" s="113"/>
      <c r="J176" s="113"/>
      <c r="K176" s="113"/>
      <c r="L176" s="113"/>
      <c r="M176" s="113"/>
      <c r="N176" s="113"/>
      <c r="O176" s="113"/>
      <c r="P176" s="113"/>
      <c r="Q176" s="113"/>
      <c r="R176" s="113"/>
      <c r="S176" s="113"/>
      <c r="T176" s="113"/>
      <c r="U176" s="113"/>
      <c r="V176" s="113"/>
      <c r="W176" s="113"/>
      <c r="X176" s="113"/>
      <c r="Y176" s="113"/>
      <c r="Z176" s="113"/>
    </row>
    <row r="177">
      <c r="A177" s="113"/>
      <c r="B177" s="120"/>
      <c r="C177" s="120"/>
      <c r="D177" s="40"/>
      <c r="E177" s="114"/>
      <c r="F177" s="113"/>
      <c r="G177" s="113"/>
      <c r="H177" s="113"/>
      <c r="I177" s="113"/>
      <c r="J177" s="113"/>
      <c r="K177" s="113"/>
      <c r="L177" s="113"/>
      <c r="M177" s="113"/>
      <c r="N177" s="113"/>
      <c r="O177" s="113"/>
      <c r="P177" s="113"/>
      <c r="Q177" s="113"/>
      <c r="R177" s="113"/>
      <c r="S177" s="113"/>
      <c r="T177" s="113"/>
      <c r="U177" s="113"/>
      <c r="V177" s="113"/>
      <c r="W177" s="113"/>
      <c r="X177" s="113"/>
      <c r="Y177" s="113"/>
      <c r="Z177" s="113"/>
    </row>
    <row r="178">
      <c r="A178" s="113"/>
      <c r="B178" s="120"/>
      <c r="C178" s="120"/>
      <c r="D178" s="40"/>
      <c r="E178" s="114"/>
      <c r="F178" s="113"/>
      <c r="G178" s="113"/>
      <c r="H178" s="113"/>
      <c r="I178" s="113"/>
      <c r="J178" s="113"/>
      <c r="K178" s="113"/>
      <c r="L178" s="113"/>
      <c r="M178" s="113"/>
      <c r="N178" s="113"/>
      <c r="O178" s="113"/>
      <c r="P178" s="113"/>
      <c r="Q178" s="113"/>
      <c r="R178" s="113"/>
      <c r="S178" s="113"/>
      <c r="T178" s="113"/>
      <c r="U178" s="113"/>
      <c r="V178" s="113"/>
      <c r="W178" s="113"/>
      <c r="X178" s="113"/>
      <c r="Y178" s="113"/>
      <c r="Z178" s="113"/>
    </row>
    <row r="179">
      <c r="A179" s="113"/>
      <c r="B179" s="120"/>
      <c r="C179" s="120"/>
      <c r="D179" s="40"/>
      <c r="E179" s="114"/>
      <c r="F179" s="113"/>
      <c r="G179" s="113"/>
      <c r="H179" s="113"/>
      <c r="I179" s="113"/>
      <c r="J179" s="113"/>
      <c r="K179" s="113"/>
      <c r="L179" s="113"/>
      <c r="M179" s="113"/>
      <c r="N179" s="113"/>
      <c r="O179" s="113"/>
      <c r="P179" s="113"/>
      <c r="Q179" s="113"/>
      <c r="R179" s="113"/>
      <c r="S179" s="113"/>
      <c r="T179" s="113"/>
      <c r="U179" s="113"/>
      <c r="V179" s="113"/>
      <c r="W179" s="113"/>
      <c r="X179" s="113"/>
      <c r="Y179" s="113"/>
      <c r="Z179" s="113"/>
    </row>
    <row r="180">
      <c r="A180" s="113"/>
      <c r="B180" s="120"/>
      <c r="C180" s="120"/>
      <c r="D180" s="40"/>
      <c r="E180" s="114"/>
      <c r="F180" s="113"/>
      <c r="G180" s="113"/>
      <c r="H180" s="113"/>
      <c r="I180" s="113"/>
      <c r="J180" s="113"/>
      <c r="K180" s="113"/>
      <c r="L180" s="113"/>
      <c r="M180" s="113"/>
      <c r="N180" s="113"/>
      <c r="O180" s="113"/>
      <c r="P180" s="113"/>
      <c r="Q180" s="113"/>
      <c r="R180" s="113"/>
      <c r="S180" s="113"/>
      <c r="T180" s="113"/>
      <c r="U180" s="113"/>
      <c r="V180" s="113"/>
      <c r="W180" s="113"/>
      <c r="X180" s="113"/>
      <c r="Y180" s="113"/>
      <c r="Z180" s="113"/>
    </row>
    <row r="181">
      <c r="A181" s="113"/>
      <c r="B181" s="120"/>
      <c r="C181" s="120"/>
      <c r="D181" s="40"/>
      <c r="E181" s="114"/>
      <c r="F181" s="113"/>
      <c r="G181" s="113"/>
      <c r="H181" s="113"/>
      <c r="I181" s="113"/>
      <c r="J181" s="113"/>
      <c r="K181" s="113"/>
      <c r="L181" s="113"/>
      <c r="M181" s="113"/>
      <c r="N181" s="113"/>
      <c r="O181" s="113"/>
      <c r="P181" s="113"/>
      <c r="Q181" s="113"/>
      <c r="R181" s="113"/>
      <c r="S181" s="113"/>
      <c r="T181" s="113"/>
      <c r="U181" s="113"/>
      <c r="V181" s="113"/>
      <c r="W181" s="113"/>
      <c r="X181" s="113"/>
      <c r="Y181" s="113"/>
      <c r="Z181" s="113"/>
    </row>
    <row r="182">
      <c r="A182" s="113"/>
      <c r="B182" s="120"/>
      <c r="C182" s="120"/>
      <c r="D182" s="40"/>
      <c r="E182" s="114"/>
      <c r="F182" s="113"/>
      <c r="G182" s="113"/>
      <c r="H182" s="113"/>
      <c r="I182" s="113"/>
      <c r="J182" s="113"/>
      <c r="K182" s="113"/>
      <c r="L182" s="113"/>
      <c r="M182" s="113"/>
      <c r="N182" s="113"/>
      <c r="O182" s="113"/>
      <c r="P182" s="113"/>
      <c r="Q182" s="113"/>
      <c r="R182" s="113"/>
      <c r="S182" s="113"/>
      <c r="T182" s="113"/>
      <c r="U182" s="113"/>
      <c r="V182" s="113"/>
      <c r="W182" s="113"/>
      <c r="X182" s="113"/>
      <c r="Y182" s="113"/>
      <c r="Z182" s="113"/>
    </row>
    <row r="183">
      <c r="A183" s="113"/>
      <c r="B183" s="120"/>
      <c r="C183" s="120"/>
      <c r="D183" s="40"/>
      <c r="E183" s="114"/>
      <c r="F183" s="113"/>
      <c r="G183" s="113"/>
      <c r="H183" s="113"/>
      <c r="I183" s="113"/>
      <c r="J183" s="113"/>
      <c r="K183" s="113"/>
      <c r="L183" s="113"/>
      <c r="M183" s="113"/>
      <c r="N183" s="113"/>
      <c r="O183" s="113"/>
      <c r="P183" s="113"/>
      <c r="Q183" s="113"/>
      <c r="R183" s="113"/>
      <c r="S183" s="113"/>
      <c r="T183" s="113"/>
      <c r="U183" s="113"/>
      <c r="V183" s="113"/>
      <c r="W183" s="113"/>
      <c r="X183" s="113"/>
      <c r="Y183" s="113"/>
      <c r="Z183" s="113"/>
    </row>
    <row r="184">
      <c r="A184" s="113"/>
      <c r="B184" s="120"/>
      <c r="C184" s="120"/>
      <c r="D184" s="40"/>
      <c r="E184" s="114"/>
      <c r="F184" s="113"/>
      <c r="G184" s="113"/>
      <c r="H184" s="113"/>
      <c r="I184" s="113"/>
      <c r="J184" s="113"/>
      <c r="K184" s="113"/>
      <c r="L184" s="113"/>
      <c r="M184" s="113"/>
      <c r="N184" s="113"/>
      <c r="O184" s="113"/>
      <c r="P184" s="113"/>
      <c r="Q184" s="113"/>
      <c r="R184" s="113"/>
      <c r="S184" s="113"/>
      <c r="T184" s="113"/>
      <c r="U184" s="113"/>
      <c r="V184" s="113"/>
      <c r="W184" s="113"/>
      <c r="X184" s="113"/>
      <c r="Y184" s="113"/>
      <c r="Z184" s="113"/>
    </row>
    <row r="185">
      <c r="A185" s="113"/>
      <c r="B185" s="120"/>
      <c r="C185" s="120"/>
      <c r="D185" s="40"/>
      <c r="E185" s="114"/>
      <c r="F185" s="113"/>
      <c r="G185" s="113"/>
      <c r="H185" s="113"/>
      <c r="I185" s="113"/>
      <c r="J185" s="113"/>
      <c r="K185" s="113"/>
      <c r="L185" s="113"/>
      <c r="M185" s="113"/>
      <c r="N185" s="113"/>
      <c r="O185" s="113"/>
      <c r="P185" s="113"/>
      <c r="Q185" s="113"/>
      <c r="R185" s="113"/>
      <c r="S185" s="113"/>
      <c r="T185" s="113"/>
      <c r="U185" s="113"/>
      <c r="V185" s="113"/>
      <c r="W185" s="113"/>
      <c r="X185" s="113"/>
      <c r="Y185" s="113"/>
      <c r="Z185" s="113"/>
    </row>
    <row r="186">
      <c r="A186" s="113"/>
      <c r="B186" s="120"/>
      <c r="C186" s="120"/>
      <c r="D186" s="40"/>
      <c r="E186" s="114"/>
      <c r="F186" s="113"/>
      <c r="G186" s="113"/>
      <c r="H186" s="113"/>
      <c r="I186" s="113"/>
      <c r="J186" s="113"/>
      <c r="K186" s="113"/>
      <c r="L186" s="113"/>
      <c r="M186" s="113"/>
      <c r="N186" s="113"/>
      <c r="O186" s="113"/>
      <c r="P186" s="113"/>
      <c r="Q186" s="113"/>
      <c r="R186" s="113"/>
      <c r="S186" s="113"/>
      <c r="T186" s="113"/>
      <c r="U186" s="113"/>
      <c r="V186" s="113"/>
      <c r="W186" s="113"/>
      <c r="X186" s="113"/>
      <c r="Y186" s="113"/>
      <c r="Z186" s="113"/>
    </row>
    <row r="187">
      <c r="A187" s="113"/>
      <c r="B187" s="120"/>
      <c r="C187" s="120"/>
      <c r="D187" s="40"/>
      <c r="E187" s="114"/>
      <c r="F187" s="113"/>
      <c r="G187" s="113"/>
      <c r="H187" s="113"/>
      <c r="I187" s="113"/>
      <c r="J187" s="113"/>
      <c r="K187" s="113"/>
      <c r="L187" s="113"/>
      <c r="M187" s="113"/>
      <c r="N187" s="113"/>
      <c r="O187" s="113"/>
      <c r="P187" s="113"/>
      <c r="Q187" s="113"/>
      <c r="R187" s="113"/>
      <c r="S187" s="113"/>
      <c r="T187" s="113"/>
      <c r="U187" s="113"/>
      <c r="V187" s="113"/>
      <c r="W187" s="113"/>
      <c r="X187" s="113"/>
      <c r="Y187" s="113"/>
      <c r="Z187" s="113"/>
    </row>
    <row r="188">
      <c r="A188" s="113"/>
      <c r="B188" s="120"/>
      <c r="C188" s="120"/>
      <c r="D188" s="40"/>
      <c r="E188" s="114"/>
      <c r="F188" s="113"/>
      <c r="G188" s="113"/>
      <c r="H188" s="113"/>
      <c r="I188" s="113"/>
      <c r="J188" s="113"/>
      <c r="K188" s="113"/>
      <c r="L188" s="113"/>
      <c r="M188" s="113"/>
      <c r="N188" s="113"/>
      <c r="O188" s="113"/>
      <c r="P188" s="113"/>
      <c r="Q188" s="113"/>
      <c r="R188" s="113"/>
      <c r="S188" s="113"/>
      <c r="T188" s="113"/>
      <c r="U188" s="113"/>
      <c r="V188" s="113"/>
      <c r="W188" s="113"/>
      <c r="X188" s="113"/>
      <c r="Y188" s="113"/>
      <c r="Z188" s="113"/>
    </row>
    <row r="189">
      <c r="A189" s="113"/>
      <c r="B189" s="120"/>
      <c r="C189" s="120"/>
      <c r="D189" s="40"/>
      <c r="E189" s="114"/>
      <c r="F189" s="113"/>
      <c r="G189" s="113"/>
      <c r="H189" s="113"/>
      <c r="I189" s="113"/>
      <c r="J189" s="113"/>
      <c r="K189" s="113"/>
      <c r="L189" s="113"/>
      <c r="M189" s="113"/>
      <c r="N189" s="113"/>
      <c r="O189" s="113"/>
      <c r="P189" s="113"/>
      <c r="Q189" s="113"/>
      <c r="R189" s="113"/>
      <c r="S189" s="113"/>
      <c r="T189" s="113"/>
      <c r="U189" s="113"/>
      <c r="V189" s="113"/>
      <c r="W189" s="113"/>
      <c r="X189" s="113"/>
      <c r="Y189" s="113"/>
      <c r="Z189" s="113"/>
    </row>
    <row r="190">
      <c r="A190" s="113"/>
      <c r="B190" s="120"/>
      <c r="C190" s="120"/>
      <c r="D190" s="40"/>
      <c r="E190" s="114"/>
      <c r="F190" s="113"/>
      <c r="G190" s="113"/>
      <c r="H190" s="113"/>
      <c r="I190" s="113"/>
      <c r="J190" s="113"/>
      <c r="K190" s="113"/>
      <c r="L190" s="113"/>
      <c r="M190" s="113"/>
      <c r="N190" s="113"/>
      <c r="O190" s="113"/>
      <c r="P190" s="113"/>
      <c r="Q190" s="113"/>
      <c r="R190" s="113"/>
      <c r="S190" s="113"/>
      <c r="T190" s="113"/>
      <c r="U190" s="113"/>
      <c r="V190" s="113"/>
      <c r="W190" s="113"/>
      <c r="X190" s="113"/>
      <c r="Y190" s="113"/>
      <c r="Z190" s="113"/>
    </row>
    <row r="191">
      <c r="A191" s="113"/>
      <c r="B191" s="120"/>
      <c r="C191" s="120"/>
      <c r="D191" s="40"/>
      <c r="E191" s="114"/>
      <c r="F191" s="113"/>
      <c r="G191" s="113"/>
      <c r="H191" s="113"/>
      <c r="I191" s="113"/>
      <c r="J191" s="113"/>
      <c r="K191" s="113"/>
      <c r="L191" s="113"/>
      <c r="M191" s="113"/>
      <c r="N191" s="113"/>
      <c r="O191" s="113"/>
      <c r="P191" s="113"/>
      <c r="Q191" s="113"/>
      <c r="R191" s="113"/>
      <c r="S191" s="113"/>
      <c r="T191" s="113"/>
      <c r="U191" s="113"/>
      <c r="V191" s="113"/>
      <c r="W191" s="113"/>
      <c r="X191" s="113"/>
      <c r="Y191" s="113"/>
      <c r="Z191" s="113"/>
    </row>
    <row r="192">
      <c r="A192" s="113"/>
      <c r="B192" s="120"/>
      <c r="C192" s="120"/>
      <c r="D192" s="40"/>
      <c r="E192" s="114"/>
      <c r="F192" s="113"/>
      <c r="G192" s="113"/>
      <c r="H192" s="113"/>
      <c r="I192" s="113"/>
      <c r="J192" s="113"/>
      <c r="K192" s="113"/>
      <c r="L192" s="113"/>
      <c r="M192" s="113"/>
      <c r="N192" s="113"/>
      <c r="O192" s="113"/>
      <c r="P192" s="113"/>
      <c r="Q192" s="113"/>
      <c r="R192" s="113"/>
      <c r="S192" s="113"/>
      <c r="T192" s="113"/>
      <c r="U192" s="113"/>
      <c r="V192" s="113"/>
      <c r="W192" s="113"/>
      <c r="X192" s="113"/>
      <c r="Y192" s="113"/>
      <c r="Z192" s="113"/>
    </row>
    <row r="193">
      <c r="A193" s="113"/>
      <c r="B193" s="120"/>
      <c r="C193" s="120"/>
      <c r="D193" s="40"/>
      <c r="E193" s="114"/>
      <c r="F193" s="113"/>
      <c r="G193" s="113"/>
      <c r="H193" s="113"/>
      <c r="I193" s="113"/>
      <c r="J193" s="113"/>
      <c r="K193" s="113"/>
      <c r="L193" s="113"/>
      <c r="M193" s="113"/>
      <c r="N193" s="113"/>
      <c r="O193" s="113"/>
      <c r="P193" s="113"/>
      <c r="Q193" s="113"/>
      <c r="R193" s="113"/>
      <c r="S193" s="113"/>
      <c r="T193" s="113"/>
      <c r="U193" s="113"/>
      <c r="V193" s="113"/>
      <c r="W193" s="113"/>
      <c r="X193" s="113"/>
      <c r="Y193" s="113"/>
      <c r="Z193" s="113"/>
    </row>
    <row r="194">
      <c r="A194" s="113"/>
      <c r="B194" s="120"/>
      <c r="C194" s="120"/>
      <c r="D194" s="40"/>
      <c r="E194" s="114"/>
      <c r="F194" s="113"/>
      <c r="G194" s="113"/>
      <c r="H194" s="113"/>
      <c r="I194" s="113"/>
      <c r="J194" s="113"/>
      <c r="K194" s="113"/>
      <c r="L194" s="113"/>
      <c r="M194" s="113"/>
      <c r="N194" s="113"/>
      <c r="O194" s="113"/>
      <c r="P194" s="113"/>
      <c r="Q194" s="113"/>
      <c r="R194" s="113"/>
      <c r="S194" s="113"/>
      <c r="T194" s="113"/>
      <c r="U194" s="113"/>
      <c r="V194" s="113"/>
      <c r="W194" s="113"/>
      <c r="X194" s="113"/>
      <c r="Y194" s="113"/>
      <c r="Z194" s="113"/>
    </row>
    <row r="195">
      <c r="A195" s="113"/>
      <c r="B195" s="120"/>
      <c r="C195" s="120"/>
      <c r="D195" s="40"/>
      <c r="E195" s="114"/>
      <c r="F195" s="113"/>
      <c r="G195" s="113"/>
      <c r="H195" s="113"/>
      <c r="I195" s="113"/>
      <c r="J195" s="113"/>
      <c r="K195" s="113"/>
      <c r="L195" s="113"/>
      <c r="M195" s="113"/>
      <c r="N195" s="113"/>
      <c r="O195" s="113"/>
      <c r="P195" s="113"/>
      <c r="Q195" s="113"/>
      <c r="R195" s="113"/>
      <c r="S195" s="113"/>
      <c r="T195" s="113"/>
      <c r="U195" s="113"/>
      <c r="V195" s="113"/>
      <c r="W195" s="113"/>
      <c r="X195" s="113"/>
      <c r="Y195" s="113"/>
      <c r="Z195" s="113"/>
    </row>
    <row r="196">
      <c r="A196" s="113"/>
      <c r="B196" s="120"/>
      <c r="C196" s="120"/>
      <c r="D196" s="40"/>
      <c r="E196" s="114"/>
      <c r="F196" s="113"/>
      <c r="G196" s="113"/>
      <c r="H196" s="113"/>
      <c r="I196" s="113"/>
      <c r="J196" s="113"/>
      <c r="K196" s="113"/>
      <c r="L196" s="113"/>
      <c r="M196" s="113"/>
      <c r="N196" s="113"/>
      <c r="O196" s="113"/>
      <c r="P196" s="113"/>
      <c r="Q196" s="113"/>
      <c r="R196" s="113"/>
      <c r="S196" s="113"/>
      <c r="T196" s="113"/>
      <c r="U196" s="113"/>
      <c r="V196" s="113"/>
      <c r="W196" s="113"/>
      <c r="X196" s="113"/>
      <c r="Y196" s="113"/>
      <c r="Z196" s="113"/>
    </row>
    <row r="197">
      <c r="A197" s="113"/>
      <c r="B197" s="120"/>
      <c r="C197" s="120"/>
      <c r="D197" s="40"/>
      <c r="E197" s="114"/>
      <c r="F197" s="113"/>
      <c r="G197" s="113"/>
      <c r="H197" s="113"/>
      <c r="I197" s="113"/>
      <c r="J197" s="113"/>
      <c r="K197" s="113"/>
      <c r="L197" s="113"/>
      <c r="M197" s="113"/>
      <c r="N197" s="113"/>
      <c r="O197" s="113"/>
      <c r="P197" s="113"/>
      <c r="Q197" s="113"/>
      <c r="R197" s="113"/>
      <c r="S197" s="113"/>
      <c r="T197" s="113"/>
      <c r="U197" s="113"/>
      <c r="V197" s="113"/>
      <c r="W197" s="113"/>
      <c r="X197" s="113"/>
      <c r="Y197" s="113"/>
      <c r="Z197" s="113"/>
    </row>
    <row r="198">
      <c r="A198" s="113"/>
      <c r="B198" s="120"/>
      <c r="C198" s="120"/>
      <c r="D198" s="40"/>
      <c r="E198" s="114"/>
      <c r="F198" s="113"/>
      <c r="G198" s="113"/>
      <c r="H198" s="113"/>
      <c r="I198" s="113"/>
      <c r="J198" s="113"/>
      <c r="K198" s="113"/>
      <c r="L198" s="113"/>
      <c r="M198" s="113"/>
      <c r="N198" s="113"/>
      <c r="O198" s="113"/>
      <c r="P198" s="113"/>
      <c r="Q198" s="113"/>
      <c r="R198" s="113"/>
      <c r="S198" s="113"/>
      <c r="T198" s="113"/>
      <c r="U198" s="113"/>
      <c r="V198" s="113"/>
      <c r="W198" s="113"/>
      <c r="X198" s="113"/>
      <c r="Y198" s="113"/>
      <c r="Z198" s="113"/>
    </row>
    <row r="199">
      <c r="A199" s="113"/>
      <c r="B199" s="120"/>
      <c r="C199" s="120"/>
      <c r="D199" s="40"/>
      <c r="E199" s="114"/>
      <c r="F199" s="113"/>
      <c r="G199" s="113"/>
      <c r="H199" s="113"/>
      <c r="I199" s="113"/>
      <c r="J199" s="113"/>
      <c r="K199" s="113"/>
      <c r="L199" s="113"/>
      <c r="M199" s="113"/>
      <c r="N199" s="113"/>
      <c r="O199" s="113"/>
      <c r="P199" s="113"/>
      <c r="Q199" s="113"/>
      <c r="R199" s="113"/>
      <c r="S199" s="113"/>
      <c r="T199" s="113"/>
      <c r="U199" s="113"/>
      <c r="V199" s="113"/>
      <c r="W199" s="113"/>
      <c r="X199" s="113"/>
      <c r="Y199" s="113"/>
      <c r="Z199" s="113"/>
    </row>
    <row r="200">
      <c r="A200" s="113"/>
      <c r="B200" s="120"/>
      <c r="C200" s="120"/>
      <c r="D200" s="40"/>
      <c r="E200" s="114"/>
      <c r="F200" s="113"/>
      <c r="G200" s="113"/>
      <c r="H200" s="113"/>
      <c r="I200" s="113"/>
      <c r="J200" s="113"/>
      <c r="K200" s="113"/>
      <c r="L200" s="113"/>
      <c r="M200" s="113"/>
      <c r="N200" s="113"/>
      <c r="O200" s="113"/>
      <c r="P200" s="113"/>
      <c r="Q200" s="113"/>
      <c r="R200" s="113"/>
      <c r="S200" s="113"/>
      <c r="T200" s="113"/>
      <c r="U200" s="113"/>
      <c r="V200" s="113"/>
      <c r="W200" s="113"/>
      <c r="X200" s="113"/>
      <c r="Y200" s="113"/>
      <c r="Z200" s="113"/>
    </row>
    <row r="201">
      <c r="A201" s="113"/>
      <c r="B201" s="120"/>
      <c r="C201" s="120"/>
      <c r="D201" s="40"/>
      <c r="E201" s="114"/>
      <c r="F201" s="113"/>
      <c r="G201" s="113"/>
      <c r="H201" s="113"/>
      <c r="I201" s="113"/>
      <c r="J201" s="113"/>
      <c r="K201" s="113"/>
      <c r="L201" s="113"/>
      <c r="M201" s="113"/>
      <c r="N201" s="113"/>
      <c r="O201" s="113"/>
      <c r="P201" s="113"/>
      <c r="Q201" s="113"/>
      <c r="R201" s="113"/>
      <c r="S201" s="113"/>
      <c r="T201" s="113"/>
      <c r="U201" s="113"/>
      <c r="V201" s="113"/>
      <c r="W201" s="113"/>
      <c r="X201" s="113"/>
      <c r="Y201" s="113"/>
      <c r="Z201" s="113"/>
    </row>
    <row r="202">
      <c r="A202" s="113"/>
      <c r="B202" s="120"/>
      <c r="C202" s="120"/>
      <c r="D202" s="40"/>
      <c r="E202" s="114"/>
      <c r="F202" s="113"/>
      <c r="G202" s="113"/>
      <c r="H202" s="113"/>
      <c r="I202" s="113"/>
      <c r="J202" s="113"/>
      <c r="K202" s="113"/>
      <c r="L202" s="113"/>
      <c r="M202" s="113"/>
      <c r="N202" s="113"/>
      <c r="O202" s="113"/>
      <c r="P202" s="113"/>
      <c r="Q202" s="113"/>
      <c r="R202" s="113"/>
      <c r="S202" s="113"/>
      <c r="T202" s="113"/>
      <c r="U202" s="113"/>
      <c r="V202" s="113"/>
      <c r="W202" s="113"/>
      <c r="X202" s="113"/>
      <c r="Y202" s="113"/>
      <c r="Z202" s="113"/>
    </row>
    <row r="203">
      <c r="A203" s="113"/>
      <c r="B203" s="120"/>
      <c r="C203" s="120"/>
      <c r="D203" s="40"/>
      <c r="E203" s="114"/>
      <c r="F203" s="113"/>
      <c r="G203" s="113"/>
      <c r="H203" s="113"/>
      <c r="I203" s="113"/>
      <c r="J203" s="113"/>
      <c r="K203" s="113"/>
      <c r="L203" s="113"/>
      <c r="M203" s="113"/>
      <c r="N203" s="113"/>
      <c r="O203" s="113"/>
      <c r="P203" s="113"/>
      <c r="Q203" s="113"/>
      <c r="R203" s="113"/>
      <c r="S203" s="113"/>
      <c r="T203" s="113"/>
      <c r="U203" s="113"/>
      <c r="V203" s="113"/>
      <c r="W203" s="113"/>
      <c r="X203" s="113"/>
      <c r="Y203" s="113"/>
      <c r="Z203" s="113"/>
    </row>
    <row r="204">
      <c r="A204" s="113"/>
      <c r="B204" s="120"/>
      <c r="C204" s="120"/>
      <c r="D204" s="40"/>
      <c r="E204" s="114"/>
      <c r="F204" s="113"/>
      <c r="G204" s="113"/>
      <c r="H204" s="113"/>
      <c r="I204" s="113"/>
      <c r="J204" s="113"/>
      <c r="K204" s="113"/>
      <c r="L204" s="113"/>
      <c r="M204" s="113"/>
      <c r="N204" s="113"/>
      <c r="O204" s="113"/>
      <c r="P204" s="113"/>
      <c r="Q204" s="113"/>
      <c r="R204" s="113"/>
      <c r="S204" s="113"/>
      <c r="T204" s="113"/>
      <c r="U204" s="113"/>
      <c r="V204" s="113"/>
      <c r="W204" s="113"/>
      <c r="X204" s="113"/>
      <c r="Y204" s="113"/>
      <c r="Z204" s="113"/>
    </row>
    <row r="205">
      <c r="A205" s="113"/>
      <c r="B205" s="120"/>
      <c r="C205" s="120"/>
      <c r="D205" s="40"/>
      <c r="E205" s="114"/>
      <c r="F205" s="113"/>
      <c r="G205" s="113"/>
      <c r="H205" s="113"/>
      <c r="I205" s="113"/>
      <c r="J205" s="113"/>
      <c r="K205" s="113"/>
      <c r="L205" s="113"/>
      <c r="M205" s="113"/>
      <c r="N205" s="113"/>
      <c r="O205" s="113"/>
      <c r="P205" s="113"/>
      <c r="Q205" s="113"/>
      <c r="R205" s="113"/>
      <c r="S205" s="113"/>
      <c r="T205" s="113"/>
      <c r="U205" s="113"/>
      <c r="V205" s="113"/>
      <c r="W205" s="113"/>
      <c r="X205" s="113"/>
      <c r="Y205" s="113"/>
      <c r="Z205" s="113"/>
    </row>
    <row r="206">
      <c r="A206" s="113"/>
      <c r="B206" s="120"/>
      <c r="C206" s="120"/>
      <c r="D206" s="40"/>
      <c r="E206" s="114"/>
      <c r="F206" s="113"/>
      <c r="G206" s="113"/>
      <c r="H206" s="113"/>
      <c r="I206" s="113"/>
      <c r="J206" s="113"/>
      <c r="K206" s="113"/>
      <c r="L206" s="113"/>
      <c r="M206" s="113"/>
      <c r="N206" s="113"/>
      <c r="O206" s="113"/>
      <c r="P206" s="113"/>
      <c r="Q206" s="113"/>
      <c r="R206" s="113"/>
      <c r="S206" s="113"/>
      <c r="T206" s="113"/>
      <c r="U206" s="113"/>
      <c r="V206" s="113"/>
      <c r="W206" s="113"/>
      <c r="X206" s="113"/>
      <c r="Y206" s="113"/>
      <c r="Z206" s="113"/>
    </row>
    <row r="207">
      <c r="A207" s="113"/>
      <c r="B207" s="120"/>
      <c r="C207" s="120"/>
      <c r="D207" s="40"/>
      <c r="E207" s="114"/>
      <c r="F207" s="113"/>
      <c r="G207" s="113"/>
      <c r="H207" s="113"/>
      <c r="I207" s="113"/>
      <c r="J207" s="113"/>
      <c r="K207" s="113"/>
      <c r="L207" s="113"/>
      <c r="M207" s="113"/>
      <c r="N207" s="113"/>
      <c r="O207" s="113"/>
      <c r="P207" s="113"/>
      <c r="Q207" s="113"/>
      <c r="R207" s="113"/>
      <c r="S207" s="113"/>
      <c r="T207" s="113"/>
      <c r="U207" s="113"/>
      <c r="V207" s="113"/>
      <c r="W207" s="113"/>
      <c r="X207" s="113"/>
      <c r="Y207" s="113"/>
      <c r="Z207" s="113"/>
    </row>
    <row r="208">
      <c r="A208" s="113"/>
      <c r="B208" s="120"/>
      <c r="C208" s="120"/>
      <c r="D208" s="40"/>
      <c r="E208" s="114"/>
      <c r="F208" s="113"/>
      <c r="G208" s="113"/>
      <c r="H208" s="113"/>
      <c r="I208" s="113"/>
      <c r="J208" s="113"/>
      <c r="K208" s="113"/>
      <c r="L208" s="113"/>
      <c r="M208" s="113"/>
      <c r="N208" s="113"/>
      <c r="O208" s="113"/>
      <c r="P208" s="113"/>
      <c r="Q208" s="113"/>
      <c r="R208" s="113"/>
      <c r="S208" s="113"/>
      <c r="T208" s="113"/>
      <c r="U208" s="113"/>
      <c r="V208" s="113"/>
      <c r="W208" s="113"/>
      <c r="X208" s="113"/>
      <c r="Y208" s="113"/>
      <c r="Z208" s="113"/>
    </row>
    <row r="209">
      <c r="A209" s="113"/>
      <c r="B209" s="120"/>
      <c r="C209" s="120"/>
      <c r="D209" s="40"/>
      <c r="E209" s="114"/>
      <c r="F209" s="113"/>
      <c r="G209" s="113"/>
      <c r="H209" s="113"/>
      <c r="I209" s="113"/>
      <c r="J209" s="113"/>
      <c r="K209" s="113"/>
      <c r="L209" s="113"/>
      <c r="M209" s="113"/>
      <c r="N209" s="113"/>
      <c r="O209" s="113"/>
      <c r="P209" s="113"/>
      <c r="Q209" s="113"/>
      <c r="R209" s="113"/>
      <c r="S209" s="113"/>
      <c r="T209" s="113"/>
      <c r="U209" s="113"/>
      <c r="V209" s="113"/>
      <c r="W209" s="113"/>
      <c r="X209" s="113"/>
      <c r="Y209" s="113"/>
      <c r="Z209" s="113"/>
    </row>
    <row r="210">
      <c r="A210" s="113"/>
      <c r="B210" s="120"/>
      <c r="C210" s="120"/>
      <c r="D210" s="40"/>
      <c r="E210" s="114"/>
      <c r="F210" s="113"/>
      <c r="G210" s="113"/>
      <c r="H210" s="113"/>
      <c r="I210" s="113"/>
      <c r="J210" s="113"/>
      <c r="K210" s="113"/>
      <c r="L210" s="113"/>
      <c r="M210" s="113"/>
      <c r="N210" s="113"/>
      <c r="O210" s="113"/>
      <c r="P210" s="113"/>
      <c r="Q210" s="113"/>
      <c r="R210" s="113"/>
      <c r="S210" s="113"/>
      <c r="T210" s="113"/>
      <c r="U210" s="113"/>
      <c r="V210" s="113"/>
      <c r="W210" s="113"/>
      <c r="X210" s="113"/>
      <c r="Y210" s="113"/>
      <c r="Z210" s="113"/>
    </row>
    <row r="211">
      <c r="A211" s="113"/>
      <c r="B211" s="120"/>
      <c r="C211" s="120"/>
      <c r="D211" s="40"/>
      <c r="E211" s="114"/>
      <c r="F211" s="113"/>
      <c r="G211" s="113"/>
      <c r="H211" s="113"/>
      <c r="I211" s="113"/>
      <c r="J211" s="113"/>
      <c r="K211" s="113"/>
      <c r="L211" s="113"/>
      <c r="M211" s="113"/>
      <c r="N211" s="113"/>
      <c r="O211" s="113"/>
      <c r="P211" s="113"/>
      <c r="Q211" s="113"/>
      <c r="R211" s="113"/>
      <c r="S211" s="113"/>
      <c r="T211" s="113"/>
      <c r="U211" s="113"/>
      <c r="V211" s="113"/>
      <c r="W211" s="113"/>
      <c r="X211" s="113"/>
      <c r="Y211" s="113"/>
      <c r="Z211" s="113"/>
    </row>
    <row r="212">
      <c r="A212" s="113"/>
      <c r="B212" s="120"/>
      <c r="C212" s="120"/>
      <c r="D212" s="40"/>
      <c r="E212" s="114"/>
      <c r="F212" s="113"/>
      <c r="G212" s="113"/>
      <c r="H212" s="113"/>
      <c r="I212" s="113"/>
      <c r="J212" s="113"/>
      <c r="K212" s="113"/>
      <c r="L212" s="113"/>
      <c r="M212" s="113"/>
      <c r="N212" s="113"/>
      <c r="O212" s="113"/>
      <c r="P212" s="113"/>
      <c r="Q212" s="113"/>
      <c r="R212" s="113"/>
      <c r="S212" s="113"/>
      <c r="T212" s="113"/>
      <c r="U212" s="113"/>
      <c r="V212" s="113"/>
      <c r="W212" s="113"/>
      <c r="X212" s="113"/>
      <c r="Y212" s="113"/>
      <c r="Z212" s="113"/>
    </row>
    <row r="213">
      <c r="A213" s="113"/>
      <c r="B213" s="120"/>
      <c r="C213" s="120"/>
      <c r="D213" s="40"/>
      <c r="E213" s="114"/>
      <c r="F213" s="113"/>
      <c r="G213" s="113"/>
      <c r="H213" s="113"/>
      <c r="I213" s="113"/>
      <c r="J213" s="113"/>
      <c r="K213" s="113"/>
      <c r="L213" s="113"/>
      <c r="M213" s="113"/>
      <c r="N213" s="113"/>
      <c r="O213" s="113"/>
      <c r="P213" s="113"/>
      <c r="Q213" s="113"/>
      <c r="R213" s="113"/>
      <c r="S213" s="113"/>
      <c r="T213" s="113"/>
      <c r="U213" s="113"/>
      <c r="V213" s="113"/>
      <c r="W213" s="113"/>
      <c r="X213" s="113"/>
      <c r="Y213" s="113"/>
      <c r="Z213" s="113"/>
    </row>
    <row r="214">
      <c r="A214" s="113"/>
      <c r="B214" s="120"/>
      <c r="C214" s="120"/>
      <c r="D214" s="40"/>
      <c r="E214" s="114"/>
      <c r="F214" s="113"/>
      <c r="G214" s="113"/>
      <c r="H214" s="113"/>
      <c r="I214" s="113"/>
      <c r="J214" s="113"/>
      <c r="K214" s="113"/>
      <c r="L214" s="113"/>
      <c r="M214" s="113"/>
      <c r="N214" s="113"/>
      <c r="O214" s="113"/>
      <c r="P214" s="113"/>
      <c r="Q214" s="113"/>
      <c r="R214" s="113"/>
      <c r="S214" s="113"/>
      <c r="T214" s="113"/>
      <c r="U214" s="113"/>
      <c r="V214" s="113"/>
      <c r="W214" s="113"/>
      <c r="X214" s="113"/>
      <c r="Y214" s="113"/>
      <c r="Z214" s="113"/>
    </row>
    <row r="215">
      <c r="A215" s="113"/>
      <c r="B215" s="120"/>
      <c r="C215" s="120"/>
      <c r="D215" s="40"/>
      <c r="E215" s="114"/>
      <c r="F215" s="113"/>
      <c r="G215" s="113"/>
      <c r="H215" s="113"/>
      <c r="I215" s="113"/>
      <c r="J215" s="113"/>
      <c r="K215" s="113"/>
      <c r="L215" s="113"/>
      <c r="M215" s="113"/>
      <c r="N215" s="113"/>
      <c r="O215" s="113"/>
      <c r="P215" s="113"/>
      <c r="Q215" s="113"/>
      <c r="R215" s="113"/>
      <c r="S215" s="113"/>
      <c r="T215" s="113"/>
      <c r="U215" s="113"/>
      <c r="V215" s="113"/>
      <c r="W215" s="113"/>
      <c r="X215" s="113"/>
      <c r="Y215" s="113"/>
      <c r="Z215" s="113"/>
    </row>
    <row r="216">
      <c r="A216" s="113"/>
      <c r="B216" s="120"/>
      <c r="C216" s="120"/>
      <c r="D216" s="40"/>
      <c r="E216" s="114"/>
      <c r="F216" s="113"/>
      <c r="G216" s="113"/>
      <c r="H216" s="113"/>
      <c r="I216" s="113"/>
      <c r="J216" s="113"/>
      <c r="K216" s="113"/>
      <c r="L216" s="113"/>
      <c r="M216" s="113"/>
      <c r="N216" s="113"/>
      <c r="O216" s="113"/>
      <c r="P216" s="113"/>
      <c r="Q216" s="113"/>
      <c r="R216" s="113"/>
      <c r="S216" s="113"/>
      <c r="T216" s="113"/>
      <c r="U216" s="113"/>
      <c r="V216" s="113"/>
      <c r="W216" s="113"/>
      <c r="X216" s="113"/>
      <c r="Y216" s="113"/>
      <c r="Z216" s="113"/>
    </row>
    <row r="217">
      <c r="A217" s="113"/>
      <c r="B217" s="120"/>
      <c r="C217" s="120"/>
      <c r="D217" s="40"/>
      <c r="E217" s="114"/>
      <c r="F217" s="113"/>
      <c r="G217" s="113"/>
      <c r="H217" s="113"/>
      <c r="I217" s="113"/>
      <c r="J217" s="113"/>
      <c r="K217" s="113"/>
      <c r="L217" s="113"/>
      <c r="M217" s="113"/>
      <c r="N217" s="113"/>
      <c r="O217" s="113"/>
      <c r="P217" s="113"/>
      <c r="Q217" s="113"/>
      <c r="R217" s="113"/>
      <c r="S217" s="113"/>
      <c r="T217" s="113"/>
      <c r="U217" s="113"/>
      <c r="V217" s="113"/>
      <c r="W217" s="113"/>
      <c r="X217" s="113"/>
      <c r="Y217" s="113"/>
      <c r="Z217" s="113"/>
    </row>
    <row r="218">
      <c r="A218" s="113"/>
      <c r="B218" s="120"/>
      <c r="C218" s="120"/>
      <c r="D218" s="40"/>
      <c r="E218" s="114"/>
      <c r="F218" s="113"/>
      <c r="G218" s="113"/>
      <c r="H218" s="113"/>
      <c r="I218" s="113"/>
      <c r="J218" s="113"/>
      <c r="K218" s="113"/>
      <c r="L218" s="113"/>
      <c r="M218" s="113"/>
      <c r="N218" s="113"/>
      <c r="O218" s="113"/>
      <c r="P218" s="113"/>
      <c r="Q218" s="113"/>
      <c r="R218" s="113"/>
      <c r="S218" s="113"/>
      <c r="T218" s="113"/>
      <c r="U218" s="113"/>
      <c r="V218" s="113"/>
      <c r="W218" s="113"/>
      <c r="X218" s="113"/>
      <c r="Y218" s="113"/>
      <c r="Z218" s="113"/>
    </row>
    <row r="219">
      <c r="A219" s="113"/>
      <c r="B219" s="120"/>
      <c r="C219" s="120"/>
      <c r="D219" s="40"/>
      <c r="E219" s="114"/>
      <c r="F219" s="113"/>
      <c r="G219" s="113"/>
      <c r="H219" s="113"/>
      <c r="I219" s="113"/>
      <c r="J219" s="113"/>
      <c r="K219" s="113"/>
      <c r="L219" s="113"/>
      <c r="M219" s="113"/>
      <c r="N219" s="113"/>
      <c r="O219" s="113"/>
      <c r="P219" s="113"/>
      <c r="Q219" s="113"/>
      <c r="R219" s="113"/>
      <c r="S219" s="113"/>
      <c r="T219" s="113"/>
      <c r="U219" s="113"/>
      <c r="V219" s="113"/>
      <c r="W219" s="113"/>
      <c r="X219" s="113"/>
      <c r="Y219" s="113"/>
      <c r="Z219" s="113"/>
    </row>
    <row r="220">
      <c r="A220" s="113"/>
      <c r="B220" s="120"/>
      <c r="C220" s="120"/>
      <c r="D220" s="40"/>
      <c r="E220" s="114"/>
      <c r="F220" s="113"/>
      <c r="G220" s="113"/>
      <c r="H220" s="113"/>
      <c r="I220" s="113"/>
      <c r="J220" s="113"/>
      <c r="K220" s="113"/>
      <c r="L220" s="113"/>
      <c r="M220" s="113"/>
      <c r="N220" s="113"/>
      <c r="O220" s="113"/>
      <c r="P220" s="113"/>
      <c r="Q220" s="113"/>
      <c r="R220" s="113"/>
      <c r="S220" s="113"/>
      <c r="T220" s="113"/>
      <c r="U220" s="113"/>
      <c r="V220" s="113"/>
      <c r="W220" s="113"/>
      <c r="X220" s="113"/>
      <c r="Y220" s="113"/>
      <c r="Z220" s="113"/>
    </row>
    <row r="221">
      <c r="A221" s="113"/>
      <c r="B221" s="120"/>
      <c r="C221" s="120"/>
      <c r="D221" s="40"/>
      <c r="E221" s="114"/>
      <c r="F221" s="113"/>
      <c r="G221" s="113"/>
      <c r="H221" s="113"/>
      <c r="I221" s="113"/>
      <c r="J221" s="113"/>
      <c r="K221" s="113"/>
      <c r="L221" s="113"/>
      <c r="M221" s="113"/>
      <c r="N221" s="113"/>
      <c r="O221" s="113"/>
      <c r="P221" s="113"/>
      <c r="Q221" s="113"/>
      <c r="R221" s="113"/>
      <c r="S221" s="113"/>
      <c r="T221" s="113"/>
      <c r="U221" s="113"/>
      <c r="V221" s="113"/>
      <c r="W221" s="113"/>
      <c r="X221" s="113"/>
      <c r="Y221" s="113"/>
      <c r="Z221" s="113"/>
    </row>
    <row r="222">
      <c r="A222" s="113"/>
      <c r="B222" s="120"/>
      <c r="C222" s="120"/>
      <c r="D222" s="40"/>
      <c r="E222" s="114"/>
      <c r="F222" s="113"/>
      <c r="G222" s="113"/>
      <c r="H222" s="113"/>
      <c r="I222" s="113"/>
      <c r="J222" s="113"/>
      <c r="K222" s="113"/>
      <c r="L222" s="113"/>
      <c r="M222" s="113"/>
      <c r="N222" s="113"/>
      <c r="O222" s="113"/>
      <c r="P222" s="113"/>
      <c r="Q222" s="113"/>
      <c r="R222" s="113"/>
      <c r="S222" s="113"/>
      <c r="T222" s="113"/>
      <c r="U222" s="113"/>
      <c r="V222" s="113"/>
      <c r="W222" s="113"/>
      <c r="X222" s="113"/>
      <c r="Y222" s="113"/>
      <c r="Z222" s="113"/>
    </row>
    <row r="223">
      <c r="A223" s="113"/>
      <c r="B223" s="120"/>
      <c r="C223" s="120"/>
      <c r="D223" s="40"/>
      <c r="E223" s="114"/>
      <c r="F223" s="113"/>
      <c r="G223" s="113"/>
      <c r="H223" s="113"/>
      <c r="I223" s="113"/>
      <c r="J223" s="113"/>
      <c r="K223" s="113"/>
      <c r="L223" s="113"/>
      <c r="M223" s="113"/>
      <c r="N223" s="113"/>
      <c r="O223" s="113"/>
      <c r="P223" s="113"/>
      <c r="Q223" s="113"/>
      <c r="R223" s="113"/>
      <c r="S223" s="113"/>
      <c r="T223" s="113"/>
      <c r="U223" s="113"/>
      <c r="V223" s="113"/>
      <c r="W223" s="113"/>
      <c r="X223" s="113"/>
      <c r="Y223" s="113"/>
      <c r="Z223" s="113"/>
    </row>
    <row r="224">
      <c r="A224" s="113"/>
      <c r="B224" s="120"/>
      <c r="C224" s="120"/>
      <c r="D224" s="40"/>
      <c r="E224" s="114"/>
      <c r="F224" s="113"/>
      <c r="G224" s="113"/>
      <c r="H224" s="113"/>
      <c r="I224" s="113"/>
      <c r="J224" s="113"/>
      <c r="K224" s="113"/>
      <c r="L224" s="113"/>
      <c r="M224" s="113"/>
      <c r="N224" s="113"/>
      <c r="O224" s="113"/>
      <c r="P224" s="113"/>
      <c r="Q224" s="113"/>
      <c r="R224" s="113"/>
      <c r="S224" s="113"/>
      <c r="T224" s="113"/>
      <c r="U224" s="113"/>
      <c r="V224" s="113"/>
      <c r="W224" s="113"/>
      <c r="X224" s="113"/>
      <c r="Y224" s="113"/>
      <c r="Z224" s="113"/>
    </row>
    <row r="225">
      <c r="A225" s="113"/>
      <c r="B225" s="120"/>
      <c r="C225" s="120"/>
      <c r="D225" s="40"/>
      <c r="E225" s="114"/>
      <c r="F225" s="113"/>
      <c r="G225" s="113"/>
      <c r="H225" s="113"/>
      <c r="I225" s="113"/>
      <c r="J225" s="113"/>
      <c r="K225" s="113"/>
      <c r="L225" s="113"/>
      <c r="M225" s="113"/>
      <c r="N225" s="113"/>
      <c r="O225" s="113"/>
      <c r="P225" s="113"/>
      <c r="Q225" s="113"/>
      <c r="R225" s="113"/>
      <c r="S225" s="113"/>
      <c r="T225" s="113"/>
      <c r="U225" s="113"/>
      <c r="V225" s="113"/>
      <c r="W225" s="113"/>
      <c r="X225" s="113"/>
      <c r="Y225" s="113"/>
      <c r="Z225" s="113"/>
    </row>
    <row r="226">
      <c r="A226" s="113"/>
      <c r="B226" s="120"/>
      <c r="C226" s="120"/>
      <c r="D226" s="40"/>
      <c r="E226" s="114"/>
      <c r="F226" s="113"/>
      <c r="G226" s="113"/>
      <c r="H226" s="113"/>
      <c r="I226" s="113"/>
      <c r="J226" s="113"/>
      <c r="K226" s="113"/>
      <c r="L226" s="113"/>
      <c r="M226" s="113"/>
      <c r="N226" s="113"/>
      <c r="O226" s="113"/>
      <c r="P226" s="113"/>
      <c r="Q226" s="113"/>
      <c r="R226" s="113"/>
      <c r="S226" s="113"/>
      <c r="T226" s="113"/>
      <c r="U226" s="113"/>
      <c r="V226" s="113"/>
      <c r="W226" s="113"/>
      <c r="X226" s="113"/>
      <c r="Y226" s="113"/>
      <c r="Z226" s="113"/>
    </row>
    <row r="227">
      <c r="A227" s="113"/>
      <c r="B227" s="120"/>
      <c r="C227" s="120"/>
      <c r="D227" s="40"/>
      <c r="E227" s="114"/>
      <c r="F227" s="113"/>
      <c r="G227" s="113"/>
      <c r="H227" s="113"/>
      <c r="I227" s="113"/>
      <c r="J227" s="113"/>
      <c r="K227" s="113"/>
      <c r="L227" s="113"/>
      <c r="M227" s="113"/>
      <c r="N227" s="113"/>
      <c r="O227" s="113"/>
      <c r="P227" s="113"/>
      <c r="Q227" s="113"/>
      <c r="R227" s="113"/>
      <c r="S227" s="113"/>
      <c r="T227" s="113"/>
      <c r="U227" s="113"/>
      <c r="V227" s="113"/>
      <c r="W227" s="113"/>
      <c r="X227" s="113"/>
      <c r="Y227" s="113"/>
      <c r="Z227" s="113"/>
    </row>
    <row r="228">
      <c r="A228" s="113"/>
      <c r="B228" s="120"/>
      <c r="C228" s="120"/>
      <c r="D228" s="40"/>
      <c r="E228" s="114"/>
      <c r="F228" s="113"/>
      <c r="G228" s="113"/>
      <c r="H228" s="113"/>
      <c r="I228" s="113"/>
      <c r="J228" s="113"/>
      <c r="K228" s="113"/>
      <c r="L228" s="113"/>
      <c r="M228" s="113"/>
      <c r="N228" s="113"/>
      <c r="O228" s="113"/>
      <c r="P228" s="113"/>
      <c r="Q228" s="113"/>
      <c r="R228" s="113"/>
      <c r="S228" s="113"/>
      <c r="T228" s="113"/>
      <c r="U228" s="113"/>
      <c r="V228" s="113"/>
      <c r="W228" s="113"/>
      <c r="X228" s="113"/>
      <c r="Y228" s="113"/>
      <c r="Z228" s="113"/>
    </row>
    <row r="229">
      <c r="A229" s="113"/>
      <c r="B229" s="120"/>
      <c r="C229" s="120"/>
      <c r="D229" s="40"/>
      <c r="E229" s="114"/>
      <c r="F229" s="113"/>
      <c r="G229" s="113"/>
      <c r="H229" s="113"/>
      <c r="I229" s="113"/>
      <c r="J229" s="113"/>
      <c r="K229" s="113"/>
      <c r="L229" s="113"/>
      <c r="M229" s="113"/>
      <c r="N229" s="113"/>
      <c r="O229" s="113"/>
      <c r="P229" s="113"/>
      <c r="Q229" s="113"/>
      <c r="R229" s="113"/>
      <c r="S229" s="113"/>
      <c r="T229" s="113"/>
      <c r="U229" s="113"/>
      <c r="V229" s="113"/>
      <c r="W229" s="113"/>
      <c r="X229" s="113"/>
      <c r="Y229" s="113"/>
      <c r="Z229" s="113"/>
    </row>
    <row r="230">
      <c r="A230" s="113"/>
      <c r="B230" s="120"/>
      <c r="C230" s="120"/>
      <c r="D230" s="40"/>
      <c r="E230" s="114"/>
      <c r="F230" s="113"/>
      <c r="G230" s="113"/>
      <c r="H230" s="113"/>
      <c r="I230" s="113"/>
      <c r="J230" s="113"/>
      <c r="K230" s="113"/>
      <c r="L230" s="113"/>
      <c r="M230" s="113"/>
      <c r="N230" s="113"/>
      <c r="O230" s="113"/>
      <c r="P230" s="113"/>
      <c r="Q230" s="113"/>
      <c r="R230" s="113"/>
      <c r="S230" s="113"/>
      <c r="T230" s="113"/>
      <c r="U230" s="113"/>
      <c r="V230" s="113"/>
      <c r="W230" s="113"/>
      <c r="X230" s="113"/>
      <c r="Y230" s="113"/>
      <c r="Z230" s="113"/>
    </row>
    <row r="231">
      <c r="A231" s="113"/>
      <c r="B231" s="120"/>
      <c r="C231" s="120"/>
      <c r="D231" s="40"/>
      <c r="E231" s="114"/>
      <c r="F231" s="113"/>
      <c r="G231" s="113"/>
      <c r="H231" s="113"/>
      <c r="I231" s="113"/>
      <c r="J231" s="113"/>
      <c r="K231" s="113"/>
      <c r="L231" s="113"/>
      <c r="M231" s="113"/>
      <c r="N231" s="113"/>
      <c r="O231" s="113"/>
      <c r="P231" s="113"/>
      <c r="Q231" s="113"/>
      <c r="R231" s="113"/>
      <c r="S231" s="113"/>
      <c r="T231" s="113"/>
      <c r="U231" s="113"/>
      <c r="V231" s="113"/>
      <c r="W231" s="113"/>
      <c r="X231" s="113"/>
      <c r="Y231" s="113"/>
      <c r="Z231" s="113"/>
    </row>
    <row r="232">
      <c r="A232" s="113"/>
      <c r="B232" s="120"/>
      <c r="C232" s="120"/>
      <c r="D232" s="40"/>
      <c r="E232" s="114"/>
      <c r="F232" s="113"/>
      <c r="G232" s="113"/>
      <c r="H232" s="113"/>
      <c r="I232" s="113"/>
      <c r="J232" s="113"/>
      <c r="K232" s="113"/>
      <c r="L232" s="113"/>
      <c r="M232" s="113"/>
      <c r="N232" s="113"/>
      <c r="O232" s="113"/>
      <c r="P232" s="113"/>
      <c r="Q232" s="113"/>
      <c r="R232" s="113"/>
      <c r="S232" s="113"/>
      <c r="T232" s="113"/>
      <c r="U232" s="113"/>
      <c r="V232" s="113"/>
      <c r="W232" s="113"/>
      <c r="X232" s="113"/>
      <c r="Y232" s="113"/>
      <c r="Z232" s="113"/>
    </row>
    <row r="233">
      <c r="A233" s="113"/>
      <c r="B233" s="120"/>
      <c r="C233" s="120"/>
      <c r="D233" s="40"/>
      <c r="E233" s="114"/>
      <c r="F233" s="113"/>
      <c r="G233" s="113"/>
      <c r="H233" s="113"/>
      <c r="I233" s="113"/>
      <c r="J233" s="113"/>
      <c r="K233" s="113"/>
      <c r="L233" s="113"/>
      <c r="M233" s="113"/>
      <c r="N233" s="113"/>
      <c r="O233" s="113"/>
      <c r="P233" s="113"/>
      <c r="Q233" s="113"/>
      <c r="R233" s="113"/>
      <c r="S233" s="113"/>
      <c r="T233" s="113"/>
      <c r="U233" s="113"/>
      <c r="V233" s="113"/>
      <c r="W233" s="113"/>
      <c r="X233" s="113"/>
      <c r="Y233" s="113"/>
      <c r="Z233" s="113"/>
    </row>
    <row r="234">
      <c r="A234" s="113"/>
      <c r="B234" s="120"/>
      <c r="C234" s="120"/>
      <c r="D234" s="40"/>
      <c r="E234" s="114"/>
      <c r="F234" s="113"/>
      <c r="G234" s="113"/>
      <c r="H234" s="113"/>
      <c r="I234" s="113"/>
      <c r="J234" s="113"/>
      <c r="K234" s="113"/>
      <c r="L234" s="113"/>
      <c r="M234" s="113"/>
      <c r="N234" s="113"/>
      <c r="O234" s="113"/>
      <c r="P234" s="113"/>
      <c r="Q234" s="113"/>
      <c r="R234" s="113"/>
      <c r="S234" s="113"/>
      <c r="T234" s="113"/>
      <c r="U234" s="113"/>
      <c r="V234" s="113"/>
      <c r="W234" s="113"/>
      <c r="X234" s="113"/>
      <c r="Y234" s="113"/>
      <c r="Z234" s="113"/>
    </row>
    <row r="235">
      <c r="A235" s="113"/>
      <c r="B235" s="120"/>
      <c r="C235" s="120"/>
      <c r="D235" s="40"/>
      <c r="E235" s="114"/>
      <c r="F235" s="113"/>
      <c r="G235" s="113"/>
      <c r="H235" s="113"/>
      <c r="I235" s="113"/>
      <c r="J235" s="113"/>
      <c r="K235" s="113"/>
      <c r="L235" s="113"/>
      <c r="M235" s="113"/>
      <c r="N235" s="113"/>
      <c r="O235" s="113"/>
      <c r="P235" s="113"/>
      <c r="Q235" s="113"/>
      <c r="R235" s="113"/>
      <c r="S235" s="113"/>
      <c r="T235" s="113"/>
      <c r="U235" s="113"/>
      <c r="V235" s="113"/>
      <c r="W235" s="113"/>
      <c r="X235" s="113"/>
      <c r="Y235" s="113"/>
      <c r="Z235" s="113"/>
    </row>
    <row r="236">
      <c r="A236" s="113"/>
      <c r="B236" s="120"/>
      <c r="C236" s="120"/>
      <c r="D236" s="40"/>
      <c r="E236" s="114"/>
      <c r="F236" s="113"/>
      <c r="G236" s="113"/>
      <c r="H236" s="113"/>
      <c r="I236" s="113"/>
      <c r="J236" s="113"/>
      <c r="K236" s="113"/>
      <c r="L236" s="113"/>
      <c r="M236" s="113"/>
      <c r="N236" s="113"/>
      <c r="O236" s="113"/>
      <c r="P236" s="113"/>
      <c r="Q236" s="113"/>
      <c r="R236" s="113"/>
      <c r="S236" s="113"/>
      <c r="T236" s="113"/>
      <c r="U236" s="113"/>
      <c r="V236" s="113"/>
      <c r="W236" s="113"/>
      <c r="X236" s="113"/>
      <c r="Y236" s="113"/>
      <c r="Z236" s="113"/>
    </row>
    <row r="237">
      <c r="A237" s="113"/>
      <c r="B237" s="120"/>
      <c r="C237" s="120"/>
      <c r="D237" s="40"/>
      <c r="E237" s="114"/>
      <c r="F237" s="113"/>
      <c r="G237" s="113"/>
      <c r="H237" s="113"/>
      <c r="I237" s="113"/>
      <c r="J237" s="113"/>
      <c r="K237" s="113"/>
      <c r="L237" s="113"/>
      <c r="M237" s="113"/>
      <c r="N237" s="113"/>
      <c r="O237" s="113"/>
      <c r="P237" s="113"/>
      <c r="Q237" s="113"/>
      <c r="R237" s="113"/>
      <c r="S237" s="113"/>
      <c r="T237" s="113"/>
      <c r="U237" s="113"/>
      <c r="V237" s="113"/>
      <c r="W237" s="113"/>
      <c r="X237" s="113"/>
      <c r="Y237" s="113"/>
      <c r="Z237" s="113"/>
    </row>
    <row r="238">
      <c r="A238" s="113"/>
      <c r="B238" s="120"/>
      <c r="C238" s="120"/>
      <c r="D238" s="40"/>
      <c r="E238" s="114"/>
      <c r="F238" s="113"/>
      <c r="G238" s="113"/>
      <c r="H238" s="113"/>
      <c r="I238" s="113"/>
      <c r="J238" s="113"/>
      <c r="K238" s="113"/>
      <c r="L238" s="113"/>
      <c r="M238" s="113"/>
      <c r="N238" s="113"/>
      <c r="O238" s="113"/>
      <c r="P238" s="113"/>
      <c r="Q238" s="113"/>
      <c r="R238" s="113"/>
      <c r="S238" s="113"/>
      <c r="T238" s="113"/>
      <c r="U238" s="113"/>
      <c r="V238" s="113"/>
      <c r="W238" s="113"/>
      <c r="X238" s="113"/>
      <c r="Y238" s="113"/>
      <c r="Z238" s="113"/>
    </row>
    <row r="239">
      <c r="A239" s="113"/>
      <c r="B239" s="120"/>
      <c r="C239" s="120"/>
      <c r="D239" s="40"/>
      <c r="E239" s="114"/>
      <c r="F239" s="113"/>
      <c r="G239" s="113"/>
      <c r="H239" s="113"/>
      <c r="I239" s="113"/>
      <c r="J239" s="113"/>
      <c r="K239" s="113"/>
      <c r="L239" s="113"/>
      <c r="M239" s="113"/>
      <c r="N239" s="113"/>
      <c r="O239" s="113"/>
      <c r="P239" s="113"/>
      <c r="Q239" s="113"/>
      <c r="R239" s="113"/>
      <c r="S239" s="113"/>
      <c r="T239" s="113"/>
      <c r="U239" s="113"/>
      <c r="V239" s="113"/>
      <c r="W239" s="113"/>
      <c r="X239" s="113"/>
      <c r="Y239" s="113"/>
      <c r="Z239" s="113"/>
    </row>
    <row r="240">
      <c r="A240" s="113"/>
      <c r="B240" s="120"/>
      <c r="C240" s="120"/>
      <c r="D240" s="40"/>
      <c r="E240" s="114"/>
      <c r="F240" s="113"/>
      <c r="G240" s="113"/>
      <c r="H240" s="113"/>
      <c r="I240" s="113"/>
      <c r="J240" s="113"/>
      <c r="K240" s="113"/>
      <c r="L240" s="113"/>
      <c r="M240" s="113"/>
      <c r="N240" s="113"/>
      <c r="O240" s="113"/>
      <c r="P240" s="113"/>
      <c r="Q240" s="113"/>
      <c r="R240" s="113"/>
      <c r="S240" s="113"/>
      <c r="T240" s="113"/>
      <c r="U240" s="113"/>
      <c r="V240" s="113"/>
      <c r="W240" s="113"/>
      <c r="X240" s="113"/>
      <c r="Y240" s="113"/>
      <c r="Z240" s="113"/>
    </row>
    <row r="241">
      <c r="A241" s="113"/>
      <c r="B241" s="120"/>
      <c r="C241" s="120"/>
      <c r="D241" s="40"/>
      <c r="E241" s="114"/>
      <c r="F241" s="113"/>
      <c r="G241" s="113"/>
      <c r="H241" s="113"/>
      <c r="I241" s="113"/>
      <c r="J241" s="113"/>
      <c r="K241" s="113"/>
      <c r="L241" s="113"/>
      <c r="M241" s="113"/>
      <c r="N241" s="113"/>
      <c r="O241" s="113"/>
      <c r="P241" s="113"/>
      <c r="Q241" s="113"/>
      <c r="R241" s="113"/>
      <c r="S241" s="113"/>
      <c r="T241" s="113"/>
      <c r="U241" s="113"/>
      <c r="V241" s="113"/>
      <c r="W241" s="113"/>
      <c r="X241" s="113"/>
      <c r="Y241" s="113"/>
      <c r="Z241" s="113"/>
    </row>
    <row r="242">
      <c r="A242" s="113"/>
      <c r="B242" s="120"/>
      <c r="C242" s="120"/>
      <c r="D242" s="40"/>
      <c r="E242" s="114"/>
      <c r="F242" s="113"/>
      <c r="G242" s="113"/>
      <c r="H242" s="113"/>
      <c r="I242" s="113"/>
      <c r="J242" s="113"/>
      <c r="K242" s="113"/>
      <c r="L242" s="113"/>
      <c r="M242" s="113"/>
      <c r="N242" s="113"/>
      <c r="O242" s="113"/>
      <c r="P242" s="113"/>
      <c r="Q242" s="113"/>
      <c r="R242" s="113"/>
      <c r="S242" s="113"/>
      <c r="T242" s="113"/>
      <c r="U242" s="113"/>
      <c r="V242" s="113"/>
      <c r="W242" s="113"/>
      <c r="X242" s="113"/>
      <c r="Y242" s="113"/>
      <c r="Z242" s="113"/>
    </row>
    <row r="243">
      <c r="A243" s="113"/>
      <c r="B243" s="120"/>
      <c r="C243" s="120"/>
      <c r="D243" s="40"/>
      <c r="E243" s="114"/>
      <c r="F243" s="113"/>
      <c r="G243" s="113"/>
      <c r="H243" s="113"/>
      <c r="I243" s="113"/>
      <c r="J243" s="113"/>
      <c r="K243" s="113"/>
      <c r="L243" s="113"/>
      <c r="M243" s="113"/>
      <c r="N243" s="113"/>
      <c r="O243" s="113"/>
      <c r="P243" s="113"/>
      <c r="Q243" s="113"/>
      <c r="R243" s="113"/>
      <c r="S243" s="113"/>
      <c r="T243" s="113"/>
      <c r="U243" s="113"/>
      <c r="V243" s="113"/>
      <c r="W243" s="113"/>
      <c r="X243" s="113"/>
      <c r="Y243" s="113"/>
      <c r="Z243" s="113"/>
    </row>
    <row r="244">
      <c r="A244" s="113"/>
      <c r="B244" s="120"/>
      <c r="C244" s="120"/>
      <c r="D244" s="40"/>
      <c r="E244" s="114"/>
      <c r="F244" s="113"/>
      <c r="G244" s="113"/>
      <c r="H244" s="113"/>
      <c r="I244" s="113"/>
      <c r="J244" s="113"/>
      <c r="K244" s="113"/>
      <c r="L244" s="113"/>
      <c r="M244" s="113"/>
      <c r="N244" s="113"/>
      <c r="O244" s="113"/>
      <c r="P244" s="113"/>
      <c r="Q244" s="113"/>
      <c r="R244" s="113"/>
      <c r="S244" s="113"/>
      <c r="T244" s="113"/>
      <c r="U244" s="113"/>
      <c r="V244" s="113"/>
      <c r="W244" s="113"/>
      <c r="X244" s="113"/>
      <c r="Y244" s="113"/>
      <c r="Z244" s="113"/>
    </row>
    <row r="245">
      <c r="A245" s="113"/>
      <c r="B245" s="120"/>
      <c r="C245" s="120"/>
      <c r="D245" s="40"/>
      <c r="E245" s="114"/>
      <c r="F245" s="113"/>
      <c r="G245" s="113"/>
      <c r="H245" s="113"/>
      <c r="I245" s="113"/>
      <c r="J245" s="113"/>
      <c r="K245" s="113"/>
      <c r="L245" s="113"/>
      <c r="M245" s="113"/>
      <c r="N245" s="113"/>
      <c r="O245" s="113"/>
      <c r="P245" s="113"/>
      <c r="Q245" s="113"/>
      <c r="R245" s="113"/>
      <c r="S245" s="113"/>
      <c r="T245" s="113"/>
      <c r="U245" s="113"/>
      <c r="V245" s="113"/>
      <c r="W245" s="113"/>
      <c r="X245" s="113"/>
      <c r="Y245" s="113"/>
      <c r="Z245" s="113"/>
    </row>
    <row r="246">
      <c r="A246" s="113"/>
      <c r="B246" s="120"/>
      <c r="C246" s="120"/>
      <c r="D246" s="40"/>
      <c r="E246" s="114"/>
      <c r="F246" s="113"/>
      <c r="G246" s="113"/>
      <c r="H246" s="113"/>
      <c r="I246" s="113"/>
      <c r="J246" s="113"/>
      <c r="K246" s="113"/>
      <c r="L246" s="113"/>
      <c r="M246" s="113"/>
      <c r="N246" s="113"/>
      <c r="O246" s="113"/>
      <c r="P246" s="113"/>
      <c r="Q246" s="113"/>
      <c r="R246" s="113"/>
      <c r="S246" s="113"/>
      <c r="T246" s="113"/>
      <c r="U246" s="113"/>
      <c r="V246" s="113"/>
      <c r="W246" s="113"/>
      <c r="X246" s="113"/>
      <c r="Y246" s="113"/>
      <c r="Z246" s="113"/>
    </row>
    <row r="247">
      <c r="A247" s="113"/>
      <c r="B247" s="120"/>
      <c r="C247" s="120"/>
      <c r="D247" s="40"/>
      <c r="E247" s="114"/>
      <c r="F247" s="113"/>
      <c r="G247" s="113"/>
      <c r="H247" s="113"/>
      <c r="I247" s="113"/>
      <c r="J247" s="113"/>
      <c r="K247" s="113"/>
      <c r="L247" s="113"/>
      <c r="M247" s="113"/>
      <c r="N247" s="113"/>
      <c r="O247" s="113"/>
      <c r="P247" s="113"/>
      <c r="Q247" s="113"/>
      <c r="R247" s="113"/>
      <c r="S247" s="113"/>
      <c r="T247" s="113"/>
      <c r="U247" s="113"/>
      <c r="V247" s="113"/>
      <c r="W247" s="113"/>
      <c r="X247" s="113"/>
      <c r="Y247" s="113"/>
      <c r="Z247" s="113"/>
    </row>
    <row r="248">
      <c r="A248" s="113"/>
      <c r="B248" s="120"/>
      <c r="C248" s="120"/>
      <c r="D248" s="40"/>
      <c r="E248" s="114"/>
      <c r="F248" s="113"/>
      <c r="G248" s="113"/>
      <c r="H248" s="113"/>
      <c r="I248" s="113"/>
      <c r="J248" s="113"/>
      <c r="K248" s="113"/>
      <c r="L248" s="113"/>
      <c r="M248" s="113"/>
      <c r="N248" s="113"/>
      <c r="O248" s="113"/>
      <c r="P248" s="113"/>
      <c r="Q248" s="113"/>
      <c r="R248" s="113"/>
      <c r="S248" s="113"/>
      <c r="T248" s="113"/>
      <c r="U248" s="113"/>
      <c r="V248" s="113"/>
      <c r="W248" s="113"/>
      <c r="X248" s="113"/>
      <c r="Y248" s="113"/>
      <c r="Z248" s="113"/>
    </row>
    <row r="249">
      <c r="A249" s="113"/>
      <c r="B249" s="120"/>
      <c r="C249" s="120"/>
      <c r="D249" s="40"/>
      <c r="E249" s="114"/>
      <c r="F249" s="113"/>
      <c r="G249" s="113"/>
      <c r="H249" s="113"/>
      <c r="I249" s="113"/>
      <c r="J249" s="113"/>
      <c r="K249" s="113"/>
      <c r="L249" s="113"/>
      <c r="M249" s="113"/>
      <c r="N249" s="113"/>
      <c r="O249" s="113"/>
      <c r="P249" s="113"/>
      <c r="Q249" s="113"/>
      <c r="R249" s="113"/>
      <c r="S249" s="113"/>
      <c r="T249" s="113"/>
      <c r="U249" s="113"/>
      <c r="V249" s="113"/>
      <c r="W249" s="113"/>
      <c r="X249" s="113"/>
      <c r="Y249" s="113"/>
      <c r="Z249" s="113"/>
    </row>
    <row r="250">
      <c r="A250" s="113"/>
      <c r="B250" s="120"/>
      <c r="C250" s="120"/>
      <c r="D250" s="40"/>
      <c r="E250" s="114"/>
      <c r="F250" s="113"/>
      <c r="G250" s="113"/>
      <c r="H250" s="113"/>
      <c r="I250" s="113"/>
      <c r="J250" s="113"/>
      <c r="K250" s="113"/>
      <c r="L250" s="113"/>
      <c r="M250" s="113"/>
      <c r="N250" s="113"/>
      <c r="O250" s="113"/>
      <c r="P250" s="113"/>
      <c r="Q250" s="113"/>
      <c r="R250" s="113"/>
      <c r="S250" s="113"/>
      <c r="T250" s="113"/>
      <c r="U250" s="113"/>
      <c r="V250" s="113"/>
      <c r="W250" s="113"/>
      <c r="X250" s="113"/>
      <c r="Y250" s="113"/>
      <c r="Z250" s="113"/>
    </row>
    <row r="251">
      <c r="A251" s="113"/>
      <c r="B251" s="120"/>
      <c r="C251" s="120"/>
      <c r="D251" s="40"/>
      <c r="E251" s="114"/>
      <c r="F251" s="113"/>
      <c r="G251" s="113"/>
      <c r="H251" s="113"/>
      <c r="I251" s="113"/>
      <c r="J251" s="113"/>
      <c r="K251" s="113"/>
      <c r="L251" s="113"/>
      <c r="M251" s="113"/>
      <c r="N251" s="113"/>
      <c r="O251" s="113"/>
      <c r="P251" s="113"/>
      <c r="Q251" s="113"/>
      <c r="R251" s="113"/>
      <c r="S251" s="113"/>
      <c r="T251" s="113"/>
      <c r="U251" s="113"/>
      <c r="V251" s="113"/>
      <c r="W251" s="113"/>
      <c r="X251" s="113"/>
      <c r="Y251" s="113"/>
      <c r="Z251" s="113"/>
    </row>
    <row r="252">
      <c r="A252" s="113"/>
      <c r="B252" s="120"/>
      <c r="C252" s="120"/>
      <c r="D252" s="40"/>
      <c r="E252" s="114"/>
      <c r="F252" s="113"/>
      <c r="G252" s="113"/>
      <c r="H252" s="113"/>
      <c r="I252" s="113"/>
      <c r="J252" s="113"/>
      <c r="K252" s="113"/>
      <c r="L252" s="113"/>
      <c r="M252" s="113"/>
      <c r="N252" s="113"/>
      <c r="O252" s="113"/>
      <c r="P252" s="113"/>
      <c r="Q252" s="113"/>
      <c r="R252" s="113"/>
      <c r="S252" s="113"/>
      <c r="T252" s="113"/>
      <c r="U252" s="113"/>
      <c r="V252" s="113"/>
      <c r="W252" s="113"/>
      <c r="X252" s="113"/>
      <c r="Y252" s="113"/>
      <c r="Z252" s="113"/>
    </row>
    <row r="253">
      <c r="A253" s="113"/>
      <c r="B253" s="120"/>
      <c r="C253" s="120"/>
      <c r="D253" s="40"/>
      <c r="E253" s="114"/>
      <c r="F253" s="113"/>
      <c r="G253" s="113"/>
      <c r="H253" s="113"/>
      <c r="I253" s="113"/>
      <c r="J253" s="113"/>
      <c r="K253" s="113"/>
      <c r="L253" s="113"/>
      <c r="M253" s="113"/>
      <c r="N253" s="113"/>
      <c r="O253" s="113"/>
      <c r="P253" s="113"/>
      <c r="Q253" s="113"/>
      <c r="R253" s="113"/>
      <c r="S253" s="113"/>
      <c r="T253" s="113"/>
      <c r="U253" s="113"/>
      <c r="V253" s="113"/>
      <c r="W253" s="113"/>
      <c r="X253" s="113"/>
      <c r="Y253" s="113"/>
      <c r="Z253" s="113"/>
    </row>
    <row r="254">
      <c r="A254" s="113"/>
      <c r="B254" s="120"/>
      <c r="C254" s="120"/>
      <c r="D254" s="40"/>
      <c r="E254" s="114"/>
      <c r="F254" s="113"/>
      <c r="G254" s="113"/>
      <c r="H254" s="113"/>
      <c r="I254" s="113"/>
      <c r="J254" s="113"/>
      <c r="K254" s="113"/>
      <c r="L254" s="113"/>
      <c r="M254" s="113"/>
      <c r="N254" s="113"/>
      <c r="O254" s="113"/>
      <c r="P254" s="113"/>
      <c r="Q254" s="113"/>
      <c r="R254" s="113"/>
      <c r="S254" s="113"/>
      <c r="T254" s="113"/>
      <c r="U254" s="113"/>
      <c r="V254" s="113"/>
      <c r="W254" s="113"/>
      <c r="X254" s="113"/>
      <c r="Y254" s="113"/>
      <c r="Z254" s="113"/>
    </row>
    <row r="255">
      <c r="A255" s="113"/>
      <c r="B255" s="120"/>
      <c r="C255" s="120"/>
      <c r="D255" s="40"/>
      <c r="E255" s="114"/>
      <c r="F255" s="113"/>
      <c r="G255" s="113"/>
      <c r="H255" s="113"/>
      <c r="I255" s="113"/>
      <c r="J255" s="113"/>
      <c r="K255" s="113"/>
      <c r="L255" s="113"/>
      <c r="M255" s="113"/>
      <c r="N255" s="113"/>
      <c r="O255" s="113"/>
      <c r="P255" s="113"/>
      <c r="Q255" s="113"/>
      <c r="R255" s="113"/>
      <c r="S255" s="113"/>
      <c r="T255" s="113"/>
      <c r="U255" s="113"/>
      <c r="V255" s="113"/>
      <c r="W255" s="113"/>
      <c r="X255" s="113"/>
      <c r="Y255" s="113"/>
      <c r="Z255" s="113"/>
    </row>
    <row r="256">
      <c r="A256" s="113"/>
      <c r="B256" s="120"/>
      <c r="C256" s="120"/>
      <c r="D256" s="40"/>
      <c r="E256" s="114"/>
      <c r="F256" s="113"/>
      <c r="G256" s="113"/>
      <c r="H256" s="113"/>
      <c r="I256" s="113"/>
      <c r="J256" s="113"/>
      <c r="K256" s="113"/>
      <c r="L256" s="113"/>
      <c r="M256" s="113"/>
      <c r="N256" s="113"/>
      <c r="O256" s="113"/>
      <c r="P256" s="113"/>
      <c r="Q256" s="113"/>
      <c r="R256" s="113"/>
      <c r="S256" s="113"/>
      <c r="T256" s="113"/>
      <c r="U256" s="113"/>
      <c r="V256" s="113"/>
      <c r="W256" s="113"/>
      <c r="X256" s="113"/>
      <c r="Y256" s="113"/>
      <c r="Z256" s="113"/>
    </row>
    <row r="257">
      <c r="A257" s="113"/>
      <c r="B257" s="120"/>
      <c r="C257" s="120"/>
      <c r="D257" s="40"/>
      <c r="E257" s="114"/>
      <c r="F257" s="113"/>
      <c r="G257" s="113"/>
      <c r="H257" s="113"/>
      <c r="I257" s="113"/>
      <c r="J257" s="113"/>
      <c r="K257" s="113"/>
      <c r="L257" s="113"/>
      <c r="M257" s="113"/>
      <c r="N257" s="113"/>
      <c r="O257" s="113"/>
      <c r="P257" s="113"/>
      <c r="Q257" s="113"/>
      <c r="R257" s="113"/>
      <c r="S257" s="113"/>
      <c r="T257" s="113"/>
      <c r="U257" s="113"/>
      <c r="V257" s="113"/>
      <c r="W257" s="113"/>
      <c r="X257" s="113"/>
      <c r="Y257" s="113"/>
      <c r="Z257" s="113"/>
    </row>
    <row r="258">
      <c r="A258" s="113"/>
      <c r="B258" s="120"/>
      <c r="C258" s="120"/>
      <c r="D258" s="40"/>
      <c r="E258" s="114"/>
      <c r="F258" s="113"/>
      <c r="G258" s="113"/>
      <c r="H258" s="113"/>
      <c r="I258" s="113"/>
      <c r="J258" s="113"/>
      <c r="K258" s="113"/>
      <c r="L258" s="113"/>
      <c r="M258" s="113"/>
      <c r="N258" s="113"/>
      <c r="O258" s="113"/>
      <c r="P258" s="113"/>
      <c r="Q258" s="113"/>
      <c r="R258" s="113"/>
      <c r="S258" s="113"/>
      <c r="T258" s="113"/>
      <c r="U258" s="113"/>
      <c r="V258" s="113"/>
      <c r="W258" s="113"/>
      <c r="X258" s="113"/>
      <c r="Y258" s="113"/>
      <c r="Z258" s="113"/>
    </row>
    <row r="259">
      <c r="A259" s="113"/>
      <c r="B259" s="120"/>
      <c r="C259" s="120"/>
      <c r="D259" s="40"/>
      <c r="E259" s="114"/>
      <c r="F259" s="113"/>
      <c r="G259" s="113"/>
      <c r="H259" s="113"/>
      <c r="I259" s="113"/>
      <c r="J259" s="113"/>
      <c r="K259" s="113"/>
      <c r="L259" s="113"/>
      <c r="M259" s="113"/>
      <c r="N259" s="113"/>
      <c r="O259" s="113"/>
      <c r="P259" s="113"/>
      <c r="Q259" s="113"/>
      <c r="R259" s="113"/>
      <c r="S259" s="113"/>
      <c r="T259" s="113"/>
      <c r="U259" s="113"/>
      <c r="V259" s="113"/>
      <c r="W259" s="113"/>
      <c r="X259" s="113"/>
      <c r="Y259" s="113"/>
      <c r="Z259" s="113"/>
    </row>
    <row r="260">
      <c r="A260" s="113"/>
      <c r="B260" s="120"/>
      <c r="C260" s="120"/>
      <c r="D260" s="40"/>
      <c r="E260" s="114"/>
      <c r="F260" s="113"/>
      <c r="G260" s="113"/>
      <c r="H260" s="113"/>
      <c r="I260" s="113"/>
      <c r="J260" s="113"/>
      <c r="K260" s="113"/>
      <c r="L260" s="113"/>
      <c r="M260" s="113"/>
      <c r="N260" s="113"/>
      <c r="O260" s="113"/>
      <c r="P260" s="113"/>
      <c r="Q260" s="113"/>
      <c r="R260" s="113"/>
      <c r="S260" s="113"/>
      <c r="T260" s="113"/>
      <c r="U260" s="113"/>
      <c r="V260" s="113"/>
      <c r="W260" s="113"/>
      <c r="X260" s="113"/>
      <c r="Y260" s="113"/>
      <c r="Z260" s="113"/>
    </row>
    <row r="261">
      <c r="A261" s="113"/>
      <c r="B261" s="120"/>
      <c r="C261" s="120"/>
      <c r="D261" s="40"/>
      <c r="E261" s="114"/>
      <c r="F261" s="113"/>
      <c r="G261" s="113"/>
      <c r="H261" s="113"/>
      <c r="I261" s="113"/>
      <c r="J261" s="113"/>
      <c r="K261" s="113"/>
      <c r="L261" s="113"/>
      <c r="M261" s="113"/>
      <c r="N261" s="113"/>
      <c r="O261" s="113"/>
      <c r="P261" s="113"/>
      <c r="Q261" s="113"/>
      <c r="R261" s="113"/>
      <c r="S261" s="113"/>
      <c r="T261" s="113"/>
      <c r="U261" s="113"/>
      <c r="V261" s="113"/>
      <c r="W261" s="113"/>
      <c r="X261" s="113"/>
      <c r="Y261" s="113"/>
      <c r="Z261" s="113"/>
    </row>
    <row r="262">
      <c r="A262" s="113"/>
      <c r="B262" s="120"/>
      <c r="C262" s="120"/>
      <c r="D262" s="40"/>
      <c r="E262" s="114"/>
      <c r="F262" s="113"/>
      <c r="G262" s="113"/>
      <c r="H262" s="113"/>
      <c r="I262" s="113"/>
      <c r="J262" s="113"/>
      <c r="K262" s="113"/>
      <c r="L262" s="113"/>
      <c r="M262" s="113"/>
      <c r="N262" s="113"/>
      <c r="O262" s="113"/>
      <c r="P262" s="113"/>
      <c r="Q262" s="113"/>
      <c r="R262" s="113"/>
      <c r="S262" s="113"/>
      <c r="T262" s="113"/>
      <c r="U262" s="113"/>
      <c r="V262" s="113"/>
      <c r="W262" s="113"/>
      <c r="X262" s="113"/>
      <c r="Y262" s="113"/>
      <c r="Z262" s="113"/>
    </row>
    <row r="263">
      <c r="A263" s="113"/>
      <c r="B263" s="120"/>
      <c r="C263" s="120"/>
      <c r="D263" s="40"/>
      <c r="E263" s="114"/>
      <c r="F263" s="113"/>
      <c r="G263" s="113"/>
      <c r="H263" s="113"/>
      <c r="I263" s="113"/>
      <c r="J263" s="113"/>
      <c r="K263" s="113"/>
      <c r="L263" s="113"/>
      <c r="M263" s="113"/>
      <c r="N263" s="113"/>
      <c r="O263" s="113"/>
      <c r="P263" s="113"/>
      <c r="Q263" s="113"/>
      <c r="R263" s="113"/>
      <c r="S263" s="113"/>
      <c r="T263" s="113"/>
      <c r="U263" s="113"/>
      <c r="V263" s="113"/>
      <c r="W263" s="113"/>
      <c r="X263" s="113"/>
      <c r="Y263" s="113"/>
      <c r="Z263" s="113"/>
    </row>
    <row r="264">
      <c r="A264" s="113"/>
      <c r="B264" s="120"/>
      <c r="C264" s="120"/>
      <c r="D264" s="40"/>
      <c r="E264" s="114"/>
      <c r="F264" s="113"/>
      <c r="G264" s="113"/>
      <c r="H264" s="113"/>
      <c r="I264" s="113"/>
      <c r="J264" s="113"/>
      <c r="K264" s="113"/>
      <c r="L264" s="113"/>
      <c r="M264" s="113"/>
      <c r="N264" s="113"/>
      <c r="O264" s="113"/>
      <c r="P264" s="113"/>
      <c r="Q264" s="113"/>
      <c r="R264" s="113"/>
      <c r="S264" s="113"/>
      <c r="T264" s="113"/>
      <c r="U264" s="113"/>
      <c r="V264" s="113"/>
      <c r="W264" s="113"/>
      <c r="X264" s="113"/>
      <c r="Y264" s="113"/>
      <c r="Z264" s="113"/>
    </row>
    <row r="265">
      <c r="A265" s="113"/>
      <c r="B265" s="120"/>
      <c r="C265" s="120"/>
      <c r="D265" s="40"/>
      <c r="E265" s="114"/>
      <c r="F265" s="113"/>
      <c r="G265" s="113"/>
      <c r="H265" s="113"/>
      <c r="I265" s="113"/>
      <c r="J265" s="113"/>
      <c r="K265" s="113"/>
      <c r="L265" s="113"/>
      <c r="M265" s="113"/>
      <c r="N265" s="113"/>
      <c r="O265" s="113"/>
      <c r="P265" s="113"/>
      <c r="Q265" s="113"/>
      <c r="R265" s="113"/>
      <c r="S265" s="113"/>
      <c r="T265" s="113"/>
      <c r="U265" s="113"/>
      <c r="V265" s="113"/>
      <c r="W265" s="113"/>
      <c r="X265" s="113"/>
      <c r="Y265" s="113"/>
      <c r="Z265" s="113"/>
    </row>
    <row r="266">
      <c r="A266" s="113"/>
      <c r="B266" s="120"/>
      <c r="C266" s="120"/>
      <c r="D266" s="40"/>
      <c r="E266" s="114"/>
      <c r="F266" s="113"/>
      <c r="G266" s="113"/>
      <c r="H266" s="113"/>
      <c r="I266" s="113"/>
      <c r="J266" s="113"/>
      <c r="K266" s="113"/>
      <c r="L266" s="113"/>
      <c r="M266" s="113"/>
      <c r="N266" s="113"/>
      <c r="O266" s="113"/>
      <c r="P266" s="113"/>
      <c r="Q266" s="113"/>
      <c r="R266" s="113"/>
      <c r="S266" s="113"/>
      <c r="T266" s="113"/>
      <c r="U266" s="113"/>
      <c r="V266" s="113"/>
      <c r="W266" s="113"/>
      <c r="X266" s="113"/>
      <c r="Y266" s="113"/>
      <c r="Z266" s="113"/>
    </row>
    <row r="267">
      <c r="A267" s="113"/>
      <c r="B267" s="120"/>
      <c r="C267" s="120"/>
      <c r="D267" s="40"/>
      <c r="E267" s="114"/>
      <c r="F267" s="113"/>
      <c r="G267" s="113"/>
      <c r="H267" s="113"/>
      <c r="I267" s="113"/>
      <c r="J267" s="113"/>
      <c r="K267" s="113"/>
      <c r="L267" s="113"/>
      <c r="M267" s="113"/>
      <c r="N267" s="113"/>
      <c r="O267" s="113"/>
      <c r="P267" s="113"/>
      <c r="Q267" s="113"/>
      <c r="R267" s="113"/>
      <c r="S267" s="113"/>
      <c r="T267" s="113"/>
      <c r="U267" s="113"/>
      <c r="V267" s="113"/>
      <c r="W267" s="113"/>
      <c r="X267" s="113"/>
      <c r="Y267" s="113"/>
      <c r="Z267" s="113"/>
    </row>
    <row r="268">
      <c r="A268" s="113"/>
      <c r="B268" s="120"/>
      <c r="C268" s="120"/>
      <c r="D268" s="40"/>
      <c r="E268" s="114"/>
      <c r="F268" s="113"/>
      <c r="G268" s="113"/>
      <c r="H268" s="113"/>
      <c r="I268" s="113"/>
      <c r="J268" s="113"/>
      <c r="K268" s="113"/>
      <c r="L268" s="113"/>
      <c r="M268" s="113"/>
      <c r="N268" s="113"/>
      <c r="O268" s="113"/>
      <c r="P268" s="113"/>
      <c r="Q268" s="113"/>
      <c r="R268" s="113"/>
      <c r="S268" s="113"/>
      <c r="T268" s="113"/>
      <c r="U268" s="113"/>
      <c r="V268" s="113"/>
      <c r="W268" s="113"/>
      <c r="X268" s="113"/>
      <c r="Y268" s="113"/>
      <c r="Z268" s="113"/>
    </row>
    <row r="269">
      <c r="A269" s="113"/>
      <c r="B269" s="120"/>
      <c r="C269" s="120"/>
      <c r="D269" s="40"/>
      <c r="E269" s="114"/>
      <c r="F269" s="113"/>
      <c r="G269" s="113"/>
      <c r="H269" s="113"/>
      <c r="I269" s="113"/>
      <c r="J269" s="113"/>
      <c r="K269" s="113"/>
      <c r="L269" s="113"/>
      <c r="M269" s="113"/>
      <c r="N269" s="113"/>
      <c r="O269" s="113"/>
      <c r="P269" s="113"/>
      <c r="Q269" s="113"/>
      <c r="R269" s="113"/>
      <c r="S269" s="113"/>
      <c r="T269" s="113"/>
      <c r="U269" s="113"/>
      <c r="V269" s="113"/>
      <c r="W269" s="113"/>
      <c r="X269" s="113"/>
      <c r="Y269" s="113"/>
      <c r="Z269" s="113"/>
    </row>
    <row r="270">
      <c r="A270" s="113"/>
      <c r="B270" s="120"/>
      <c r="C270" s="120"/>
      <c r="D270" s="40"/>
      <c r="E270" s="114"/>
      <c r="F270" s="113"/>
      <c r="G270" s="113"/>
      <c r="H270" s="113"/>
      <c r="I270" s="113"/>
      <c r="J270" s="113"/>
      <c r="K270" s="113"/>
      <c r="L270" s="113"/>
      <c r="M270" s="113"/>
      <c r="N270" s="113"/>
      <c r="O270" s="113"/>
      <c r="P270" s="113"/>
      <c r="Q270" s="113"/>
      <c r="R270" s="113"/>
      <c r="S270" s="113"/>
      <c r="T270" s="113"/>
      <c r="U270" s="113"/>
      <c r="V270" s="113"/>
      <c r="W270" s="113"/>
      <c r="X270" s="113"/>
      <c r="Y270" s="113"/>
      <c r="Z270" s="113"/>
    </row>
    <row r="271">
      <c r="A271" s="113"/>
      <c r="B271" s="120"/>
      <c r="C271" s="120"/>
      <c r="D271" s="40"/>
      <c r="E271" s="114"/>
      <c r="F271" s="113"/>
      <c r="G271" s="113"/>
      <c r="H271" s="113"/>
      <c r="I271" s="113"/>
      <c r="J271" s="113"/>
      <c r="K271" s="113"/>
      <c r="L271" s="113"/>
      <c r="M271" s="113"/>
      <c r="N271" s="113"/>
      <c r="O271" s="113"/>
      <c r="P271" s="113"/>
      <c r="Q271" s="113"/>
      <c r="R271" s="113"/>
      <c r="S271" s="113"/>
      <c r="T271" s="113"/>
      <c r="U271" s="113"/>
      <c r="V271" s="113"/>
      <c r="W271" s="113"/>
      <c r="X271" s="113"/>
      <c r="Y271" s="113"/>
      <c r="Z271" s="113"/>
    </row>
    <row r="272">
      <c r="A272" s="113"/>
      <c r="B272" s="120"/>
      <c r="C272" s="120"/>
      <c r="D272" s="40"/>
      <c r="E272" s="114"/>
      <c r="F272" s="113"/>
      <c r="G272" s="113"/>
      <c r="H272" s="113"/>
      <c r="I272" s="113"/>
      <c r="J272" s="113"/>
      <c r="K272" s="113"/>
      <c r="L272" s="113"/>
      <c r="M272" s="113"/>
      <c r="N272" s="113"/>
      <c r="O272" s="113"/>
      <c r="P272" s="113"/>
      <c r="Q272" s="113"/>
      <c r="R272" s="113"/>
      <c r="S272" s="113"/>
      <c r="T272" s="113"/>
      <c r="U272" s="113"/>
      <c r="V272" s="113"/>
      <c r="W272" s="113"/>
      <c r="X272" s="113"/>
      <c r="Y272" s="113"/>
      <c r="Z272" s="113"/>
    </row>
    <row r="273">
      <c r="A273" s="113"/>
      <c r="B273" s="120"/>
      <c r="C273" s="120"/>
      <c r="D273" s="40"/>
      <c r="E273" s="114"/>
      <c r="F273" s="113"/>
      <c r="G273" s="113"/>
      <c r="H273" s="113"/>
      <c r="I273" s="113"/>
      <c r="J273" s="113"/>
      <c r="K273" s="113"/>
      <c r="L273" s="113"/>
      <c r="M273" s="113"/>
      <c r="N273" s="113"/>
      <c r="O273" s="113"/>
      <c r="P273" s="113"/>
      <c r="Q273" s="113"/>
      <c r="R273" s="113"/>
      <c r="S273" s="113"/>
      <c r="T273" s="113"/>
      <c r="U273" s="113"/>
      <c r="V273" s="113"/>
      <c r="W273" s="113"/>
      <c r="X273" s="113"/>
      <c r="Y273" s="113"/>
      <c r="Z273" s="113"/>
    </row>
    <row r="274">
      <c r="A274" s="113"/>
      <c r="B274" s="120"/>
      <c r="C274" s="120"/>
      <c r="D274" s="40"/>
      <c r="E274" s="114"/>
      <c r="F274" s="113"/>
      <c r="G274" s="113"/>
      <c r="H274" s="113"/>
      <c r="I274" s="113"/>
      <c r="J274" s="113"/>
      <c r="K274" s="113"/>
      <c r="L274" s="113"/>
      <c r="M274" s="113"/>
      <c r="N274" s="113"/>
      <c r="O274" s="113"/>
      <c r="P274" s="113"/>
      <c r="Q274" s="113"/>
      <c r="R274" s="113"/>
      <c r="S274" s="113"/>
      <c r="T274" s="113"/>
      <c r="U274" s="113"/>
      <c r="V274" s="113"/>
      <c r="W274" s="113"/>
      <c r="X274" s="113"/>
      <c r="Y274" s="113"/>
      <c r="Z274" s="113"/>
    </row>
    <row r="275">
      <c r="A275" s="113"/>
      <c r="B275" s="120"/>
      <c r="C275" s="120"/>
      <c r="D275" s="40"/>
      <c r="E275" s="114"/>
      <c r="F275" s="113"/>
      <c r="G275" s="113"/>
      <c r="H275" s="113"/>
      <c r="I275" s="113"/>
      <c r="J275" s="113"/>
      <c r="K275" s="113"/>
      <c r="L275" s="113"/>
      <c r="M275" s="113"/>
      <c r="N275" s="113"/>
      <c r="O275" s="113"/>
      <c r="P275" s="113"/>
      <c r="Q275" s="113"/>
      <c r="R275" s="113"/>
      <c r="S275" s="113"/>
      <c r="T275" s="113"/>
      <c r="U275" s="113"/>
      <c r="V275" s="113"/>
      <c r="W275" s="113"/>
      <c r="X275" s="113"/>
      <c r="Y275" s="113"/>
      <c r="Z275" s="113"/>
    </row>
    <row r="276">
      <c r="A276" s="113"/>
      <c r="B276" s="120"/>
      <c r="C276" s="120"/>
      <c r="D276" s="40"/>
      <c r="E276" s="114"/>
      <c r="F276" s="113"/>
      <c r="G276" s="113"/>
      <c r="H276" s="113"/>
      <c r="I276" s="113"/>
      <c r="J276" s="113"/>
      <c r="K276" s="113"/>
      <c r="L276" s="113"/>
      <c r="M276" s="113"/>
      <c r="N276" s="113"/>
      <c r="O276" s="113"/>
      <c r="P276" s="113"/>
      <c r="Q276" s="113"/>
      <c r="R276" s="113"/>
      <c r="S276" s="113"/>
      <c r="T276" s="113"/>
      <c r="U276" s="113"/>
      <c r="V276" s="113"/>
      <c r="W276" s="113"/>
      <c r="X276" s="113"/>
      <c r="Y276" s="113"/>
      <c r="Z276" s="113"/>
    </row>
    <row r="277">
      <c r="A277" s="113"/>
      <c r="B277" s="120"/>
      <c r="C277" s="120"/>
      <c r="D277" s="40"/>
      <c r="E277" s="114"/>
      <c r="F277" s="113"/>
      <c r="G277" s="113"/>
      <c r="H277" s="113"/>
      <c r="I277" s="113"/>
      <c r="J277" s="113"/>
      <c r="K277" s="113"/>
      <c r="L277" s="113"/>
      <c r="M277" s="113"/>
      <c r="N277" s="113"/>
      <c r="O277" s="113"/>
      <c r="P277" s="113"/>
      <c r="Q277" s="113"/>
      <c r="R277" s="113"/>
      <c r="S277" s="113"/>
      <c r="T277" s="113"/>
      <c r="U277" s="113"/>
      <c r="V277" s="113"/>
      <c r="W277" s="113"/>
      <c r="X277" s="113"/>
      <c r="Y277" s="113"/>
      <c r="Z277" s="113"/>
    </row>
    <row r="278">
      <c r="A278" s="113"/>
      <c r="B278" s="120"/>
      <c r="C278" s="120"/>
      <c r="D278" s="40"/>
      <c r="E278" s="114"/>
      <c r="F278" s="113"/>
      <c r="G278" s="113"/>
      <c r="H278" s="113"/>
      <c r="I278" s="113"/>
      <c r="J278" s="113"/>
      <c r="K278" s="113"/>
      <c r="L278" s="113"/>
      <c r="M278" s="113"/>
      <c r="N278" s="113"/>
      <c r="O278" s="113"/>
      <c r="P278" s="113"/>
      <c r="Q278" s="113"/>
      <c r="R278" s="113"/>
      <c r="S278" s="113"/>
      <c r="T278" s="113"/>
      <c r="U278" s="113"/>
      <c r="V278" s="113"/>
      <c r="W278" s="113"/>
      <c r="X278" s="113"/>
      <c r="Y278" s="113"/>
      <c r="Z278" s="113"/>
    </row>
    <row r="279">
      <c r="A279" s="113"/>
      <c r="B279" s="120"/>
      <c r="C279" s="120"/>
      <c r="D279" s="40"/>
      <c r="E279" s="114"/>
      <c r="F279" s="113"/>
      <c r="G279" s="113"/>
      <c r="H279" s="113"/>
      <c r="I279" s="113"/>
      <c r="J279" s="113"/>
      <c r="K279" s="113"/>
      <c r="L279" s="113"/>
      <c r="M279" s="113"/>
      <c r="N279" s="113"/>
      <c r="O279" s="113"/>
      <c r="P279" s="113"/>
      <c r="Q279" s="113"/>
      <c r="R279" s="113"/>
      <c r="S279" s="113"/>
      <c r="T279" s="113"/>
      <c r="U279" s="113"/>
      <c r="V279" s="113"/>
      <c r="W279" s="113"/>
      <c r="X279" s="113"/>
      <c r="Y279" s="113"/>
      <c r="Z279" s="113"/>
    </row>
    <row r="280">
      <c r="A280" s="113"/>
      <c r="B280" s="120"/>
      <c r="C280" s="120"/>
      <c r="D280" s="40"/>
      <c r="E280" s="114"/>
      <c r="F280" s="113"/>
      <c r="G280" s="113"/>
      <c r="H280" s="113"/>
      <c r="I280" s="113"/>
      <c r="J280" s="113"/>
      <c r="K280" s="113"/>
      <c r="L280" s="113"/>
      <c r="M280" s="113"/>
      <c r="N280" s="113"/>
      <c r="O280" s="113"/>
      <c r="P280" s="113"/>
      <c r="Q280" s="113"/>
      <c r="R280" s="113"/>
      <c r="S280" s="113"/>
      <c r="T280" s="113"/>
      <c r="U280" s="113"/>
      <c r="V280" s="113"/>
      <c r="W280" s="113"/>
      <c r="X280" s="113"/>
      <c r="Y280" s="113"/>
      <c r="Z280" s="113"/>
    </row>
    <row r="281">
      <c r="A281" s="113"/>
      <c r="B281" s="120"/>
      <c r="C281" s="120"/>
      <c r="D281" s="40"/>
      <c r="E281" s="114"/>
      <c r="F281" s="113"/>
      <c r="G281" s="113"/>
      <c r="H281" s="113"/>
      <c r="I281" s="113"/>
      <c r="J281" s="113"/>
      <c r="K281" s="113"/>
      <c r="L281" s="113"/>
      <c r="M281" s="113"/>
      <c r="N281" s="113"/>
      <c r="O281" s="113"/>
      <c r="P281" s="113"/>
      <c r="Q281" s="113"/>
      <c r="R281" s="113"/>
      <c r="S281" s="113"/>
      <c r="T281" s="113"/>
      <c r="U281" s="113"/>
      <c r="V281" s="113"/>
      <c r="W281" s="113"/>
      <c r="X281" s="113"/>
      <c r="Y281" s="113"/>
      <c r="Z281" s="113"/>
    </row>
    <row r="282">
      <c r="A282" s="113"/>
      <c r="B282" s="120"/>
      <c r="C282" s="120"/>
      <c r="D282" s="40"/>
      <c r="E282" s="114"/>
      <c r="F282" s="113"/>
      <c r="G282" s="113"/>
      <c r="H282" s="113"/>
      <c r="I282" s="113"/>
      <c r="J282" s="113"/>
      <c r="K282" s="113"/>
      <c r="L282" s="113"/>
      <c r="M282" s="113"/>
      <c r="N282" s="113"/>
      <c r="O282" s="113"/>
      <c r="P282" s="113"/>
      <c r="Q282" s="113"/>
      <c r="R282" s="113"/>
      <c r="S282" s="113"/>
      <c r="T282" s="113"/>
      <c r="U282" s="113"/>
      <c r="V282" s="113"/>
      <c r="W282" s="113"/>
      <c r="X282" s="113"/>
      <c r="Y282" s="113"/>
      <c r="Z282" s="113"/>
    </row>
    <row r="283">
      <c r="A283" s="113"/>
      <c r="B283" s="120"/>
      <c r="C283" s="120"/>
      <c r="D283" s="40"/>
      <c r="E283" s="114"/>
      <c r="F283" s="113"/>
      <c r="G283" s="113"/>
      <c r="H283" s="113"/>
      <c r="I283" s="113"/>
      <c r="J283" s="113"/>
      <c r="K283" s="113"/>
      <c r="L283" s="113"/>
      <c r="M283" s="113"/>
      <c r="N283" s="113"/>
      <c r="O283" s="113"/>
      <c r="P283" s="113"/>
      <c r="Q283" s="113"/>
      <c r="R283" s="113"/>
      <c r="S283" s="113"/>
      <c r="T283" s="113"/>
      <c r="U283" s="113"/>
      <c r="V283" s="113"/>
      <c r="W283" s="113"/>
      <c r="X283" s="113"/>
      <c r="Y283" s="113"/>
      <c r="Z283" s="113"/>
    </row>
    <row r="284">
      <c r="A284" s="113"/>
      <c r="B284" s="120"/>
      <c r="C284" s="120"/>
      <c r="D284" s="40"/>
      <c r="E284" s="114"/>
      <c r="F284" s="113"/>
      <c r="G284" s="113"/>
      <c r="H284" s="113"/>
      <c r="I284" s="113"/>
      <c r="J284" s="113"/>
      <c r="K284" s="113"/>
      <c r="L284" s="113"/>
      <c r="M284" s="113"/>
      <c r="N284" s="113"/>
      <c r="O284" s="113"/>
      <c r="P284" s="113"/>
      <c r="Q284" s="113"/>
      <c r="R284" s="113"/>
      <c r="S284" s="113"/>
      <c r="T284" s="113"/>
      <c r="U284" s="113"/>
      <c r="V284" s="113"/>
      <c r="W284" s="113"/>
      <c r="X284" s="113"/>
      <c r="Y284" s="113"/>
      <c r="Z284" s="113"/>
    </row>
    <row r="285">
      <c r="A285" s="113"/>
      <c r="B285" s="120"/>
      <c r="C285" s="120"/>
      <c r="D285" s="40"/>
      <c r="E285" s="114"/>
      <c r="F285" s="113"/>
      <c r="G285" s="113"/>
      <c r="H285" s="113"/>
      <c r="I285" s="113"/>
      <c r="J285" s="113"/>
      <c r="K285" s="113"/>
      <c r="L285" s="113"/>
      <c r="M285" s="113"/>
      <c r="N285" s="113"/>
      <c r="O285" s="113"/>
      <c r="P285" s="113"/>
      <c r="Q285" s="113"/>
      <c r="R285" s="113"/>
      <c r="S285" s="113"/>
      <c r="T285" s="113"/>
      <c r="U285" s="113"/>
      <c r="V285" s="113"/>
      <c r="W285" s="113"/>
      <c r="X285" s="113"/>
      <c r="Y285" s="113"/>
      <c r="Z285" s="113"/>
    </row>
    <row r="286">
      <c r="A286" s="113"/>
      <c r="B286" s="120"/>
      <c r="C286" s="120"/>
      <c r="D286" s="40"/>
      <c r="E286" s="114"/>
      <c r="F286" s="113"/>
      <c r="G286" s="113"/>
      <c r="H286" s="113"/>
      <c r="I286" s="113"/>
      <c r="J286" s="113"/>
      <c r="K286" s="113"/>
      <c r="L286" s="113"/>
      <c r="M286" s="113"/>
      <c r="N286" s="113"/>
      <c r="O286" s="113"/>
      <c r="P286" s="113"/>
      <c r="Q286" s="113"/>
      <c r="R286" s="113"/>
      <c r="S286" s="113"/>
      <c r="T286" s="113"/>
      <c r="U286" s="113"/>
      <c r="V286" s="113"/>
      <c r="W286" s="113"/>
      <c r="X286" s="113"/>
      <c r="Y286" s="113"/>
      <c r="Z286" s="113"/>
    </row>
    <row r="287">
      <c r="A287" s="113"/>
      <c r="B287" s="120"/>
      <c r="C287" s="120"/>
      <c r="D287" s="40"/>
      <c r="E287" s="114"/>
      <c r="F287" s="113"/>
      <c r="G287" s="113"/>
      <c r="H287" s="113"/>
      <c r="I287" s="113"/>
      <c r="J287" s="113"/>
      <c r="K287" s="113"/>
      <c r="L287" s="113"/>
      <c r="M287" s="113"/>
      <c r="N287" s="113"/>
      <c r="O287" s="113"/>
      <c r="P287" s="113"/>
      <c r="Q287" s="113"/>
      <c r="R287" s="113"/>
      <c r="S287" s="113"/>
      <c r="T287" s="113"/>
      <c r="U287" s="113"/>
      <c r="V287" s="113"/>
      <c r="W287" s="113"/>
      <c r="X287" s="113"/>
      <c r="Y287" s="113"/>
      <c r="Z287" s="113"/>
    </row>
    <row r="288">
      <c r="A288" s="113"/>
      <c r="B288" s="120"/>
      <c r="C288" s="120"/>
      <c r="D288" s="40"/>
      <c r="E288" s="114"/>
      <c r="F288" s="113"/>
      <c r="G288" s="113"/>
      <c r="H288" s="113"/>
      <c r="I288" s="113"/>
      <c r="J288" s="113"/>
      <c r="K288" s="113"/>
      <c r="L288" s="113"/>
      <c r="M288" s="113"/>
      <c r="N288" s="113"/>
      <c r="O288" s="113"/>
      <c r="P288" s="113"/>
      <c r="Q288" s="113"/>
      <c r="R288" s="113"/>
      <c r="S288" s="113"/>
      <c r="T288" s="113"/>
      <c r="U288" s="113"/>
      <c r="V288" s="113"/>
      <c r="W288" s="113"/>
      <c r="X288" s="113"/>
      <c r="Y288" s="113"/>
      <c r="Z288" s="113"/>
    </row>
    <row r="289">
      <c r="A289" s="113"/>
      <c r="B289" s="120"/>
      <c r="C289" s="120"/>
      <c r="D289" s="40"/>
      <c r="E289" s="114"/>
      <c r="F289" s="113"/>
      <c r="G289" s="113"/>
      <c r="H289" s="113"/>
      <c r="I289" s="113"/>
      <c r="J289" s="113"/>
      <c r="K289" s="113"/>
      <c r="L289" s="113"/>
      <c r="M289" s="113"/>
      <c r="N289" s="113"/>
      <c r="O289" s="113"/>
      <c r="P289" s="113"/>
      <c r="Q289" s="113"/>
      <c r="R289" s="113"/>
      <c r="S289" s="113"/>
      <c r="T289" s="113"/>
      <c r="U289" s="113"/>
      <c r="V289" s="113"/>
      <c r="W289" s="113"/>
      <c r="X289" s="113"/>
      <c r="Y289" s="113"/>
      <c r="Z289" s="113"/>
    </row>
    <row r="290">
      <c r="A290" s="113"/>
      <c r="B290" s="120"/>
      <c r="C290" s="120"/>
      <c r="D290" s="40"/>
      <c r="E290" s="114"/>
      <c r="F290" s="113"/>
      <c r="G290" s="113"/>
      <c r="H290" s="113"/>
      <c r="I290" s="113"/>
      <c r="J290" s="113"/>
      <c r="K290" s="113"/>
      <c r="L290" s="113"/>
      <c r="M290" s="113"/>
      <c r="N290" s="113"/>
      <c r="O290" s="113"/>
      <c r="P290" s="113"/>
      <c r="Q290" s="113"/>
      <c r="R290" s="113"/>
      <c r="S290" s="113"/>
      <c r="T290" s="113"/>
      <c r="U290" s="113"/>
      <c r="V290" s="113"/>
      <c r="W290" s="113"/>
      <c r="X290" s="113"/>
      <c r="Y290" s="113"/>
      <c r="Z290" s="113"/>
    </row>
    <row r="291">
      <c r="A291" s="113"/>
      <c r="B291" s="120"/>
      <c r="C291" s="120"/>
      <c r="D291" s="40"/>
      <c r="E291" s="114"/>
      <c r="F291" s="113"/>
      <c r="G291" s="113"/>
      <c r="H291" s="113"/>
      <c r="I291" s="113"/>
      <c r="J291" s="113"/>
      <c r="K291" s="113"/>
      <c r="L291" s="113"/>
      <c r="M291" s="113"/>
      <c r="N291" s="113"/>
      <c r="O291" s="113"/>
      <c r="P291" s="113"/>
      <c r="Q291" s="113"/>
      <c r="R291" s="113"/>
      <c r="S291" s="113"/>
      <c r="T291" s="113"/>
      <c r="U291" s="113"/>
      <c r="V291" s="113"/>
      <c r="W291" s="113"/>
      <c r="X291" s="113"/>
      <c r="Y291" s="113"/>
      <c r="Z291" s="113"/>
    </row>
    <row r="292">
      <c r="A292" s="113"/>
      <c r="B292" s="120"/>
      <c r="C292" s="120"/>
      <c r="D292" s="40"/>
      <c r="E292" s="114"/>
      <c r="F292" s="113"/>
      <c r="G292" s="113"/>
      <c r="H292" s="113"/>
      <c r="I292" s="113"/>
      <c r="J292" s="113"/>
      <c r="K292" s="113"/>
      <c r="L292" s="113"/>
      <c r="M292" s="113"/>
      <c r="N292" s="113"/>
      <c r="O292" s="113"/>
      <c r="P292" s="113"/>
      <c r="Q292" s="113"/>
      <c r="R292" s="113"/>
      <c r="S292" s="113"/>
      <c r="T292" s="113"/>
      <c r="U292" s="113"/>
      <c r="V292" s="113"/>
      <c r="W292" s="113"/>
      <c r="X292" s="113"/>
      <c r="Y292" s="113"/>
      <c r="Z292" s="113"/>
    </row>
    <row r="293">
      <c r="A293" s="113"/>
      <c r="B293" s="120"/>
      <c r="C293" s="120"/>
      <c r="D293" s="40"/>
      <c r="E293" s="114"/>
      <c r="F293" s="113"/>
      <c r="G293" s="113"/>
      <c r="H293" s="113"/>
      <c r="I293" s="113"/>
      <c r="J293" s="113"/>
      <c r="K293" s="113"/>
      <c r="L293" s="113"/>
      <c r="M293" s="113"/>
      <c r="N293" s="113"/>
      <c r="O293" s="113"/>
      <c r="P293" s="113"/>
      <c r="Q293" s="113"/>
      <c r="R293" s="113"/>
      <c r="S293" s="113"/>
      <c r="T293" s="113"/>
      <c r="U293" s="113"/>
      <c r="V293" s="113"/>
      <c r="W293" s="113"/>
      <c r="X293" s="113"/>
      <c r="Y293" s="113"/>
      <c r="Z293" s="113"/>
    </row>
    <row r="294">
      <c r="A294" s="113"/>
      <c r="B294" s="120"/>
      <c r="C294" s="120"/>
      <c r="D294" s="40"/>
      <c r="E294" s="114"/>
      <c r="F294" s="113"/>
      <c r="G294" s="113"/>
      <c r="H294" s="113"/>
      <c r="I294" s="113"/>
      <c r="J294" s="113"/>
      <c r="K294" s="113"/>
      <c r="L294" s="113"/>
      <c r="M294" s="113"/>
      <c r="N294" s="113"/>
      <c r="O294" s="113"/>
      <c r="P294" s="113"/>
      <c r="Q294" s="113"/>
      <c r="R294" s="113"/>
      <c r="S294" s="113"/>
      <c r="T294" s="113"/>
      <c r="U294" s="113"/>
      <c r="V294" s="113"/>
      <c r="W294" s="113"/>
      <c r="X294" s="113"/>
      <c r="Y294" s="113"/>
      <c r="Z294" s="113"/>
    </row>
    <row r="295">
      <c r="A295" s="113"/>
      <c r="B295" s="120"/>
      <c r="C295" s="120"/>
      <c r="D295" s="40"/>
      <c r="E295" s="114"/>
      <c r="F295" s="113"/>
      <c r="G295" s="113"/>
      <c r="H295" s="113"/>
      <c r="I295" s="113"/>
      <c r="J295" s="113"/>
      <c r="K295" s="113"/>
      <c r="L295" s="113"/>
      <c r="M295" s="113"/>
      <c r="N295" s="113"/>
      <c r="O295" s="113"/>
      <c r="P295" s="113"/>
      <c r="Q295" s="113"/>
      <c r="R295" s="113"/>
      <c r="S295" s="113"/>
      <c r="T295" s="113"/>
      <c r="U295" s="113"/>
      <c r="V295" s="113"/>
      <c r="W295" s="113"/>
      <c r="X295" s="113"/>
      <c r="Y295" s="113"/>
      <c r="Z295" s="113"/>
    </row>
    <row r="296">
      <c r="A296" s="113"/>
      <c r="B296" s="120"/>
      <c r="C296" s="120"/>
      <c r="D296" s="40"/>
      <c r="E296" s="114"/>
      <c r="F296" s="113"/>
      <c r="G296" s="113"/>
      <c r="H296" s="113"/>
      <c r="I296" s="113"/>
      <c r="J296" s="113"/>
      <c r="K296" s="113"/>
      <c r="L296" s="113"/>
      <c r="M296" s="113"/>
      <c r="N296" s="113"/>
      <c r="O296" s="113"/>
      <c r="P296" s="113"/>
      <c r="Q296" s="113"/>
      <c r="R296" s="113"/>
      <c r="S296" s="113"/>
      <c r="T296" s="113"/>
      <c r="U296" s="113"/>
      <c r="V296" s="113"/>
      <c r="W296" s="113"/>
      <c r="X296" s="113"/>
      <c r="Y296" s="113"/>
      <c r="Z296" s="113"/>
    </row>
    <row r="297">
      <c r="A297" s="113"/>
      <c r="B297" s="120"/>
      <c r="C297" s="120"/>
      <c r="D297" s="40"/>
      <c r="E297" s="114"/>
      <c r="F297" s="113"/>
      <c r="G297" s="113"/>
      <c r="H297" s="113"/>
      <c r="I297" s="113"/>
      <c r="J297" s="113"/>
      <c r="K297" s="113"/>
      <c r="L297" s="113"/>
      <c r="M297" s="113"/>
      <c r="N297" s="113"/>
      <c r="O297" s="113"/>
      <c r="P297" s="113"/>
      <c r="Q297" s="113"/>
      <c r="R297" s="113"/>
      <c r="S297" s="113"/>
      <c r="T297" s="113"/>
      <c r="U297" s="113"/>
      <c r="V297" s="113"/>
      <c r="W297" s="113"/>
      <c r="X297" s="113"/>
      <c r="Y297" s="113"/>
      <c r="Z297" s="113"/>
    </row>
    <row r="298">
      <c r="A298" s="113"/>
      <c r="B298" s="120"/>
      <c r="C298" s="120"/>
      <c r="D298" s="40"/>
      <c r="E298" s="114"/>
      <c r="F298" s="113"/>
      <c r="G298" s="113"/>
      <c r="H298" s="113"/>
      <c r="I298" s="113"/>
      <c r="J298" s="113"/>
      <c r="K298" s="113"/>
      <c r="L298" s="113"/>
      <c r="M298" s="113"/>
      <c r="N298" s="113"/>
      <c r="O298" s="113"/>
      <c r="P298" s="113"/>
      <c r="Q298" s="113"/>
      <c r="R298" s="113"/>
      <c r="S298" s="113"/>
      <c r="T298" s="113"/>
      <c r="U298" s="113"/>
      <c r="V298" s="113"/>
      <c r="W298" s="113"/>
      <c r="X298" s="113"/>
      <c r="Y298" s="113"/>
      <c r="Z298" s="113"/>
    </row>
    <row r="299">
      <c r="A299" s="113"/>
      <c r="B299" s="120"/>
      <c r="C299" s="120"/>
      <c r="D299" s="40"/>
      <c r="E299" s="114"/>
      <c r="F299" s="113"/>
      <c r="G299" s="113"/>
      <c r="H299" s="113"/>
      <c r="I299" s="113"/>
      <c r="J299" s="113"/>
      <c r="K299" s="113"/>
      <c r="L299" s="113"/>
      <c r="M299" s="113"/>
      <c r="N299" s="113"/>
      <c r="O299" s="113"/>
      <c r="P299" s="113"/>
      <c r="Q299" s="113"/>
      <c r="R299" s="113"/>
      <c r="S299" s="113"/>
      <c r="T299" s="113"/>
      <c r="U299" s="113"/>
      <c r="V299" s="113"/>
      <c r="W299" s="113"/>
      <c r="X299" s="113"/>
      <c r="Y299" s="113"/>
      <c r="Z299" s="113"/>
    </row>
    <row r="300">
      <c r="A300" s="113"/>
      <c r="B300" s="120"/>
      <c r="C300" s="120"/>
      <c r="D300" s="40"/>
      <c r="E300" s="114"/>
      <c r="F300" s="113"/>
      <c r="G300" s="113"/>
      <c r="H300" s="113"/>
      <c r="I300" s="113"/>
      <c r="J300" s="113"/>
      <c r="K300" s="113"/>
      <c r="L300" s="113"/>
      <c r="M300" s="113"/>
      <c r="N300" s="113"/>
      <c r="O300" s="113"/>
      <c r="P300" s="113"/>
      <c r="Q300" s="113"/>
      <c r="R300" s="113"/>
      <c r="S300" s="113"/>
      <c r="T300" s="113"/>
      <c r="U300" s="113"/>
      <c r="V300" s="113"/>
      <c r="W300" s="113"/>
      <c r="X300" s="113"/>
      <c r="Y300" s="113"/>
      <c r="Z300" s="113"/>
    </row>
    <row r="301">
      <c r="A301" s="113"/>
      <c r="B301" s="120"/>
      <c r="C301" s="120"/>
      <c r="D301" s="40"/>
      <c r="E301" s="114"/>
      <c r="F301" s="113"/>
      <c r="G301" s="113"/>
      <c r="H301" s="113"/>
      <c r="I301" s="113"/>
      <c r="J301" s="113"/>
      <c r="K301" s="113"/>
      <c r="L301" s="113"/>
      <c r="M301" s="113"/>
      <c r="N301" s="113"/>
      <c r="O301" s="113"/>
      <c r="P301" s="113"/>
      <c r="Q301" s="113"/>
      <c r="R301" s="113"/>
      <c r="S301" s="113"/>
      <c r="T301" s="113"/>
      <c r="U301" s="113"/>
      <c r="V301" s="113"/>
      <c r="W301" s="113"/>
      <c r="X301" s="113"/>
      <c r="Y301" s="113"/>
      <c r="Z301" s="113"/>
    </row>
    <row r="302">
      <c r="A302" s="113"/>
      <c r="B302" s="120"/>
      <c r="C302" s="120"/>
      <c r="D302" s="40"/>
      <c r="E302" s="114"/>
      <c r="F302" s="113"/>
      <c r="G302" s="113"/>
      <c r="H302" s="113"/>
      <c r="I302" s="113"/>
      <c r="J302" s="113"/>
      <c r="K302" s="113"/>
      <c r="L302" s="113"/>
      <c r="M302" s="113"/>
      <c r="N302" s="113"/>
      <c r="O302" s="113"/>
      <c r="P302" s="113"/>
      <c r="Q302" s="113"/>
      <c r="R302" s="113"/>
      <c r="S302" s="113"/>
      <c r="T302" s="113"/>
      <c r="U302" s="113"/>
      <c r="V302" s="113"/>
      <c r="W302" s="113"/>
      <c r="X302" s="113"/>
      <c r="Y302" s="113"/>
      <c r="Z302" s="113"/>
    </row>
    <row r="303">
      <c r="A303" s="113"/>
      <c r="B303" s="120"/>
      <c r="C303" s="120"/>
      <c r="D303" s="40"/>
      <c r="E303" s="114"/>
      <c r="F303" s="113"/>
      <c r="G303" s="113"/>
      <c r="H303" s="113"/>
      <c r="I303" s="113"/>
      <c r="J303" s="113"/>
      <c r="K303" s="113"/>
      <c r="L303" s="113"/>
      <c r="M303" s="113"/>
      <c r="N303" s="113"/>
      <c r="O303" s="113"/>
      <c r="P303" s="113"/>
      <c r="Q303" s="113"/>
      <c r="R303" s="113"/>
      <c r="S303" s="113"/>
      <c r="T303" s="113"/>
      <c r="U303" s="113"/>
      <c r="V303" s="113"/>
      <c r="W303" s="113"/>
      <c r="X303" s="113"/>
      <c r="Y303" s="113"/>
      <c r="Z303" s="113"/>
    </row>
    <row r="304">
      <c r="A304" s="113"/>
      <c r="B304" s="120"/>
      <c r="C304" s="120"/>
      <c r="D304" s="40"/>
      <c r="E304" s="114"/>
      <c r="F304" s="113"/>
      <c r="G304" s="113"/>
      <c r="H304" s="113"/>
      <c r="I304" s="113"/>
      <c r="J304" s="113"/>
      <c r="K304" s="113"/>
      <c r="L304" s="113"/>
      <c r="M304" s="113"/>
      <c r="N304" s="113"/>
      <c r="O304" s="113"/>
      <c r="P304" s="113"/>
      <c r="Q304" s="113"/>
      <c r="R304" s="113"/>
      <c r="S304" s="113"/>
      <c r="T304" s="113"/>
      <c r="U304" s="113"/>
      <c r="V304" s="113"/>
      <c r="W304" s="113"/>
      <c r="X304" s="113"/>
      <c r="Y304" s="113"/>
      <c r="Z304" s="113"/>
    </row>
    <row r="305">
      <c r="A305" s="113"/>
      <c r="B305" s="120"/>
      <c r="C305" s="120"/>
      <c r="D305" s="40"/>
      <c r="E305" s="114"/>
      <c r="F305" s="113"/>
      <c r="G305" s="113"/>
      <c r="H305" s="113"/>
      <c r="I305" s="113"/>
      <c r="J305" s="113"/>
      <c r="K305" s="113"/>
      <c r="L305" s="113"/>
      <c r="M305" s="113"/>
      <c r="N305" s="113"/>
      <c r="O305" s="113"/>
      <c r="P305" s="113"/>
      <c r="Q305" s="113"/>
      <c r="R305" s="113"/>
      <c r="S305" s="113"/>
      <c r="T305" s="113"/>
      <c r="U305" s="113"/>
      <c r="V305" s="113"/>
      <c r="W305" s="113"/>
      <c r="X305" s="113"/>
      <c r="Y305" s="113"/>
      <c r="Z305" s="113"/>
    </row>
    <row r="306">
      <c r="A306" s="113"/>
      <c r="B306" s="120"/>
      <c r="C306" s="120"/>
      <c r="D306" s="40"/>
      <c r="E306" s="114"/>
      <c r="F306" s="113"/>
      <c r="G306" s="113"/>
      <c r="H306" s="113"/>
      <c r="I306" s="113"/>
      <c r="J306" s="113"/>
      <c r="K306" s="113"/>
      <c r="L306" s="113"/>
      <c r="M306" s="113"/>
      <c r="N306" s="113"/>
      <c r="O306" s="113"/>
      <c r="P306" s="113"/>
      <c r="Q306" s="113"/>
      <c r="R306" s="113"/>
      <c r="S306" s="113"/>
      <c r="T306" s="113"/>
      <c r="U306" s="113"/>
      <c r="V306" s="113"/>
      <c r="W306" s="113"/>
      <c r="X306" s="113"/>
      <c r="Y306" s="113"/>
      <c r="Z306" s="113"/>
    </row>
    <row r="307">
      <c r="A307" s="113"/>
      <c r="B307" s="120"/>
      <c r="C307" s="120"/>
      <c r="D307" s="40"/>
      <c r="E307" s="114"/>
      <c r="F307" s="113"/>
      <c r="G307" s="113"/>
      <c r="H307" s="113"/>
      <c r="I307" s="113"/>
      <c r="J307" s="113"/>
      <c r="K307" s="113"/>
      <c r="L307" s="113"/>
      <c r="M307" s="113"/>
      <c r="N307" s="113"/>
      <c r="O307" s="113"/>
      <c r="P307" s="113"/>
      <c r="Q307" s="113"/>
      <c r="R307" s="113"/>
      <c r="S307" s="113"/>
      <c r="T307" s="113"/>
      <c r="U307" s="113"/>
      <c r="V307" s="113"/>
      <c r="W307" s="113"/>
      <c r="X307" s="113"/>
      <c r="Y307" s="113"/>
      <c r="Z307" s="113"/>
    </row>
    <row r="308">
      <c r="A308" s="113"/>
      <c r="B308" s="120"/>
      <c r="C308" s="120"/>
      <c r="D308" s="40"/>
      <c r="E308" s="114"/>
      <c r="F308" s="113"/>
      <c r="G308" s="113"/>
      <c r="H308" s="113"/>
      <c r="I308" s="113"/>
      <c r="J308" s="113"/>
      <c r="K308" s="113"/>
      <c r="L308" s="113"/>
      <c r="M308" s="113"/>
      <c r="N308" s="113"/>
      <c r="O308" s="113"/>
      <c r="P308" s="113"/>
      <c r="Q308" s="113"/>
      <c r="R308" s="113"/>
      <c r="S308" s="113"/>
      <c r="T308" s="113"/>
      <c r="U308" s="113"/>
      <c r="V308" s="113"/>
      <c r="W308" s="113"/>
      <c r="X308" s="113"/>
      <c r="Y308" s="113"/>
      <c r="Z308" s="113"/>
    </row>
    <row r="309">
      <c r="A309" s="113"/>
      <c r="B309" s="120"/>
      <c r="C309" s="120"/>
      <c r="D309" s="40"/>
      <c r="E309" s="114"/>
      <c r="F309" s="113"/>
      <c r="G309" s="113"/>
      <c r="H309" s="113"/>
      <c r="I309" s="113"/>
      <c r="J309" s="113"/>
      <c r="K309" s="113"/>
      <c r="L309" s="113"/>
      <c r="M309" s="113"/>
      <c r="N309" s="113"/>
      <c r="O309" s="113"/>
      <c r="P309" s="113"/>
      <c r="Q309" s="113"/>
      <c r="R309" s="113"/>
      <c r="S309" s="113"/>
      <c r="T309" s="113"/>
      <c r="U309" s="113"/>
      <c r="V309" s="113"/>
      <c r="W309" s="113"/>
      <c r="X309" s="113"/>
      <c r="Y309" s="113"/>
      <c r="Z309" s="113"/>
    </row>
    <row r="310">
      <c r="A310" s="113"/>
      <c r="B310" s="120"/>
      <c r="C310" s="120"/>
      <c r="D310" s="40"/>
      <c r="E310" s="114"/>
      <c r="F310" s="113"/>
      <c r="G310" s="113"/>
      <c r="H310" s="113"/>
      <c r="I310" s="113"/>
      <c r="J310" s="113"/>
      <c r="K310" s="113"/>
      <c r="L310" s="113"/>
      <c r="M310" s="113"/>
      <c r="N310" s="113"/>
      <c r="O310" s="113"/>
      <c r="P310" s="113"/>
      <c r="Q310" s="113"/>
      <c r="R310" s="113"/>
      <c r="S310" s="113"/>
      <c r="T310" s="113"/>
      <c r="U310" s="113"/>
      <c r="V310" s="113"/>
      <c r="W310" s="113"/>
      <c r="X310" s="113"/>
      <c r="Y310" s="113"/>
      <c r="Z310" s="113"/>
    </row>
    <row r="311">
      <c r="A311" s="113"/>
      <c r="B311" s="120"/>
      <c r="C311" s="120"/>
      <c r="D311" s="40"/>
      <c r="E311" s="114"/>
      <c r="F311" s="113"/>
      <c r="G311" s="113"/>
      <c r="H311" s="113"/>
      <c r="I311" s="113"/>
      <c r="J311" s="113"/>
      <c r="K311" s="113"/>
      <c r="L311" s="113"/>
      <c r="M311" s="113"/>
      <c r="N311" s="113"/>
      <c r="O311" s="113"/>
      <c r="P311" s="113"/>
      <c r="Q311" s="113"/>
      <c r="R311" s="113"/>
      <c r="S311" s="113"/>
      <c r="T311" s="113"/>
      <c r="U311" s="113"/>
      <c r="V311" s="113"/>
      <c r="W311" s="113"/>
      <c r="X311" s="113"/>
      <c r="Y311" s="113"/>
      <c r="Z311" s="113"/>
    </row>
    <row r="312">
      <c r="A312" s="113"/>
      <c r="B312" s="120"/>
      <c r="C312" s="120"/>
      <c r="D312" s="40"/>
      <c r="E312" s="114"/>
      <c r="F312" s="113"/>
      <c r="G312" s="113"/>
      <c r="H312" s="113"/>
      <c r="I312" s="113"/>
      <c r="J312" s="113"/>
      <c r="K312" s="113"/>
      <c r="L312" s="113"/>
      <c r="M312" s="113"/>
      <c r="N312" s="113"/>
      <c r="O312" s="113"/>
      <c r="P312" s="113"/>
      <c r="Q312" s="113"/>
      <c r="R312" s="113"/>
      <c r="S312" s="113"/>
      <c r="T312" s="113"/>
      <c r="U312" s="113"/>
      <c r="V312" s="113"/>
      <c r="W312" s="113"/>
      <c r="X312" s="113"/>
      <c r="Y312" s="113"/>
      <c r="Z312" s="113"/>
    </row>
    <row r="313">
      <c r="A313" s="113"/>
      <c r="B313" s="120"/>
      <c r="C313" s="120"/>
      <c r="D313" s="40"/>
      <c r="E313" s="114"/>
      <c r="F313" s="113"/>
      <c r="G313" s="113"/>
      <c r="H313" s="113"/>
      <c r="I313" s="113"/>
      <c r="J313" s="113"/>
      <c r="K313" s="113"/>
      <c r="L313" s="113"/>
      <c r="M313" s="113"/>
      <c r="N313" s="113"/>
      <c r="O313" s="113"/>
      <c r="P313" s="113"/>
      <c r="Q313" s="113"/>
      <c r="R313" s="113"/>
      <c r="S313" s="113"/>
      <c r="T313" s="113"/>
      <c r="U313" s="113"/>
      <c r="V313" s="113"/>
      <c r="W313" s="113"/>
      <c r="X313" s="113"/>
      <c r="Y313" s="113"/>
      <c r="Z313" s="113"/>
    </row>
    <row r="314">
      <c r="A314" s="113"/>
      <c r="B314" s="120"/>
      <c r="C314" s="120"/>
      <c r="D314" s="40"/>
      <c r="E314" s="114"/>
      <c r="F314" s="113"/>
      <c r="G314" s="113"/>
      <c r="H314" s="113"/>
      <c r="I314" s="113"/>
      <c r="J314" s="113"/>
      <c r="K314" s="113"/>
      <c r="L314" s="113"/>
      <c r="M314" s="113"/>
      <c r="N314" s="113"/>
      <c r="O314" s="113"/>
      <c r="P314" s="113"/>
      <c r="Q314" s="113"/>
      <c r="R314" s="113"/>
      <c r="S314" s="113"/>
      <c r="T314" s="113"/>
      <c r="U314" s="113"/>
      <c r="V314" s="113"/>
      <c r="W314" s="113"/>
      <c r="X314" s="113"/>
      <c r="Y314" s="113"/>
      <c r="Z314" s="113"/>
    </row>
    <row r="315">
      <c r="A315" s="113"/>
      <c r="B315" s="120"/>
      <c r="C315" s="120"/>
      <c r="D315" s="40"/>
      <c r="E315" s="114"/>
      <c r="F315" s="113"/>
      <c r="G315" s="113"/>
      <c r="H315" s="113"/>
      <c r="I315" s="113"/>
      <c r="J315" s="113"/>
      <c r="K315" s="113"/>
      <c r="L315" s="113"/>
      <c r="M315" s="113"/>
      <c r="N315" s="113"/>
      <c r="O315" s="113"/>
      <c r="P315" s="113"/>
      <c r="Q315" s="113"/>
      <c r="R315" s="113"/>
      <c r="S315" s="113"/>
      <c r="T315" s="113"/>
      <c r="U315" s="113"/>
      <c r="V315" s="113"/>
      <c r="W315" s="113"/>
      <c r="X315" s="113"/>
      <c r="Y315" s="113"/>
      <c r="Z315" s="113"/>
    </row>
    <row r="316">
      <c r="A316" s="113"/>
      <c r="B316" s="120"/>
      <c r="C316" s="120"/>
      <c r="D316" s="40"/>
      <c r="E316" s="114"/>
      <c r="F316" s="113"/>
      <c r="G316" s="113"/>
      <c r="H316" s="113"/>
      <c r="I316" s="113"/>
      <c r="J316" s="113"/>
      <c r="K316" s="113"/>
      <c r="L316" s="113"/>
      <c r="M316" s="113"/>
      <c r="N316" s="113"/>
      <c r="O316" s="113"/>
      <c r="P316" s="113"/>
      <c r="Q316" s="113"/>
      <c r="R316" s="113"/>
      <c r="S316" s="113"/>
      <c r="T316" s="113"/>
      <c r="U316" s="113"/>
      <c r="V316" s="113"/>
      <c r="W316" s="113"/>
      <c r="X316" s="113"/>
      <c r="Y316" s="113"/>
      <c r="Z316" s="113"/>
    </row>
    <row r="317">
      <c r="A317" s="113"/>
      <c r="B317" s="120"/>
      <c r="C317" s="120"/>
      <c r="D317" s="40"/>
      <c r="E317" s="114"/>
      <c r="F317" s="113"/>
      <c r="G317" s="113"/>
      <c r="H317" s="113"/>
      <c r="I317" s="113"/>
      <c r="J317" s="113"/>
      <c r="K317" s="113"/>
      <c r="L317" s="113"/>
      <c r="M317" s="113"/>
      <c r="N317" s="113"/>
      <c r="O317" s="113"/>
      <c r="P317" s="113"/>
      <c r="Q317" s="113"/>
      <c r="R317" s="113"/>
      <c r="S317" s="113"/>
      <c r="T317" s="113"/>
      <c r="U317" s="113"/>
      <c r="V317" s="113"/>
      <c r="W317" s="113"/>
      <c r="X317" s="113"/>
      <c r="Y317" s="113"/>
      <c r="Z317" s="113"/>
    </row>
    <row r="318">
      <c r="A318" s="113"/>
      <c r="B318" s="120"/>
      <c r="C318" s="120"/>
      <c r="D318" s="40"/>
      <c r="E318" s="114"/>
      <c r="F318" s="113"/>
      <c r="G318" s="113"/>
      <c r="H318" s="113"/>
      <c r="I318" s="113"/>
      <c r="J318" s="113"/>
      <c r="K318" s="113"/>
      <c r="L318" s="113"/>
      <c r="M318" s="113"/>
      <c r="N318" s="113"/>
      <c r="O318" s="113"/>
      <c r="P318" s="113"/>
      <c r="Q318" s="113"/>
      <c r="R318" s="113"/>
      <c r="S318" s="113"/>
      <c r="T318" s="113"/>
      <c r="U318" s="113"/>
      <c r="V318" s="113"/>
      <c r="W318" s="113"/>
      <c r="X318" s="113"/>
      <c r="Y318" s="113"/>
      <c r="Z318" s="113"/>
    </row>
    <row r="319">
      <c r="A319" s="113"/>
      <c r="B319" s="120"/>
      <c r="C319" s="120"/>
      <c r="D319" s="40"/>
      <c r="E319" s="114"/>
      <c r="F319" s="113"/>
      <c r="G319" s="113"/>
      <c r="H319" s="113"/>
      <c r="I319" s="113"/>
      <c r="J319" s="113"/>
      <c r="K319" s="113"/>
      <c r="L319" s="113"/>
      <c r="M319" s="113"/>
      <c r="N319" s="113"/>
      <c r="O319" s="113"/>
      <c r="P319" s="113"/>
      <c r="Q319" s="113"/>
      <c r="R319" s="113"/>
      <c r="S319" s="113"/>
      <c r="T319" s="113"/>
      <c r="U319" s="113"/>
      <c r="V319" s="113"/>
      <c r="W319" s="113"/>
      <c r="X319" s="113"/>
      <c r="Y319" s="113"/>
      <c r="Z319" s="113"/>
    </row>
    <row r="320">
      <c r="A320" s="113"/>
      <c r="B320" s="120"/>
      <c r="C320" s="120"/>
      <c r="D320" s="40"/>
      <c r="E320" s="114"/>
      <c r="F320" s="113"/>
      <c r="G320" s="113"/>
      <c r="H320" s="113"/>
      <c r="I320" s="113"/>
      <c r="J320" s="113"/>
      <c r="K320" s="113"/>
      <c r="L320" s="113"/>
      <c r="M320" s="113"/>
      <c r="N320" s="113"/>
      <c r="O320" s="113"/>
      <c r="P320" s="113"/>
      <c r="Q320" s="113"/>
      <c r="R320" s="113"/>
      <c r="S320" s="113"/>
      <c r="T320" s="113"/>
      <c r="U320" s="113"/>
      <c r="V320" s="113"/>
      <c r="W320" s="113"/>
      <c r="X320" s="113"/>
      <c r="Y320" s="113"/>
      <c r="Z320" s="113"/>
    </row>
    <row r="321">
      <c r="A321" s="113"/>
      <c r="B321" s="120"/>
      <c r="C321" s="120"/>
      <c r="D321" s="40"/>
      <c r="E321" s="114"/>
      <c r="F321" s="113"/>
      <c r="G321" s="113"/>
      <c r="H321" s="113"/>
      <c r="I321" s="113"/>
      <c r="J321" s="113"/>
      <c r="K321" s="113"/>
      <c r="L321" s="113"/>
      <c r="M321" s="113"/>
      <c r="N321" s="113"/>
      <c r="O321" s="113"/>
      <c r="P321" s="113"/>
      <c r="Q321" s="113"/>
      <c r="R321" s="113"/>
      <c r="S321" s="113"/>
      <c r="T321" s="113"/>
      <c r="U321" s="113"/>
      <c r="V321" s="113"/>
      <c r="W321" s="113"/>
      <c r="X321" s="113"/>
      <c r="Y321" s="113"/>
      <c r="Z321" s="113"/>
    </row>
    <row r="322">
      <c r="A322" s="113"/>
      <c r="B322" s="120"/>
      <c r="C322" s="120"/>
      <c r="D322" s="40"/>
      <c r="E322" s="114"/>
      <c r="F322" s="113"/>
      <c r="G322" s="113"/>
      <c r="H322" s="113"/>
      <c r="I322" s="113"/>
      <c r="J322" s="113"/>
      <c r="K322" s="113"/>
      <c r="L322" s="113"/>
      <c r="M322" s="113"/>
      <c r="N322" s="113"/>
      <c r="O322" s="113"/>
      <c r="P322" s="113"/>
      <c r="Q322" s="113"/>
      <c r="R322" s="113"/>
      <c r="S322" s="113"/>
      <c r="T322" s="113"/>
      <c r="U322" s="113"/>
      <c r="V322" s="113"/>
      <c r="W322" s="113"/>
      <c r="X322" s="113"/>
      <c r="Y322" s="113"/>
      <c r="Z322" s="113"/>
    </row>
    <row r="323">
      <c r="A323" s="113"/>
      <c r="B323" s="120"/>
      <c r="C323" s="120"/>
      <c r="D323" s="40"/>
      <c r="E323" s="114"/>
      <c r="F323" s="113"/>
      <c r="G323" s="113"/>
      <c r="H323" s="113"/>
      <c r="I323" s="113"/>
      <c r="J323" s="113"/>
      <c r="K323" s="113"/>
      <c r="L323" s="113"/>
      <c r="M323" s="113"/>
      <c r="N323" s="113"/>
      <c r="O323" s="113"/>
      <c r="P323" s="113"/>
      <c r="Q323" s="113"/>
      <c r="R323" s="113"/>
      <c r="S323" s="113"/>
      <c r="T323" s="113"/>
      <c r="U323" s="113"/>
      <c r="V323" s="113"/>
      <c r="W323" s="113"/>
      <c r="X323" s="113"/>
      <c r="Y323" s="113"/>
      <c r="Z323" s="113"/>
    </row>
    <row r="324">
      <c r="A324" s="113"/>
      <c r="B324" s="120"/>
      <c r="C324" s="120"/>
      <c r="D324" s="40"/>
      <c r="E324" s="114"/>
      <c r="F324" s="113"/>
      <c r="G324" s="113"/>
      <c r="H324" s="113"/>
      <c r="I324" s="113"/>
      <c r="J324" s="113"/>
      <c r="K324" s="113"/>
      <c r="L324" s="113"/>
      <c r="M324" s="113"/>
      <c r="N324" s="113"/>
      <c r="O324" s="113"/>
      <c r="P324" s="113"/>
      <c r="Q324" s="113"/>
      <c r="R324" s="113"/>
      <c r="S324" s="113"/>
      <c r="T324" s="113"/>
      <c r="U324" s="113"/>
      <c r="V324" s="113"/>
      <c r="W324" s="113"/>
      <c r="X324" s="113"/>
      <c r="Y324" s="113"/>
      <c r="Z324" s="113"/>
    </row>
    <row r="325">
      <c r="A325" s="113"/>
      <c r="B325" s="120"/>
      <c r="C325" s="120"/>
      <c r="D325" s="40"/>
      <c r="E325" s="114"/>
      <c r="F325" s="113"/>
      <c r="G325" s="113"/>
      <c r="H325" s="113"/>
      <c r="I325" s="113"/>
      <c r="J325" s="113"/>
      <c r="K325" s="113"/>
      <c r="L325" s="113"/>
      <c r="M325" s="113"/>
      <c r="N325" s="113"/>
      <c r="O325" s="113"/>
      <c r="P325" s="113"/>
      <c r="Q325" s="113"/>
      <c r="R325" s="113"/>
      <c r="S325" s="113"/>
      <c r="T325" s="113"/>
      <c r="U325" s="113"/>
      <c r="V325" s="113"/>
      <c r="W325" s="113"/>
      <c r="X325" s="113"/>
      <c r="Y325" s="113"/>
      <c r="Z325" s="113"/>
    </row>
    <row r="326">
      <c r="A326" s="113"/>
      <c r="B326" s="120"/>
      <c r="C326" s="120"/>
      <c r="D326" s="40"/>
      <c r="E326" s="114"/>
      <c r="F326" s="113"/>
      <c r="G326" s="113"/>
      <c r="H326" s="113"/>
      <c r="I326" s="113"/>
      <c r="J326" s="113"/>
      <c r="K326" s="113"/>
      <c r="L326" s="113"/>
      <c r="M326" s="113"/>
      <c r="N326" s="113"/>
      <c r="O326" s="113"/>
      <c r="P326" s="113"/>
      <c r="Q326" s="113"/>
      <c r="R326" s="113"/>
      <c r="S326" s="113"/>
      <c r="T326" s="113"/>
      <c r="U326" s="113"/>
      <c r="V326" s="113"/>
      <c r="W326" s="113"/>
      <c r="X326" s="113"/>
      <c r="Y326" s="113"/>
      <c r="Z326" s="113"/>
    </row>
    <row r="327">
      <c r="A327" s="113"/>
      <c r="B327" s="120"/>
      <c r="C327" s="120"/>
      <c r="D327" s="40"/>
      <c r="E327" s="114"/>
      <c r="F327" s="113"/>
      <c r="G327" s="113"/>
      <c r="H327" s="113"/>
      <c r="I327" s="113"/>
      <c r="J327" s="113"/>
      <c r="K327" s="113"/>
      <c r="L327" s="113"/>
      <c r="M327" s="113"/>
      <c r="N327" s="113"/>
      <c r="O327" s="113"/>
      <c r="P327" s="113"/>
      <c r="Q327" s="113"/>
      <c r="R327" s="113"/>
      <c r="S327" s="113"/>
      <c r="T327" s="113"/>
      <c r="U327" s="113"/>
      <c r="V327" s="113"/>
      <c r="W327" s="113"/>
      <c r="X327" s="113"/>
      <c r="Y327" s="113"/>
      <c r="Z327" s="113"/>
    </row>
    <row r="328">
      <c r="A328" s="113"/>
      <c r="B328" s="120"/>
      <c r="C328" s="120"/>
      <c r="D328" s="40"/>
      <c r="E328" s="114"/>
      <c r="F328" s="113"/>
      <c r="G328" s="113"/>
      <c r="H328" s="113"/>
      <c r="I328" s="113"/>
      <c r="J328" s="113"/>
      <c r="K328" s="113"/>
      <c r="L328" s="113"/>
      <c r="M328" s="113"/>
      <c r="N328" s="113"/>
      <c r="O328" s="113"/>
      <c r="P328" s="113"/>
      <c r="Q328" s="113"/>
      <c r="R328" s="113"/>
      <c r="S328" s="113"/>
      <c r="T328" s="113"/>
      <c r="U328" s="113"/>
      <c r="V328" s="113"/>
      <c r="W328" s="113"/>
      <c r="X328" s="113"/>
      <c r="Y328" s="113"/>
      <c r="Z328" s="113"/>
    </row>
    <row r="329">
      <c r="A329" s="113"/>
      <c r="B329" s="120"/>
      <c r="C329" s="120"/>
      <c r="D329" s="40"/>
      <c r="E329" s="114"/>
      <c r="F329" s="113"/>
      <c r="G329" s="113"/>
      <c r="H329" s="113"/>
      <c r="I329" s="113"/>
      <c r="J329" s="113"/>
      <c r="K329" s="113"/>
      <c r="L329" s="113"/>
      <c r="M329" s="113"/>
      <c r="N329" s="113"/>
      <c r="O329" s="113"/>
      <c r="P329" s="113"/>
      <c r="Q329" s="113"/>
      <c r="R329" s="113"/>
      <c r="S329" s="113"/>
      <c r="T329" s="113"/>
      <c r="U329" s="113"/>
      <c r="V329" s="113"/>
      <c r="W329" s="113"/>
      <c r="X329" s="113"/>
      <c r="Y329" s="113"/>
      <c r="Z329" s="113"/>
    </row>
    <row r="330">
      <c r="A330" s="113"/>
      <c r="B330" s="120"/>
      <c r="C330" s="120"/>
      <c r="D330" s="40"/>
      <c r="E330" s="114"/>
      <c r="F330" s="113"/>
      <c r="G330" s="113"/>
      <c r="H330" s="113"/>
      <c r="I330" s="113"/>
      <c r="J330" s="113"/>
      <c r="K330" s="113"/>
      <c r="L330" s="113"/>
      <c r="M330" s="113"/>
      <c r="N330" s="113"/>
      <c r="O330" s="113"/>
      <c r="P330" s="113"/>
      <c r="Q330" s="113"/>
      <c r="R330" s="113"/>
      <c r="S330" s="113"/>
      <c r="T330" s="113"/>
      <c r="U330" s="113"/>
      <c r="V330" s="113"/>
      <c r="W330" s="113"/>
      <c r="X330" s="113"/>
      <c r="Y330" s="113"/>
      <c r="Z330" s="113"/>
    </row>
    <row r="331">
      <c r="A331" s="113"/>
      <c r="B331" s="120"/>
      <c r="C331" s="120"/>
      <c r="D331" s="40"/>
      <c r="E331" s="114"/>
      <c r="F331" s="113"/>
      <c r="G331" s="113"/>
      <c r="H331" s="113"/>
      <c r="I331" s="113"/>
      <c r="J331" s="113"/>
      <c r="K331" s="113"/>
      <c r="L331" s="113"/>
      <c r="M331" s="113"/>
      <c r="N331" s="113"/>
      <c r="O331" s="113"/>
      <c r="P331" s="113"/>
      <c r="Q331" s="113"/>
      <c r="R331" s="113"/>
      <c r="S331" s="113"/>
      <c r="T331" s="113"/>
      <c r="U331" s="113"/>
      <c r="V331" s="113"/>
      <c r="W331" s="113"/>
      <c r="X331" s="113"/>
      <c r="Y331" s="113"/>
      <c r="Z331" s="113"/>
    </row>
    <row r="332">
      <c r="A332" s="113"/>
      <c r="B332" s="120"/>
      <c r="C332" s="120"/>
      <c r="D332" s="40"/>
      <c r="E332" s="114"/>
      <c r="F332" s="113"/>
      <c r="G332" s="113"/>
      <c r="H332" s="113"/>
      <c r="I332" s="113"/>
      <c r="J332" s="113"/>
      <c r="K332" s="113"/>
      <c r="L332" s="113"/>
      <c r="M332" s="113"/>
      <c r="N332" s="113"/>
      <c r="O332" s="113"/>
      <c r="P332" s="113"/>
      <c r="Q332" s="113"/>
      <c r="R332" s="113"/>
      <c r="S332" s="113"/>
      <c r="T332" s="113"/>
      <c r="U332" s="113"/>
      <c r="V332" s="113"/>
      <c r="W332" s="113"/>
      <c r="X332" s="113"/>
      <c r="Y332" s="113"/>
      <c r="Z332" s="113"/>
    </row>
    <row r="333">
      <c r="A333" s="113"/>
      <c r="B333" s="120"/>
      <c r="C333" s="120"/>
      <c r="D333" s="40"/>
      <c r="E333" s="114"/>
      <c r="F333" s="113"/>
      <c r="G333" s="113"/>
      <c r="H333" s="113"/>
      <c r="I333" s="113"/>
      <c r="J333" s="113"/>
      <c r="K333" s="113"/>
      <c r="L333" s="113"/>
      <c r="M333" s="113"/>
      <c r="N333" s="113"/>
      <c r="O333" s="113"/>
      <c r="P333" s="113"/>
      <c r="Q333" s="113"/>
      <c r="R333" s="113"/>
      <c r="S333" s="113"/>
      <c r="T333" s="113"/>
      <c r="U333" s="113"/>
      <c r="V333" s="113"/>
      <c r="W333" s="113"/>
      <c r="X333" s="113"/>
      <c r="Y333" s="113"/>
      <c r="Z333" s="113"/>
    </row>
    <row r="334">
      <c r="A334" s="113"/>
      <c r="B334" s="120"/>
      <c r="C334" s="120"/>
      <c r="D334" s="40"/>
      <c r="E334" s="114"/>
      <c r="F334" s="113"/>
      <c r="G334" s="113"/>
      <c r="H334" s="113"/>
      <c r="I334" s="113"/>
      <c r="J334" s="113"/>
      <c r="K334" s="113"/>
      <c r="L334" s="113"/>
      <c r="M334" s="113"/>
      <c r="N334" s="113"/>
      <c r="O334" s="113"/>
      <c r="P334" s="113"/>
      <c r="Q334" s="113"/>
      <c r="R334" s="113"/>
      <c r="S334" s="113"/>
      <c r="T334" s="113"/>
      <c r="U334" s="113"/>
      <c r="V334" s="113"/>
      <c r="W334" s="113"/>
      <c r="X334" s="113"/>
      <c r="Y334" s="113"/>
      <c r="Z334" s="113"/>
    </row>
    <row r="335">
      <c r="A335" s="113"/>
      <c r="B335" s="120"/>
      <c r="C335" s="120"/>
      <c r="D335" s="40"/>
      <c r="E335" s="114"/>
      <c r="F335" s="113"/>
      <c r="G335" s="113"/>
      <c r="H335" s="113"/>
      <c r="I335" s="113"/>
      <c r="J335" s="113"/>
      <c r="K335" s="113"/>
      <c r="L335" s="113"/>
      <c r="M335" s="113"/>
      <c r="N335" s="113"/>
      <c r="O335" s="113"/>
      <c r="P335" s="113"/>
      <c r="Q335" s="113"/>
      <c r="R335" s="113"/>
      <c r="S335" s="113"/>
      <c r="T335" s="113"/>
      <c r="U335" s="113"/>
      <c r="V335" s="113"/>
      <c r="W335" s="113"/>
      <c r="X335" s="113"/>
      <c r="Y335" s="113"/>
      <c r="Z335" s="113"/>
    </row>
    <row r="336">
      <c r="A336" s="113"/>
      <c r="B336" s="120"/>
      <c r="C336" s="120"/>
      <c r="D336" s="40"/>
      <c r="E336" s="114"/>
      <c r="F336" s="113"/>
      <c r="G336" s="113"/>
      <c r="H336" s="113"/>
      <c r="I336" s="113"/>
      <c r="J336" s="113"/>
      <c r="K336" s="113"/>
      <c r="L336" s="113"/>
      <c r="M336" s="113"/>
      <c r="N336" s="113"/>
      <c r="O336" s="113"/>
      <c r="P336" s="113"/>
      <c r="Q336" s="113"/>
      <c r="R336" s="113"/>
      <c r="S336" s="113"/>
      <c r="T336" s="113"/>
      <c r="U336" s="113"/>
      <c r="V336" s="113"/>
      <c r="W336" s="113"/>
      <c r="X336" s="113"/>
      <c r="Y336" s="113"/>
      <c r="Z336" s="113"/>
    </row>
    <row r="337">
      <c r="A337" s="113"/>
      <c r="B337" s="120"/>
      <c r="C337" s="120"/>
      <c r="D337" s="40"/>
      <c r="E337" s="114"/>
      <c r="F337" s="113"/>
      <c r="G337" s="113"/>
      <c r="H337" s="113"/>
      <c r="I337" s="113"/>
      <c r="J337" s="113"/>
      <c r="K337" s="113"/>
      <c r="L337" s="113"/>
      <c r="M337" s="113"/>
      <c r="N337" s="113"/>
      <c r="O337" s="113"/>
      <c r="P337" s="113"/>
      <c r="Q337" s="113"/>
      <c r="R337" s="113"/>
      <c r="S337" s="113"/>
      <c r="T337" s="113"/>
      <c r="U337" s="113"/>
      <c r="V337" s="113"/>
      <c r="W337" s="113"/>
      <c r="X337" s="113"/>
      <c r="Y337" s="113"/>
      <c r="Z337" s="113"/>
    </row>
    <row r="338">
      <c r="A338" s="113"/>
      <c r="B338" s="120"/>
      <c r="C338" s="120"/>
      <c r="D338" s="40"/>
      <c r="E338" s="114"/>
      <c r="F338" s="113"/>
      <c r="G338" s="113"/>
      <c r="H338" s="113"/>
      <c r="I338" s="113"/>
      <c r="J338" s="113"/>
      <c r="K338" s="113"/>
      <c r="L338" s="113"/>
      <c r="M338" s="113"/>
      <c r="N338" s="113"/>
      <c r="O338" s="113"/>
      <c r="P338" s="113"/>
      <c r="Q338" s="113"/>
      <c r="R338" s="113"/>
      <c r="S338" s="113"/>
      <c r="T338" s="113"/>
      <c r="U338" s="113"/>
      <c r="V338" s="113"/>
      <c r="W338" s="113"/>
      <c r="X338" s="113"/>
      <c r="Y338" s="113"/>
      <c r="Z338" s="113"/>
    </row>
    <row r="339">
      <c r="A339" s="113"/>
      <c r="B339" s="120"/>
      <c r="C339" s="120"/>
      <c r="D339" s="40"/>
      <c r="E339" s="114"/>
      <c r="F339" s="113"/>
      <c r="G339" s="113"/>
      <c r="H339" s="113"/>
      <c r="I339" s="113"/>
      <c r="J339" s="113"/>
      <c r="K339" s="113"/>
      <c r="L339" s="113"/>
      <c r="M339" s="113"/>
      <c r="N339" s="113"/>
      <c r="O339" s="113"/>
      <c r="P339" s="113"/>
      <c r="Q339" s="113"/>
      <c r="R339" s="113"/>
      <c r="S339" s="113"/>
      <c r="T339" s="113"/>
      <c r="U339" s="113"/>
      <c r="V339" s="113"/>
      <c r="W339" s="113"/>
      <c r="X339" s="113"/>
      <c r="Y339" s="113"/>
      <c r="Z339" s="113"/>
    </row>
    <row r="340">
      <c r="A340" s="113"/>
      <c r="B340" s="120"/>
      <c r="C340" s="120"/>
      <c r="D340" s="40"/>
      <c r="E340" s="114"/>
      <c r="F340" s="113"/>
      <c r="G340" s="113"/>
      <c r="H340" s="113"/>
      <c r="I340" s="113"/>
      <c r="J340" s="113"/>
      <c r="K340" s="113"/>
      <c r="L340" s="113"/>
      <c r="M340" s="113"/>
      <c r="N340" s="113"/>
      <c r="O340" s="113"/>
      <c r="P340" s="113"/>
      <c r="Q340" s="113"/>
      <c r="R340" s="113"/>
      <c r="S340" s="113"/>
      <c r="T340" s="113"/>
      <c r="U340" s="113"/>
      <c r="V340" s="113"/>
      <c r="W340" s="113"/>
      <c r="X340" s="113"/>
      <c r="Y340" s="113"/>
      <c r="Z340" s="113"/>
    </row>
    <row r="341">
      <c r="A341" s="113"/>
      <c r="B341" s="120"/>
      <c r="C341" s="120"/>
      <c r="D341" s="40"/>
      <c r="E341" s="114"/>
      <c r="F341" s="113"/>
      <c r="G341" s="113"/>
      <c r="H341" s="113"/>
      <c r="I341" s="113"/>
      <c r="J341" s="113"/>
      <c r="K341" s="113"/>
      <c r="L341" s="113"/>
      <c r="M341" s="113"/>
      <c r="N341" s="113"/>
      <c r="O341" s="113"/>
      <c r="P341" s="113"/>
      <c r="Q341" s="113"/>
      <c r="R341" s="113"/>
      <c r="S341" s="113"/>
      <c r="T341" s="113"/>
      <c r="U341" s="113"/>
      <c r="V341" s="113"/>
      <c r="W341" s="113"/>
      <c r="X341" s="113"/>
      <c r="Y341" s="113"/>
      <c r="Z341" s="113"/>
    </row>
    <row r="342">
      <c r="A342" s="113"/>
      <c r="B342" s="120"/>
      <c r="C342" s="120"/>
      <c r="D342" s="40"/>
      <c r="E342" s="114"/>
      <c r="F342" s="113"/>
      <c r="G342" s="113"/>
      <c r="H342" s="113"/>
      <c r="I342" s="113"/>
      <c r="J342" s="113"/>
      <c r="K342" s="113"/>
      <c r="L342" s="113"/>
      <c r="M342" s="113"/>
      <c r="N342" s="113"/>
      <c r="O342" s="113"/>
      <c r="P342" s="113"/>
      <c r="Q342" s="113"/>
      <c r="R342" s="113"/>
      <c r="S342" s="113"/>
      <c r="T342" s="113"/>
      <c r="U342" s="113"/>
      <c r="V342" s="113"/>
      <c r="W342" s="113"/>
      <c r="X342" s="113"/>
      <c r="Y342" s="113"/>
      <c r="Z342" s="113"/>
    </row>
    <row r="343">
      <c r="A343" s="113"/>
      <c r="B343" s="120"/>
      <c r="C343" s="120"/>
      <c r="D343" s="40"/>
      <c r="E343" s="114"/>
      <c r="F343" s="113"/>
      <c r="G343" s="113"/>
      <c r="H343" s="113"/>
      <c r="I343" s="113"/>
      <c r="J343" s="113"/>
      <c r="K343" s="113"/>
      <c r="L343" s="113"/>
      <c r="M343" s="113"/>
      <c r="N343" s="113"/>
      <c r="O343" s="113"/>
      <c r="P343" s="113"/>
      <c r="Q343" s="113"/>
      <c r="R343" s="113"/>
      <c r="S343" s="113"/>
      <c r="T343" s="113"/>
      <c r="U343" s="113"/>
      <c r="V343" s="113"/>
      <c r="W343" s="113"/>
      <c r="X343" s="113"/>
      <c r="Y343" s="113"/>
      <c r="Z343" s="113"/>
    </row>
    <row r="344">
      <c r="A344" s="113"/>
      <c r="B344" s="120"/>
      <c r="C344" s="120"/>
      <c r="D344" s="40"/>
      <c r="E344" s="114"/>
      <c r="F344" s="113"/>
      <c r="G344" s="113"/>
      <c r="H344" s="113"/>
      <c r="I344" s="113"/>
      <c r="J344" s="113"/>
      <c r="K344" s="113"/>
      <c r="L344" s="113"/>
      <c r="M344" s="113"/>
      <c r="N344" s="113"/>
      <c r="O344" s="113"/>
      <c r="P344" s="113"/>
      <c r="Q344" s="113"/>
      <c r="R344" s="113"/>
      <c r="S344" s="113"/>
      <c r="T344" s="113"/>
      <c r="U344" s="113"/>
      <c r="V344" s="113"/>
      <c r="W344" s="113"/>
      <c r="X344" s="113"/>
      <c r="Y344" s="113"/>
      <c r="Z344" s="113"/>
    </row>
    <row r="345">
      <c r="A345" s="113"/>
      <c r="B345" s="120"/>
      <c r="C345" s="120"/>
      <c r="D345" s="40"/>
      <c r="E345" s="114"/>
      <c r="F345" s="113"/>
      <c r="G345" s="113"/>
      <c r="H345" s="113"/>
      <c r="I345" s="113"/>
      <c r="J345" s="113"/>
      <c r="K345" s="113"/>
      <c r="L345" s="113"/>
      <c r="M345" s="113"/>
      <c r="N345" s="113"/>
      <c r="O345" s="113"/>
      <c r="P345" s="113"/>
      <c r="Q345" s="113"/>
      <c r="R345" s="113"/>
      <c r="S345" s="113"/>
      <c r="T345" s="113"/>
      <c r="U345" s="113"/>
      <c r="V345" s="113"/>
      <c r="W345" s="113"/>
      <c r="X345" s="113"/>
      <c r="Y345" s="113"/>
      <c r="Z345" s="113"/>
    </row>
    <row r="346">
      <c r="A346" s="113"/>
      <c r="B346" s="120"/>
      <c r="C346" s="120"/>
      <c r="D346" s="40"/>
      <c r="E346" s="114"/>
      <c r="F346" s="113"/>
      <c r="G346" s="113"/>
      <c r="H346" s="113"/>
      <c r="I346" s="113"/>
      <c r="J346" s="113"/>
      <c r="K346" s="113"/>
      <c r="L346" s="113"/>
      <c r="M346" s="113"/>
      <c r="N346" s="113"/>
      <c r="O346" s="113"/>
      <c r="P346" s="113"/>
      <c r="Q346" s="113"/>
      <c r="R346" s="113"/>
      <c r="S346" s="113"/>
      <c r="T346" s="113"/>
      <c r="U346" s="113"/>
      <c r="V346" s="113"/>
      <c r="W346" s="113"/>
      <c r="X346" s="113"/>
      <c r="Y346" s="113"/>
      <c r="Z346" s="113"/>
    </row>
    <row r="347">
      <c r="A347" s="113"/>
      <c r="B347" s="120"/>
      <c r="C347" s="120"/>
      <c r="D347" s="40"/>
      <c r="E347" s="114"/>
      <c r="F347" s="113"/>
      <c r="G347" s="113"/>
      <c r="H347" s="113"/>
      <c r="I347" s="113"/>
      <c r="J347" s="113"/>
      <c r="K347" s="113"/>
      <c r="L347" s="113"/>
      <c r="M347" s="113"/>
      <c r="N347" s="113"/>
      <c r="O347" s="113"/>
      <c r="P347" s="113"/>
      <c r="Q347" s="113"/>
      <c r="R347" s="113"/>
      <c r="S347" s="113"/>
      <c r="T347" s="113"/>
      <c r="U347" s="113"/>
      <c r="V347" s="113"/>
      <c r="W347" s="113"/>
      <c r="X347" s="113"/>
      <c r="Y347" s="113"/>
      <c r="Z347" s="113"/>
    </row>
    <row r="348">
      <c r="A348" s="113"/>
      <c r="B348" s="120"/>
      <c r="C348" s="120"/>
      <c r="D348" s="40"/>
      <c r="E348" s="114"/>
      <c r="F348" s="113"/>
      <c r="G348" s="113"/>
      <c r="H348" s="113"/>
      <c r="I348" s="113"/>
      <c r="J348" s="113"/>
      <c r="K348" s="113"/>
      <c r="L348" s="113"/>
      <c r="M348" s="113"/>
      <c r="N348" s="113"/>
      <c r="O348" s="113"/>
      <c r="P348" s="113"/>
      <c r="Q348" s="113"/>
      <c r="R348" s="113"/>
      <c r="S348" s="113"/>
      <c r="T348" s="113"/>
      <c r="U348" s="113"/>
      <c r="V348" s="113"/>
      <c r="W348" s="113"/>
      <c r="X348" s="113"/>
      <c r="Y348" s="113"/>
      <c r="Z348" s="113"/>
    </row>
    <row r="349">
      <c r="A349" s="113"/>
      <c r="B349" s="120"/>
      <c r="C349" s="120"/>
      <c r="D349" s="40"/>
      <c r="E349" s="114"/>
      <c r="F349" s="113"/>
      <c r="G349" s="113"/>
      <c r="H349" s="113"/>
      <c r="I349" s="113"/>
      <c r="J349" s="113"/>
      <c r="K349" s="113"/>
      <c r="L349" s="113"/>
      <c r="M349" s="113"/>
      <c r="N349" s="113"/>
      <c r="O349" s="113"/>
      <c r="P349" s="113"/>
      <c r="Q349" s="113"/>
      <c r="R349" s="113"/>
      <c r="S349" s="113"/>
      <c r="T349" s="113"/>
      <c r="U349" s="113"/>
      <c r="V349" s="113"/>
      <c r="W349" s="113"/>
      <c r="X349" s="113"/>
      <c r="Y349" s="113"/>
      <c r="Z349" s="113"/>
    </row>
    <row r="350">
      <c r="A350" s="113"/>
      <c r="B350" s="120"/>
      <c r="C350" s="120"/>
      <c r="D350" s="40"/>
      <c r="E350" s="114"/>
      <c r="F350" s="113"/>
      <c r="G350" s="113"/>
      <c r="H350" s="113"/>
      <c r="I350" s="113"/>
      <c r="J350" s="113"/>
      <c r="K350" s="113"/>
      <c r="L350" s="113"/>
      <c r="M350" s="113"/>
      <c r="N350" s="113"/>
      <c r="O350" s="113"/>
      <c r="P350" s="113"/>
      <c r="Q350" s="113"/>
      <c r="R350" s="113"/>
      <c r="S350" s="113"/>
      <c r="T350" s="113"/>
      <c r="U350" s="113"/>
      <c r="V350" s="113"/>
      <c r="W350" s="113"/>
      <c r="X350" s="113"/>
      <c r="Y350" s="113"/>
      <c r="Z350" s="113"/>
    </row>
    <row r="351">
      <c r="A351" s="113"/>
      <c r="B351" s="120"/>
      <c r="C351" s="120"/>
      <c r="D351" s="40"/>
      <c r="E351" s="114"/>
      <c r="F351" s="113"/>
      <c r="G351" s="113"/>
      <c r="H351" s="113"/>
      <c r="I351" s="113"/>
      <c r="J351" s="113"/>
      <c r="K351" s="113"/>
      <c r="L351" s="113"/>
      <c r="M351" s="113"/>
      <c r="N351" s="113"/>
      <c r="O351" s="113"/>
      <c r="P351" s="113"/>
      <c r="Q351" s="113"/>
      <c r="R351" s="113"/>
      <c r="S351" s="113"/>
      <c r="T351" s="113"/>
      <c r="U351" s="113"/>
      <c r="V351" s="113"/>
      <c r="W351" s="113"/>
      <c r="X351" s="113"/>
      <c r="Y351" s="113"/>
      <c r="Z351" s="113"/>
    </row>
    <row r="352">
      <c r="A352" s="113"/>
      <c r="B352" s="120"/>
      <c r="C352" s="120"/>
      <c r="D352" s="40"/>
      <c r="E352" s="114"/>
      <c r="F352" s="113"/>
      <c r="G352" s="113"/>
      <c r="H352" s="113"/>
      <c r="I352" s="113"/>
      <c r="J352" s="113"/>
      <c r="K352" s="113"/>
      <c r="L352" s="113"/>
      <c r="M352" s="113"/>
      <c r="N352" s="113"/>
      <c r="O352" s="113"/>
      <c r="P352" s="113"/>
      <c r="Q352" s="113"/>
      <c r="R352" s="113"/>
      <c r="S352" s="113"/>
      <c r="T352" s="113"/>
      <c r="U352" s="113"/>
      <c r="V352" s="113"/>
      <c r="W352" s="113"/>
      <c r="X352" s="113"/>
      <c r="Y352" s="113"/>
      <c r="Z352" s="113"/>
    </row>
    <row r="353">
      <c r="A353" s="113"/>
      <c r="B353" s="120"/>
      <c r="C353" s="120"/>
      <c r="D353" s="40"/>
      <c r="E353" s="114"/>
      <c r="F353" s="113"/>
      <c r="G353" s="113"/>
      <c r="H353" s="113"/>
      <c r="I353" s="113"/>
      <c r="J353" s="113"/>
      <c r="K353" s="113"/>
      <c r="L353" s="113"/>
      <c r="M353" s="113"/>
      <c r="N353" s="113"/>
      <c r="O353" s="113"/>
      <c r="P353" s="113"/>
      <c r="Q353" s="113"/>
      <c r="R353" s="113"/>
      <c r="S353" s="113"/>
      <c r="T353" s="113"/>
      <c r="U353" s="113"/>
      <c r="V353" s="113"/>
      <c r="W353" s="113"/>
      <c r="X353" s="113"/>
      <c r="Y353" s="113"/>
      <c r="Z353" s="113"/>
    </row>
    <row r="354">
      <c r="A354" s="113"/>
      <c r="B354" s="120"/>
      <c r="C354" s="120"/>
      <c r="D354" s="40"/>
      <c r="E354" s="114"/>
      <c r="F354" s="113"/>
      <c r="G354" s="113"/>
      <c r="H354" s="113"/>
      <c r="I354" s="113"/>
      <c r="J354" s="113"/>
      <c r="K354" s="113"/>
      <c r="L354" s="113"/>
      <c r="M354" s="113"/>
      <c r="N354" s="113"/>
      <c r="O354" s="113"/>
      <c r="P354" s="113"/>
      <c r="Q354" s="113"/>
      <c r="R354" s="113"/>
      <c r="S354" s="113"/>
      <c r="T354" s="113"/>
      <c r="U354" s="113"/>
      <c r="V354" s="113"/>
      <c r="W354" s="113"/>
      <c r="X354" s="113"/>
      <c r="Y354" s="113"/>
      <c r="Z354" s="113"/>
    </row>
    <row r="355">
      <c r="A355" s="113"/>
      <c r="B355" s="120"/>
      <c r="C355" s="120"/>
      <c r="D355" s="40"/>
      <c r="E355" s="114"/>
      <c r="F355" s="113"/>
      <c r="G355" s="113"/>
      <c r="H355" s="113"/>
      <c r="I355" s="113"/>
      <c r="J355" s="113"/>
      <c r="K355" s="113"/>
      <c r="L355" s="113"/>
      <c r="M355" s="113"/>
      <c r="N355" s="113"/>
      <c r="O355" s="113"/>
      <c r="P355" s="113"/>
      <c r="Q355" s="113"/>
      <c r="R355" s="113"/>
      <c r="S355" s="113"/>
      <c r="T355" s="113"/>
      <c r="U355" s="113"/>
      <c r="V355" s="113"/>
      <c r="W355" s="113"/>
      <c r="X355" s="113"/>
      <c r="Y355" s="113"/>
      <c r="Z355" s="113"/>
    </row>
    <row r="356">
      <c r="A356" s="113"/>
      <c r="B356" s="120"/>
      <c r="C356" s="120"/>
      <c r="D356" s="40"/>
      <c r="E356" s="114"/>
      <c r="F356" s="113"/>
      <c r="G356" s="113"/>
      <c r="H356" s="113"/>
      <c r="I356" s="113"/>
      <c r="J356" s="113"/>
      <c r="K356" s="113"/>
      <c r="L356" s="113"/>
      <c r="M356" s="113"/>
      <c r="N356" s="113"/>
      <c r="O356" s="113"/>
      <c r="P356" s="113"/>
      <c r="Q356" s="113"/>
      <c r="R356" s="113"/>
      <c r="S356" s="113"/>
      <c r="T356" s="113"/>
      <c r="U356" s="113"/>
      <c r="V356" s="113"/>
      <c r="W356" s="113"/>
      <c r="X356" s="113"/>
      <c r="Y356" s="113"/>
      <c r="Z356" s="113"/>
    </row>
    <row r="357">
      <c r="A357" s="113"/>
      <c r="B357" s="120"/>
      <c r="C357" s="120"/>
      <c r="D357" s="40"/>
      <c r="E357" s="114"/>
      <c r="F357" s="113"/>
      <c r="G357" s="113"/>
      <c r="H357" s="113"/>
      <c r="I357" s="113"/>
      <c r="J357" s="113"/>
      <c r="K357" s="113"/>
      <c r="L357" s="113"/>
      <c r="M357" s="113"/>
      <c r="N357" s="113"/>
      <c r="O357" s="113"/>
      <c r="P357" s="113"/>
      <c r="Q357" s="113"/>
      <c r="R357" s="113"/>
      <c r="S357" s="113"/>
      <c r="T357" s="113"/>
      <c r="U357" s="113"/>
      <c r="V357" s="113"/>
      <c r="W357" s="113"/>
      <c r="X357" s="113"/>
      <c r="Y357" s="113"/>
      <c r="Z357" s="113"/>
    </row>
    <row r="358">
      <c r="A358" s="113"/>
      <c r="B358" s="120"/>
      <c r="C358" s="120"/>
      <c r="D358" s="40"/>
      <c r="E358" s="114"/>
      <c r="F358" s="113"/>
      <c r="G358" s="113"/>
      <c r="H358" s="113"/>
      <c r="I358" s="113"/>
      <c r="J358" s="113"/>
      <c r="K358" s="113"/>
      <c r="L358" s="113"/>
      <c r="M358" s="113"/>
      <c r="N358" s="113"/>
      <c r="O358" s="113"/>
      <c r="P358" s="113"/>
      <c r="Q358" s="113"/>
      <c r="R358" s="113"/>
      <c r="S358" s="113"/>
      <c r="T358" s="113"/>
      <c r="U358" s="113"/>
      <c r="V358" s="113"/>
      <c r="W358" s="113"/>
      <c r="X358" s="113"/>
      <c r="Y358" s="113"/>
      <c r="Z358" s="113"/>
    </row>
    <row r="359">
      <c r="A359" s="113"/>
      <c r="B359" s="120"/>
      <c r="C359" s="120"/>
      <c r="D359" s="40"/>
      <c r="E359" s="114"/>
      <c r="F359" s="113"/>
      <c r="G359" s="113"/>
      <c r="H359" s="113"/>
      <c r="I359" s="113"/>
      <c r="J359" s="113"/>
      <c r="K359" s="113"/>
      <c r="L359" s="113"/>
      <c r="M359" s="113"/>
      <c r="N359" s="113"/>
      <c r="O359" s="113"/>
      <c r="P359" s="113"/>
      <c r="Q359" s="113"/>
      <c r="R359" s="113"/>
      <c r="S359" s="113"/>
      <c r="T359" s="113"/>
      <c r="U359" s="113"/>
      <c r="V359" s="113"/>
      <c r="W359" s="113"/>
      <c r="X359" s="113"/>
      <c r="Y359" s="113"/>
      <c r="Z359" s="113"/>
    </row>
    <row r="360">
      <c r="A360" s="113"/>
      <c r="B360" s="120"/>
      <c r="C360" s="120"/>
      <c r="D360" s="40"/>
      <c r="E360" s="114"/>
      <c r="F360" s="113"/>
      <c r="G360" s="113"/>
      <c r="H360" s="113"/>
      <c r="I360" s="113"/>
      <c r="J360" s="113"/>
      <c r="K360" s="113"/>
      <c r="L360" s="113"/>
      <c r="M360" s="113"/>
      <c r="N360" s="113"/>
      <c r="O360" s="113"/>
      <c r="P360" s="113"/>
      <c r="Q360" s="113"/>
      <c r="R360" s="113"/>
      <c r="S360" s="113"/>
      <c r="T360" s="113"/>
      <c r="U360" s="113"/>
      <c r="V360" s="113"/>
      <c r="W360" s="113"/>
      <c r="X360" s="113"/>
      <c r="Y360" s="113"/>
      <c r="Z360" s="113"/>
    </row>
    <row r="361">
      <c r="A361" s="113"/>
      <c r="B361" s="120"/>
      <c r="C361" s="120"/>
      <c r="D361" s="40"/>
      <c r="E361" s="114"/>
      <c r="F361" s="113"/>
      <c r="G361" s="113"/>
      <c r="H361" s="113"/>
      <c r="I361" s="113"/>
      <c r="J361" s="113"/>
      <c r="K361" s="113"/>
      <c r="L361" s="113"/>
      <c r="M361" s="113"/>
      <c r="N361" s="113"/>
      <c r="O361" s="113"/>
      <c r="P361" s="113"/>
      <c r="Q361" s="113"/>
      <c r="R361" s="113"/>
      <c r="S361" s="113"/>
      <c r="T361" s="113"/>
      <c r="U361" s="113"/>
      <c r="V361" s="113"/>
      <c r="W361" s="113"/>
      <c r="X361" s="113"/>
      <c r="Y361" s="113"/>
      <c r="Z361" s="113"/>
    </row>
    <row r="362">
      <c r="A362" s="113"/>
      <c r="B362" s="120"/>
      <c r="C362" s="120"/>
      <c r="D362" s="40"/>
      <c r="E362" s="114"/>
      <c r="F362" s="113"/>
      <c r="G362" s="113"/>
      <c r="H362" s="113"/>
      <c r="I362" s="113"/>
      <c r="J362" s="113"/>
      <c r="K362" s="113"/>
      <c r="L362" s="113"/>
      <c r="M362" s="113"/>
      <c r="N362" s="113"/>
      <c r="O362" s="113"/>
      <c r="P362" s="113"/>
      <c r="Q362" s="113"/>
      <c r="R362" s="113"/>
      <c r="S362" s="113"/>
      <c r="T362" s="113"/>
      <c r="U362" s="113"/>
      <c r="V362" s="113"/>
      <c r="W362" s="113"/>
      <c r="X362" s="113"/>
      <c r="Y362" s="113"/>
      <c r="Z362" s="113"/>
    </row>
    <row r="363">
      <c r="A363" s="113"/>
      <c r="B363" s="120"/>
      <c r="C363" s="120"/>
      <c r="D363" s="40"/>
      <c r="E363" s="114"/>
      <c r="F363" s="113"/>
      <c r="G363" s="113"/>
      <c r="H363" s="113"/>
      <c r="I363" s="113"/>
      <c r="J363" s="113"/>
      <c r="K363" s="113"/>
      <c r="L363" s="113"/>
      <c r="M363" s="113"/>
      <c r="N363" s="113"/>
      <c r="O363" s="113"/>
      <c r="P363" s="113"/>
      <c r="Q363" s="113"/>
      <c r="R363" s="113"/>
      <c r="S363" s="113"/>
      <c r="T363" s="113"/>
      <c r="U363" s="113"/>
      <c r="V363" s="113"/>
      <c r="W363" s="113"/>
      <c r="X363" s="113"/>
      <c r="Y363" s="113"/>
      <c r="Z363" s="113"/>
    </row>
    <row r="364">
      <c r="A364" s="113"/>
      <c r="B364" s="120"/>
      <c r="C364" s="120"/>
      <c r="D364" s="40"/>
      <c r="E364" s="114"/>
      <c r="F364" s="113"/>
      <c r="G364" s="113"/>
      <c r="H364" s="113"/>
      <c r="I364" s="113"/>
      <c r="J364" s="113"/>
      <c r="K364" s="113"/>
      <c r="L364" s="113"/>
      <c r="M364" s="113"/>
      <c r="N364" s="113"/>
      <c r="O364" s="113"/>
      <c r="P364" s="113"/>
      <c r="Q364" s="113"/>
      <c r="R364" s="113"/>
      <c r="S364" s="113"/>
      <c r="T364" s="113"/>
      <c r="U364" s="113"/>
      <c r="V364" s="113"/>
      <c r="W364" s="113"/>
      <c r="X364" s="113"/>
      <c r="Y364" s="113"/>
      <c r="Z364" s="113"/>
    </row>
    <row r="365">
      <c r="A365" s="113"/>
      <c r="B365" s="120"/>
      <c r="C365" s="120"/>
      <c r="D365" s="40"/>
      <c r="E365" s="114"/>
      <c r="F365" s="113"/>
      <c r="G365" s="113"/>
      <c r="H365" s="113"/>
      <c r="I365" s="113"/>
      <c r="J365" s="113"/>
      <c r="K365" s="113"/>
      <c r="L365" s="113"/>
      <c r="M365" s="113"/>
      <c r="N365" s="113"/>
      <c r="O365" s="113"/>
      <c r="P365" s="113"/>
      <c r="Q365" s="113"/>
      <c r="R365" s="113"/>
      <c r="S365" s="113"/>
      <c r="T365" s="113"/>
      <c r="U365" s="113"/>
      <c r="V365" s="113"/>
      <c r="W365" s="113"/>
      <c r="X365" s="113"/>
      <c r="Y365" s="113"/>
      <c r="Z365" s="113"/>
    </row>
    <row r="366">
      <c r="A366" s="113"/>
      <c r="B366" s="120"/>
      <c r="C366" s="120"/>
      <c r="D366" s="40"/>
      <c r="E366" s="114"/>
      <c r="F366" s="113"/>
      <c r="G366" s="113"/>
      <c r="H366" s="113"/>
      <c r="I366" s="113"/>
      <c r="J366" s="113"/>
      <c r="K366" s="113"/>
      <c r="L366" s="113"/>
      <c r="M366" s="113"/>
      <c r="N366" s="113"/>
      <c r="O366" s="113"/>
      <c r="P366" s="113"/>
      <c r="Q366" s="113"/>
      <c r="R366" s="113"/>
      <c r="S366" s="113"/>
      <c r="T366" s="113"/>
      <c r="U366" s="113"/>
      <c r="V366" s="113"/>
      <c r="W366" s="113"/>
      <c r="X366" s="113"/>
      <c r="Y366" s="113"/>
      <c r="Z366" s="113"/>
    </row>
    <row r="367">
      <c r="A367" s="113"/>
      <c r="B367" s="120"/>
      <c r="C367" s="120"/>
      <c r="D367" s="40"/>
      <c r="E367" s="114"/>
      <c r="F367" s="113"/>
      <c r="G367" s="113"/>
      <c r="H367" s="113"/>
      <c r="I367" s="113"/>
      <c r="J367" s="113"/>
      <c r="K367" s="113"/>
      <c r="L367" s="113"/>
      <c r="M367" s="113"/>
      <c r="N367" s="113"/>
      <c r="O367" s="113"/>
      <c r="P367" s="113"/>
      <c r="Q367" s="113"/>
      <c r="R367" s="113"/>
      <c r="S367" s="113"/>
      <c r="T367" s="113"/>
      <c r="U367" s="113"/>
      <c r="V367" s="113"/>
      <c r="W367" s="113"/>
      <c r="X367" s="113"/>
      <c r="Y367" s="113"/>
      <c r="Z367" s="113"/>
    </row>
    <row r="368">
      <c r="A368" s="113"/>
      <c r="B368" s="120"/>
      <c r="C368" s="120"/>
      <c r="D368" s="40"/>
      <c r="E368" s="114"/>
      <c r="F368" s="113"/>
      <c r="G368" s="113"/>
      <c r="H368" s="113"/>
      <c r="I368" s="113"/>
      <c r="J368" s="113"/>
      <c r="K368" s="113"/>
      <c r="L368" s="113"/>
      <c r="M368" s="113"/>
      <c r="N368" s="113"/>
      <c r="O368" s="113"/>
      <c r="P368" s="113"/>
      <c r="Q368" s="113"/>
      <c r="R368" s="113"/>
      <c r="S368" s="113"/>
      <c r="T368" s="113"/>
      <c r="U368" s="113"/>
      <c r="V368" s="113"/>
      <c r="W368" s="113"/>
      <c r="X368" s="113"/>
      <c r="Y368" s="113"/>
      <c r="Z368" s="113"/>
    </row>
    <row r="369">
      <c r="A369" s="113"/>
      <c r="B369" s="120"/>
      <c r="C369" s="120"/>
      <c r="D369" s="40"/>
      <c r="E369" s="114"/>
      <c r="F369" s="113"/>
      <c r="G369" s="113"/>
      <c r="H369" s="113"/>
      <c r="I369" s="113"/>
      <c r="J369" s="113"/>
      <c r="K369" s="113"/>
      <c r="L369" s="113"/>
      <c r="M369" s="113"/>
      <c r="N369" s="113"/>
      <c r="O369" s="113"/>
      <c r="P369" s="113"/>
      <c r="Q369" s="113"/>
      <c r="R369" s="113"/>
      <c r="S369" s="113"/>
      <c r="T369" s="113"/>
      <c r="U369" s="113"/>
      <c r="V369" s="113"/>
      <c r="W369" s="113"/>
      <c r="X369" s="113"/>
      <c r="Y369" s="113"/>
      <c r="Z369" s="113"/>
    </row>
    <row r="370">
      <c r="A370" s="113"/>
      <c r="B370" s="120"/>
      <c r="C370" s="120"/>
      <c r="D370" s="40"/>
      <c r="E370" s="114"/>
      <c r="F370" s="113"/>
      <c r="G370" s="113"/>
      <c r="H370" s="113"/>
      <c r="I370" s="113"/>
      <c r="J370" s="113"/>
      <c r="K370" s="113"/>
      <c r="L370" s="113"/>
      <c r="M370" s="113"/>
      <c r="N370" s="113"/>
      <c r="O370" s="113"/>
      <c r="P370" s="113"/>
      <c r="Q370" s="113"/>
      <c r="R370" s="113"/>
      <c r="S370" s="113"/>
      <c r="T370" s="113"/>
      <c r="U370" s="113"/>
      <c r="V370" s="113"/>
      <c r="W370" s="113"/>
      <c r="X370" s="113"/>
      <c r="Y370" s="113"/>
      <c r="Z370" s="113"/>
    </row>
    <row r="371">
      <c r="A371" s="113"/>
      <c r="B371" s="120"/>
      <c r="C371" s="120"/>
      <c r="D371" s="40"/>
      <c r="E371" s="114"/>
      <c r="F371" s="113"/>
      <c r="G371" s="113"/>
      <c r="H371" s="113"/>
      <c r="I371" s="113"/>
      <c r="J371" s="113"/>
      <c r="K371" s="113"/>
      <c r="L371" s="113"/>
      <c r="M371" s="113"/>
      <c r="N371" s="113"/>
      <c r="O371" s="113"/>
      <c r="P371" s="113"/>
      <c r="Q371" s="113"/>
      <c r="R371" s="113"/>
      <c r="S371" s="113"/>
      <c r="T371" s="113"/>
      <c r="U371" s="113"/>
      <c r="V371" s="113"/>
      <c r="W371" s="113"/>
      <c r="X371" s="113"/>
      <c r="Y371" s="113"/>
      <c r="Z371" s="113"/>
    </row>
    <row r="372">
      <c r="A372" s="113"/>
      <c r="B372" s="120"/>
      <c r="C372" s="120"/>
      <c r="D372" s="40"/>
      <c r="E372" s="114"/>
      <c r="F372" s="113"/>
      <c r="G372" s="113"/>
      <c r="H372" s="113"/>
      <c r="I372" s="113"/>
      <c r="J372" s="113"/>
      <c r="K372" s="113"/>
      <c r="L372" s="113"/>
      <c r="M372" s="113"/>
      <c r="N372" s="113"/>
      <c r="O372" s="113"/>
      <c r="P372" s="113"/>
      <c r="Q372" s="113"/>
      <c r="R372" s="113"/>
      <c r="S372" s="113"/>
      <c r="T372" s="113"/>
      <c r="U372" s="113"/>
      <c r="V372" s="113"/>
      <c r="W372" s="113"/>
      <c r="X372" s="113"/>
      <c r="Y372" s="113"/>
      <c r="Z372" s="113"/>
    </row>
    <row r="373">
      <c r="A373" s="113"/>
      <c r="B373" s="120"/>
      <c r="C373" s="120"/>
      <c r="D373" s="40"/>
      <c r="E373" s="114"/>
      <c r="F373" s="113"/>
      <c r="G373" s="113"/>
      <c r="H373" s="113"/>
      <c r="I373" s="113"/>
      <c r="J373" s="113"/>
      <c r="K373" s="113"/>
      <c r="L373" s="113"/>
      <c r="M373" s="113"/>
      <c r="N373" s="113"/>
      <c r="O373" s="113"/>
      <c r="P373" s="113"/>
      <c r="Q373" s="113"/>
      <c r="R373" s="113"/>
      <c r="S373" s="113"/>
      <c r="T373" s="113"/>
      <c r="U373" s="113"/>
      <c r="V373" s="113"/>
      <c r="W373" s="113"/>
      <c r="X373" s="113"/>
      <c r="Y373" s="113"/>
      <c r="Z373" s="113"/>
    </row>
    <row r="374">
      <c r="A374" s="113"/>
      <c r="B374" s="120"/>
      <c r="C374" s="120"/>
      <c r="D374" s="40"/>
      <c r="E374" s="114"/>
      <c r="F374" s="113"/>
      <c r="G374" s="113"/>
      <c r="H374" s="113"/>
      <c r="I374" s="113"/>
      <c r="J374" s="113"/>
      <c r="K374" s="113"/>
      <c r="L374" s="113"/>
      <c r="M374" s="113"/>
      <c r="N374" s="113"/>
      <c r="O374" s="113"/>
      <c r="P374" s="113"/>
      <c r="Q374" s="113"/>
      <c r="R374" s="113"/>
      <c r="S374" s="113"/>
      <c r="T374" s="113"/>
      <c r="U374" s="113"/>
      <c r="V374" s="113"/>
      <c r="W374" s="113"/>
      <c r="X374" s="113"/>
      <c r="Y374" s="113"/>
      <c r="Z374" s="113"/>
    </row>
    <row r="375">
      <c r="A375" s="113"/>
      <c r="B375" s="120"/>
      <c r="C375" s="120"/>
      <c r="D375" s="40"/>
      <c r="E375" s="114"/>
      <c r="F375" s="113"/>
      <c r="G375" s="113"/>
      <c r="H375" s="113"/>
      <c r="I375" s="113"/>
      <c r="J375" s="113"/>
      <c r="K375" s="113"/>
      <c r="L375" s="113"/>
      <c r="M375" s="113"/>
      <c r="N375" s="113"/>
      <c r="O375" s="113"/>
      <c r="P375" s="113"/>
      <c r="Q375" s="113"/>
      <c r="R375" s="113"/>
      <c r="S375" s="113"/>
      <c r="T375" s="113"/>
      <c r="U375" s="113"/>
      <c r="V375" s="113"/>
      <c r="W375" s="113"/>
      <c r="X375" s="113"/>
      <c r="Y375" s="113"/>
      <c r="Z375" s="113"/>
    </row>
    <row r="376">
      <c r="A376" s="113"/>
      <c r="B376" s="120"/>
      <c r="C376" s="120"/>
      <c r="D376" s="40"/>
      <c r="E376" s="114"/>
      <c r="F376" s="113"/>
      <c r="G376" s="113"/>
      <c r="H376" s="113"/>
      <c r="I376" s="113"/>
      <c r="J376" s="113"/>
      <c r="K376" s="113"/>
      <c r="L376" s="113"/>
      <c r="M376" s="113"/>
      <c r="N376" s="113"/>
      <c r="O376" s="113"/>
      <c r="P376" s="113"/>
      <c r="Q376" s="113"/>
      <c r="R376" s="113"/>
      <c r="S376" s="113"/>
      <c r="T376" s="113"/>
      <c r="U376" s="113"/>
      <c r="V376" s="113"/>
      <c r="W376" s="113"/>
      <c r="X376" s="113"/>
      <c r="Y376" s="113"/>
      <c r="Z376" s="113"/>
    </row>
    <row r="377">
      <c r="A377" s="113"/>
      <c r="B377" s="120"/>
      <c r="C377" s="120"/>
      <c r="D377" s="40"/>
      <c r="E377" s="114"/>
      <c r="F377" s="113"/>
      <c r="G377" s="113"/>
      <c r="H377" s="113"/>
      <c r="I377" s="113"/>
      <c r="J377" s="113"/>
      <c r="K377" s="113"/>
      <c r="L377" s="113"/>
      <c r="M377" s="113"/>
      <c r="N377" s="113"/>
      <c r="O377" s="113"/>
      <c r="P377" s="113"/>
      <c r="Q377" s="113"/>
      <c r="R377" s="113"/>
      <c r="S377" s="113"/>
      <c r="T377" s="113"/>
      <c r="U377" s="113"/>
      <c r="V377" s="113"/>
      <c r="W377" s="113"/>
      <c r="X377" s="113"/>
      <c r="Y377" s="113"/>
      <c r="Z377" s="113"/>
    </row>
    <row r="378">
      <c r="A378" s="113"/>
      <c r="B378" s="120"/>
      <c r="C378" s="120"/>
      <c r="D378" s="40"/>
      <c r="E378" s="114"/>
      <c r="F378" s="113"/>
      <c r="G378" s="113"/>
      <c r="H378" s="113"/>
      <c r="I378" s="113"/>
      <c r="J378" s="113"/>
      <c r="K378" s="113"/>
      <c r="L378" s="113"/>
      <c r="M378" s="113"/>
      <c r="N378" s="113"/>
      <c r="O378" s="113"/>
      <c r="P378" s="113"/>
      <c r="Q378" s="113"/>
      <c r="R378" s="113"/>
      <c r="S378" s="113"/>
      <c r="T378" s="113"/>
      <c r="U378" s="113"/>
      <c r="V378" s="113"/>
      <c r="W378" s="113"/>
      <c r="X378" s="113"/>
      <c r="Y378" s="113"/>
      <c r="Z378" s="113"/>
    </row>
    <row r="379">
      <c r="A379" s="113"/>
      <c r="B379" s="120"/>
      <c r="C379" s="120"/>
      <c r="D379" s="40"/>
      <c r="E379" s="114"/>
      <c r="F379" s="113"/>
      <c r="G379" s="113"/>
      <c r="H379" s="113"/>
      <c r="I379" s="113"/>
      <c r="J379" s="113"/>
      <c r="K379" s="113"/>
      <c r="L379" s="113"/>
      <c r="M379" s="113"/>
      <c r="N379" s="113"/>
      <c r="O379" s="113"/>
      <c r="P379" s="113"/>
      <c r="Q379" s="113"/>
      <c r="R379" s="113"/>
      <c r="S379" s="113"/>
      <c r="T379" s="113"/>
      <c r="U379" s="113"/>
      <c r="V379" s="113"/>
      <c r="W379" s="113"/>
      <c r="X379" s="113"/>
      <c r="Y379" s="113"/>
      <c r="Z379" s="113"/>
    </row>
    <row r="380">
      <c r="A380" s="113"/>
      <c r="B380" s="120"/>
      <c r="C380" s="120"/>
      <c r="D380" s="40"/>
      <c r="E380" s="114"/>
      <c r="F380" s="113"/>
      <c r="G380" s="113"/>
      <c r="H380" s="113"/>
      <c r="I380" s="113"/>
      <c r="J380" s="113"/>
      <c r="K380" s="113"/>
      <c r="L380" s="113"/>
      <c r="M380" s="113"/>
      <c r="N380" s="113"/>
      <c r="O380" s="113"/>
      <c r="P380" s="113"/>
      <c r="Q380" s="113"/>
      <c r="R380" s="113"/>
      <c r="S380" s="113"/>
      <c r="T380" s="113"/>
      <c r="U380" s="113"/>
      <c r="V380" s="113"/>
      <c r="W380" s="113"/>
      <c r="X380" s="113"/>
      <c r="Y380" s="113"/>
      <c r="Z380" s="113"/>
    </row>
    <row r="381">
      <c r="A381" s="113"/>
      <c r="B381" s="120"/>
      <c r="C381" s="120"/>
      <c r="D381" s="40"/>
      <c r="E381" s="114"/>
      <c r="F381" s="113"/>
      <c r="G381" s="113"/>
      <c r="H381" s="113"/>
      <c r="I381" s="113"/>
      <c r="J381" s="113"/>
      <c r="K381" s="113"/>
      <c r="L381" s="113"/>
      <c r="M381" s="113"/>
      <c r="N381" s="113"/>
      <c r="O381" s="113"/>
      <c r="P381" s="113"/>
      <c r="Q381" s="113"/>
      <c r="R381" s="113"/>
      <c r="S381" s="113"/>
      <c r="T381" s="113"/>
      <c r="U381" s="113"/>
      <c r="V381" s="113"/>
      <c r="W381" s="113"/>
      <c r="X381" s="113"/>
      <c r="Y381" s="113"/>
      <c r="Z381" s="113"/>
    </row>
    <row r="382">
      <c r="A382" s="113"/>
      <c r="B382" s="120"/>
      <c r="C382" s="120"/>
      <c r="D382" s="40"/>
      <c r="E382" s="114"/>
      <c r="F382" s="113"/>
      <c r="G382" s="113"/>
      <c r="H382" s="113"/>
      <c r="I382" s="113"/>
      <c r="J382" s="113"/>
      <c r="K382" s="113"/>
      <c r="L382" s="113"/>
      <c r="M382" s="113"/>
      <c r="N382" s="113"/>
      <c r="O382" s="113"/>
      <c r="P382" s="113"/>
      <c r="Q382" s="113"/>
      <c r="R382" s="113"/>
      <c r="S382" s="113"/>
      <c r="T382" s="113"/>
      <c r="U382" s="113"/>
      <c r="V382" s="113"/>
      <c r="W382" s="113"/>
      <c r="X382" s="113"/>
      <c r="Y382" s="113"/>
      <c r="Z382" s="113"/>
    </row>
    <row r="383">
      <c r="A383" s="113"/>
      <c r="B383" s="120"/>
      <c r="C383" s="120"/>
      <c r="D383" s="40"/>
      <c r="E383" s="114"/>
      <c r="F383" s="113"/>
      <c r="G383" s="113"/>
      <c r="H383" s="113"/>
      <c r="I383" s="113"/>
      <c r="J383" s="113"/>
      <c r="K383" s="113"/>
      <c r="L383" s="113"/>
      <c r="M383" s="113"/>
      <c r="N383" s="113"/>
      <c r="O383" s="113"/>
      <c r="P383" s="113"/>
      <c r="Q383" s="113"/>
      <c r="R383" s="113"/>
      <c r="S383" s="113"/>
      <c r="T383" s="113"/>
      <c r="U383" s="113"/>
      <c r="V383" s="113"/>
      <c r="W383" s="113"/>
      <c r="X383" s="113"/>
      <c r="Y383" s="113"/>
      <c r="Z383" s="113"/>
    </row>
    <row r="384">
      <c r="A384" s="113"/>
      <c r="B384" s="120"/>
      <c r="C384" s="120"/>
      <c r="D384" s="40"/>
      <c r="E384" s="114"/>
      <c r="F384" s="113"/>
      <c r="G384" s="113"/>
      <c r="H384" s="113"/>
      <c r="I384" s="113"/>
      <c r="J384" s="113"/>
      <c r="K384" s="113"/>
      <c r="L384" s="113"/>
      <c r="M384" s="113"/>
      <c r="N384" s="113"/>
      <c r="O384" s="113"/>
      <c r="P384" s="113"/>
      <c r="Q384" s="113"/>
      <c r="R384" s="113"/>
      <c r="S384" s="113"/>
      <c r="T384" s="113"/>
      <c r="U384" s="113"/>
      <c r="V384" s="113"/>
      <c r="W384" s="113"/>
      <c r="X384" s="113"/>
      <c r="Y384" s="113"/>
      <c r="Z384" s="113"/>
    </row>
    <row r="385">
      <c r="A385" s="113"/>
      <c r="B385" s="120"/>
      <c r="C385" s="120"/>
      <c r="D385" s="40"/>
      <c r="E385" s="114"/>
      <c r="F385" s="113"/>
      <c r="G385" s="113"/>
      <c r="H385" s="113"/>
      <c r="I385" s="113"/>
      <c r="J385" s="113"/>
      <c r="K385" s="113"/>
      <c r="L385" s="113"/>
      <c r="M385" s="113"/>
      <c r="N385" s="113"/>
      <c r="O385" s="113"/>
      <c r="P385" s="113"/>
      <c r="Q385" s="113"/>
      <c r="R385" s="113"/>
      <c r="S385" s="113"/>
      <c r="T385" s="113"/>
      <c r="U385" s="113"/>
      <c r="V385" s="113"/>
      <c r="W385" s="113"/>
      <c r="X385" s="113"/>
      <c r="Y385" s="113"/>
      <c r="Z385" s="113"/>
    </row>
    <row r="386">
      <c r="A386" s="113"/>
      <c r="B386" s="120"/>
      <c r="C386" s="120"/>
      <c r="D386" s="40"/>
      <c r="E386" s="114"/>
      <c r="F386" s="113"/>
      <c r="G386" s="113"/>
      <c r="H386" s="113"/>
      <c r="I386" s="113"/>
      <c r="J386" s="113"/>
      <c r="K386" s="113"/>
      <c r="L386" s="113"/>
      <c r="M386" s="113"/>
      <c r="N386" s="113"/>
      <c r="O386" s="113"/>
      <c r="P386" s="113"/>
      <c r="Q386" s="113"/>
      <c r="R386" s="113"/>
      <c r="S386" s="113"/>
      <c r="T386" s="113"/>
      <c r="U386" s="113"/>
      <c r="V386" s="113"/>
      <c r="W386" s="113"/>
      <c r="X386" s="113"/>
      <c r="Y386" s="113"/>
      <c r="Z386" s="113"/>
    </row>
    <row r="387">
      <c r="A387" s="113"/>
      <c r="B387" s="120"/>
      <c r="C387" s="120"/>
      <c r="D387" s="40"/>
      <c r="E387" s="114"/>
      <c r="F387" s="113"/>
      <c r="G387" s="113"/>
      <c r="H387" s="113"/>
      <c r="I387" s="113"/>
      <c r="J387" s="113"/>
      <c r="K387" s="113"/>
      <c r="L387" s="113"/>
      <c r="M387" s="113"/>
      <c r="N387" s="113"/>
      <c r="O387" s="113"/>
      <c r="P387" s="113"/>
      <c r="Q387" s="113"/>
      <c r="R387" s="113"/>
      <c r="S387" s="113"/>
      <c r="T387" s="113"/>
      <c r="U387" s="113"/>
      <c r="V387" s="113"/>
      <c r="W387" s="113"/>
      <c r="X387" s="113"/>
      <c r="Y387" s="113"/>
      <c r="Z387" s="113"/>
    </row>
    <row r="388">
      <c r="A388" s="113"/>
      <c r="B388" s="120"/>
      <c r="C388" s="120"/>
      <c r="D388" s="40"/>
      <c r="E388" s="114"/>
      <c r="F388" s="113"/>
      <c r="G388" s="113"/>
      <c r="H388" s="113"/>
      <c r="I388" s="113"/>
      <c r="J388" s="113"/>
      <c r="K388" s="113"/>
      <c r="L388" s="113"/>
      <c r="M388" s="113"/>
      <c r="N388" s="113"/>
      <c r="O388" s="113"/>
      <c r="P388" s="113"/>
      <c r="Q388" s="113"/>
      <c r="R388" s="113"/>
      <c r="S388" s="113"/>
      <c r="T388" s="113"/>
      <c r="U388" s="113"/>
      <c r="V388" s="113"/>
      <c r="W388" s="113"/>
      <c r="X388" s="113"/>
      <c r="Y388" s="113"/>
      <c r="Z388" s="113"/>
    </row>
    <row r="389">
      <c r="A389" s="113"/>
      <c r="B389" s="120"/>
      <c r="C389" s="120"/>
      <c r="D389" s="40"/>
      <c r="E389" s="114"/>
      <c r="F389" s="113"/>
      <c r="G389" s="113"/>
      <c r="H389" s="113"/>
      <c r="I389" s="113"/>
      <c r="J389" s="113"/>
      <c r="K389" s="113"/>
      <c r="L389" s="113"/>
      <c r="M389" s="113"/>
      <c r="N389" s="113"/>
      <c r="O389" s="113"/>
      <c r="P389" s="113"/>
      <c r="Q389" s="113"/>
      <c r="R389" s="113"/>
      <c r="S389" s="113"/>
      <c r="T389" s="113"/>
      <c r="U389" s="113"/>
      <c r="V389" s="113"/>
      <c r="W389" s="113"/>
      <c r="X389" s="113"/>
      <c r="Y389" s="113"/>
      <c r="Z389" s="113"/>
    </row>
    <row r="390">
      <c r="A390" s="113"/>
      <c r="B390" s="120"/>
      <c r="C390" s="120"/>
      <c r="D390" s="40"/>
      <c r="E390" s="114"/>
      <c r="F390" s="113"/>
      <c r="G390" s="113"/>
      <c r="H390" s="113"/>
      <c r="I390" s="113"/>
      <c r="J390" s="113"/>
      <c r="K390" s="113"/>
      <c r="L390" s="113"/>
      <c r="M390" s="113"/>
      <c r="N390" s="113"/>
      <c r="O390" s="113"/>
      <c r="P390" s="113"/>
      <c r="Q390" s="113"/>
      <c r="R390" s="113"/>
      <c r="S390" s="113"/>
      <c r="T390" s="113"/>
      <c r="U390" s="113"/>
      <c r="V390" s="113"/>
      <c r="W390" s="113"/>
      <c r="X390" s="113"/>
      <c r="Y390" s="113"/>
      <c r="Z390" s="113"/>
    </row>
    <row r="391">
      <c r="A391" s="113"/>
      <c r="B391" s="120"/>
      <c r="C391" s="120"/>
      <c r="D391" s="40"/>
      <c r="E391" s="114"/>
      <c r="F391" s="113"/>
      <c r="G391" s="113"/>
      <c r="H391" s="113"/>
      <c r="I391" s="113"/>
      <c r="J391" s="113"/>
      <c r="K391" s="113"/>
      <c r="L391" s="113"/>
      <c r="M391" s="113"/>
      <c r="N391" s="113"/>
      <c r="O391" s="113"/>
      <c r="P391" s="113"/>
      <c r="Q391" s="113"/>
      <c r="R391" s="113"/>
      <c r="S391" s="113"/>
      <c r="T391" s="113"/>
      <c r="U391" s="113"/>
      <c r="V391" s="113"/>
      <c r="W391" s="113"/>
      <c r="X391" s="113"/>
      <c r="Y391" s="113"/>
      <c r="Z391" s="113"/>
    </row>
    <row r="392">
      <c r="A392" s="113"/>
      <c r="B392" s="120"/>
      <c r="C392" s="120"/>
      <c r="D392" s="40"/>
      <c r="E392" s="114"/>
      <c r="F392" s="113"/>
      <c r="G392" s="113"/>
      <c r="H392" s="113"/>
      <c r="I392" s="113"/>
      <c r="J392" s="113"/>
      <c r="K392" s="113"/>
      <c r="L392" s="113"/>
      <c r="M392" s="113"/>
      <c r="N392" s="113"/>
      <c r="O392" s="113"/>
      <c r="P392" s="113"/>
      <c r="Q392" s="113"/>
      <c r="R392" s="113"/>
      <c r="S392" s="113"/>
      <c r="T392" s="113"/>
      <c r="U392" s="113"/>
      <c r="V392" s="113"/>
      <c r="W392" s="113"/>
      <c r="X392" s="113"/>
      <c r="Y392" s="113"/>
      <c r="Z392" s="113"/>
    </row>
    <row r="393">
      <c r="A393" s="113"/>
      <c r="B393" s="120"/>
      <c r="C393" s="120"/>
      <c r="D393" s="40"/>
      <c r="E393" s="114"/>
      <c r="F393" s="113"/>
      <c r="G393" s="113"/>
      <c r="H393" s="113"/>
      <c r="I393" s="113"/>
      <c r="J393" s="113"/>
      <c r="K393" s="113"/>
      <c r="L393" s="113"/>
      <c r="M393" s="113"/>
      <c r="N393" s="113"/>
      <c r="O393" s="113"/>
      <c r="P393" s="113"/>
      <c r="Q393" s="113"/>
      <c r="R393" s="113"/>
      <c r="S393" s="113"/>
      <c r="T393" s="113"/>
      <c r="U393" s="113"/>
      <c r="V393" s="113"/>
      <c r="W393" s="113"/>
      <c r="X393" s="113"/>
      <c r="Y393" s="113"/>
      <c r="Z393" s="113"/>
    </row>
    <row r="394">
      <c r="A394" s="113"/>
      <c r="B394" s="120"/>
      <c r="C394" s="120"/>
      <c r="D394" s="40"/>
      <c r="E394" s="114"/>
      <c r="F394" s="113"/>
      <c r="G394" s="113"/>
      <c r="H394" s="113"/>
      <c r="I394" s="113"/>
      <c r="J394" s="113"/>
      <c r="K394" s="113"/>
      <c r="L394" s="113"/>
      <c r="M394" s="113"/>
      <c r="N394" s="113"/>
      <c r="O394" s="113"/>
      <c r="P394" s="113"/>
      <c r="Q394" s="113"/>
      <c r="R394" s="113"/>
      <c r="S394" s="113"/>
      <c r="T394" s="113"/>
      <c r="U394" s="113"/>
      <c r="V394" s="113"/>
      <c r="W394" s="113"/>
      <c r="X394" s="113"/>
      <c r="Y394" s="113"/>
      <c r="Z394" s="113"/>
    </row>
    <row r="395">
      <c r="A395" s="113"/>
      <c r="B395" s="120"/>
      <c r="C395" s="120"/>
      <c r="D395" s="40"/>
      <c r="E395" s="114"/>
      <c r="F395" s="113"/>
      <c r="G395" s="113"/>
      <c r="H395" s="113"/>
      <c r="I395" s="113"/>
      <c r="J395" s="113"/>
      <c r="K395" s="113"/>
      <c r="L395" s="113"/>
      <c r="M395" s="113"/>
      <c r="N395" s="113"/>
      <c r="O395" s="113"/>
      <c r="P395" s="113"/>
      <c r="Q395" s="113"/>
      <c r="R395" s="113"/>
      <c r="S395" s="113"/>
      <c r="T395" s="113"/>
      <c r="U395" s="113"/>
      <c r="V395" s="113"/>
      <c r="W395" s="113"/>
      <c r="X395" s="113"/>
      <c r="Y395" s="113"/>
      <c r="Z395" s="113"/>
    </row>
    <row r="396">
      <c r="A396" s="113"/>
      <c r="B396" s="120"/>
      <c r="C396" s="120"/>
      <c r="D396" s="40"/>
      <c r="E396" s="114"/>
      <c r="F396" s="113"/>
      <c r="G396" s="113"/>
      <c r="H396" s="113"/>
      <c r="I396" s="113"/>
      <c r="J396" s="113"/>
      <c r="K396" s="113"/>
      <c r="L396" s="113"/>
      <c r="M396" s="113"/>
      <c r="N396" s="113"/>
      <c r="O396" s="113"/>
      <c r="P396" s="113"/>
      <c r="Q396" s="113"/>
      <c r="R396" s="113"/>
      <c r="S396" s="113"/>
      <c r="T396" s="113"/>
      <c r="U396" s="113"/>
      <c r="V396" s="113"/>
      <c r="W396" s="113"/>
      <c r="X396" s="113"/>
      <c r="Y396" s="113"/>
      <c r="Z396" s="113"/>
    </row>
    <row r="397">
      <c r="A397" s="113"/>
      <c r="B397" s="120"/>
      <c r="C397" s="120"/>
      <c r="D397" s="40"/>
      <c r="E397" s="114"/>
      <c r="F397" s="113"/>
      <c r="G397" s="113"/>
      <c r="H397" s="113"/>
      <c r="I397" s="113"/>
      <c r="J397" s="113"/>
      <c r="K397" s="113"/>
      <c r="L397" s="113"/>
      <c r="M397" s="113"/>
      <c r="N397" s="113"/>
      <c r="O397" s="113"/>
      <c r="P397" s="113"/>
      <c r="Q397" s="113"/>
      <c r="R397" s="113"/>
      <c r="S397" s="113"/>
      <c r="T397" s="113"/>
      <c r="U397" s="113"/>
      <c r="V397" s="113"/>
      <c r="W397" s="113"/>
      <c r="X397" s="113"/>
      <c r="Y397" s="113"/>
      <c r="Z397" s="113"/>
    </row>
    <row r="398">
      <c r="A398" s="113"/>
      <c r="B398" s="120"/>
      <c r="C398" s="120"/>
      <c r="D398" s="40"/>
      <c r="E398" s="114"/>
      <c r="F398" s="113"/>
      <c r="G398" s="113"/>
      <c r="H398" s="113"/>
      <c r="I398" s="113"/>
      <c r="J398" s="113"/>
      <c r="K398" s="113"/>
      <c r="L398" s="113"/>
      <c r="M398" s="113"/>
      <c r="N398" s="113"/>
      <c r="O398" s="113"/>
      <c r="P398" s="113"/>
      <c r="Q398" s="113"/>
      <c r="R398" s="113"/>
      <c r="S398" s="113"/>
      <c r="T398" s="113"/>
      <c r="U398" s="113"/>
      <c r="V398" s="113"/>
      <c r="W398" s="113"/>
      <c r="X398" s="113"/>
      <c r="Y398" s="113"/>
      <c r="Z398" s="113"/>
    </row>
    <row r="399">
      <c r="A399" s="113"/>
      <c r="B399" s="120"/>
      <c r="C399" s="120"/>
      <c r="D399" s="40"/>
      <c r="E399" s="114"/>
      <c r="F399" s="113"/>
      <c r="G399" s="113"/>
      <c r="H399" s="113"/>
      <c r="I399" s="113"/>
      <c r="J399" s="113"/>
      <c r="K399" s="113"/>
      <c r="L399" s="113"/>
      <c r="M399" s="113"/>
      <c r="N399" s="113"/>
      <c r="O399" s="113"/>
      <c r="P399" s="113"/>
      <c r="Q399" s="113"/>
      <c r="R399" s="113"/>
      <c r="S399" s="113"/>
      <c r="T399" s="113"/>
      <c r="U399" s="113"/>
      <c r="V399" s="113"/>
      <c r="W399" s="113"/>
      <c r="X399" s="113"/>
      <c r="Y399" s="113"/>
      <c r="Z399" s="113"/>
    </row>
    <row r="400">
      <c r="A400" s="113"/>
      <c r="B400" s="120"/>
      <c r="C400" s="120"/>
      <c r="D400" s="40"/>
      <c r="E400" s="114"/>
      <c r="F400" s="113"/>
      <c r="G400" s="113"/>
      <c r="H400" s="113"/>
      <c r="I400" s="113"/>
      <c r="J400" s="113"/>
      <c r="K400" s="113"/>
      <c r="L400" s="113"/>
      <c r="M400" s="113"/>
      <c r="N400" s="113"/>
      <c r="O400" s="113"/>
      <c r="P400" s="113"/>
      <c r="Q400" s="113"/>
      <c r="R400" s="113"/>
      <c r="S400" s="113"/>
      <c r="T400" s="113"/>
      <c r="U400" s="113"/>
      <c r="V400" s="113"/>
      <c r="W400" s="113"/>
      <c r="X400" s="113"/>
      <c r="Y400" s="113"/>
      <c r="Z400" s="113"/>
    </row>
    <row r="401">
      <c r="A401" s="113"/>
      <c r="B401" s="120"/>
      <c r="C401" s="120"/>
      <c r="D401" s="40"/>
      <c r="E401" s="114"/>
      <c r="F401" s="113"/>
      <c r="G401" s="113"/>
      <c r="H401" s="113"/>
      <c r="I401" s="113"/>
      <c r="J401" s="113"/>
      <c r="K401" s="113"/>
      <c r="L401" s="113"/>
      <c r="M401" s="113"/>
      <c r="N401" s="113"/>
      <c r="O401" s="113"/>
      <c r="P401" s="113"/>
      <c r="Q401" s="113"/>
      <c r="R401" s="113"/>
      <c r="S401" s="113"/>
      <c r="T401" s="113"/>
      <c r="U401" s="113"/>
      <c r="V401" s="113"/>
      <c r="W401" s="113"/>
      <c r="X401" s="113"/>
      <c r="Y401" s="113"/>
      <c r="Z401" s="113"/>
    </row>
    <row r="402">
      <c r="A402" s="113"/>
      <c r="B402" s="120"/>
      <c r="C402" s="120"/>
      <c r="D402" s="40"/>
      <c r="E402" s="114"/>
      <c r="F402" s="113"/>
      <c r="G402" s="113"/>
      <c r="H402" s="113"/>
      <c r="I402" s="113"/>
      <c r="J402" s="113"/>
      <c r="K402" s="113"/>
      <c r="L402" s="113"/>
      <c r="M402" s="113"/>
      <c r="N402" s="113"/>
      <c r="O402" s="113"/>
      <c r="P402" s="113"/>
      <c r="Q402" s="113"/>
      <c r="R402" s="113"/>
      <c r="S402" s="113"/>
      <c r="T402" s="113"/>
      <c r="U402" s="113"/>
      <c r="V402" s="113"/>
      <c r="W402" s="113"/>
      <c r="X402" s="113"/>
      <c r="Y402" s="113"/>
      <c r="Z402" s="113"/>
    </row>
    <row r="403">
      <c r="A403" s="113"/>
      <c r="B403" s="120"/>
      <c r="C403" s="120"/>
      <c r="D403" s="40"/>
      <c r="E403" s="114"/>
      <c r="F403" s="113"/>
      <c r="G403" s="113"/>
      <c r="H403" s="113"/>
      <c r="I403" s="113"/>
      <c r="J403" s="113"/>
      <c r="K403" s="113"/>
      <c r="L403" s="113"/>
      <c r="M403" s="113"/>
      <c r="N403" s="113"/>
      <c r="O403" s="113"/>
      <c r="P403" s="113"/>
      <c r="Q403" s="113"/>
      <c r="R403" s="113"/>
      <c r="S403" s="113"/>
      <c r="T403" s="113"/>
      <c r="U403" s="113"/>
      <c r="V403" s="113"/>
      <c r="W403" s="113"/>
      <c r="X403" s="113"/>
      <c r="Y403" s="113"/>
      <c r="Z403" s="113"/>
    </row>
    <row r="404">
      <c r="A404" s="113"/>
      <c r="B404" s="120"/>
      <c r="C404" s="120"/>
      <c r="D404" s="40"/>
      <c r="E404" s="114"/>
      <c r="F404" s="113"/>
      <c r="G404" s="113"/>
      <c r="H404" s="113"/>
      <c r="I404" s="113"/>
      <c r="J404" s="113"/>
      <c r="K404" s="113"/>
      <c r="L404" s="113"/>
      <c r="M404" s="113"/>
      <c r="N404" s="113"/>
      <c r="O404" s="113"/>
      <c r="P404" s="113"/>
      <c r="Q404" s="113"/>
      <c r="R404" s="113"/>
      <c r="S404" s="113"/>
      <c r="T404" s="113"/>
      <c r="U404" s="113"/>
      <c r="V404" s="113"/>
      <c r="W404" s="113"/>
      <c r="X404" s="113"/>
      <c r="Y404" s="113"/>
      <c r="Z404" s="113"/>
    </row>
    <row r="405">
      <c r="A405" s="113"/>
      <c r="B405" s="120"/>
      <c r="C405" s="120"/>
      <c r="D405" s="40"/>
      <c r="E405" s="114"/>
      <c r="F405" s="113"/>
      <c r="G405" s="113"/>
      <c r="H405" s="113"/>
      <c r="I405" s="113"/>
      <c r="J405" s="113"/>
      <c r="K405" s="113"/>
      <c r="L405" s="113"/>
      <c r="M405" s="113"/>
      <c r="N405" s="113"/>
      <c r="O405" s="113"/>
      <c r="P405" s="113"/>
      <c r="Q405" s="113"/>
      <c r="R405" s="113"/>
      <c r="S405" s="113"/>
      <c r="T405" s="113"/>
      <c r="U405" s="113"/>
      <c r="V405" s="113"/>
      <c r="W405" s="113"/>
      <c r="X405" s="113"/>
      <c r="Y405" s="113"/>
      <c r="Z405" s="113"/>
    </row>
    <row r="406">
      <c r="A406" s="113"/>
      <c r="B406" s="120"/>
      <c r="C406" s="120"/>
      <c r="D406" s="40"/>
      <c r="E406" s="114"/>
      <c r="F406" s="113"/>
      <c r="G406" s="113"/>
      <c r="H406" s="113"/>
      <c r="I406" s="113"/>
      <c r="J406" s="113"/>
      <c r="K406" s="113"/>
      <c r="L406" s="113"/>
      <c r="M406" s="113"/>
      <c r="N406" s="113"/>
      <c r="O406" s="113"/>
      <c r="P406" s="113"/>
      <c r="Q406" s="113"/>
      <c r="R406" s="113"/>
      <c r="S406" s="113"/>
      <c r="T406" s="113"/>
      <c r="U406" s="113"/>
      <c r="V406" s="113"/>
      <c r="W406" s="113"/>
      <c r="X406" s="113"/>
      <c r="Y406" s="113"/>
      <c r="Z406" s="113"/>
    </row>
    <row r="407">
      <c r="A407" s="113"/>
      <c r="B407" s="120"/>
      <c r="C407" s="120"/>
      <c r="D407" s="40"/>
      <c r="E407" s="114"/>
      <c r="F407" s="113"/>
      <c r="G407" s="113"/>
      <c r="H407" s="113"/>
      <c r="I407" s="113"/>
      <c r="J407" s="113"/>
      <c r="K407" s="113"/>
      <c r="L407" s="113"/>
      <c r="M407" s="113"/>
      <c r="N407" s="113"/>
      <c r="O407" s="113"/>
      <c r="P407" s="113"/>
      <c r="Q407" s="113"/>
      <c r="R407" s="113"/>
      <c r="S407" s="113"/>
      <c r="T407" s="113"/>
      <c r="U407" s="113"/>
      <c r="V407" s="113"/>
      <c r="W407" s="113"/>
      <c r="X407" s="113"/>
      <c r="Y407" s="113"/>
      <c r="Z407" s="113"/>
    </row>
    <row r="408">
      <c r="A408" s="113"/>
      <c r="B408" s="120"/>
      <c r="C408" s="120"/>
      <c r="D408" s="40"/>
      <c r="E408" s="114"/>
      <c r="F408" s="113"/>
      <c r="G408" s="113"/>
      <c r="H408" s="113"/>
      <c r="I408" s="113"/>
      <c r="J408" s="113"/>
      <c r="K408" s="113"/>
      <c r="L408" s="113"/>
      <c r="M408" s="113"/>
      <c r="N408" s="113"/>
      <c r="O408" s="113"/>
      <c r="P408" s="113"/>
      <c r="Q408" s="113"/>
      <c r="R408" s="113"/>
      <c r="S408" s="113"/>
      <c r="T408" s="113"/>
      <c r="U408" s="113"/>
      <c r="V408" s="113"/>
      <c r="W408" s="113"/>
      <c r="X408" s="113"/>
      <c r="Y408" s="113"/>
      <c r="Z408" s="113"/>
    </row>
    <row r="409">
      <c r="A409" s="113"/>
      <c r="B409" s="120"/>
      <c r="C409" s="120"/>
      <c r="D409" s="40"/>
      <c r="E409" s="114"/>
      <c r="F409" s="113"/>
      <c r="G409" s="113"/>
      <c r="H409" s="113"/>
      <c r="I409" s="113"/>
      <c r="J409" s="113"/>
      <c r="K409" s="113"/>
      <c r="L409" s="113"/>
      <c r="M409" s="113"/>
      <c r="N409" s="113"/>
      <c r="O409" s="113"/>
      <c r="P409" s="113"/>
      <c r="Q409" s="113"/>
      <c r="R409" s="113"/>
      <c r="S409" s="113"/>
      <c r="T409" s="113"/>
      <c r="U409" s="113"/>
      <c r="V409" s="113"/>
      <c r="W409" s="113"/>
      <c r="X409" s="113"/>
      <c r="Y409" s="113"/>
      <c r="Z409" s="113"/>
    </row>
    <row r="410">
      <c r="A410" s="113"/>
      <c r="B410" s="120"/>
      <c r="C410" s="120"/>
      <c r="D410" s="40"/>
      <c r="E410" s="114"/>
      <c r="F410" s="113"/>
      <c r="G410" s="113"/>
      <c r="H410" s="113"/>
      <c r="I410" s="113"/>
      <c r="J410" s="113"/>
      <c r="K410" s="113"/>
      <c r="L410" s="113"/>
      <c r="M410" s="113"/>
      <c r="N410" s="113"/>
      <c r="O410" s="113"/>
      <c r="P410" s="113"/>
      <c r="Q410" s="113"/>
      <c r="R410" s="113"/>
      <c r="S410" s="113"/>
      <c r="T410" s="113"/>
      <c r="U410" s="113"/>
      <c r="V410" s="113"/>
      <c r="W410" s="113"/>
      <c r="X410" s="113"/>
      <c r="Y410" s="113"/>
      <c r="Z410" s="113"/>
    </row>
    <row r="411">
      <c r="A411" s="113"/>
      <c r="B411" s="120"/>
      <c r="C411" s="120"/>
      <c r="D411" s="40"/>
      <c r="E411" s="114"/>
      <c r="F411" s="113"/>
      <c r="G411" s="113"/>
      <c r="H411" s="113"/>
      <c r="I411" s="113"/>
      <c r="J411" s="113"/>
      <c r="K411" s="113"/>
      <c r="L411" s="113"/>
      <c r="M411" s="113"/>
      <c r="N411" s="113"/>
      <c r="O411" s="113"/>
      <c r="P411" s="113"/>
      <c r="Q411" s="113"/>
      <c r="R411" s="113"/>
      <c r="S411" s="113"/>
      <c r="T411" s="113"/>
      <c r="U411" s="113"/>
      <c r="V411" s="113"/>
      <c r="W411" s="113"/>
      <c r="X411" s="113"/>
      <c r="Y411" s="113"/>
      <c r="Z411" s="113"/>
    </row>
    <row r="412">
      <c r="A412" s="113"/>
      <c r="B412" s="120"/>
      <c r="C412" s="120"/>
      <c r="D412" s="40"/>
      <c r="E412" s="114"/>
      <c r="F412" s="113"/>
      <c r="G412" s="113"/>
      <c r="H412" s="113"/>
      <c r="I412" s="113"/>
      <c r="J412" s="113"/>
      <c r="K412" s="113"/>
      <c r="L412" s="113"/>
      <c r="M412" s="113"/>
      <c r="N412" s="113"/>
      <c r="O412" s="113"/>
      <c r="P412" s="113"/>
      <c r="Q412" s="113"/>
      <c r="R412" s="113"/>
      <c r="S412" s="113"/>
      <c r="T412" s="113"/>
      <c r="U412" s="113"/>
      <c r="V412" s="113"/>
      <c r="W412" s="113"/>
      <c r="X412" s="113"/>
      <c r="Y412" s="113"/>
      <c r="Z412" s="113"/>
    </row>
    <row r="413">
      <c r="A413" s="113"/>
      <c r="B413" s="120"/>
      <c r="C413" s="120"/>
      <c r="D413" s="40"/>
      <c r="E413" s="114"/>
      <c r="F413" s="113"/>
      <c r="G413" s="113"/>
      <c r="H413" s="113"/>
      <c r="I413" s="113"/>
      <c r="J413" s="113"/>
      <c r="K413" s="113"/>
      <c r="L413" s="113"/>
      <c r="M413" s="113"/>
      <c r="N413" s="113"/>
      <c r="O413" s="113"/>
      <c r="P413" s="113"/>
      <c r="Q413" s="113"/>
      <c r="R413" s="113"/>
      <c r="S413" s="113"/>
      <c r="T413" s="113"/>
      <c r="U413" s="113"/>
      <c r="V413" s="113"/>
      <c r="W413" s="113"/>
      <c r="X413" s="113"/>
      <c r="Y413" s="113"/>
      <c r="Z413" s="113"/>
    </row>
    <row r="414">
      <c r="A414" s="113"/>
      <c r="B414" s="120"/>
      <c r="C414" s="120"/>
      <c r="D414" s="40"/>
      <c r="E414" s="114"/>
      <c r="F414" s="113"/>
      <c r="G414" s="113"/>
      <c r="H414" s="113"/>
      <c r="I414" s="113"/>
      <c r="J414" s="113"/>
      <c r="K414" s="113"/>
      <c r="L414" s="113"/>
      <c r="M414" s="113"/>
      <c r="N414" s="113"/>
      <c r="O414" s="113"/>
      <c r="P414" s="113"/>
      <c r="Q414" s="113"/>
      <c r="R414" s="113"/>
      <c r="S414" s="113"/>
      <c r="T414" s="113"/>
      <c r="U414" s="113"/>
      <c r="V414" s="113"/>
      <c r="W414" s="113"/>
      <c r="X414" s="113"/>
      <c r="Y414" s="113"/>
      <c r="Z414" s="113"/>
    </row>
    <row r="415">
      <c r="A415" s="113"/>
      <c r="B415" s="120"/>
      <c r="C415" s="120"/>
      <c r="D415" s="40"/>
      <c r="E415" s="114"/>
      <c r="F415" s="113"/>
      <c r="G415" s="113"/>
      <c r="H415" s="113"/>
      <c r="I415" s="113"/>
      <c r="J415" s="113"/>
      <c r="K415" s="113"/>
      <c r="L415" s="113"/>
      <c r="M415" s="113"/>
      <c r="N415" s="113"/>
      <c r="O415" s="113"/>
      <c r="P415" s="113"/>
      <c r="Q415" s="113"/>
      <c r="R415" s="113"/>
      <c r="S415" s="113"/>
      <c r="T415" s="113"/>
      <c r="U415" s="113"/>
      <c r="V415" s="113"/>
      <c r="W415" s="113"/>
      <c r="X415" s="113"/>
      <c r="Y415" s="113"/>
      <c r="Z415" s="113"/>
    </row>
    <row r="416">
      <c r="A416" s="113"/>
      <c r="B416" s="120"/>
      <c r="C416" s="120"/>
      <c r="D416" s="40"/>
      <c r="E416" s="114"/>
      <c r="F416" s="113"/>
      <c r="G416" s="113"/>
      <c r="H416" s="113"/>
      <c r="I416" s="113"/>
      <c r="J416" s="113"/>
      <c r="K416" s="113"/>
      <c r="L416" s="113"/>
      <c r="M416" s="113"/>
      <c r="N416" s="113"/>
      <c r="O416" s="113"/>
      <c r="P416" s="113"/>
      <c r="Q416" s="113"/>
      <c r="R416" s="113"/>
      <c r="S416" s="113"/>
      <c r="T416" s="113"/>
      <c r="U416" s="113"/>
      <c r="V416" s="113"/>
      <c r="W416" s="113"/>
      <c r="X416" s="113"/>
      <c r="Y416" s="113"/>
      <c r="Z416" s="113"/>
    </row>
    <row r="417">
      <c r="A417" s="113"/>
      <c r="B417" s="120"/>
      <c r="C417" s="120"/>
      <c r="D417" s="40"/>
      <c r="E417" s="114"/>
      <c r="F417" s="113"/>
      <c r="G417" s="113"/>
      <c r="H417" s="113"/>
      <c r="I417" s="113"/>
      <c r="J417" s="113"/>
      <c r="K417" s="113"/>
      <c r="L417" s="113"/>
      <c r="M417" s="113"/>
      <c r="N417" s="113"/>
      <c r="O417" s="113"/>
      <c r="P417" s="113"/>
      <c r="Q417" s="113"/>
      <c r="R417" s="113"/>
      <c r="S417" s="113"/>
      <c r="T417" s="113"/>
      <c r="U417" s="113"/>
      <c r="V417" s="113"/>
      <c r="W417" s="113"/>
      <c r="X417" s="113"/>
      <c r="Y417" s="113"/>
      <c r="Z417" s="113"/>
    </row>
    <row r="418">
      <c r="A418" s="113"/>
      <c r="B418" s="120"/>
      <c r="C418" s="120"/>
      <c r="D418" s="40"/>
      <c r="E418" s="114"/>
      <c r="F418" s="113"/>
      <c r="G418" s="113"/>
      <c r="H418" s="113"/>
      <c r="I418" s="113"/>
      <c r="J418" s="113"/>
      <c r="K418" s="113"/>
      <c r="L418" s="113"/>
      <c r="M418" s="113"/>
      <c r="N418" s="113"/>
      <c r="O418" s="113"/>
      <c r="P418" s="113"/>
      <c r="Q418" s="113"/>
      <c r="R418" s="113"/>
      <c r="S418" s="113"/>
      <c r="T418" s="113"/>
      <c r="U418" s="113"/>
      <c r="V418" s="113"/>
      <c r="W418" s="113"/>
      <c r="X418" s="113"/>
      <c r="Y418" s="113"/>
      <c r="Z418" s="113"/>
    </row>
    <row r="419">
      <c r="A419" s="113"/>
      <c r="B419" s="120"/>
      <c r="C419" s="120"/>
      <c r="D419" s="40"/>
      <c r="E419" s="114"/>
      <c r="F419" s="113"/>
      <c r="G419" s="113"/>
      <c r="H419" s="113"/>
      <c r="I419" s="113"/>
      <c r="J419" s="113"/>
      <c r="K419" s="113"/>
      <c r="L419" s="113"/>
      <c r="M419" s="113"/>
      <c r="N419" s="113"/>
      <c r="O419" s="113"/>
      <c r="P419" s="113"/>
      <c r="Q419" s="113"/>
      <c r="R419" s="113"/>
      <c r="S419" s="113"/>
      <c r="T419" s="113"/>
      <c r="U419" s="113"/>
      <c r="V419" s="113"/>
      <c r="W419" s="113"/>
      <c r="X419" s="113"/>
      <c r="Y419" s="113"/>
      <c r="Z419" s="113"/>
    </row>
    <row r="420">
      <c r="A420" s="113"/>
      <c r="B420" s="120"/>
      <c r="C420" s="120"/>
      <c r="D420" s="40"/>
      <c r="E420" s="114"/>
      <c r="F420" s="113"/>
      <c r="G420" s="113"/>
      <c r="H420" s="113"/>
      <c r="I420" s="113"/>
      <c r="J420" s="113"/>
      <c r="K420" s="113"/>
      <c r="L420" s="113"/>
      <c r="M420" s="113"/>
      <c r="N420" s="113"/>
      <c r="O420" s="113"/>
      <c r="P420" s="113"/>
      <c r="Q420" s="113"/>
      <c r="R420" s="113"/>
      <c r="S420" s="113"/>
      <c r="T420" s="113"/>
      <c r="U420" s="113"/>
      <c r="V420" s="113"/>
      <c r="W420" s="113"/>
      <c r="X420" s="113"/>
      <c r="Y420" s="113"/>
      <c r="Z420" s="113"/>
    </row>
    <row r="421">
      <c r="A421" s="113"/>
      <c r="B421" s="120"/>
      <c r="C421" s="120"/>
      <c r="D421" s="40"/>
      <c r="E421" s="114"/>
      <c r="F421" s="113"/>
      <c r="G421" s="113"/>
      <c r="H421" s="113"/>
      <c r="I421" s="113"/>
      <c r="J421" s="113"/>
      <c r="K421" s="113"/>
      <c r="L421" s="113"/>
      <c r="M421" s="113"/>
      <c r="N421" s="113"/>
      <c r="O421" s="113"/>
      <c r="P421" s="113"/>
      <c r="Q421" s="113"/>
      <c r="R421" s="113"/>
      <c r="S421" s="113"/>
      <c r="T421" s="113"/>
      <c r="U421" s="113"/>
      <c r="V421" s="113"/>
      <c r="W421" s="113"/>
      <c r="X421" s="113"/>
      <c r="Y421" s="113"/>
      <c r="Z421" s="113"/>
    </row>
    <row r="422">
      <c r="A422" s="113"/>
      <c r="B422" s="120"/>
      <c r="C422" s="120"/>
      <c r="D422" s="40"/>
      <c r="E422" s="114"/>
      <c r="F422" s="113"/>
      <c r="G422" s="113"/>
      <c r="H422" s="113"/>
      <c r="I422" s="113"/>
      <c r="J422" s="113"/>
      <c r="K422" s="113"/>
      <c r="L422" s="113"/>
      <c r="M422" s="113"/>
      <c r="N422" s="113"/>
      <c r="O422" s="113"/>
      <c r="P422" s="113"/>
      <c r="Q422" s="113"/>
      <c r="R422" s="113"/>
      <c r="S422" s="113"/>
      <c r="T422" s="113"/>
      <c r="U422" s="113"/>
      <c r="V422" s="113"/>
      <c r="W422" s="113"/>
      <c r="X422" s="113"/>
      <c r="Y422" s="113"/>
      <c r="Z422" s="113"/>
    </row>
    <row r="423">
      <c r="A423" s="113"/>
      <c r="B423" s="120"/>
      <c r="C423" s="120"/>
      <c r="D423" s="40"/>
      <c r="E423" s="114"/>
      <c r="F423" s="113"/>
      <c r="G423" s="113"/>
      <c r="H423" s="113"/>
      <c r="I423" s="113"/>
      <c r="J423" s="113"/>
      <c r="K423" s="113"/>
      <c r="L423" s="113"/>
      <c r="M423" s="113"/>
      <c r="N423" s="113"/>
      <c r="O423" s="113"/>
      <c r="P423" s="113"/>
      <c r="Q423" s="113"/>
      <c r="R423" s="113"/>
      <c r="S423" s="113"/>
      <c r="T423" s="113"/>
      <c r="U423" s="113"/>
      <c r="V423" s="113"/>
      <c r="W423" s="113"/>
      <c r="X423" s="113"/>
      <c r="Y423" s="113"/>
      <c r="Z423" s="113"/>
    </row>
    <row r="424">
      <c r="A424" s="113"/>
      <c r="B424" s="120"/>
      <c r="C424" s="120"/>
      <c r="D424" s="40"/>
      <c r="E424" s="114"/>
      <c r="F424" s="113"/>
      <c r="G424" s="113"/>
      <c r="H424" s="113"/>
      <c r="I424" s="113"/>
      <c r="J424" s="113"/>
      <c r="K424" s="113"/>
      <c r="L424" s="113"/>
      <c r="M424" s="113"/>
      <c r="N424" s="113"/>
      <c r="O424" s="113"/>
      <c r="P424" s="113"/>
      <c r="Q424" s="113"/>
      <c r="R424" s="113"/>
      <c r="S424" s="113"/>
      <c r="T424" s="113"/>
      <c r="U424" s="113"/>
      <c r="V424" s="113"/>
      <c r="W424" s="113"/>
      <c r="X424" s="113"/>
      <c r="Y424" s="113"/>
      <c r="Z424" s="113"/>
    </row>
    <row r="425">
      <c r="A425" s="113"/>
      <c r="B425" s="120"/>
      <c r="C425" s="120"/>
      <c r="D425" s="40"/>
      <c r="E425" s="114"/>
      <c r="F425" s="113"/>
      <c r="G425" s="113"/>
      <c r="H425" s="113"/>
      <c r="I425" s="113"/>
      <c r="J425" s="113"/>
      <c r="K425" s="113"/>
      <c r="L425" s="113"/>
      <c r="M425" s="113"/>
      <c r="N425" s="113"/>
      <c r="O425" s="113"/>
      <c r="P425" s="113"/>
      <c r="Q425" s="113"/>
      <c r="R425" s="113"/>
      <c r="S425" s="113"/>
      <c r="T425" s="113"/>
      <c r="U425" s="113"/>
      <c r="V425" s="113"/>
      <c r="W425" s="113"/>
      <c r="X425" s="113"/>
      <c r="Y425" s="113"/>
      <c r="Z425" s="113"/>
    </row>
    <row r="426">
      <c r="A426" s="113"/>
      <c r="B426" s="120"/>
      <c r="C426" s="120"/>
      <c r="D426" s="40"/>
      <c r="E426" s="114"/>
      <c r="F426" s="113"/>
      <c r="G426" s="113"/>
      <c r="H426" s="113"/>
      <c r="I426" s="113"/>
      <c r="J426" s="113"/>
      <c r="K426" s="113"/>
      <c r="L426" s="113"/>
      <c r="M426" s="113"/>
      <c r="N426" s="113"/>
      <c r="O426" s="113"/>
      <c r="P426" s="113"/>
      <c r="Q426" s="113"/>
      <c r="R426" s="113"/>
      <c r="S426" s="113"/>
      <c r="T426" s="113"/>
      <c r="U426" s="113"/>
      <c r="V426" s="113"/>
      <c r="W426" s="113"/>
      <c r="X426" s="113"/>
      <c r="Y426" s="113"/>
      <c r="Z426" s="113"/>
    </row>
    <row r="427">
      <c r="A427" s="113"/>
      <c r="B427" s="120"/>
      <c r="C427" s="120"/>
      <c r="D427" s="40"/>
      <c r="E427" s="114"/>
      <c r="F427" s="113"/>
      <c r="G427" s="113"/>
      <c r="H427" s="113"/>
      <c r="I427" s="113"/>
      <c r="J427" s="113"/>
      <c r="K427" s="113"/>
      <c r="L427" s="113"/>
      <c r="M427" s="113"/>
      <c r="N427" s="113"/>
      <c r="O427" s="113"/>
      <c r="P427" s="113"/>
      <c r="Q427" s="113"/>
      <c r="R427" s="113"/>
      <c r="S427" s="113"/>
      <c r="T427" s="113"/>
      <c r="U427" s="113"/>
      <c r="V427" s="113"/>
      <c r="W427" s="113"/>
      <c r="X427" s="113"/>
      <c r="Y427" s="113"/>
      <c r="Z427" s="113"/>
    </row>
    <row r="428">
      <c r="A428" s="113"/>
      <c r="B428" s="120"/>
      <c r="C428" s="120"/>
      <c r="D428" s="40"/>
      <c r="E428" s="114"/>
      <c r="F428" s="113"/>
      <c r="G428" s="113"/>
      <c r="H428" s="113"/>
      <c r="I428" s="113"/>
      <c r="J428" s="113"/>
      <c r="K428" s="113"/>
      <c r="L428" s="113"/>
      <c r="M428" s="113"/>
      <c r="N428" s="113"/>
      <c r="O428" s="113"/>
      <c r="P428" s="113"/>
      <c r="Q428" s="113"/>
      <c r="R428" s="113"/>
      <c r="S428" s="113"/>
      <c r="T428" s="113"/>
      <c r="U428" s="113"/>
      <c r="V428" s="113"/>
      <c r="W428" s="113"/>
      <c r="X428" s="113"/>
      <c r="Y428" s="113"/>
      <c r="Z428" s="113"/>
    </row>
    <row r="429">
      <c r="A429" s="113"/>
      <c r="B429" s="120"/>
      <c r="C429" s="120"/>
      <c r="D429" s="40"/>
      <c r="E429" s="114"/>
      <c r="F429" s="113"/>
      <c r="G429" s="113"/>
      <c r="H429" s="113"/>
      <c r="I429" s="113"/>
      <c r="J429" s="113"/>
      <c r="K429" s="113"/>
      <c r="L429" s="113"/>
      <c r="M429" s="113"/>
      <c r="N429" s="113"/>
      <c r="O429" s="113"/>
      <c r="P429" s="113"/>
      <c r="Q429" s="113"/>
      <c r="R429" s="113"/>
      <c r="S429" s="113"/>
      <c r="T429" s="113"/>
      <c r="U429" s="113"/>
      <c r="V429" s="113"/>
      <c r="W429" s="113"/>
      <c r="X429" s="113"/>
      <c r="Y429" s="113"/>
      <c r="Z429" s="113"/>
    </row>
    <row r="430">
      <c r="A430" s="113"/>
      <c r="B430" s="120"/>
      <c r="C430" s="120"/>
      <c r="D430" s="40"/>
      <c r="E430" s="114"/>
      <c r="F430" s="113"/>
      <c r="G430" s="113"/>
      <c r="H430" s="113"/>
      <c r="I430" s="113"/>
      <c r="J430" s="113"/>
      <c r="K430" s="113"/>
      <c r="L430" s="113"/>
      <c r="M430" s="113"/>
      <c r="N430" s="113"/>
      <c r="O430" s="113"/>
      <c r="P430" s="113"/>
      <c r="Q430" s="113"/>
      <c r="R430" s="113"/>
      <c r="S430" s="113"/>
      <c r="T430" s="113"/>
      <c r="U430" s="113"/>
      <c r="V430" s="113"/>
      <c r="W430" s="113"/>
      <c r="X430" s="113"/>
      <c r="Y430" s="113"/>
      <c r="Z430" s="113"/>
    </row>
    <row r="431">
      <c r="A431" s="113"/>
      <c r="B431" s="120"/>
      <c r="C431" s="120"/>
      <c r="D431" s="40"/>
      <c r="E431" s="114"/>
      <c r="F431" s="113"/>
      <c r="G431" s="113"/>
      <c r="H431" s="113"/>
      <c r="I431" s="113"/>
      <c r="J431" s="113"/>
      <c r="K431" s="113"/>
      <c r="L431" s="113"/>
      <c r="M431" s="113"/>
      <c r="N431" s="113"/>
      <c r="O431" s="113"/>
      <c r="P431" s="113"/>
      <c r="Q431" s="113"/>
      <c r="R431" s="113"/>
      <c r="S431" s="113"/>
      <c r="T431" s="113"/>
      <c r="U431" s="113"/>
      <c r="V431" s="113"/>
      <c r="W431" s="113"/>
      <c r="X431" s="113"/>
      <c r="Y431" s="113"/>
      <c r="Z431" s="113"/>
    </row>
    <row r="432">
      <c r="A432" s="113"/>
      <c r="B432" s="120"/>
      <c r="C432" s="120"/>
      <c r="D432" s="40"/>
      <c r="E432" s="114"/>
      <c r="F432" s="113"/>
      <c r="G432" s="113"/>
      <c r="H432" s="113"/>
      <c r="I432" s="113"/>
      <c r="J432" s="113"/>
      <c r="K432" s="113"/>
      <c r="L432" s="113"/>
      <c r="M432" s="113"/>
      <c r="N432" s="113"/>
      <c r="O432" s="113"/>
      <c r="P432" s="113"/>
      <c r="Q432" s="113"/>
      <c r="R432" s="113"/>
      <c r="S432" s="113"/>
      <c r="T432" s="113"/>
      <c r="U432" s="113"/>
      <c r="V432" s="113"/>
      <c r="W432" s="113"/>
      <c r="X432" s="113"/>
      <c r="Y432" s="113"/>
      <c r="Z432" s="113"/>
    </row>
    <row r="433">
      <c r="A433" s="113"/>
      <c r="B433" s="120"/>
      <c r="C433" s="120"/>
      <c r="D433" s="40"/>
      <c r="E433" s="114"/>
      <c r="F433" s="113"/>
      <c r="G433" s="113"/>
      <c r="H433" s="113"/>
      <c r="I433" s="113"/>
      <c r="J433" s="113"/>
      <c r="K433" s="113"/>
      <c r="L433" s="113"/>
      <c r="M433" s="113"/>
      <c r="N433" s="113"/>
      <c r="O433" s="113"/>
      <c r="P433" s="113"/>
      <c r="Q433" s="113"/>
      <c r="R433" s="113"/>
      <c r="S433" s="113"/>
      <c r="T433" s="113"/>
      <c r="U433" s="113"/>
      <c r="V433" s="113"/>
      <c r="W433" s="113"/>
      <c r="X433" s="113"/>
      <c r="Y433" s="113"/>
      <c r="Z433" s="113"/>
    </row>
    <row r="434">
      <c r="A434" s="113"/>
      <c r="B434" s="120"/>
      <c r="C434" s="120"/>
      <c r="D434" s="40"/>
      <c r="E434" s="114"/>
      <c r="F434" s="113"/>
      <c r="G434" s="113"/>
      <c r="H434" s="113"/>
      <c r="I434" s="113"/>
      <c r="J434" s="113"/>
      <c r="K434" s="113"/>
      <c r="L434" s="113"/>
      <c r="M434" s="113"/>
      <c r="N434" s="113"/>
      <c r="O434" s="113"/>
      <c r="P434" s="113"/>
      <c r="Q434" s="113"/>
      <c r="R434" s="113"/>
      <c r="S434" s="113"/>
      <c r="T434" s="113"/>
      <c r="U434" s="113"/>
      <c r="V434" s="113"/>
      <c r="W434" s="113"/>
      <c r="X434" s="113"/>
      <c r="Y434" s="113"/>
      <c r="Z434" s="113"/>
    </row>
    <row r="435">
      <c r="A435" s="113"/>
      <c r="B435" s="120"/>
      <c r="C435" s="120"/>
      <c r="D435" s="40"/>
      <c r="E435" s="114"/>
      <c r="F435" s="113"/>
      <c r="G435" s="113"/>
      <c r="H435" s="113"/>
      <c r="I435" s="113"/>
      <c r="J435" s="113"/>
      <c r="K435" s="113"/>
      <c r="L435" s="113"/>
      <c r="M435" s="113"/>
      <c r="N435" s="113"/>
      <c r="O435" s="113"/>
      <c r="P435" s="113"/>
      <c r="Q435" s="113"/>
      <c r="R435" s="113"/>
      <c r="S435" s="113"/>
      <c r="T435" s="113"/>
      <c r="U435" s="113"/>
      <c r="V435" s="113"/>
      <c r="W435" s="113"/>
      <c r="X435" s="113"/>
      <c r="Y435" s="113"/>
      <c r="Z435" s="113"/>
    </row>
    <row r="436">
      <c r="A436" s="113"/>
      <c r="B436" s="120"/>
      <c r="C436" s="120"/>
      <c r="D436" s="40"/>
      <c r="E436" s="114"/>
      <c r="F436" s="113"/>
      <c r="G436" s="113"/>
      <c r="H436" s="113"/>
      <c r="I436" s="113"/>
      <c r="J436" s="113"/>
      <c r="K436" s="113"/>
      <c r="L436" s="113"/>
      <c r="M436" s="113"/>
      <c r="N436" s="113"/>
      <c r="O436" s="113"/>
      <c r="P436" s="113"/>
      <c r="Q436" s="113"/>
      <c r="R436" s="113"/>
      <c r="S436" s="113"/>
      <c r="T436" s="113"/>
      <c r="U436" s="113"/>
      <c r="V436" s="113"/>
      <c r="W436" s="113"/>
      <c r="X436" s="113"/>
      <c r="Y436" s="113"/>
      <c r="Z436" s="113"/>
    </row>
    <row r="437">
      <c r="A437" s="113"/>
      <c r="B437" s="120"/>
      <c r="C437" s="120"/>
      <c r="D437" s="40"/>
      <c r="E437" s="114"/>
      <c r="F437" s="113"/>
      <c r="G437" s="113"/>
      <c r="H437" s="113"/>
      <c r="I437" s="113"/>
      <c r="J437" s="113"/>
      <c r="K437" s="113"/>
      <c r="L437" s="113"/>
      <c r="M437" s="113"/>
      <c r="N437" s="113"/>
      <c r="O437" s="113"/>
      <c r="P437" s="113"/>
      <c r="Q437" s="113"/>
      <c r="R437" s="113"/>
      <c r="S437" s="113"/>
      <c r="T437" s="113"/>
      <c r="U437" s="113"/>
      <c r="V437" s="113"/>
      <c r="W437" s="113"/>
      <c r="X437" s="113"/>
      <c r="Y437" s="113"/>
      <c r="Z437" s="113"/>
    </row>
    <row r="438">
      <c r="A438" s="113"/>
      <c r="B438" s="120"/>
      <c r="C438" s="120"/>
      <c r="D438" s="40"/>
      <c r="E438" s="114"/>
      <c r="F438" s="113"/>
      <c r="G438" s="113"/>
      <c r="H438" s="113"/>
      <c r="I438" s="113"/>
      <c r="J438" s="113"/>
      <c r="K438" s="113"/>
      <c r="L438" s="113"/>
      <c r="M438" s="113"/>
      <c r="N438" s="113"/>
      <c r="O438" s="113"/>
      <c r="P438" s="113"/>
      <c r="Q438" s="113"/>
      <c r="R438" s="113"/>
      <c r="S438" s="113"/>
      <c r="T438" s="113"/>
      <c r="U438" s="113"/>
      <c r="V438" s="113"/>
      <c r="W438" s="113"/>
      <c r="X438" s="113"/>
      <c r="Y438" s="113"/>
      <c r="Z438" s="113"/>
    </row>
    <row r="439">
      <c r="A439" s="113"/>
      <c r="B439" s="120"/>
      <c r="C439" s="120"/>
      <c r="D439" s="40"/>
      <c r="E439" s="114"/>
      <c r="F439" s="113"/>
      <c r="G439" s="113"/>
      <c r="H439" s="113"/>
      <c r="I439" s="113"/>
      <c r="J439" s="113"/>
      <c r="K439" s="113"/>
      <c r="L439" s="113"/>
      <c r="M439" s="113"/>
      <c r="N439" s="113"/>
      <c r="O439" s="113"/>
      <c r="P439" s="113"/>
      <c r="Q439" s="113"/>
      <c r="R439" s="113"/>
      <c r="S439" s="113"/>
      <c r="T439" s="113"/>
      <c r="U439" s="113"/>
      <c r="V439" s="113"/>
      <c r="W439" s="113"/>
      <c r="X439" s="113"/>
      <c r="Y439" s="113"/>
      <c r="Z439" s="113"/>
    </row>
    <row r="440">
      <c r="A440" s="113"/>
      <c r="B440" s="120"/>
      <c r="C440" s="120"/>
      <c r="D440" s="40"/>
      <c r="E440" s="114"/>
      <c r="F440" s="113"/>
      <c r="G440" s="113"/>
      <c r="H440" s="113"/>
      <c r="I440" s="113"/>
      <c r="J440" s="113"/>
      <c r="K440" s="113"/>
      <c r="L440" s="113"/>
      <c r="M440" s="113"/>
      <c r="N440" s="113"/>
      <c r="O440" s="113"/>
      <c r="P440" s="113"/>
      <c r="Q440" s="113"/>
      <c r="R440" s="113"/>
      <c r="S440" s="113"/>
      <c r="T440" s="113"/>
      <c r="U440" s="113"/>
      <c r="V440" s="113"/>
      <c r="W440" s="113"/>
      <c r="X440" s="113"/>
      <c r="Y440" s="113"/>
      <c r="Z440" s="113"/>
    </row>
    <row r="441">
      <c r="A441" s="113"/>
      <c r="B441" s="120"/>
      <c r="C441" s="120"/>
      <c r="D441" s="40"/>
      <c r="E441" s="114"/>
      <c r="F441" s="113"/>
      <c r="G441" s="113"/>
      <c r="H441" s="113"/>
      <c r="I441" s="113"/>
      <c r="J441" s="113"/>
      <c r="K441" s="113"/>
      <c r="L441" s="113"/>
      <c r="M441" s="113"/>
      <c r="N441" s="113"/>
      <c r="O441" s="113"/>
      <c r="P441" s="113"/>
      <c r="Q441" s="113"/>
      <c r="R441" s="113"/>
      <c r="S441" s="113"/>
      <c r="T441" s="113"/>
      <c r="U441" s="113"/>
      <c r="V441" s="113"/>
      <c r="W441" s="113"/>
      <c r="X441" s="113"/>
      <c r="Y441" s="113"/>
      <c r="Z441" s="113"/>
    </row>
    <row r="442">
      <c r="A442" s="113"/>
      <c r="B442" s="120"/>
      <c r="C442" s="120"/>
      <c r="D442" s="40"/>
      <c r="E442" s="114"/>
      <c r="F442" s="113"/>
      <c r="G442" s="113"/>
      <c r="H442" s="113"/>
      <c r="I442" s="113"/>
      <c r="J442" s="113"/>
      <c r="K442" s="113"/>
      <c r="L442" s="113"/>
      <c r="M442" s="113"/>
      <c r="N442" s="113"/>
      <c r="O442" s="113"/>
      <c r="P442" s="113"/>
      <c r="Q442" s="113"/>
      <c r="R442" s="113"/>
      <c r="S442" s="113"/>
      <c r="T442" s="113"/>
      <c r="U442" s="113"/>
      <c r="V442" s="113"/>
      <c r="W442" s="113"/>
      <c r="X442" s="113"/>
      <c r="Y442" s="113"/>
      <c r="Z442" s="113"/>
    </row>
    <row r="443">
      <c r="A443" s="113"/>
      <c r="B443" s="120"/>
      <c r="C443" s="120"/>
      <c r="D443" s="40"/>
      <c r="E443" s="114"/>
      <c r="F443" s="113"/>
      <c r="G443" s="113"/>
      <c r="H443" s="113"/>
      <c r="I443" s="113"/>
      <c r="J443" s="113"/>
      <c r="K443" s="113"/>
      <c r="L443" s="113"/>
      <c r="M443" s="113"/>
      <c r="N443" s="113"/>
      <c r="O443" s="113"/>
      <c r="P443" s="113"/>
      <c r="Q443" s="113"/>
      <c r="R443" s="113"/>
      <c r="S443" s="113"/>
      <c r="T443" s="113"/>
      <c r="U443" s="113"/>
      <c r="V443" s="113"/>
      <c r="W443" s="113"/>
      <c r="X443" s="113"/>
      <c r="Y443" s="113"/>
      <c r="Z443" s="113"/>
    </row>
    <row r="444">
      <c r="A444" s="113"/>
      <c r="B444" s="120"/>
      <c r="C444" s="120"/>
      <c r="D444" s="40"/>
      <c r="E444" s="114"/>
      <c r="F444" s="113"/>
      <c r="G444" s="113"/>
      <c r="H444" s="113"/>
      <c r="I444" s="113"/>
      <c r="J444" s="113"/>
      <c r="K444" s="113"/>
      <c r="L444" s="113"/>
      <c r="M444" s="113"/>
      <c r="N444" s="113"/>
      <c r="O444" s="113"/>
      <c r="P444" s="113"/>
      <c r="Q444" s="113"/>
      <c r="R444" s="113"/>
      <c r="S444" s="113"/>
      <c r="T444" s="113"/>
      <c r="U444" s="113"/>
      <c r="V444" s="113"/>
      <c r="W444" s="113"/>
      <c r="X444" s="113"/>
      <c r="Y444" s="113"/>
      <c r="Z444" s="113"/>
    </row>
    <row r="445">
      <c r="A445" s="113"/>
      <c r="B445" s="120"/>
      <c r="C445" s="120"/>
      <c r="D445" s="40"/>
      <c r="E445" s="114"/>
      <c r="F445" s="113"/>
      <c r="G445" s="113"/>
      <c r="H445" s="113"/>
      <c r="I445" s="113"/>
      <c r="J445" s="113"/>
      <c r="K445" s="113"/>
      <c r="L445" s="113"/>
      <c r="M445" s="113"/>
      <c r="N445" s="113"/>
      <c r="O445" s="113"/>
      <c r="P445" s="113"/>
      <c r="Q445" s="113"/>
      <c r="R445" s="113"/>
      <c r="S445" s="113"/>
      <c r="T445" s="113"/>
      <c r="U445" s="113"/>
      <c r="V445" s="113"/>
      <c r="W445" s="113"/>
      <c r="X445" s="113"/>
      <c r="Y445" s="113"/>
      <c r="Z445" s="113"/>
    </row>
    <row r="446">
      <c r="A446" s="113"/>
      <c r="B446" s="120"/>
      <c r="C446" s="120"/>
      <c r="D446" s="40"/>
      <c r="E446" s="114"/>
      <c r="F446" s="113"/>
      <c r="G446" s="113"/>
      <c r="H446" s="113"/>
      <c r="I446" s="113"/>
      <c r="J446" s="113"/>
      <c r="K446" s="113"/>
      <c r="L446" s="113"/>
      <c r="M446" s="113"/>
      <c r="N446" s="113"/>
      <c r="O446" s="113"/>
      <c r="P446" s="113"/>
      <c r="Q446" s="113"/>
      <c r="R446" s="113"/>
      <c r="S446" s="113"/>
      <c r="T446" s="113"/>
      <c r="U446" s="113"/>
      <c r="V446" s="113"/>
      <c r="W446" s="113"/>
      <c r="X446" s="113"/>
      <c r="Y446" s="113"/>
      <c r="Z446" s="113"/>
    </row>
    <row r="447">
      <c r="A447" s="113"/>
      <c r="B447" s="120"/>
      <c r="C447" s="120"/>
      <c r="D447" s="40"/>
      <c r="E447" s="114"/>
      <c r="F447" s="113"/>
      <c r="G447" s="113"/>
      <c r="H447" s="113"/>
      <c r="I447" s="113"/>
      <c r="J447" s="113"/>
      <c r="K447" s="113"/>
      <c r="L447" s="113"/>
      <c r="M447" s="113"/>
      <c r="N447" s="113"/>
      <c r="O447" s="113"/>
      <c r="P447" s="113"/>
      <c r="Q447" s="113"/>
      <c r="R447" s="113"/>
      <c r="S447" s="113"/>
      <c r="T447" s="113"/>
      <c r="U447" s="113"/>
      <c r="V447" s="113"/>
      <c r="W447" s="113"/>
      <c r="X447" s="113"/>
      <c r="Y447" s="113"/>
      <c r="Z447" s="113"/>
    </row>
    <row r="448">
      <c r="A448" s="113"/>
      <c r="B448" s="120"/>
      <c r="C448" s="120"/>
      <c r="D448" s="40"/>
      <c r="E448" s="114"/>
      <c r="F448" s="113"/>
      <c r="G448" s="113"/>
      <c r="H448" s="113"/>
      <c r="I448" s="113"/>
      <c r="J448" s="113"/>
      <c r="K448" s="113"/>
      <c r="L448" s="113"/>
      <c r="M448" s="113"/>
      <c r="N448" s="113"/>
      <c r="O448" s="113"/>
      <c r="P448" s="113"/>
      <c r="Q448" s="113"/>
      <c r="R448" s="113"/>
      <c r="S448" s="113"/>
      <c r="T448" s="113"/>
      <c r="U448" s="113"/>
      <c r="V448" s="113"/>
      <c r="W448" s="113"/>
      <c r="X448" s="113"/>
      <c r="Y448" s="113"/>
      <c r="Z448" s="113"/>
    </row>
    <row r="449">
      <c r="A449" s="113"/>
      <c r="B449" s="120"/>
      <c r="C449" s="120"/>
      <c r="D449" s="40"/>
      <c r="E449" s="114"/>
      <c r="F449" s="113"/>
      <c r="G449" s="113"/>
      <c r="H449" s="113"/>
      <c r="I449" s="113"/>
      <c r="J449" s="113"/>
      <c r="K449" s="113"/>
      <c r="L449" s="113"/>
      <c r="M449" s="113"/>
      <c r="N449" s="113"/>
      <c r="O449" s="113"/>
      <c r="P449" s="113"/>
      <c r="Q449" s="113"/>
      <c r="R449" s="113"/>
      <c r="S449" s="113"/>
      <c r="T449" s="113"/>
      <c r="U449" s="113"/>
      <c r="V449" s="113"/>
      <c r="W449" s="113"/>
      <c r="X449" s="113"/>
      <c r="Y449" s="113"/>
      <c r="Z449" s="113"/>
    </row>
    <row r="450">
      <c r="A450" s="113"/>
      <c r="B450" s="120"/>
      <c r="C450" s="120"/>
      <c r="D450" s="40"/>
      <c r="E450" s="114"/>
      <c r="F450" s="113"/>
      <c r="G450" s="113"/>
      <c r="H450" s="113"/>
      <c r="I450" s="113"/>
      <c r="J450" s="113"/>
      <c r="K450" s="113"/>
      <c r="L450" s="113"/>
      <c r="M450" s="113"/>
      <c r="N450" s="113"/>
      <c r="O450" s="113"/>
      <c r="P450" s="113"/>
      <c r="Q450" s="113"/>
      <c r="R450" s="113"/>
      <c r="S450" s="113"/>
      <c r="T450" s="113"/>
      <c r="U450" s="113"/>
      <c r="V450" s="113"/>
      <c r="W450" s="113"/>
      <c r="X450" s="113"/>
      <c r="Y450" s="113"/>
      <c r="Z450" s="113"/>
    </row>
    <row r="451">
      <c r="A451" s="113"/>
      <c r="B451" s="120"/>
      <c r="C451" s="120"/>
      <c r="D451" s="40"/>
      <c r="E451" s="114"/>
      <c r="F451" s="113"/>
      <c r="G451" s="113"/>
      <c r="H451" s="113"/>
      <c r="I451" s="113"/>
      <c r="J451" s="113"/>
      <c r="K451" s="113"/>
      <c r="L451" s="113"/>
      <c r="M451" s="113"/>
      <c r="N451" s="113"/>
      <c r="O451" s="113"/>
      <c r="P451" s="113"/>
      <c r="Q451" s="113"/>
      <c r="R451" s="113"/>
      <c r="S451" s="113"/>
      <c r="T451" s="113"/>
      <c r="U451" s="113"/>
      <c r="V451" s="113"/>
      <c r="W451" s="113"/>
      <c r="X451" s="113"/>
      <c r="Y451" s="113"/>
      <c r="Z451" s="113"/>
    </row>
    <row r="452">
      <c r="A452" s="113"/>
      <c r="B452" s="120"/>
      <c r="C452" s="120"/>
      <c r="D452" s="40"/>
      <c r="E452" s="114"/>
      <c r="F452" s="113"/>
      <c r="G452" s="113"/>
      <c r="H452" s="113"/>
      <c r="I452" s="113"/>
      <c r="J452" s="113"/>
      <c r="K452" s="113"/>
      <c r="L452" s="113"/>
      <c r="M452" s="113"/>
      <c r="N452" s="113"/>
      <c r="O452" s="113"/>
      <c r="P452" s="113"/>
      <c r="Q452" s="113"/>
      <c r="R452" s="113"/>
      <c r="S452" s="113"/>
      <c r="T452" s="113"/>
      <c r="U452" s="113"/>
      <c r="V452" s="113"/>
      <c r="W452" s="113"/>
      <c r="X452" s="113"/>
      <c r="Y452" s="113"/>
      <c r="Z452" s="113"/>
    </row>
    <row r="453">
      <c r="A453" s="113"/>
      <c r="B453" s="120"/>
      <c r="C453" s="120"/>
      <c r="D453" s="40"/>
      <c r="E453" s="114"/>
      <c r="F453" s="113"/>
      <c r="G453" s="113"/>
      <c r="H453" s="113"/>
      <c r="I453" s="113"/>
      <c r="J453" s="113"/>
      <c r="K453" s="113"/>
      <c r="L453" s="113"/>
      <c r="M453" s="113"/>
      <c r="N453" s="113"/>
      <c r="O453" s="113"/>
      <c r="P453" s="113"/>
      <c r="Q453" s="113"/>
      <c r="R453" s="113"/>
      <c r="S453" s="113"/>
      <c r="T453" s="113"/>
      <c r="U453" s="113"/>
      <c r="V453" s="113"/>
      <c r="W453" s="113"/>
      <c r="X453" s="113"/>
      <c r="Y453" s="113"/>
      <c r="Z453" s="113"/>
    </row>
    <row r="454">
      <c r="A454" s="113"/>
      <c r="B454" s="120"/>
      <c r="C454" s="120"/>
      <c r="D454" s="40"/>
      <c r="E454" s="114"/>
      <c r="F454" s="113"/>
      <c r="G454" s="113"/>
      <c r="H454" s="113"/>
      <c r="I454" s="113"/>
      <c r="J454" s="113"/>
      <c r="K454" s="113"/>
      <c r="L454" s="113"/>
      <c r="M454" s="113"/>
      <c r="N454" s="113"/>
      <c r="O454" s="113"/>
      <c r="P454" s="113"/>
      <c r="Q454" s="113"/>
      <c r="R454" s="113"/>
      <c r="S454" s="113"/>
      <c r="T454" s="113"/>
      <c r="U454" s="113"/>
      <c r="V454" s="113"/>
      <c r="W454" s="113"/>
      <c r="X454" s="113"/>
      <c r="Y454" s="113"/>
      <c r="Z454" s="113"/>
    </row>
    <row r="455">
      <c r="A455" s="113"/>
      <c r="B455" s="120"/>
      <c r="C455" s="120"/>
      <c r="D455" s="40"/>
      <c r="E455" s="114"/>
      <c r="F455" s="113"/>
      <c r="G455" s="113"/>
      <c r="H455" s="113"/>
      <c r="I455" s="113"/>
      <c r="J455" s="113"/>
      <c r="K455" s="113"/>
      <c r="L455" s="113"/>
      <c r="M455" s="113"/>
      <c r="N455" s="113"/>
      <c r="O455" s="113"/>
      <c r="P455" s="113"/>
      <c r="Q455" s="113"/>
      <c r="R455" s="113"/>
      <c r="S455" s="113"/>
      <c r="T455" s="113"/>
      <c r="U455" s="113"/>
      <c r="V455" s="113"/>
      <c r="W455" s="113"/>
      <c r="X455" s="113"/>
      <c r="Y455" s="113"/>
      <c r="Z455" s="113"/>
    </row>
    <row r="456">
      <c r="A456" s="113"/>
      <c r="B456" s="120"/>
      <c r="C456" s="120"/>
      <c r="D456" s="40"/>
      <c r="E456" s="114"/>
      <c r="F456" s="113"/>
      <c r="G456" s="113"/>
      <c r="H456" s="113"/>
      <c r="I456" s="113"/>
      <c r="J456" s="113"/>
      <c r="K456" s="113"/>
      <c r="L456" s="113"/>
      <c r="M456" s="113"/>
      <c r="N456" s="113"/>
      <c r="O456" s="113"/>
      <c r="P456" s="113"/>
      <c r="Q456" s="113"/>
      <c r="R456" s="113"/>
      <c r="S456" s="113"/>
      <c r="T456" s="113"/>
      <c r="U456" s="113"/>
      <c r="V456" s="113"/>
      <c r="W456" s="113"/>
      <c r="X456" s="113"/>
      <c r="Y456" s="113"/>
      <c r="Z456" s="113"/>
    </row>
    <row r="457">
      <c r="A457" s="113"/>
      <c r="B457" s="120"/>
      <c r="C457" s="120"/>
      <c r="D457" s="40"/>
      <c r="E457" s="114"/>
      <c r="F457" s="113"/>
      <c r="G457" s="113"/>
      <c r="H457" s="113"/>
      <c r="I457" s="113"/>
      <c r="J457" s="113"/>
      <c r="K457" s="113"/>
      <c r="L457" s="113"/>
      <c r="M457" s="113"/>
      <c r="N457" s="113"/>
      <c r="O457" s="113"/>
      <c r="P457" s="113"/>
      <c r="Q457" s="113"/>
      <c r="R457" s="113"/>
      <c r="S457" s="113"/>
      <c r="T457" s="113"/>
      <c r="U457" s="113"/>
      <c r="V457" s="113"/>
      <c r="W457" s="113"/>
      <c r="X457" s="113"/>
      <c r="Y457" s="113"/>
      <c r="Z457" s="113"/>
    </row>
    <row r="458">
      <c r="A458" s="113"/>
      <c r="B458" s="120"/>
      <c r="C458" s="120"/>
      <c r="D458" s="40"/>
      <c r="E458" s="114"/>
      <c r="F458" s="113"/>
      <c r="G458" s="113"/>
      <c r="H458" s="113"/>
      <c r="I458" s="113"/>
      <c r="J458" s="113"/>
      <c r="K458" s="113"/>
      <c r="L458" s="113"/>
      <c r="M458" s="113"/>
      <c r="N458" s="113"/>
      <c r="O458" s="113"/>
      <c r="P458" s="113"/>
      <c r="Q458" s="113"/>
      <c r="R458" s="113"/>
      <c r="S458" s="113"/>
      <c r="T458" s="113"/>
      <c r="U458" s="113"/>
      <c r="V458" s="113"/>
      <c r="W458" s="113"/>
      <c r="X458" s="113"/>
      <c r="Y458" s="113"/>
      <c r="Z458" s="113"/>
    </row>
    <row r="459">
      <c r="A459" s="113"/>
      <c r="B459" s="120"/>
      <c r="C459" s="120"/>
      <c r="D459" s="40"/>
      <c r="E459" s="114"/>
      <c r="F459" s="113"/>
      <c r="G459" s="113"/>
      <c r="H459" s="113"/>
      <c r="I459" s="113"/>
      <c r="J459" s="113"/>
      <c r="K459" s="113"/>
      <c r="L459" s="113"/>
      <c r="M459" s="113"/>
      <c r="N459" s="113"/>
      <c r="O459" s="113"/>
      <c r="P459" s="113"/>
      <c r="Q459" s="113"/>
      <c r="R459" s="113"/>
      <c r="S459" s="113"/>
      <c r="T459" s="113"/>
      <c r="U459" s="113"/>
      <c r="V459" s="113"/>
      <c r="W459" s="113"/>
      <c r="X459" s="113"/>
      <c r="Y459" s="113"/>
      <c r="Z459" s="113"/>
    </row>
    <row r="460">
      <c r="A460" s="113"/>
      <c r="B460" s="120"/>
      <c r="C460" s="120"/>
      <c r="D460" s="40"/>
      <c r="E460" s="114"/>
      <c r="F460" s="113"/>
      <c r="G460" s="113"/>
      <c r="H460" s="113"/>
      <c r="I460" s="113"/>
      <c r="J460" s="113"/>
      <c r="K460" s="113"/>
      <c r="L460" s="113"/>
      <c r="M460" s="113"/>
      <c r="N460" s="113"/>
      <c r="O460" s="113"/>
      <c r="P460" s="113"/>
      <c r="Q460" s="113"/>
      <c r="R460" s="113"/>
      <c r="S460" s="113"/>
      <c r="T460" s="113"/>
      <c r="U460" s="113"/>
      <c r="V460" s="113"/>
      <c r="W460" s="113"/>
      <c r="X460" s="113"/>
      <c r="Y460" s="113"/>
      <c r="Z460" s="113"/>
    </row>
    <row r="461">
      <c r="A461" s="113"/>
      <c r="B461" s="120"/>
      <c r="C461" s="120"/>
      <c r="D461" s="40"/>
      <c r="E461" s="114"/>
      <c r="F461" s="113"/>
      <c r="G461" s="113"/>
      <c r="H461" s="113"/>
      <c r="I461" s="113"/>
      <c r="J461" s="113"/>
      <c r="K461" s="113"/>
      <c r="L461" s="113"/>
      <c r="M461" s="113"/>
      <c r="N461" s="113"/>
      <c r="O461" s="113"/>
      <c r="P461" s="113"/>
      <c r="Q461" s="113"/>
      <c r="R461" s="113"/>
      <c r="S461" s="113"/>
      <c r="T461" s="113"/>
      <c r="U461" s="113"/>
      <c r="V461" s="113"/>
      <c r="W461" s="113"/>
      <c r="X461" s="113"/>
      <c r="Y461" s="113"/>
      <c r="Z461" s="113"/>
    </row>
    <row r="462">
      <c r="A462" s="113"/>
      <c r="B462" s="120"/>
      <c r="C462" s="120"/>
      <c r="D462" s="40"/>
      <c r="E462" s="114"/>
      <c r="F462" s="113"/>
      <c r="G462" s="113"/>
      <c r="H462" s="113"/>
      <c r="I462" s="113"/>
      <c r="J462" s="113"/>
      <c r="K462" s="113"/>
      <c r="L462" s="113"/>
      <c r="M462" s="113"/>
      <c r="N462" s="113"/>
      <c r="O462" s="113"/>
      <c r="P462" s="113"/>
      <c r="Q462" s="113"/>
      <c r="R462" s="113"/>
      <c r="S462" s="113"/>
      <c r="T462" s="113"/>
      <c r="U462" s="113"/>
      <c r="V462" s="113"/>
      <c r="W462" s="113"/>
      <c r="X462" s="113"/>
      <c r="Y462" s="113"/>
      <c r="Z462" s="113"/>
    </row>
    <row r="463">
      <c r="A463" s="113"/>
      <c r="B463" s="120"/>
      <c r="C463" s="120"/>
      <c r="D463" s="40"/>
      <c r="E463" s="114"/>
      <c r="F463" s="113"/>
      <c r="G463" s="113"/>
      <c r="H463" s="113"/>
      <c r="I463" s="113"/>
      <c r="J463" s="113"/>
      <c r="K463" s="113"/>
      <c r="L463" s="113"/>
      <c r="M463" s="113"/>
      <c r="N463" s="113"/>
      <c r="O463" s="113"/>
      <c r="P463" s="113"/>
      <c r="Q463" s="113"/>
      <c r="R463" s="113"/>
      <c r="S463" s="113"/>
      <c r="T463" s="113"/>
      <c r="U463" s="113"/>
      <c r="V463" s="113"/>
      <c r="W463" s="113"/>
      <c r="X463" s="113"/>
      <c r="Y463" s="113"/>
      <c r="Z463" s="113"/>
    </row>
    <row r="464">
      <c r="A464" s="113"/>
      <c r="B464" s="120"/>
      <c r="C464" s="120"/>
      <c r="D464" s="40"/>
      <c r="E464" s="114"/>
      <c r="F464" s="113"/>
      <c r="G464" s="113"/>
      <c r="H464" s="113"/>
      <c r="I464" s="113"/>
      <c r="J464" s="113"/>
      <c r="K464" s="113"/>
      <c r="L464" s="113"/>
      <c r="M464" s="113"/>
      <c r="N464" s="113"/>
      <c r="O464" s="113"/>
      <c r="P464" s="113"/>
      <c r="Q464" s="113"/>
      <c r="R464" s="113"/>
      <c r="S464" s="113"/>
      <c r="T464" s="113"/>
      <c r="U464" s="113"/>
      <c r="V464" s="113"/>
      <c r="W464" s="113"/>
      <c r="X464" s="113"/>
      <c r="Y464" s="113"/>
      <c r="Z464" s="113"/>
    </row>
    <row r="465">
      <c r="A465" s="113"/>
      <c r="B465" s="120"/>
      <c r="C465" s="120"/>
      <c r="D465" s="40"/>
      <c r="E465" s="114"/>
      <c r="F465" s="113"/>
      <c r="G465" s="113"/>
      <c r="H465" s="113"/>
      <c r="I465" s="113"/>
      <c r="J465" s="113"/>
      <c r="K465" s="113"/>
      <c r="L465" s="113"/>
      <c r="M465" s="113"/>
      <c r="N465" s="113"/>
      <c r="O465" s="113"/>
      <c r="P465" s="113"/>
      <c r="Q465" s="113"/>
      <c r="R465" s="113"/>
      <c r="S465" s="113"/>
      <c r="T465" s="113"/>
      <c r="U465" s="113"/>
      <c r="V465" s="113"/>
      <c r="W465" s="113"/>
      <c r="X465" s="113"/>
      <c r="Y465" s="113"/>
      <c r="Z465" s="113"/>
    </row>
    <row r="466">
      <c r="A466" s="113"/>
      <c r="B466" s="120"/>
      <c r="C466" s="120"/>
      <c r="D466" s="40"/>
      <c r="E466" s="114"/>
      <c r="F466" s="113"/>
      <c r="G466" s="113"/>
      <c r="H466" s="113"/>
      <c r="I466" s="113"/>
      <c r="J466" s="113"/>
      <c r="K466" s="113"/>
      <c r="L466" s="113"/>
      <c r="M466" s="113"/>
      <c r="N466" s="113"/>
      <c r="O466" s="113"/>
      <c r="P466" s="113"/>
      <c r="Q466" s="113"/>
      <c r="R466" s="113"/>
      <c r="S466" s="113"/>
      <c r="T466" s="113"/>
      <c r="U466" s="113"/>
      <c r="V466" s="113"/>
      <c r="W466" s="113"/>
      <c r="X466" s="113"/>
      <c r="Y466" s="113"/>
      <c r="Z466" s="113"/>
    </row>
    <row r="467">
      <c r="A467" s="113"/>
      <c r="B467" s="120"/>
      <c r="C467" s="120"/>
      <c r="D467" s="40"/>
      <c r="E467" s="114"/>
      <c r="F467" s="113"/>
      <c r="G467" s="113"/>
      <c r="H467" s="113"/>
      <c r="I467" s="113"/>
      <c r="J467" s="113"/>
      <c r="K467" s="113"/>
      <c r="L467" s="113"/>
      <c r="M467" s="113"/>
      <c r="N467" s="113"/>
      <c r="O467" s="113"/>
      <c r="P467" s="113"/>
      <c r="Q467" s="113"/>
      <c r="R467" s="113"/>
      <c r="S467" s="113"/>
      <c r="T467" s="113"/>
      <c r="U467" s="113"/>
      <c r="V467" s="113"/>
      <c r="W467" s="113"/>
      <c r="X467" s="113"/>
      <c r="Y467" s="113"/>
      <c r="Z467" s="113"/>
    </row>
    <row r="468">
      <c r="A468" s="113"/>
      <c r="B468" s="120"/>
      <c r="C468" s="120"/>
      <c r="D468" s="40"/>
      <c r="E468" s="114"/>
      <c r="F468" s="113"/>
      <c r="G468" s="113"/>
      <c r="H468" s="113"/>
      <c r="I468" s="113"/>
      <c r="J468" s="113"/>
      <c r="K468" s="113"/>
      <c r="L468" s="113"/>
      <c r="M468" s="113"/>
      <c r="N468" s="113"/>
      <c r="O468" s="113"/>
      <c r="P468" s="113"/>
      <c r="Q468" s="113"/>
      <c r="R468" s="113"/>
      <c r="S468" s="113"/>
      <c r="T468" s="113"/>
      <c r="U468" s="113"/>
      <c r="V468" s="113"/>
      <c r="W468" s="113"/>
      <c r="X468" s="113"/>
      <c r="Y468" s="113"/>
      <c r="Z468" s="113"/>
    </row>
    <row r="469">
      <c r="A469" s="113"/>
      <c r="B469" s="120"/>
      <c r="C469" s="120"/>
      <c r="D469" s="40"/>
      <c r="E469" s="114"/>
      <c r="F469" s="113"/>
      <c r="G469" s="113"/>
      <c r="H469" s="113"/>
      <c r="I469" s="113"/>
      <c r="J469" s="113"/>
      <c r="K469" s="113"/>
      <c r="L469" s="113"/>
      <c r="M469" s="113"/>
      <c r="N469" s="113"/>
      <c r="O469" s="113"/>
      <c r="P469" s="113"/>
      <c r="Q469" s="113"/>
      <c r="R469" s="113"/>
      <c r="S469" s="113"/>
      <c r="T469" s="113"/>
      <c r="U469" s="113"/>
      <c r="V469" s="113"/>
      <c r="W469" s="113"/>
      <c r="X469" s="113"/>
      <c r="Y469" s="113"/>
      <c r="Z469" s="113"/>
    </row>
    <row r="470">
      <c r="A470" s="113"/>
      <c r="B470" s="120"/>
      <c r="C470" s="120"/>
      <c r="D470" s="40"/>
      <c r="E470" s="114"/>
      <c r="F470" s="113"/>
      <c r="G470" s="113"/>
      <c r="H470" s="113"/>
      <c r="I470" s="113"/>
      <c r="J470" s="113"/>
      <c r="K470" s="113"/>
      <c r="L470" s="113"/>
      <c r="M470" s="113"/>
      <c r="N470" s="113"/>
      <c r="O470" s="113"/>
      <c r="P470" s="113"/>
      <c r="Q470" s="113"/>
      <c r="R470" s="113"/>
      <c r="S470" s="113"/>
      <c r="T470" s="113"/>
      <c r="U470" s="113"/>
      <c r="V470" s="113"/>
      <c r="W470" s="113"/>
      <c r="X470" s="113"/>
      <c r="Y470" s="113"/>
      <c r="Z470" s="113"/>
    </row>
    <row r="471">
      <c r="A471" s="113"/>
      <c r="B471" s="120"/>
      <c r="C471" s="120"/>
      <c r="D471" s="40"/>
      <c r="E471" s="114"/>
      <c r="F471" s="113"/>
      <c r="G471" s="113"/>
      <c r="H471" s="113"/>
      <c r="I471" s="113"/>
      <c r="J471" s="113"/>
      <c r="K471" s="113"/>
      <c r="L471" s="113"/>
      <c r="M471" s="113"/>
      <c r="N471" s="113"/>
      <c r="O471" s="113"/>
      <c r="P471" s="113"/>
      <c r="Q471" s="113"/>
      <c r="R471" s="113"/>
      <c r="S471" s="113"/>
      <c r="T471" s="113"/>
      <c r="U471" s="113"/>
      <c r="V471" s="113"/>
      <c r="W471" s="113"/>
      <c r="X471" s="113"/>
      <c r="Y471" s="113"/>
      <c r="Z471" s="113"/>
    </row>
    <row r="472">
      <c r="A472" s="113"/>
      <c r="B472" s="120"/>
      <c r="C472" s="120"/>
      <c r="D472" s="40"/>
      <c r="E472" s="114"/>
      <c r="F472" s="113"/>
      <c r="G472" s="113"/>
      <c r="H472" s="113"/>
      <c r="I472" s="113"/>
      <c r="J472" s="113"/>
      <c r="K472" s="113"/>
      <c r="L472" s="113"/>
      <c r="M472" s="113"/>
      <c r="N472" s="113"/>
      <c r="O472" s="113"/>
      <c r="P472" s="113"/>
      <c r="Q472" s="113"/>
      <c r="R472" s="113"/>
      <c r="S472" s="113"/>
      <c r="T472" s="113"/>
      <c r="U472" s="113"/>
      <c r="V472" s="113"/>
      <c r="W472" s="113"/>
      <c r="X472" s="113"/>
      <c r="Y472" s="113"/>
      <c r="Z472" s="113"/>
    </row>
    <row r="473">
      <c r="A473" s="113"/>
      <c r="B473" s="120"/>
      <c r="C473" s="120"/>
      <c r="D473" s="40"/>
      <c r="E473" s="114"/>
      <c r="F473" s="113"/>
      <c r="G473" s="113"/>
      <c r="H473" s="113"/>
      <c r="I473" s="113"/>
      <c r="J473" s="113"/>
      <c r="K473" s="113"/>
      <c r="L473" s="113"/>
      <c r="M473" s="113"/>
      <c r="N473" s="113"/>
      <c r="O473" s="113"/>
      <c r="P473" s="113"/>
      <c r="Q473" s="113"/>
      <c r="R473" s="113"/>
      <c r="S473" s="113"/>
      <c r="T473" s="113"/>
      <c r="U473" s="113"/>
      <c r="V473" s="113"/>
      <c r="W473" s="113"/>
      <c r="X473" s="113"/>
      <c r="Y473" s="113"/>
      <c r="Z473" s="113"/>
    </row>
    <row r="474">
      <c r="A474" s="113"/>
      <c r="B474" s="120"/>
      <c r="C474" s="120"/>
      <c r="D474" s="40"/>
      <c r="E474" s="114"/>
      <c r="F474" s="113"/>
      <c r="G474" s="113"/>
      <c r="H474" s="113"/>
      <c r="I474" s="113"/>
      <c r="J474" s="113"/>
      <c r="K474" s="113"/>
      <c r="L474" s="113"/>
      <c r="M474" s="113"/>
      <c r="N474" s="113"/>
      <c r="O474" s="113"/>
      <c r="P474" s="113"/>
      <c r="Q474" s="113"/>
      <c r="R474" s="113"/>
      <c r="S474" s="113"/>
      <c r="T474" s="113"/>
      <c r="U474" s="113"/>
      <c r="V474" s="113"/>
      <c r="W474" s="113"/>
      <c r="X474" s="113"/>
      <c r="Y474" s="113"/>
      <c r="Z474" s="113"/>
    </row>
    <row r="475">
      <c r="A475" s="113"/>
      <c r="B475" s="120"/>
      <c r="C475" s="120"/>
      <c r="D475" s="40"/>
      <c r="E475" s="114"/>
      <c r="F475" s="113"/>
      <c r="G475" s="113"/>
      <c r="H475" s="113"/>
      <c r="I475" s="113"/>
      <c r="J475" s="113"/>
      <c r="K475" s="113"/>
      <c r="L475" s="113"/>
      <c r="M475" s="113"/>
      <c r="N475" s="113"/>
      <c r="O475" s="113"/>
      <c r="P475" s="113"/>
      <c r="Q475" s="113"/>
      <c r="R475" s="113"/>
      <c r="S475" s="113"/>
      <c r="T475" s="113"/>
      <c r="U475" s="113"/>
      <c r="V475" s="113"/>
      <c r="W475" s="113"/>
      <c r="X475" s="113"/>
      <c r="Y475" s="113"/>
      <c r="Z475" s="113"/>
    </row>
    <row r="476">
      <c r="A476" s="113"/>
      <c r="B476" s="120"/>
      <c r="C476" s="120"/>
      <c r="D476" s="40"/>
      <c r="E476" s="114"/>
      <c r="F476" s="113"/>
      <c r="G476" s="113"/>
      <c r="H476" s="113"/>
      <c r="I476" s="113"/>
      <c r="J476" s="113"/>
      <c r="K476" s="113"/>
      <c r="L476" s="113"/>
      <c r="M476" s="113"/>
      <c r="N476" s="113"/>
      <c r="O476" s="113"/>
      <c r="P476" s="113"/>
      <c r="Q476" s="113"/>
      <c r="R476" s="113"/>
      <c r="S476" s="113"/>
      <c r="T476" s="113"/>
      <c r="U476" s="113"/>
      <c r="V476" s="113"/>
      <c r="W476" s="113"/>
      <c r="X476" s="113"/>
      <c r="Y476" s="113"/>
      <c r="Z476" s="113"/>
    </row>
    <row r="477">
      <c r="A477" s="113"/>
      <c r="B477" s="120"/>
      <c r="C477" s="120"/>
      <c r="D477" s="40"/>
      <c r="E477" s="114"/>
      <c r="F477" s="113"/>
      <c r="G477" s="113"/>
      <c r="H477" s="113"/>
      <c r="I477" s="113"/>
      <c r="J477" s="113"/>
      <c r="K477" s="113"/>
      <c r="L477" s="113"/>
      <c r="M477" s="113"/>
      <c r="N477" s="113"/>
      <c r="O477" s="113"/>
      <c r="P477" s="113"/>
      <c r="Q477" s="113"/>
      <c r="R477" s="113"/>
      <c r="S477" s="113"/>
      <c r="T477" s="113"/>
      <c r="U477" s="113"/>
      <c r="V477" s="113"/>
      <c r="W477" s="113"/>
      <c r="X477" s="113"/>
      <c r="Y477" s="113"/>
      <c r="Z477" s="113"/>
    </row>
    <row r="478">
      <c r="A478" s="113"/>
      <c r="B478" s="120"/>
      <c r="C478" s="120"/>
      <c r="D478" s="40"/>
      <c r="E478" s="114"/>
      <c r="F478" s="113"/>
      <c r="G478" s="113"/>
      <c r="H478" s="113"/>
      <c r="I478" s="113"/>
      <c r="J478" s="113"/>
      <c r="K478" s="113"/>
      <c r="L478" s="113"/>
      <c r="M478" s="113"/>
      <c r="N478" s="113"/>
      <c r="O478" s="113"/>
      <c r="P478" s="113"/>
      <c r="Q478" s="113"/>
      <c r="R478" s="113"/>
      <c r="S478" s="113"/>
      <c r="T478" s="113"/>
      <c r="U478" s="113"/>
      <c r="V478" s="113"/>
      <c r="W478" s="113"/>
      <c r="X478" s="113"/>
      <c r="Y478" s="113"/>
      <c r="Z478" s="113"/>
    </row>
    <row r="479">
      <c r="A479" s="113"/>
      <c r="B479" s="120"/>
      <c r="C479" s="120"/>
      <c r="D479" s="40"/>
      <c r="E479" s="114"/>
      <c r="F479" s="113"/>
      <c r="G479" s="113"/>
      <c r="H479" s="113"/>
      <c r="I479" s="113"/>
      <c r="J479" s="113"/>
      <c r="K479" s="113"/>
      <c r="L479" s="113"/>
      <c r="M479" s="113"/>
      <c r="N479" s="113"/>
      <c r="O479" s="113"/>
      <c r="P479" s="113"/>
      <c r="Q479" s="113"/>
      <c r="R479" s="113"/>
      <c r="S479" s="113"/>
      <c r="T479" s="113"/>
      <c r="U479" s="113"/>
      <c r="V479" s="113"/>
      <c r="W479" s="113"/>
      <c r="X479" s="113"/>
      <c r="Y479" s="113"/>
      <c r="Z479" s="113"/>
    </row>
    <row r="480">
      <c r="A480" s="113"/>
      <c r="B480" s="120"/>
      <c r="C480" s="120"/>
      <c r="D480" s="40"/>
      <c r="E480" s="114"/>
      <c r="F480" s="113"/>
      <c r="G480" s="113"/>
      <c r="H480" s="113"/>
      <c r="I480" s="113"/>
      <c r="J480" s="113"/>
      <c r="K480" s="113"/>
      <c r="L480" s="113"/>
      <c r="M480" s="113"/>
      <c r="N480" s="113"/>
      <c r="O480" s="113"/>
      <c r="P480" s="113"/>
      <c r="Q480" s="113"/>
      <c r="R480" s="113"/>
      <c r="S480" s="113"/>
      <c r="T480" s="113"/>
      <c r="U480" s="113"/>
      <c r="V480" s="113"/>
      <c r="W480" s="113"/>
      <c r="X480" s="113"/>
      <c r="Y480" s="113"/>
      <c r="Z480" s="113"/>
    </row>
    <row r="481">
      <c r="A481" s="113"/>
      <c r="B481" s="120"/>
      <c r="C481" s="120"/>
      <c r="D481" s="40"/>
      <c r="E481" s="114"/>
      <c r="F481" s="113"/>
      <c r="G481" s="113"/>
      <c r="H481" s="113"/>
      <c r="I481" s="113"/>
      <c r="J481" s="113"/>
      <c r="K481" s="113"/>
      <c r="L481" s="113"/>
      <c r="M481" s="113"/>
      <c r="N481" s="113"/>
      <c r="O481" s="113"/>
      <c r="P481" s="113"/>
      <c r="Q481" s="113"/>
      <c r="R481" s="113"/>
      <c r="S481" s="113"/>
      <c r="T481" s="113"/>
      <c r="U481" s="113"/>
      <c r="V481" s="113"/>
      <c r="W481" s="113"/>
      <c r="X481" s="113"/>
      <c r="Y481" s="113"/>
      <c r="Z481" s="113"/>
    </row>
    <row r="482">
      <c r="A482" s="113"/>
      <c r="B482" s="120"/>
      <c r="C482" s="120"/>
      <c r="D482" s="40"/>
      <c r="E482" s="114"/>
      <c r="F482" s="113"/>
      <c r="G482" s="113"/>
      <c r="H482" s="113"/>
      <c r="I482" s="113"/>
      <c r="J482" s="113"/>
      <c r="K482" s="113"/>
      <c r="L482" s="113"/>
      <c r="M482" s="113"/>
      <c r="N482" s="113"/>
      <c r="O482" s="113"/>
      <c r="P482" s="113"/>
      <c r="Q482" s="113"/>
      <c r="R482" s="113"/>
      <c r="S482" s="113"/>
      <c r="T482" s="113"/>
      <c r="U482" s="113"/>
      <c r="V482" s="113"/>
      <c r="W482" s="113"/>
      <c r="X482" s="113"/>
      <c r="Y482" s="113"/>
      <c r="Z482" s="113"/>
    </row>
    <row r="483">
      <c r="A483" s="113"/>
      <c r="B483" s="120"/>
      <c r="C483" s="120"/>
      <c r="D483" s="40"/>
      <c r="E483" s="114"/>
      <c r="F483" s="113"/>
      <c r="G483" s="113"/>
      <c r="H483" s="113"/>
      <c r="I483" s="113"/>
      <c r="J483" s="113"/>
      <c r="K483" s="113"/>
      <c r="L483" s="113"/>
      <c r="M483" s="113"/>
      <c r="N483" s="113"/>
      <c r="O483" s="113"/>
      <c r="P483" s="113"/>
      <c r="Q483" s="113"/>
      <c r="R483" s="113"/>
      <c r="S483" s="113"/>
      <c r="T483" s="113"/>
      <c r="U483" s="113"/>
      <c r="V483" s="113"/>
      <c r="W483" s="113"/>
      <c r="X483" s="113"/>
      <c r="Y483" s="113"/>
      <c r="Z483" s="113"/>
    </row>
    <row r="484">
      <c r="A484" s="113"/>
      <c r="B484" s="120"/>
      <c r="C484" s="120"/>
      <c r="D484" s="40"/>
      <c r="E484" s="114"/>
      <c r="F484" s="113"/>
      <c r="G484" s="113"/>
      <c r="H484" s="113"/>
      <c r="I484" s="113"/>
      <c r="J484" s="113"/>
      <c r="K484" s="113"/>
      <c r="L484" s="113"/>
      <c r="M484" s="113"/>
      <c r="N484" s="113"/>
      <c r="O484" s="113"/>
      <c r="P484" s="113"/>
      <c r="Q484" s="113"/>
      <c r="R484" s="113"/>
      <c r="S484" s="113"/>
      <c r="T484" s="113"/>
      <c r="U484" s="113"/>
      <c r="V484" s="113"/>
      <c r="W484" s="113"/>
      <c r="X484" s="113"/>
      <c r="Y484" s="113"/>
      <c r="Z484" s="113"/>
    </row>
    <row r="485">
      <c r="A485" s="113"/>
      <c r="B485" s="120"/>
      <c r="C485" s="120"/>
      <c r="D485" s="40"/>
      <c r="E485" s="114"/>
      <c r="F485" s="113"/>
      <c r="G485" s="113"/>
      <c r="H485" s="113"/>
      <c r="I485" s="113"/>
      <c r="J485" s="113"/>
      <c r="K485" s="113"/>
      <c r="L485" s="113"/>
      <c r="M485" s="113"/>
      <c r="N485" s="113"/>
      <c r="O485" s="113"/>
      <c r="P485" s="113"/>
      <c r="Q485" s="113"/>
      <c r="R485" s="113"/>
      <c r="S485" s="113"/>
      <c r="T485" s="113"/>
      <c r="U485" s="113"/>
      <c r="V485" s="113"/>
      <c r="W485" s="113"/>
      <c r="X485" s="113"/>
      <c r="Y485" s="113"/>
      <c r="Z485" s="113"/>
    </row>
    <row r="486">
      <c r="A486" s="113"/>
      <c r="B486" s="120"/>
      <c r="C486" s="120"/>
      <c r="D486" s="40"/>
      <c r="E486" s="114"/>
      <c r="F486" s="113"/>
      <c r="G486" s="113"/>
      <c r="H486" s="113"/>
      <c r="I486" s="113"/>
      <c r="J486" s="113"/>
      <c r="K486" s="113"/>
      <c r="L486" s="113"/>
      <c r="M486" s="113"/>
      <c r="N486" s="113"/>
      <c r="O486" s="113"/>
      <c r="P486" s="113"/>
      <c r="Q486" s="113"/>
      <c r="R486" s="113"/>
      <c r="S486" s="113"/>
      <c r="T486" s="113"/>
      <c r="U486" s="113"/>
      <c r="V486" s="113"/>
      <c r="W486" s="113"/>
      <c r="X486" s="113"/>
      <c r="Y486" s="113"/>
      <c r="Z486" s="113"/>
    </row>
    <row r="487">
      <c r="A487" s="113"/>
      <c r="B487" s="120"/>
      <c r="C487" s="120"/>
      <c r="D487" s="40"/>
      <c r="E487" s="114"/>
      <c r="F487" s="113"/>
      <c r="G487" s="113"/>
      <c r="H487" s="113"/>
      <c r="I487" s="113"/>
      <c r="J487" s="113"/>
      <c r="K487" s="113"/>
      <c r="L487" s="113"/>
      <c r="M487" s="113"/>
      <c r="N487" s="113"/>
      <c r="O487" s="113"/>
      <c r="P487" s="113"/>
      <c r="Q487" s="113"/>
      <c r="R487" s="113"/>
      <c r="S487" s="113"/>
      <c r="T487" s="113"/>
      <c r="U487" s="113"/>
      <c r="V487" s="113"/>
      <c r="W487" s="113"/>
      <c r="X487" s="113"/>
      <c r="Y487" s="113"/>
      <c r="Z487" s="113"/>
    </row>
    <row r="488">
      <c r="A488" s="113"/>
      <c r="B488" s="120"/>
      <c r="C488" s="120"/>
      <c r="D488" s="40"/>
      <c r="E488" s="114"/>
      <c r="F488" s="113"/>
      <c r="G488" s="113"/>
      <c r="H488" s="113"/>
      <c r="I488" s="113"/>
      <c r="J488" s="113"/>
      <c r="K488" s="113"/>
      <c r="L488" s="113"/>
      <c r="M488" s="113"/>
      <c r="N488" s="113"/>
      <c r="O488" s="113"/>
      <c r="P488" s="113"/>
      <c r="Q488" s="113"/>
      <c r="R488" s="113"/>
      <c r="S488" s="113"/>
      <c r="T488" s="113"/>
      <c r="U488" s="113"/>
      <c r="V488" s="113"/>
      <c r="W488" s="113"/>
      <c r="X488" s="113"/>
      <c r="Y488" s="113"/>
      <c r="Z488" s="113"/>
    </row>
    <row r="489">
      <c r="A489" s="113"/>
      <c r="B489" s="120"/>
      <c r="C489" s="120"/>
      <c r="D489" s="40"/>
      <c r="E489" s="114"/>
      <c r="F489" s="113"/>
      <c r="G489" s="113"/>
      <c r="H489" s="113"/>
      <c r="I489" s="113"/>
      <c r="J489" s="113"/>
      <c r="K489" s="113"/>
      <c r="L489" s="113"/>
      <c r="M489" s="113"/>
      <c r="N489" s="113"/>
      <c r="O489" s="113"/>
      <c r="P489" s="113"/>
      <c r="Q489" s="113"/>
      <c r="R489" s="113"/>
      <c r="S489" s="113"/>
      <c r="T489" s="113"/>
      <c r="U489" s="113"/>
      <c r="V489" s="113"/>
      <c r="W489" s="113"/>
      <c r="X489" s="113"/>
      <c r="Y489" s="113"/>
      <c r="Z489" s="113"/>
    </row>
    <row r="490">
      <c r="A490" s="113"/>
      <c r="B490" s="120"/>
      <c r="C490" s="120"/>
      <c r="D490" s="40"/>
      <c r="E490" s="114"/>
      <c r="F490" s="113"/>
      <c r="G490" s="113"/>
      <c r="H490" s="113"/>
      <c r="I490" s="113"/>
      <c r="J490" s="113"/>
      <c r="K490" s="113"/>
      <c r="L490" s="113"/>
      <c r="M490" s="113"/>
      <c r="N490" s="113"/>
      <c r="O490" s="113"/>
      <c r="P490" s="113"/>
      <c r="Q490" s="113"/>
      <c r="R490" s="113"/>
      <c r="S490" s="113"/>
      <c r="T490" s="113"/>
      <c r="U490" s="113"/>
      <c r="V490" s="113"/>
      <c r="W490" s="113"/>
      <c r="X490" s="113"/>
      <c r="Y490" s="113"/>
      <c r="Z490" s="113"/>
    </row>
    <row r="491">
      <c r="A491" s="113"/>
      <c r="B491" s="120"/>
      <c r="C491" s="120"/>
      <c r="D491" s="40"/>
      <c r="E491" s="114"/>
      <c r="F491" s="113"/>
      <c r="G491" s="113"/>
      <c r="H491" s="113"/>
      <c r="I491" s="113"/>
      <c r="J491" s="113"/>
      <c r="K491" s="113"/>
      <c r="L491" s="113"/>
      <c r="M491" s="113"/>
      <c r="N491" s="113"/>
      <c r="O491" s="113"/>
      <c r="P491" s="113"/>
      <c r="Q491" s="113"/>
      <c r="R491" s="113"/>
      <c r="S491" s="113"/>
      <c r="T491" s="113"/>
      <c r="U491" s="113"/>
      <c r="V491" s="113"/>
      <c r="W491" s="113"/>
      <c r="X491" s="113"/>
      <c r="Y491" s="113"/>
      <c r="Z491" s="113"/>
    </row>
    <row r="492">
      <c r="A492" s="113"/>
      <c r="B492" s="120"/>
      <c r="C492" s="120"/>
      <c r="D492" s="40"/>
      <c r="E492" s="114"/>
      <c r="F492" s="113"/>
      <c r="G492" s="113"/>
      <c r="H492" s="113"/>
      <c r="I492" s="113"/>
      <c r="J492" s="113"/>
      <c r="K492" s="113"/>
      <c r="L492" s="113"/>
      <c r="M492" s="113"/>
      <c r="N492" s="113"/>
      <c r="O492" s="113"/>
      <c r="P492" s="113"/>
      <c r="Q492" s="113"/>
      <c r="R492" s="113"/>
      <c r="S492" s="113"/>
      <c r="T492" s="113"/>
      <c r="U492" s="113"/>
      <c r="V492" s="113"/>
      <c r="W492" s="113"/>
      <c r="X492" s="113"/>
      <c r="Y492" s="113"/>
      <c r="Z492" s="113"/>
    </row>
    <row r="493">
      <c r="A493" s="113"/>
      <c r="B493" s="120"/>
      <c r="C493" s="120"/>
      <c r="D493" s="40"/>
      <c r="E493" s="114"/>
      <c r="F493" s="113"/>
      <c r="G493" s="113"/>
      <c r="H493" s="113"/>
      <c r="I493" s="113"/>
      <c r="J493" s="113"/>
      <c r="K493" s="113"/>
      <c r="L493" s="113"/>
      <c r="M493" s="113"/>
      <c r="N493" s="113"/>
      <c r="O493" s="113"/>
      <c r="P493" s="113"/>
      <c r="Q493" s="113"/>
      <c r="R493" s="113"/>
      <c r="S493" s="113"/>
      <c r="T493" s="113"/>
      <c r="U493" s="113"/>
      <c r="V493" s="113"/>
      <c r="W493" s="113"/>
      <c r="X493" s="113"/>
      <c r="Y493" s="113"/>
      <c r="Z493" s="113"/>
    </row>
    <row r="494">
      <c r="A494" s="113"/>
      <c r="B494" s="120"/>
      <c r="C494" s="120"/>
      <c r="D494" s="40"/>
      <c r="E494" s="114"/>
      <c r="F494" s="113"/>
      <c r="G494" s="113"/>
      <c r="H494" s="113"/>
      <c r="I494" s="113"/>
      <c r="J494" s="113"/>
      <c r="K494" s="113"/>
      <c r="L494" s="113"/>
      <c r="M494" s="113"/>
      <c r="N494" s="113"/>
      <c r="O494" s="113"/>
      <c r="P494" s="113"/>
      <c r="Q494" s="113"/>
      <c r="R494" s="113"/>
      <c r="S494" s="113"/>
      <c r="T494" s="113"/>
      <c r="U494" s="113"/>
      <c r="V494" s="113"/>
      <c r="W494" s="113"/>
      <c r="X494" s="113"/>
      <c r="Y494" s="113"/>
      <c r="Z494" s="113"/>
    </row>
    <row r="495">
      <c r="A495" s="113"/>
      <c r="B495" s="120"/>
      <c r="C495" s="120"/>
      <c r="D495" s="40"/>
      <c r="E495" s="114"/>
      <c r="F495" s="113"/>
      <c r="G495" s="113"/>
      <c r="H495" s="113"/>
      <c r="I495" s="113"/>
      <c r="J495" s="113"/>
      <c r="K495" s="113"/>
      <c r="L495" s="113"/>
      <c r="M495" s="113"/>
      <c r="N495" s="113"/>
      <c r="O495" s="113"/>
      <c r="P495" s="113"/>
      <c r="Q495" s="113"/>
      <c r="R495" s="113"/>
      <c r="S495" s="113"/>
      <c r="T495" s="113"/>
      <c r="U495" s="113"/>
      <c r="V495" s="113"/>
      <c r="W495" s="113"/>
      <c r="X495" s="113"/>
      <c r="Y495" s="113"/>
      <c r="Z495" s="113"/>
    </row>
    <row r="496">
      <c r="A496" s="113"/>
      <c r="B496" s="120"/>
      <c r="C496" s="120"/>
      <c r="D496" s="40"/>
      <c r="E496" s="114"/>
      <c r="F496" s="113"/>
      <c r="G496" s="113"/>
      <c r="H496" s="113"/>
      <c r="I496" s="113"/>
      <c r="J496" s="113"/>
      <c r="K496" s="113"/>
      <c r="L496" s="113"/>
      <c r="M496" s="113"/>
      <c r="N496" s="113"/>
      <c r="O496" s="113"/>
      <c r="P496" s="113"/>
      <c r="Q496" s="113"/>
      <c r="R496" s="113"/>
      <c r="S496" s="113"/>
      <c r="T496" s="113"/>
      <c r="U496" s="113"/>
      <c r="V496" s="113"/>
      <c r="W496" s="113"/>
      <c r="X496" s="113"/>
      <c r="Y496" s="113"/>
      <c r="Z496" s="113"/>
    </row>
    <row r="497">
      <c r="A497" s="113"/>
      <c r="B497" s="120"/>
      <c r="C497" s="120"/>
      <c r="D497" s="40"/>
      <c r="E497" s="114"/>
      <c r="F497" s="113"/>
      <c r="G497" s="113"/>
      <c r="H497" s="113"/>
      <c r="I497" s="113"/>
      <c r="J497" s="113"/>
      <c r="K497" s="113"/>
      <c r="L497" s="113"/>
      <c r="M497" s="113"/>
      <c r="N497" s="113"/>
      <c r="O497" s="113"/>
      <c r="P497" s="113"/>
      <c r="Q497" s="113"/>
      <c r="R497" s="113"/>
      <c r="S497" s="113"/>
      <c r="T497" s="113"/>
      <c r="U497" s="113"/>
      <c r="V497" s="113"/>
      <c r="W497" s="113"/>
      <c r="X497" s="113"/>
      <c r="Y497" s="113"/>
      <c r="Z497" s="113"/>
    </row>
    <row r="498">
      <c r="A498" s="113"/>
      <c r="B498" s="120"/>
      <c r="C498" s="120"/>
      <c r="D498" s="40"/>
      <c r="E498" s="114"/>
      <c r="F498" s="113"/>
      <c r="G498" s="113"/>
      <c r="H498" s="113"/>
      <c r="I498" s="113"/>
      <c r="J498" s="113"/>
      <c r="K498" s="113"/>
      <c r="L498" s="113"/>
      <c r="M498" s="113"/>
      <c r="N498" s="113"/>
      <c r="O498" s="113"/>
      <c r="P498" s="113"/>
      <c r="Q498" s="113"/>
      <c r="R498" s="113"/>
      <c r="S498" s="113"/>
      <c r="T498" s="113"/>
      <c r="U498" s="113"/>
      <c r="V498" s="113"/>
      <c r="W498" s="113"/>
      <c r="X498" s="113"/>
      <c r="Y498" s="113"/>
      <c r="Z498" s="113"/>
    </row>
    <row r="499">
      <c r="A499" s="113"/>
      <c r="B499" s="120"/>
      <c r="C499" s="120"/>
      <c r="D499" s="40"/>
      <c r="E499" s="114"/>
      <c r="F499" s="113"/>
      <c r="G499" s="113"/>
      <c r="H499" s="113"/>
      <c r="I499" s="113"/>
      <c r="J499" s="113"/>
      <c r="K499" s="113"/>
      <c r="L499" s="113"/>
      <c r="M499" s="113"/>
      <c r="N499" s="113"/>
      <c r="O499" s="113"/>
      <c r="P499" s="113"/>
      <c r="Q499" s="113"/>
      <c r="R499" s="113"/>
      <c r="S499" s="113"/>
      <c r="T499" s="113"/>
      <c r="U499" s="113"/>
      <c r="V499" s="113"/>
      <c r="W499" s="113"/>
      <c r="X499" s="113"/>
      <c r="Y499" s="113"/>
      <c r="Z499" s="113"/>
    </row>
    <row r="500">
      <c r="A500" s="113"/>
      <c r="B500" s="120"/>
      <c r="C500" s="120"/>
      <c r="D500" s="40"/>
      <c r="E500" s="114"/>
      <c r="F500" s="113"/>
      <c r="G500" s="113"/>
      <c r="H500" s="113"/>
      <c r="I500" s="113"/>
      <c r="J500" s="113"/>
      <c r="K500" s="113"/>
      <c r="L500" s="113"/>
      <c r="M500" s="113"/>
      <c r="N500" s="113"/>
      <c r="O500" s="113"/>
      <c r="P500" s="113"/>
      <c r="Q500" s="113"/>
      <c r="R500" s="113"/>
      <c r="S500" s="113"/>
      <c r="T500" s="113"/>
      <c r="U500" s="113"/>
      <c r="V500" s="113"/>
      <c r="W500" s="113"/>
      <c r="X500" s="113"/>
      <c r="Y500" s="113"/>
      <c r="Z500" s="113"/>
    </row>
    <row r="501">
      <c r="A501" s="113"/>
      <c r="B501" s="120"/>
      <c r="C501" s="120"/>
      <c r="D501" s="40"/>
      <c r="E501" s="114"/>
      <c r="F501" s="113"/>
      <c r="G501" s="113"/>
      <c r="H501" s="113"/>
      <c r="I501" s="113"/>
      <c r="J501" s="113"/>
      <c r="K501" s="113"/>
      <c r="L501" s="113"/>
      <c r="M501" s="113"/>
      <c r="N501" s="113"/>
      <c r="O501" s="113"/>
      <c r="P501" s="113"/>
      <c r="Q501" s="113"/>
      <c r="R501" s="113"/>
      <c r="S501" s="113"/>
      <c r="T501" s="113"/>
      <c r="U501" s="113"/>
      <c r="V501" s="113"/>
      <c r="W501" s="113"/>
      <c r="X501" s="113"/>
      <c r="Y501" s="113"/>
      <c r="Z501" s="113"/>
    </row>
    <row r="502">
      <c r="A502" s="113"/>
      <c r="B502" s="120"/>
      <c r="C502" s="120"/>
      <c r="D502" s="40"/>
      <c r="E502" s="114"/>
      <c r="F502" s="113"/>
      <c r="G502" s="113"/>
      <c r="H502" s="113"/>
      <c r="I502" s="113"/>
      <c r="J502" s="113"/>
      <c r="K502" s="113"/>
      <c r="L502" s="113"/>
      <c r="M502" s="113"/>
      <c r="N502" s="113"/>
      <c r="O502" s="113"/>
      <c r="P502" s="113"/>
      <c r="Q502" s="113"/>
      <c r="R502" s="113"/>
      <c r="S502" s="113"/>
      <c r="T502" s="113"/>
      <c r="U502" s="113"/>
      <c r="V502" s="113"/>
      <c r="W502" s="113"/>
      <c r="X502" s="113"/>
      <c r="Y502" s="113"/>
      <c r="Z502" s="113"/>
    </row>
    <row r="503">
      <c r="A503" s="113"/>
      <c r="B503" s="120"/>
      <c r="C503" s="120"/>
      <c r="D503" s="40"/>
      <c r="E503" s="114"/>
      <c r="F503" s="113"/>
      <c r="G503" s="113"/>
      <c r="H503" s="113"/>
      <c r="I503" s="113"/>
      <c r="J503" s="113"/>
      <c r="K503" s="113"/>
      <c r="L503" s="113"/>
      <c r="M503" s="113"/>
      <c r="N503" s="113"/>
      <c r="O503" s="113"/>
      <c r="P503" s="113"/>
      <c r="Q503" s="113"/>
      <c r="R503" s="113"/>
      <c r="S503" s="113"/>
      <c r="T503" s="113"/>
      <c r="U503" s="113"/>
      <c r="V503" s="113"/>
      <c r="W503" s="113"/>
      <c r="X503" s="113"/>
      <c r="Y503" s="113"/>
      <c r="Z503" s="113"/>
    </row>
    <row r="504">
      <c r="A504" s="113"/>
      <c r="B504" s="120"/>
      <c r="C504" s="120"/>
      <c r="D504" s="40"/>
      <c r="E504" s="114"/>
      <c r="F504" s="113"/>
      <c r="G504" s="113"/>
      <c r="H504" s="113"/>
      <c r="I504" s="113"/>
      <c r="J504" s="113"/>
      <c r="K504" s="113"/>
      <c r="L504" s="113"/>
      <c r="M504" s="113"/>
      <c r="N504" s="113"/>
      <c r="O504" s="113"/>
      <c r="P504" s="113"/>
      <c r="Q504" s="113"/>
      <c r="R504" s="113"/>
      <c r="S504" s="113"/>
      <c r="T504" s="113"/>
      <c r="U504" s="113"/>
      <c r="V504" s="113"/>
      <c r="W504" s="113"/>
      <c r="X504" s="113"/>
      <c r="Y504" s="113"/>
      <c r="Z504" s="113"/>
    </row>
    <row r="505">
      <c r="A505" s="113"/>
      <c r="B505" s="120"/>
      <c r="C505" s="120"/>
      <c r="D505" s="40"/>
      <c r="E505" s="114"/>
      <c r="F505" s="113"/>
      <c r="G505" s="113"/>
      <c r="H505" s="113"/>
      <c r="I505" s="113"/>
      <c r="J505" s="113"/>
      <c r="K505" s="113"/>
      <c r="L505" s="113"/>
      <c r="M505" s="113"/>
      <c r="N505" s="113"/>
      <c r="O505" s="113"/>
      <c r="P505" s="113"/>
      <c r="Q505" s="113"/>
      <c r="R505" s="113"/>
      <c r="S505" s="113"/>
      <c r="T505" s="113"/>
      <c r="U505" s="113"/>
      <c r="V505" s="113"/>
      <c r="W505" s="113"/>
      <c r="X505" s="113"/>
      <c r="Y505" s="113"/>
      <c r="Z505" s="113"/>
    </row>
    <row r="506">
      <c r="A506" s="113"/>
      <c r="B506" s="120"/>
      <c r="C506" s="120"/>
      <c r="D506" s="40"/>
      <c r="E506" s="114"/>
      <c r="F506" s="113"/>
      <c r="G506" s="113"/>
      <c r="H506" s="113"/>
      <c r="I506" s="113"/>
      <c r="J506" s="113"/>
      <c r="K506" s="113"/>
      <c r="L506" s="113"/>
      <c r="M506" s="113"/>
      <c r="N506" s="113"/>
      <c r="O506" s="113"/>
      <c r="P506" s="113"/>
      <c r="Q506" s="113"/>
      <c r="R506" s="113"/>
      <c r="S506" s="113"/>
      <c r="T506" s="113"/>
      <c r="U506" s="113"/>
      <c r="V506" s="113"/>
      <c r="W506" s="113"/>
      <c r="X506" s="113"/>
      <c r="Y506" s="113"/>
      <c r="Z506" s="113"/>
    </row>
    <row r="507">
      <c r="A507" s="113"/>
      <c r="B507" s="120"/>
      <c r="C507" s="120"/>
      <c r="D507" s="40"/>
      <c r="E507" s="114"/>
      <c r="F507" s="113"/>
      <c r="G507" s="113"/>
      <c r="H507" s="113"/>
      <c r="I507" s="113"/>
      <c r="J507" s="113"/>
      <c r="K507" s="113"/>
      <c r="L507" s="113"/>
      <c r="M507" s="113"/>
      <c r="N507" s="113"/>
      <c r="O507" s="113"/>
      <c r="P507" s="113"/>
      <c r="Q507" s="113"/>
      <c r="R507" s="113"/>
      <c r="S507" s="113"/>
      <c r="T507" s="113"/>
      <c r="U507" s="113"/>
      <c r="V507" s="113"/>
      <c r="W507" s="113"/>
      <c r="X507" s="113"/>
      <c r="Y507" s="113"/>
      <c r="Z507" s="113"/>
    </row>
    <row r="508">
      <c r="A508" s="113"/>
      <c r="B508" s="120"/>
      <c r="C508" s="120"/>
      <c r="D508" s="40"/>
      <c r="E508" s="114"/>
      <c r="F508" s="113"/>
      <c r="G508" s="113"/>
      <c r="H508" s="113"/>
      <c r="I508" s="113"/>
      <c r="J508" s="113"/>
      <c r="K508" s="113"/>
      <c r="L508" s="113"/>
      <c r="M508" s="113"/>
      <c r="N508" s="113"/>
      <c r="O508" s="113"/>
      <c r="P508" s="113"/>
      <c r="Q508" s="113"/>
      <c r="R508" s="113"/>
      <c r="S508" s="113"/>
      <c r="T508" s="113"/>
      <c r="U508" s="113"/>
      <c r="V508" s="113"/>
      <c r="W508" s="113"/>
      <c r="X508" s="113"/>
      <c r="Y508" s="113"/>
      <c r="Z508" s="113"/>
    </row>
    <row r="509">
      <c r="A509" s="113"/>
      <c r="B509" s="120"/>
      <c r="C509" s="120"/>
      <c r="D509" s="40"/>
      <c r="E509" s="114"/>
      <c r="F509" s="113"/>
      <c r="G509" s="113"/>
      <c r="H509" s="113"/>
      <c r="I509" s="113"/>
      <c r="J509" s="113"/>
      <c r="K509" s="113"/>
      <c r="L509" s="113"/>
      <c r="M509" s="113"/>
      <c r="N509" s="113"/>
      <c r="O509" s="113"/>
      <c r="P509" s="113"/>
      <c r="Q509" s="113"/>
      <c r="R509" s="113"/>
      <c r="S509" s="113"/>
      <c r="T509" s="113"/>
      <c r="U509" s="113"/>
      <c r="V509" s="113"/>
      <c r="W509" s="113"/>
      <c r="X509" s="113"/>
      <c r="Y509" s="113"/>
      <c r="Z509" s="113"/>
    </row>
    <row r="510">
      <c r="A510" s="113"/>
      <c r="B510" s="120"/>
      <c r="C510" s="120"/>
      <c r="D510" s="40"/>
      <c r="E510" s="114"/>
      <c r="F510" s="113"/>
      <c r="G510" s="113"/>
      <c r="H510" s="113"/>
      <c r="I510" s="113"/>
      <c r="J510" s="113"/>
      <c r="K510" s="113"/>
      <c r="L510" s="113"/>
      <c r="M510" s="113"/>
      <c r="N510" s="113"/>
      <c r="O510" s="113"/>
      <c r="P510" s="113"/>
      <c r="Q510" s="113"/>
      <c r="R510" s="113"/>
      <c r="S510" s="113"/>
      <c r="T510" s="113"/>
      <c r="U510" s="113"/>
      <c r="V510" s="113"/>
      <c r="W510" s="113"/>
      <c r="X510" s="113"/>
      <c r="Y510" s="113"/>
      <c r="Z510" s="113"/>
    </row>
    <row r="511">
      <c r="A511" s="113"/>
      <c r="B511" s="120"/>
      <c r="C511" s="120"/>
      <c r="D511" s="40"/>
      <c r="E511" s="114"/>
      <c r="F511" s="113"/>
      <c r="G511" s="113"/>
      <c r="H511" s="113"/>
      <c r="I511" s="113"/>
      <c r="J511" s="113"/>
      <c r="K511" s="113"/>
      <c r="L511" s="113"/>
      <c r="M511" s="113"/>
      <c r="N511" s="113"/>
      <c r="O511" s="113"/>
      <c r="P511" s="113"/>
      <c r="Q511" s="113"/>
      <c r="R511" s="113"/>
      <c r="S511" s="113"/>
      <c r="T511" s="113"/>
      <c r="U511" s="113"/>
      <c r="V511" s="113"/>
      <c r="W511" s="113"/>
      <c r="X511" s="113"/>
      <c r="Y511" s="113"/>
      <c r="Z511" s="113"/>
    </row>
    <row r="512">
      <c r="A512" s="113"/>
      <c r="B512" s="120"/>
      <c r="C512" s="120"/>
      <c r="D512" s="40"/>
      <c r="E512" s="114"/>
      <c r="F512" s="113"/>
      <c r="G512" s="113"/>
      <c r="H512" s="113"/>
      <c r="I512" s="113"/>
      <c r="J512" s="113"/>
      <c r="K512" s="113"/>
      <c r="L512" s="113"/>
      <c r="M512" s="113"/>
      <c r="N512" s="113"/>
      <c r="O512" s="113"/>
      <c r="P512" s="113"/>
      <c r="Q512" s="113"/>
      <c r="R512" s="113"/>
      <c r="S512" s="113"/>
      <c r="T512" s="113"/>
      <c r="U512" s="113"/>
      <c r="V512" s="113"/>
      <c r="W512" s="113"/>
      <c r="X512" s="113"/>
      <c r="Y512" s="113"/>
      <c r="Z512" s="113"/>
    </row>
    <row r="513">
      <c r="A513" s="113"/>
      <c r="B513" s="120"/>
      <c r="C513" s="120"/>
      <c r="D513" s="40"/>
      <c r="E513" s="114"/>
      <c r="F513" s="113"/>
      <c r="G513" s="113"/>
      <c r="H513" s="113"/>
      <c r="I513" s="113"/>
      <c r="J513" s="113"/>
      <c r="K513" s="113"/>
      <c r="L513" s="113"/>
      <c r="M513" s="113"/>
      <c r="N513" s="113"/>
      <c r="O513" s="113"/>
      <c r="P513" s="113"/>
      <c r="Q513" s="113"/>
      <c r="R513" s="113"/>
      <c r="S513" s="113"/>
      <c r="T513" s="113"/>
      <c r="U513" s="113"/>
      <c r="V513" s="113"/>
      <c r="W513" s="113"/>
      <c r="X513" s="113"/>
      <c r="Y513" s="113"/>
      <c r="Z513" s="113"/>
    </row>
    <row r="514">
      <c r="A514" s="113"/>
      <c r="B514" s="120"/>
      <c r="C514" s="120"/>
      <c r="D514" s="40"/>
      <c r="E514" s="114"/>
      <c r="F514" s="113"/>
      <c r="G514" s="113"/>
      <c r="H514" s="113"/>
      <c r="I514" s="113"/>
      <c r="J514" s="113"/>
      <c r="K514" s="113"/>
      <c r="L514" s="113"/>
      <c r="M514" s="113"/>
      <c r="N514" s="113"/>
      <c r="O514" s="113"/>
      <c r="P514" s="113"/>
      <c r="Q514" s="113"/>
      <c r="R514" s="113"/>
      <c r="S514" s="113"/>
      <c r="T514" s="113"/>
      <c r="U514" s="113"/>
      <c r="V514" s="113"/>
      <c r="W514" s="113"/>
      <c r="X514" s="113"/>
      <c r="Y514" s="113"/>
      <c r="Z514" s="113"/>
    </row>
    <row r="515">
      <c r="A515" s="113"/>
      <c r="B515" s="120"/>
      <c r="C515" s="120"/>
      <c r="D515" s="40"/>
      <c r="E515" s="114"/>
      <c r="F515" s="113"/>
      <c r="G515" s="113"/>
      <c r="H515" s="113"/>
      <c r="I515" s="113"/>
      <c r="J515" s="113"/>
      <c r="K515" s="113"/>
      <c r="L515" s="113"/>
      <c r="M515" s="113"/>
      <c r="N515" s="113"/>
      <c r="O515" s="113"/>
      <c r="P515" s="113"/>
      <c r="Q515" s="113"/>
      <c r="R515" s="113"/>
      <c r="S515" s="113"/>
      <c r="T515" s="113"/>
      <c r="U515" s="113"/>
      <c r="V515" s="113"/>
      <c r="W515" s="113"/>
      <c r="X515" s="113"/>
      <c r="Y515" s="113"/>
      <c r="Z515" s="113"/>
    </row>
    <row r="516">
      <c r="A516" s="113"/>
      <c r="B516" s="120"/>
      <c r="C516" s="120"/>
      <c r="D516" s="40"/>
      <c r="E516" s="114"/>
      <c r="F516" s="113"/>
      <c r="G516" s="113"/>
      <c r="H516" s="113"/>
      <c r="I516" s="113"/>
      <c r="J516" s="113"/>
      <c r="K516" s="113"/>
      <c r="L516" s="113"/>
      <c r="M516" s="113"/>
      <c r="N516" s="113"/>
      <c r="O516" s="113"/>
      <c r="P516" s="113"/>
      <c r="Q516" s="113"/>
      <c r="R516" s="113"/>
      <c r="S516" s="113"/>
      <c r="T516" s="113"/>
      <c r="U516" s="113"/>
      <c r="V516" s="113"/>
      <c r="W516" s="113"/>
      <c r="X516" s="113"/>
      <c r="Y516" s="113"/>
      <c r="Z516" s="113"/>
    </row>
    <row r="517">
      <c r="A517" s="113"/>
      <c r="B517" s="120"/>
      <c r="C517" s="120"/>
      <c r="D517" s="40"/>
      <c r="E517" s="114"/>
      <c r="F517" s="113"/>
      <c r="G517" s="113"/>
      <c r="H517" s="113"/>
      <c r="I517" s="113"/>
      <c r="J517" s="113"/>
      <c r="K517" s="113"/>
      <c r="L517" s="113"/>
      <c r="M517" s="113"/>
      <c r="N517" s="113"/>
      <c r="O517" s="113"/>
      <c r="P517" s="113"/>
      <c r="Q517" s="113"/>
      <c r="R517" s="113"/>
      <c r="S517" s="113"/>
      <c r="T517" s="113"/>
      <c r="U517" s="113"/>
      <c r="V517" s="113"/>
      <c r="W517" s="113"/>
      <c r="X517" s="113"/>
      <c r="Y517" s="113"/>
      <c r="Z517" s="113"/>
    </row>
    <row r="518">
      <c r="A518" s="113"/>
      <c r="B518" s="120"/>
      <c r="C518" s="120"/>
      <c r="D518" s="40"/>
      <c r="E518" s="114"/>
      <c r="F518" s="113"/>
      <c r="G518" s="113"/>
      <c r="H518" s="113"/>
      <c r="I518" s="113"/>
      <c r="J518" s="113"/>
      <c r="K518" s="113"/>
      <c r="L518" s="113"/>
      <c r="M518" s="113"/>
      <c r="N518" s="113"/>
      <c r="O518" s="113"/>
      <c r="P518" s="113"/>
      <c r="Q518" s="113"/>
      <c r="R518" s="113"/>
      <c r="S518" s="113"/>
      <c r="T518" s="113"/>
      <c r="U518" s="113"/>
      <c r="V518" s="113"/>
      <c r="W518" s="113"/>
      <c r="X518" s="113"/>
      <c r="Y518" s="113"/>
      <c r="Z518" s="113"/>
    </row>
    <row r="519">
      <c r="A519" s="113"/>
      <c r="B519" s="120"/>
      <c r="C519" s="120"/>
      <c r="D519" s="40"/>
      <c r="E519" s="114"/>
      <c r="F519" s="113"/>
      <c r="G519" s="113"/>
      <c r="H519" s="113"/>
      <c r="I519" s="113"/>
      <c r="J519" s="113"/>
      <c r="K519" s="113"/>
      <c r="L519" s="113"/>
      <c r="M519" s="113"/>
      <c r="N519" s="113"/>
      <c r="O519" s="113"/>
      <c r="P519" s="113"/>
      <c r="Q519" s="113"/>
      <c r="R519" s="113"/>
      <c r="S519" s="113"/>
      <c r="T519" s="113"/>
      <c r="U519" s="113"/>
      <c r="V519" s="113"/>
      <c r="W519" s="113"/>
      <c r="X519" s="113"/>
      <c r="Y519" s="113"/>
      <c r="Z519" s="113"/>
    </row>
    <row r="520">
      <c r="A520" s="113"/>
      <c r="B520" s="120"/>
      <c r="C520" s="120"/>
      <c r="D520" s="40"/>
      <c r="E520" s="114"/>
      <c r="F520" s="113"/>
      <c r="G520" s="113"/>
      <c r="H520" s="113"/>
      <c r="I520" s="113"/>
      <c r="J520" s="113"/>
      <c r="K520" s="113"/>
      <c r="L520" s="113"/>
      <c r="M520" s="113"/>
      <c r="N520" s="113"/>
      <c r="O520" s="113"/>
      <c r="P520" s="113"/>
      <c r="Q520" s="113"/>
      <c r="R520" s="113"/>
      <c r="S520" s="113"/>
      <c r="T520" s="113"/>
      <c r="U520" s="113"/>
      <c r="V520" s="113"/>
      <c r="W520" s="113"/>
      <c r="X520" s="113"/>
      <c r="Y520" s="113"/>
      <c r="Z520" s="113"/>
    </row>
    <row r="521">
      <c r="A521" s="113"/>
      <c r="B521" s="120"/>
      <c r="C521" s="120"/>
      <c r="D521" s="40"/>
      <c r="E521" s="114"/>
      <c r="F521" s="113"/>
      <c r="G521" s="113"/>
      <c r="H521" s="113"/>
      <c r="I521" s="113"/>
      <c r="J521" s="113"/>
      <c r="K521" s="113"/>
      <c r="L521" s="113"/>
      <c r="M521" s="113"/>
      <c r="N521" s="113"/>
      <c r="O521" s="113"/>
      <c r="P521" s="113"/>
      <c r="Q521" s="113"/>
      <c r="R521" s="113"/>
      <c r="S521" s="113"/>
      <c r="T521" s="113"/>
      <c r="U521" s="113"/>
      <c r="V521" s="113"/>
      <c r="W521" s="113"/>
      <c r="X521" s="113"/>
      <c r="Y521" s="113"/>
      <c r="Z521" s="113"/>
    </row>
    <row r="522">
      <c r="A522" s="113"/>
      <c r="B522" s="120"/>
      <c r="C522" s="120"/>
      <c r="D522" s="40"/>
      <c r="E522" s="114"/>
      <c r="F522" s="113"/>
      <c r="G522" s="113"/>
      <c r="H522" s="113"/>
      <c r="I522" s="113"/>
      <c r="J522" s="113"/>
      <c r="K522" s="113"/>
      <c r="L522" s="113"/>
      <c r="M522" s="113"/>
      <c r="N522" s="113"/>
      <c r="O522" s="113"/>
      <c r="P522" s="113"/>
      <c r="Q522" s="113"/>
      <c r="R522" s="113"/>
      <c r="S522" s="113"/>
      <c r="T522" s="113"/>
      <c r="U522" s="113"/>
      <c r="V522" s="113"/>
      <c r="W522" s="113"/>
      <c r="X522" s="113"/>
      <c r="Y522" s="113"/>
      <c r="Z522" s="113"/>
    </row>
    <row r="523">
      <c r="A523" s="113"/>
      <c r="B523" s="120"/>
      <c r="C523" s="120"/>
      <c r="D523" s="40"/>
      <c r="E523" s="114"/>
      <c r="F523" s="113"/>
      <c r="G523" s="113"/>
      <c r="H523" s="113"/>
      <c r="I523" s="113"/>
      <c r="J523" s="113"/>
      <c r="K523" s="113"/>
      <c r="L523" s="113"/>
      <c r="M523" s="113"/>
      <c r="N523" s="113"/>
      <c r="O523" s="113"/>
      <c r="P523" s="113"/>
      <c r="Q523" s="113"/>
      <c r="R523" s="113"/>
      <c r="S523" s="113"/>
      <c r="T523" s="113"/>
      <c r="U523" s="113"/>
      <c r="V523" s="113"/>
      <c r="W523" s="113"/>
      <c r="X523" s="113"/>
      <c r="Y523" s="113"/>
      <c r="Z523" s="113"/>
    </row>
    <row r="524">
      <c r="A524" s="113"/>
      <c r="B524" s="120"/>
      <c r="C524" s="120"/>
      <c r="D524" s="40"/>
      <c r="E524" s="114"/>
      <c r="F524" s="113"/>
      <c r="G524" s="113"/>
      <c r="H524" s="113"/>
      <c r="I524" s="113"/>
      <c r="J524" s="113"/>
      <c r="K524" s="113"/>
      <c r="L524" s="113"/>
      <c r="M524" s="113"/>
      <c r="N524" s="113"/>
      <c r="O524" s="113"/>
      <c r="P524" s="113"/>
      <c r="Q524" s="113"/>
      <c r="R524" s="113"/>
      <c r="S524" s="113"/>
      <c r="T524" s="113"/>
      <c r="U524" s="113"/>
      <c r="V524" s="113"/>
      <c r="W524" s="113"/>
      <c r="X524" s="113"/>
      <c r="Y524" s="113"/>
      <c r="Z524" s="113"/>
    </row>
    <row r="525">
      <c r="A525" s="113"/>
      <c r="B525" s="120"/>
      <c r="C525" s="120"/>
      <c r="D525" s="40"/>
      <c r="E525" s="114"/>
      <c r="F525" s="113"/>
      <c r="G525" s="113"/>
      <c r="H525" s="113"/>
      <c r="I525" s="113"/>
      <c r="J525" s="113"/>
      <c r="K525" s="113"/>
      <c r="L525" s="113"/>
      <c r="M525" s="113"/>
      <c r="N525" s="113"/>
      <c r="O525" s="113"/>
      <c r="P525" s="113"/>
      <c r="Q525" s="113"/>
      <c r="R525" s="113"/>
      <c r="S525" s="113"/>
      <c r="T525" s="113"/>
      <c r="U525" s="113"/>
      <c r="V525" s="113"/>
      <c r="W525" s="113"/>
      <c r="X525" s="113"/>
      <c r="Y525" s="113"/>
      <c r="Z525" s="113"/>
    </row>
    <row r="526">
      <c r="A526" s="113"/>
      <c r="B526" s="120"/>
      <c r="C526" s="120"/>
      <c r="D526" s="40"/>
      <c r="E526" s="114"/>
      <c r="F526" s="113"/>
      <c r="G526" s="113"/>
      <c r="H526" s="113"/>
      <c r="I526" s="113"/>
      <c r="J526" s="113"/>
      <c r="K526" s="113"/>
      <c r="L526" s="113"/>
      <c r="M526" s="113"/>
      <c r="N526" s="113"/>
      <c r="O526" s="113"/>
      <c r="P526" s="113"/>
      <c r="Q526" s="113"/>
      <c r="R526" s="113"/>
      <c r="S526" s="113"/>
      <c r="T526" s="113"/>
      <c r="U526" s="113"/>
      <c r="V526" s="113"/>
      <c r="W526" s="113"/>
      <c r="X526" s="113"/>
      <c r="Y526" s="113"/>
      <c r="Z526" s="113"/>
    </row>
    <row r="527">
      <c r="A527" s="113"/>
      <c r="B527" s="120"/>
      <c r="C527" s="120"/>
      <c r="D527" s="40"/>
      <c r="E527" s="114"/>
      <c r="F527" s="113"/>
      <c r="G527" s="113"/>
      <c r="H527" s="113"/>
      <c r="I527" s="113"/>
      <c r="J527" s="113"/>
      <c r="K527" s="113"/>
      <c r="L527" s="113"/>
      <c r="M527" s="113"/>
      <c r="N527" s="113"/>
      <c r="O527" s="113"/>
      <c r="P527" s="113"/>
      <c r="Q527" s="113"/>
      <c r="R527" s="113"/>
      <c r="S527" s="113"/>
      <c r="T527" s="113"/>
      <c r="U527" s="113"/>
      <c r="V527" s="113"/>
      <c r="W527" s="113"/>
      <c r="X527" s="113"/>
      <c r="Y527" s="113"/>
      <c r="Z527" s="113"/>
    </row>
    <row r="528">
      <c r="A528" s="113"/>
      <c r="B528" s="120"/>
      <c r="C528" s="120"/>
      <c r="D528" s="40"/>
      <c r="E528" s="114"/>
      <c r="F528" s="113"/>
      <c r="G528" s="113"/>
      <c r="H528" s="113"/>
      <c r="I528" s="113"/>
      <c r="J528" s="113"/>
      <c r="K528" s="113"/>
      <c r="L528" s="113"/>
      <c r="M528" s="113"/>
      <c r="N528" s="113"/>
      <c r="O528" s="113"/>
      <c r="P528" s="113"/>
      <c r="Q528" s="113"/>
      <c r="R528" s="113"/>
      <c r="S528" s="113"/>
      <c r="T528" s="113"/>
      <c r="U528" s="113"/>
      <c r="V528" s="113"/>
      <c r="W528" s="113"/>
      <c r="X528" s="113"/>
      <c r="Y528" s="113"/>
      <c r="Z528" s="113"/>
    </row>
    <row r="529">
      <c r="A529" s="113"/>
      <c r="B529" s="120"/>
      <c r="C529" s="120"/>
      <c r="D529" s="40"/>
      <c r="E529" s="114"/>
      <c r="F529" s="113"/>
      <c r="G529" s="113"/>
      <c r="H529" s="113"/>
      <c r="I529" s="113"/>
      <c r="J529" s="113"/>
      <c r="K529" s="113"/>
      <c r="L529" s="113"/>
      <c r="M529" s="113"/>
      <c r="N529" s="113"/>
      <c r="O529" s="113"/>
      <c r="P529" s="113"/>
      <c r="Q529" s="113"/>
      <c r="R529" s="113"/>
      <c r="S529" s="113"/>
      <c r="T529" s="113"/>
      <c r="U529" s="113"/>
      <c r="V529" s="113"/>
      <c r="W529" s="113"/>
      <c r="X529" s="113"/>
      <c r="Y529" s="113"/>
      <c r="Z529" s="113"/>
    </row>
    <row r="530">
      <c r="A530" s="113"/>
      <c r="B530" s="120"/>
      <c r="C530" s="120"/>
      <c r="D530" s="40"/>
      <c r="E530" s="114"/>
      <c r="F530" s="113"/>
      <c r="G530" s="113"/>
      <c r="H530" s="113"/>
      <c r="I530" s="113"/>
      <c r="J530" s="113"/>
      <c r="K530" s="113"/>
      <c r="L530" s="113"/>
      <c r="M530" s="113"/>
      <c r="N530" s="113"/>
      <c r="O530" s="113"/>
      <c r="P530" s="113"/>
      <c r="Q530" s="113"/>
      <c r="R530" s="113"/>
      <c r="S530" s="113"/>
      <c r="T530" s="113"/>
      <c r="U530" s="113"/>
      <c r="V530" s="113"/>
      <c r="W530" s="113"/>
      <c r="X530" s="113"/>
      <c r="Y530" s="113"/>
      <c r="Z530" s="113"/>
    </row>
    <row r="531">
      <c r="A531" s="113"/>
      <c r="B531" s="120"/>
      <c r="C531" s="120"/>
      <c r="D531" s="40"/>
      <c r="E531" s="114"/>
      <c r="F531" s="113"/>
      <c r="G531" s="113"/>
      <c r="H531" s="113"/>
      <c r="I531" s="113"/>
      <c r="J531" s="113"/>
      <c r="K531" s="113"/>
      <c r="L531" s="113"/>
      <c r="M531" s="113"/>
      <c r="N531" s="113"/>
      <c r="O531" s="113"/>
      <c r="P531" s="113"/>
      <c r="Q531" s="113"/>
      <c r="R531" s="113"/>
      <c r="S531" s="113"/>
      <c r="T531" s="113"/>
      <c r="U531" s="113"/>
      <c r="V531" s="113"/>
      <c r="W531" s="113"/>
      <c r="X531" s="113"/>
      <c r="Y531" s="113"/>
      <c r="Z531" s="113"/>
    </row>
    <row r="532">
      <c r="A532" s="113"/>
      <c r="B532" s="120"/>
      <c r="C532" s="120"/>
      <c r="D532" s="40"/>
      <c r="E532" s="114"/>
      <c r="F532" s="113"/>
      <c r="G532" s="113"/>
      <c r="H532" s="113"/>
      <c r="I532" s="113"/>
      <c r="J532" s="113"/>
      <c r="K532" s="113"/>
      <c r="L532" s="113"/>
      <c r="M532" s="113"/>
      <c r="N532" s="113"/>
      <c r="O532" s="113"/>
      <c r="P532" s="113"/>
      <c r="Q532" s="113"/>
      <c r="R532" s="113"/>
      <c r="S532" s="113"/>
      <c r="T532" s="113"/>
      <c r="U532" s="113"/>
      <c r="V532" s="113"/>
      <c r="W532" s="113"/>
      <c r="X532" s="113"/>
      <c r="Y532" s="113"/>
      <c r="Z532" s="113"/>
    </row>
    <row r="533">
      <c r="A533" s="113"/>
      <c r="B533" s="120"/>
      <c r="C533" s="120"/>
      <c r="D533" s="40"/>
      <c r="E533" s="114"/>
      <c r="F533" s="113"/>
      <c r="G533" s="113"/>
      <c r="H533" s="113"/>
      <c r="I533" s="113"/>
      <c r="J533" s="113"/>
      <c r="K533" s="113"/>
      <c r="L533" s="113"/>
      <c r="M533" s="113"/>
      <c r="N533" s="113"/>
      <c r="O533" s="113"/>
      <c r="P533" s="113"/>
      <c r="Q533" s="113"/>
      <c r="R533" s="113"/>
      <c r="S533" s="113"/>
      <c r="T533" s="113"/>
      <c r="U533" s="113"/>
      <c r="V533" s="113"/>
      <c r="W533" s="113"/>
      <c r="X533" s="113"/>
      <c r="Y533" s="113"/>
      <c r="Z533" s="113"/>
    </row>
    <row r="534">
      <c r="A534" s="113"/>
      <c r="B534" s="120"/>
      <c r="C534" s="120"/>
      <c r="D534" s="40"/>
      <c r="E534" s="114"/>
      <c r="F534" s="113"/>
      <c r="G534" s="113"/>
      <c r="H534" s="113"/>
      <c r="I534" s="113"/>
      <c r="J534" s="113"/>
      <c r="K534" s="113"/>
      <c r="L534" s="113"/>
      <c r="M534" s="113"/>
      <c r="N534" s="113"/>
      <c r="O534" s="113"/>
      <c r="P534" s="113"/>
      <c r="Q534" s="113"/>
      <c r="R534" s="113"/>
      <c r="S534" s="113"/>
      <c r="T534" s="113"/>
      <c r="U534" s="113"/>
      <c r="V534" s="113"/>
      <c r="W534" s="113"/>
      <c r="X534" s="113"/>
      <c r="Y534" s="113"/>
      <c r="Z534" s="113"/>
    </row>
    <row r="535">
      <c r="A535" s="113"/>
      <c r="B535" s="120"/>
      <c r="C535" s="120"/>
      <c r="D535" s="40"/>
      <c r="E535" s="114"/>
      <c r="F535" s="113"/>
      <c r="G535" s="113"/>
      <c r="H535" s="113"/>
      <c r="I535" s="113"/>
      <c r="J535" s="113"/>
      <c r="K535" s="113"/>
      <c r="L535" s="113"/>
      <c r="M535" s="113"/>
      <c r="N535" s="113"/>
      <c r="O535" s="113"/>
      <c r="P535" s="113"/>
      <c r="Q535" s="113"/>
      <c r="R535" s="113"/>
      <c r="S535" s="113"/>
      <c r="T535" s="113"/>
      <c r="U535" s="113"/>
      <c r="V535" s="113"/>
      <c r="W535" s="113"/>
      <c r="X535" s="113"/>
      <c r="Y535" s="113"/>
      <c r="Z535" s="113"/>
    </row>
    <row r="536">
      <c r="A536" s="113"/>
      <c r="B536" s="120"/>
      <c r="C536" s="120"/>
      <c r="D536" s="40"/>
      <c r="E536" s="114"/>
      <c r="F536" s="113"/>
      <c r="G536" s="113"/>
      <c r="H536" s="113"/>
      <c r="I536" s="113"/>
      <c r="J536" s="113"/>
      <c r="K536" s="113"/>
      <c r="L536" s="113"/>
      <c r="M536" s="113"/>
      <c r="N536" s="113"/>
      <c r="O536" s="113"/>
      <c r="P536" s="113"/>
      <c r="Q536" s="113"/>
      <c r="R536" s="113"/>
      <c r="S536" s="113"/>
      <c r="T536" s="113"/>
      <c r="U536" s="113"/>
      <c r="V536" s="113"/>
      <c r="W536" s="113"/>
      <c r="X536" s="113"/>
      <c r="Y536" s="113"/>
      <c r="Z536" s="113"/>
    </row>
    <row r="537">
      <c r="A537" s="113"/>
      <c r="B537" s="120"/>
      <c r="C537" s="120"/>
      <c r="D537" s="40"/>
      <c r="E537" s="114"/>
      <c r="F537" s="113"/>
      <c r="G537" s="113"/>
      <c r="H537" s="113"/>
      <c r="I537" s="113"/>
      <c r="J537" s="113"/>
      <c r="K537" s="113"/>
      <c r="L537" s="113"/>
      <c r="M537" s="113"/>
      <c r="N537" s="113"/>
      <c r="O537" s="113"/>
      <c r="P537" s="113"/>
      <c r="Q537" s="113"/>
      <c r="R537" s="113"/>
      <c r="S537" s="113"/>
      <c r="T537" s="113"/>
      <c r="U537" s="113"/>
      <c r="V537" s="113"/>
      <c r="W537" s="113"/>
      <c r="X537" s="113"/>
      <c r="Y537" s="113"/>
      <c r="Z537" s="113"/>
    </row>
    <row r="538">
      <c r="A538" s="113"/>
      <c r="B538" s="120"/>
      <c r="C538" s="120"/>
      <c r="D538" s="40"/>
      <c r="E538" s="114"/>
      <c r="F538" s="113"/>
      <c r="G538" s="113"/>
      <c r="H538" s="113"/>
      <c r="I538" s="113"/>
      <c r="J538" s="113"/>
      <c r="K538" s="113"/>
      <c r="L538" s="113"/>
      <c r="M538" s="113"/>
      <c r="N538" s="113"/>
      <c r="O538" s="113"/>
      <c r="P538" s="113"/>
      <c r="Q538" s="113"/>
      <c r="R538" s="113"/>
      <c r="S538" s="113"/>
      <c r="T538" s="113"/>
      <c r="U538" s="113"/>
      <c r="V538" s="113"/>
      <c r="W538" s="113"/>
      <c r="X538" s="113"/>
      <c r="Y538" s="113"/>
      <c r="Z538" s="113"/>
    </row>
    <row r="539">
      <c r="A539" s="113"/>
      <c r="B539" s="120"/>
      <c r="C539" s="120"/>
      <c r="D539" s="40"/>
      <c r="E539" s="114"/>
      <c r="F539" s="113"/>
      <c r="G539" s="113"/>
      <c r="H539" s="113"/>
      <c r="I539" s="113"/>
      <c r="J539" s="113"/>
      <c r="K539" s="113"/>
      <c r="L539" s="113"/>
      <c r="M539" s="113"/>
      <c r="N539" s="113"/>
      <c r="O539" s="113"/>
      <c r="P539" s="113"/>
      <c r="Q539" s="113"/>
      <c r="R539" s="113"/>
      <c r="S539" s="113"/>
      <c r="T539" s="113"/>
      <c r="U539" s="113"/>
      <c r="V539" s="113"/>
      <c r="W539" s="113"/>
      <c r="X539" s="113"/>
      <c r="Y539" s="113"/>
      <c r="Z539" s="113"/>
    </row>
    <row r="540">
      <c r="A540" s="113"/>
      <c r="B540" s="120"/>
      <c r="C540" s="120"/>
      <c r="D540" s="40"/>
      <c r="E540" s="114"/>
      <c r="F540" s="113"/>
      <c r="G540" s="113"/>
      <c r="H540" s="113"/>
      <c r="I540" s="113"/>
      <c r="J540" s="113"/>
      <c r="K540" s="113"/>
      <c r="L540" s="113"/>
      <c r="M540" s="113"/>
      <c r="N540" s="113"/>
      <c r="O540" s="113"/>
      <c r="P540" s="113"/>
      <c r="Q540" s="113"/>
      <c r="R540" s="113"/>
      <c r="S540" s="113"/>
      <c r="T540" s="113"/>
      <c r="U540" s="113"/>
      <c r="V540" s="113"/>
      <c r="W540" s="113"/>
      <c r="X540" s="113"/>
      <c r="Y540" s="113"/>
      <c r="Z540" s="113"/>
    </row>
    <row r="541">
      <c r="A541" s="113"/>
      <c r="B541" s="120"/>
      <c r="C541" s="120"/>
      <c r="D541" s="40"/>
      <c r="E541" s="114"/>
      <c r="F541" s="113"/>
      <c r="G541" s="113"/>
      <c r="H541" s="113"/>
      <c r="I541" s="113"/>
      <c r="J541" s="113"/>
      <c r="K541" s="113"/>
      <c r="L541" s="113"/>
      <c r="M541" s="113"/>
      <c r="N541" s="113"/>
      <c r="O541" s="113"/>
      <c r="P541" s="113"/>
      <c r="Q541" s="113"/>
      <c r="R541" s="113"/>
      <c r="S541" s="113"/>
      <c r="T541" s="113"/>
      <c r="U541" s="113"/>
      <c r="V541" s="113"/>
      <c r="W541" s="113"/>
      <c r="X541" s="113"/>
      <c r="Y541" s="113"/>
      <c r="Z541" s="113"/>
    </row>
    <row r="542">
      <c r="A542" s="113"/>
      <c r="B542" s="120"/>
      <c r="C542" s="120"/>
      <c r="D542" s="40"/>
      <c r="E542" s="114"/>
      <c r="F542" s="113"/>
      <c r="G542" s="113"/>
      <c r="H542" s="113"/>
      <c r="I542" s="113"/>
      <c r="J542" s="113"/>
      <c r="K542" s="113"/>
      <c r="L542" s="113"/>
      <c r="M542" s="113"/>
      <c r="N542" s="113"/>
      <c r="O542" s="113"/>
      <c r="P542" s="113"/>
      <c r="Q542" s="113"/>
      <c r="R542" s="113"/>
      <c r="S542" s="113"/>
      <c r="T542" s="113"/>
      <c r="U542" s="113"/>
      <c r="V542" s="113"/>
      <c r="W542" s="113"/>
      <c r="X542" s="113"/>
      <c r="Y542" s="113"/>
      <c r="Z542" s="113"/>
    </row>
    <row r="543">
      <c r="A543" s="113"/>
      <c r="B543" s="120"/>
      <c r="C543" s="120"/>
      <c r="D543" s="40"/>
      <c r="E543" s="114"/>
      <c r="F543" s="113"/>
      <c r="G543" s="113"/>
      <c r="H543" s="113"/>
      <c r="I543" s="113"/>
      <c r="J543" s="113"/>
      <c r="K543" s="113"/>
      <c r="L543" s="113"/>
      <c r="M543" s="113"/>
      <c r="N543" s="113"/>
      <c r="O543" s="113"/>
      <c r="P543" s="113"/>
      <c r="Q543" s="113"/>
      <c r="R543" s="113"/>
      <c r="S543" s="113"/>
      <c r="T543" s="113"/>
      <c r="U543" s="113"/>
      <c r="V543" s="113"/>
      <c r="W543" s="113"/>
      <c r="X543" s="113"/>
      <c r="Y543" s="113"/>
      <c r="Z543" s="113"/>
    </row>
    <row r="544">
      <c r="A544" s="113"/>
      <c r="B544" s="120"/>
      <c r="C544" s="120"/>
      <c r="D544" s="40"/>
      <c r="E544" s="114"/>
      <c r="F544" s="113"/>
      <c r="G544" s="113"/>
      <c r="H544" s="113"/>
      <c r="I544" s="113"/>
      <c r="J544" s="113"/>
      <c r="K544" s="113"/>
      <c r="L544" s="113"/>
      <c r="M544" s="113"/>
      <c r="N544" s="113"/>
      <c r="O544" s="113"/>
      <c r="P544" s="113"/>
      <c r="Q544" s="113"/>
      <c r="R544" s="113"/>
      <c r="S544" s="113"/>
      <c r="T544" s="113"/>
      <c r="U544" s="113"/>
      <c r="V544" s="113"/>
      <c r="W544" s="113"/>
      <c r="X544" s="113"/>
      <c r="Y544" s="113"/>
      <c r="Z544" s="113"/>
    </row>
    <row r="545">
      <c r="A545" s="113"/>
      <c r="B545" s="120"/>
      <c r="C545" s="120"/>
      <c r="D545" s="40"/>
      <c r="E545" s="114"/>
      <c r="F545" s="113"/>
      <c r="G545" s="113"/>
      <c r="H545" s="113"/>
      <c r="I545" s="113"/>
      <c r="J545" s="113"/>
      <c r="K545" s="113"/>
      <c r="L545" s="113"/>
      <c r="M545" s="113"/>
      <c r="N545" s="113"/>
      <c r="O545" s="113"/>
      <c r="P545" s="113"/>
      <c r="Q545" s="113"/>
      <c r="R545" s="113"/>
      <c r="S545" s="113"/>
      <c r="T545" s="113"/>
      <c r="U545" s="113"/>
      <c r="V545" s="113"/>
      <c r="W545" s="113"/>
      <c r="X545" s="113"/>
      <c r="Y545" s="113"/>
      <c r="Z545" s="113"/>
    </row>
    <row r="546">
      <c r="A546" s="113"/>
      <c r="B546" s="120"/>
      <c r="C546" s="120"/>
      <c r="D546" s="40"/>
      <c r="E546" s="114"/>
      <c r="F546" s="113"/>
      <c r="G546" s="113"/>
      <c r="H546" s="113"/>
      <c r="I546" s="113"/>
      <c r="J546" s="113"/>
      <c r="K546" s="113"/>
      <c r="L546" s="113"/>
      <c r="M546" s="113"/>
      <c r="N546" s="113"/>
      <c r="O546" s="113"/>
      <c r="P546" s="113"/>
      <c r="Q546" s="113"/>
      <c r="R546" s="113"/>
      <c r="S546" s="113"/>
      <c r="T546" s="113"/>
      <c r="U546" s="113"/>
      <c r="V546" s="113"/>
      <c r="W546" s="113"/>
      <c r="X546" s="113"/>
      <c r="Y546" s="113"/>
      <c r="Z546" s="113"/>
    </row>
    <row r="547">
      <c r="A547" s="113"/>
      <c r="B547" s="120"/>
      <c r="C547" s="120"/>
      <c r="D547" s="40"/>
      <c r="E547" s="114"/>
      <c r="F547" s="113"/>
      <c r="G547" s="113"/>
      <c r="H547" s="113"/>
      <c r="I547" s="113"/>
      <c r="J547" s="113"/>
      <c r="K547" s="113"/>
      <c r="L547" s="113"/>
      <c r="M547" s="113"/>
      <c r="N547" s="113"/>
      <c r="O547" s="113"/>
      <c r="P547" s="113"/>
      <c r="Q547" s="113"/>
      <c r="R547" s="113"/>
      <c r="S547" s="113"/>
      <c r="T547" s="113"/>
      <c r="U547" s="113"/>
      <c r="V547" s="113"/>
      <c r="W547" s="113"/>
      <c r="X547" s="113"/>
      <c r="Y547" s="113"/>
      <c r="Z547" s="113"/>
    </row>
    <row r="548">
      <c r="A548" s="113"/>
      <c r="B548" s="120"/>
      <c r="C548" s="120"/>
      <c r="D548" s="40"/>
      <c r="E548" s="114"/>
      <c r="F548" s="113"/>
      <c r="G548" s="113"/>
      <c r="H548" s="113"/>
      <c r="I548" s="113"/>
      <c r="J548" s="113"/>
      <c r="K548" s="113"/>
      <c r="L548" s="113"/>
      <c r="M548" s="113"/>
      <c r="N548" s="113"/>
      <c r="O548" s="113"/>
      <c r="P548" s="113"/>
      <c r="Q548" s="113"/>
      <c r="R548" s="113"/>
      <c r="S548" s="113"/>
      <c r="T548" s="113"/>
      <c r="U548" s="113"/>
      <c r="V548" s="113"/>
      <c r="W548" s="113"/>
      <c r="X548" s="113"/>
      <c r="Y548" s="113"/>
      <c r="Z548" s="113"/>
    </row>
    <row r="549">
      <c r="A549" s="113"/>
      <c r="B549" s="120"/>
      <c r="C549" s="120"/>
      <c r="D549" s="40"/>
      <c r="E549" s="114"/>
      <c r="F549" s="113"/>
      <c r="G549" s="113"/>
      <c r="H549" s="113"/>
      <c r="I549" s="113"/>
      <c r="J549" s="113"/>
      <c r="K549" s="113"/>
      <c r="L549" s="113"/>
      <c r="M549" s="113"/>
      <c r="N549" s="113"/>
      <c r="O549" s="113"/>
      <c r="P549" s="113"/>
      <c r="Q549" s="113"/>
      <c r="R549" s="113"/>
      <c r="S549" s="113"/>
      <c r="T549" s="113"/>
      <c r="U549" s="113"/>
      <c r="V549" s="113"/>
      <c r="W549" s="113"/>
      <c r="X549" s="113"/>
      <c r="Y549" s="113"/>
      <c r="Z549" s="113"/>
    </row>
    <row r="550">
      <c r="A550" s="113"/>
      <c r="B550" s="120"/>
      <c r="C550" s="120"/>
      <c r="D550" s="40"/>
      <c r="E550" s="114"/>
      <c r="F550" s="113"/>
      <c r="G550" s="113"/>
      <c r="H550" s="113"/>
      <c r="I550" s="113"/>
      <c r="J550" s="113"/>
      <c r="K550" s="113"/>
      <c r="L550" s="113"/>
      <c r="M550" s="113"/>
      <c r="N550" s="113"/>
      <c r="O550" s="113"/>
      <c r="P550" s="113"/>
      <c r="Q550" s="113"/>
      <c r="R550" s="113"/>
      <c r="S550" s="113"/>
      <c r="T550" s="113"/>
      <c r="U550" s="113"/>
      <c r="V550" s="113"/>
      <c r="W550" s="113"/>
      <c r="X550" s="113"/>
      <c r="Y550" s="113"/>
      <c r="Z550" s="113"/>
    </row>
    <row r="551">
      <c r="A551" s="113"/>
      <c r="B551" s="120"/>
      <c r="C551" s="120"/>
      <c r="D551" s="40"/>
      <c r="E551" s="114"/>
      <c r="F551" s="113"/>
      <c r="G551" s="113"/>
      <c r="H551" s="113"/>
      <c r="I551" s="113"/>
      <c r="J551" s="113"/>
      <c r="K551" s="113"/>
      <c r="L551" s="113"/>
      <c r="M551" s="113"/>
      <c r="N551" s="113"/>
      <c r="O551" s="113"/>
      <c r="P551" s="113"/>
      <c r="Q551" s="113"/>
      <c r="R551" s="113"/>
      <c r="S551" s="113"/>
      <c r="T551" s="113"/>
      <c r="U551" s="113"/>
      <c r="V551" s="113"/>
      <c r="W551" s="113"/>
      <c r="X551" s="113"/>
      <c r="Y551" s="113"/>
      <c r="Z551" s="113"/>
    </row>
    <row r="552">
      <c r="A552" s="113"/>
      <c r="B552" s="120"/>
      <c r="C552" s="120"/>
      <c r="D552" s="40"/>
      <c r="E552" s="114"/>
      <c r="F552" s="113"/>
      <c r="G552" s="113"/>
      <c r="H552" s="113"/>
      <c r="I552" s="113"/>
      <c r="J552" s="113"/>
      <c r="K552" s="113"/>
      <c r="L552" s="113"/>
      <c r="M552" s="113"/>
      <c r="N552" s="113"/>
      <c r="O552" s="113"/>
      <c r="P552" s="113"/>
      <c r="Q552" s="113"/>
      <c r="R552" s="113"/>
      <c r="S552" s="113"/>
      <c r="T552" s="113"/>
      <c r="U552" s="113"/>
      <c r="V552" s="113"/>
      <c r="W552" s="113"/>
      <c r="X552" s="113"/>
      <c r="Y552" s="113"/>
      <c r="Z552" s="113"/>
    </row>
    <row r="553">
      <c r="A553" s="113"/>
      <c r="B553" s="120"/>
      <c r="C553" s="120"/>
      <c r="D553" s="40"/>
      <c r="E553" s="114"/>
      <c r="F553" s="113"/>
      <c r="G553" s="113"/>
      <c r="H553" s="113"/>
      <c r="I553" s="113"/>
      <c r="J553" s="113"/>
      <c r="K553" s="113"/>
      <c r="L553" s="113"/>
      <c r="M553" s="113"/>
      <c r="N553" s="113"/>
      <c r="O553" s="113"/>
      <c r="P553" s="113"/>
      <c r="Q553" s="113"/>
      <c r="R553" s="113"/>
      <c r="S553" s="113"/>
      <c r="T553" s="113"/>
      <c r="U553" s="113"/>
      <c r="V553" s="113"/>
      <c r="W553" s="113"/>
      <c r="X553" s="113"/>
      <c r="Y553" s="113"/>
      <c r="Z553" s="113"/>
    </row>
    <row r="554">
      <c r="A554" s="113"/>
      <c r="B554" s="120"/>
      <c r="C554" s="120"/>
      <c r="D554" s="40"/>
      <c r="E554" s="114"/>
      <c r="F554" s="113"/>
      <c r="G554" s="113"/>
      <c r="H554" s="113"/>
      <c r="I554" s="113"/>
      <c r="J554" s="113"/>
      <c r="K554" s="113"/>
      <c r="L554" s="113"/>
      <c r="M554" s="113"/>
      <c r="N554" s="113"/>
      <c r="O554" s="113"/>
      <c r="P554" s="113"/>
      <c r="Q554" s="113"/>
      <c r="R554" s="113"/>
      <c r="S554" s="113"/>
      <c r="T554" s="113"/>
      <c r="U554" s="113"/>
      <c r="V554" s="113"/>
      <c r="W554" s="113"/>
      <c r="X554" s="113"/>
      <c r="Y554" s="113"/>
      <c r="Z554" s="113"/>
    </row>
    <row r="555">
      <c r="A555" s="113"/>
      <c r="B555" s="120"/>
      <c r="C555" s="120"/>
      <c r="D555" s="40"/>
      <c r="E555" s="114"/>
      <c r="F555" s="113"/>
      <c r="G555" s="113"/>
      <c r="H555" s="113"/>
      <c r="I555" s="113"/>
      <c r="J555" s="113"/>
      <c r="K555" s="113"/>
      <c r="L555" s="113"/>
      <c r="M555" s="113"/>
      <c r="N555" s="113"/>
      <c r="O555" s="113"/>
      <c r="P555" s="113"/>
      <c r="Q555" s="113"/>
      <c r="R555" s="113"/>
      <c r="S555" s="113"/>
      <c r="T555" s="113"/>
      <c r="U555" s="113"/>
      <c r="V555" s="113"/>
      <c r="W555" s="113"/>
      <c r="X555" s="113"/>
      <c r="Y555" s="113"/>
      <c r="Z555" s="113"/>
    </row>
    <row r="556">
      <c r="A556" s="113"/>
      <c r="B556" s="120"/>
      <c r="C556" s="120"/>
      <c r="D556" s="40"/>
      <c r="E556" s="114"/>
      <c r="F556" s="113"/>
      <c r="G556" s="113"/>
      <c r="H556" s="113"/>
      <c r="I556" s="113"/>
      <c r="J556" s="113"/>
      <c r="K556" s="113"/>
      <c r="L556" s="113"/>
      <c r="M556" s="113"/>
      <c r="N556" s="113"/>
      <c r="O556" s="113"/>
      <c r="P556" s="113"/>
      <c r="Q556" s="113"/>
      <c r="R556" s="113"/>
      <c r="S556" s="113"/>
      <c r="T556" s="113"/>
      <c r="U556" s="113"/>
      <c r="V556" s="113"/>
      <c r="W556" s="113"/>
      <c r="X556" s="113"/>
      <c r="Y556" s="113"/>
      <c r="Z556" s="113"/>
    </row>
    <row r="557">
      <c r="A557" s="113"/>
      <c r="B557" s="120"/>
      <c r="C557" s="120"/>
      <c r="D557" s="40"/>
      <c r="E557" s="114"/>
      <c r="F557" s="113"/>
      <c r="G557" s="113"/>
      <c r="H557" s="113"/>
      <c r="I557" s="113"/>
      <c r="J557" s="113"/>
      <c r="K557" s="113"/>
      <c r="L557" s="113"/>
      <c r="M557" s="113"/>
      <c r="N557" s="113"/>
      <c r="O557" s="113"/>
      <c r="P557" s="113"/>
      <c r="Q557" s="113"/>
      <c r="R557" s="113"/>
      <c r="S557" s="113"/>
      <c r="T557" s="113"/>
      <c r="U557" s="113"/>
      <c r="V557" s="113"/>
      <c r="W557" s="113"/>
      <c r="X557" s="113"/>
      <c r="Y557" s="113"/>
      <c r="Z557" s="113"/>
    </row>
    <row r="558">
      <c r="A558" s="113"/>
      <c r="B558" s="120"/>
      <c r="C558" s="120"/>
      <c r="D558" s="40"/>
      <c r="E558" s="114"/>
      <c r="F558" s="113"/>
      <c r="G558" s="113"/>
      <c r="H558" s="113"/>
      <c r="I558" s="113"/>
      <c r="J558" s="113"/>
      <c r="K558" s="113"/>
      <c r="L558" s="113"/>
      <c r="M558" s="113"/>
      <c r="N558" s="113"/>
      <c r="O558" s="113"/>
      <c r="P558" s="113"/>
      <c r="Q558" s="113"/>
      <c r="R558" s="113"/>
      <c r="S558" s="113"/>
      <c r="T558" s="113"/>
      <c r="U558" s="113"/>
      <c r="V558" s="113"/>
      <c r="W558" s="113"/>
      <c r="X558" s="113"/>
      <c r="Y558" s="113"/>
      <c r="Z558" s="113"/>
    </row>
    <row r="559">
      <c r="A559" s="113"/>
      <c r="B559" s="120"/>
      <c r="C559" s="120"/>
      <c r="D559" s="40"/>
      <c r="E559" s="114"/>
      <c r="F559" s="113"/>
      <c r="G559" s="113"/>
      <c r="H559" s="113"/>
      <c r="I559" s="113"/>
      <c r="J559" s="113"/>
      <c r="K559" s="113"/>
      <c r="L559" s="113"/>
      <c r="M559" s="113"/>
      <c r="N559" s="113"/>
      <c r="O559" s="113"/>
      <c r="P559" s="113"/>
      <c r="Q559" s="113"/>
      <c r="R559" s="113"/>
      <c r="S559" s="113"/>
      <c r="T559" s="113"/>
      <c r="U559" s="113"/>
      <c r="V559" s="113"/>
      <c r="W559" s="113"/>
      <c r="X559" s="113"/>
      <c r="Y559" s="113"/>
      <c r="Z559" s="113"/>
    </row>
    <row r="560">
      <c r="A560" s="113"/>
      <c r="B560" s="120"/>
      <c r="C560" s="120"/>
      <c r="D560" s="40"/>
      <c r="E560" s="114"/>
      <c r="F560" s="113"/>
      <c r="G560" s="113"/>
      <c r="H560" s="113"/>
      <c r="I560" s="113"/>
      <c r="J560" s="113"/>
      <c r="K560" s="113"/>
      <c r="L560" s="113"/>
      <c r="M560" s="113"/>
      <c r="N560" s="113"/>
      <c r="O560" s="113"/>
      <c r="P560" s="113"/>
      <c r="Q560" s="113"/>
      <c r="R560" s="113"/>
      <c r="S560" s="113"/>
      <c r="T560" s="113"/>
      <c r="U560" s="113"/>
      <c r="V560" s="113"/>
      <c r="W560" s="113"/>
      <c r="X560" s="113"/>
      <c r="Y560" s="113"/>
      <c r="Z560" s="113"/>
    </row>
    <row r="561">
      <c r="A561" s="113"/>
      <c r="B561" s="120"/>
      <c r="C561" s="120"/>
      <c r="D561" s="40"/>
      <c r="E561" s="114"/>
      <c r="F561" s="113"/>
      <c r="G561" s="113"/>
      <c r="H561" s="113"/>
      <c r="I561" s="113"/>
      <c r="J561" s="113"/>
      <c r="K561" s="113"/>
      <c r="L561" s="113"/>
      <c r="M561" s="113"/>
      <c r="N561" s="113"/>
      <c r="O561" s="113"/>
      <c r="P561" s="113"/>
      <c r="Q561" s="113"/>
      <c r="R561" s="113"/>
      <c r="S561" s="113"/>
      <c r="T561" s="113"/>
      <c r="U561" s="113"/>
      <c r="V561" s="113"/>
      <c r="W561" s="113"/>
      <c r="X561" s="113"/>
      <c r="Y561" s="113"/>
      <c r="Z561" s="113"/>
    </row>
    <row r="562">
      <c r="A562" s="113"/>
      <c r="B562" s="120"/>
      <c r="C562" s="120"/>
      <c r="D562" s="40"/>
      <c r="E562" s="114"/>
      <c r="F562" s="113"/>
      <c r="G562" s="113"/>
      <c r="H562" s="113"/>
      <c r="I562" s="113"/>
      <c r="J562" s="113"/>
      <c r="K562" s="113"/>
      <c r="L562" s="113"/>
      <c r="M562" s="113"/>
      <c r="N562" s="113"/>
      <c r="O562" s="113"/>
      <c r="P562" s="113"/>
      <c r="Q562" s="113"/>
      <c r="R562" s="113"/>
      <c r="S562" s="113"/>
      <c r="T562" s="113"/>
      <c r="U562" s="113"/>
      <c r="V562" s="113"/>
      <c r="W562" s="113"/>
      <c r="X562" s="113"/>
      <c r="Y562" s="113"/>
      <c r="Z562" s="113"/>
    </row>
    <row r="563">
      <c r="A563" s="113"/>
      <c r="B563" s="120"/>
      <c r="C563" s="120"/>
      <c r="D563" s="40"/>
      <c r="E563" s="114"/>
      <c r="F563" s="113"/>
      <c r="G563" s="113"/>
      <c r="H563" s="113"/>
      <c r="I563" s="113"/>
      <c r="J563" s="113"/>
      <c r="K563" s="113"/>
      <c r="L563" s="113"/>
      <c r="M563" s="113"/>
      <c r="N563" s="113"/>
      <c r="O563" s="113"/>
      <c r="P563" s="113"/>
      <c r="Q563" s="113"/>
      <c r="R563" s="113"/>
      <c r="S563" s="113"/>
      <c r="T563" s="113"/>
      <c r="U563" s="113"/>
      <c r="V563" s="113"/>
      <c r="W563" s="113"/>
      <c r="X563" s="113"/>
      <c r="Y563" s="113"/>
      <c r="Z563" s="113"/>
    </row>
    <row r="564">
      <c r="A564" s="113"/>
      <c r="B564" s="120"/>
      <c r="C564" s="120"/>
      <c r="D564" s="40"/>
      <c r="E564" s="114"/>
      <c r="F564" s="113"/>
      <c r="G564" s="113"/>
      <c r="H564" s="113"/>
      <c r="I564" s="113"/>
      <c r="J564" s="113"/>
      <c r="K564" s="113"/>
      <c r="L564" s="113"/>
      <c r="M564" s="113"/>
      <c r="N564" s="113"/>
      <c r="O564" s="113"/>
      <c r="P564" s="113"/>
      <c r="Q564" s="113"/>
      <c r="R564" s="113"/>
      <c r="S564" s="113"/>
      <c r="T564" s="113"/>
      <c r="U564" s="113"/>
      <c r="V564" s="113"/>
      <c r="W564" s="113"/>
      <c r="X564" s="113"/>
      <c r="Y564" s="113"/>
      <c r="Z564" s="113"/>
    </row>
    <row r="565">
      <c r="A565" s="113"/>
      <c r="B565" s="120"/>
      <c r="C565" s="120"/>
      <c r="D565" s="40"/>
      <c r="E565" s="114"/>
      <c r="F565" s="113"/>
      <c r="G565" s="113"/>
      <c r="H565" s="113"/>
      <c r="I565" s="113"/>
      <c r="J565" s="113"/>
      <c r="K565" s="113"/>
      <c r="L565" s="113"/>
      <c r="M565" s="113"/>
      <c r="N565" s="113"/>
      <c r="O565" s="113"/>
      <c r="P565" s="113"/>
      <c r="Q565" s="113"/>
      <c r="R565" s="113"/>
      <c r="S565" s="113"/>
      <c r="T565" s="113"/>
      <c r="U565" s="113"/>
      <c r="V565" s="113"/>
      <c r="W565" s="113"/>
      <c r="X565" s="113"/>
      <c r="Y565" s="113"/>
      <c r="Z565" s="113"/>
    </row>
    <row r="566">
      <c r="A566" s="113"/>
      <c r="B566" s="120"/>
      <c r="C566" s="120"/>
      <c r="D566" s="40"/>
      <c r="E566" s="114"/>
      <c r="F566" s="113"/>
      <c r="G566" s="113"/>
      <c r="H566" s="113"/>
      <c r="I566" s="113"/>
      <c r="J566" s="113"/>
      <c r="K566" s="113"/>
      <c r="L566" s="113"/>
      <c r="M566" s="113"/>
      <c r="N566" s="113"/>
      <c r="O566" s="113"/>
      <c r="P566" s="113"/>
      <c r="Q566" s="113"/>
      <c r="R566" s="113"/>
      <c r="S566" s="113"/>
      <c r="T566" s="113"/>
      <c r="U566" s="113"/>
      <c r="V566" s="113"/>
      <c r="W566" s="113"/>
      <c r="X566" s="113"/>
      <c r="Y566" s="113"/>
      <c r="Z566" s="113"/>
    </row>
    <row r="567">
      <c r="A567" s="113"/>
      <c r="B567" s="120"/>
      <c r="C567" s="120"/>
      <c r="D567" s="40"/>
      <c r="E567" s="114"/>
      <c r="F567" s="113"/>
      <c r="G567" s="113"/>
      <c r="H567" s="113"/>
      <c r="I567" s="113"/>
      <c r="J567" s="113"/>
      <c r="K567" s="113"/>
      <c r="L567" s="113"/>
      <c r="M567" s="113"/>
      <c r="N567" s="113"/>
      <c r="O567" s="113"/>
      <c r="P567" s="113"/>
      <c r="Q567" s="113"/>
      <c r="R567" s="113"/>
      <c r="S567" s="113"/>
      <c r="T567" s="113"/>
      <c r="U567" s="113"/>
      <c r="V567" s="113"/>
      <c r="W567" s="113"/>
      <c r="X567" s="113"/>
      <c r="Y567" s="113"/>
      <c r="Z567" s="113"/>
    </row>
    <row r="568">
      <c r="A568" s="113"/>
      <c r="B568" s="120"/>
      <c r="C568" s="120"/>
      <c r="D568" s="40"/>
      <c r="E568" s="114"/>
      <c r="F568" s="113"/>
      <c r="G568" s="113"/>
      <c r="H568" s="113"/>
      <c r="I568" s="113"/>
      <c r="J568" s="113"/>
      <c r="K568" s="113"/>
      <c r="L568" s="113"/>
      <c r="M568" s="113"/>
      <c r="N568" s="113"/>
      <c r="O568" s="113"/>
      <c r="P568" s="113"/>
      <c r="Q568" s="113"/>
      <c r="R568" s="113"/>
      <c r="S568" s="113"/>
      <c r="T568" s="113"/>
      <c r="U568" s="113"/>
      <c r="V568" s="113"/>
      <c r="W568" s="113"/>
      <c r="X568" s="113"/>
      <c r="Y568" s="113"/>
      <c r="Z568" s="113"/>
    </row>
    <row r="569">
      <c r="A569" s="113"/>
      <c r="B569" s="120"/>
      <c r="C569" s="120"/>
      <c r="D569" s="40"/>
      <c r="E569" s="114"/>
      <c r="F569" s="113"/>
      <c r="G569" s="113"/>
      <c r="H569" s="113"/>
      <c r="I569" s="113"/>
      <c r="J569" s="113"/>
      <c r="K569" s="113"/>
      <c r="L569" s="113"/>
      <c r="M569" s="113"/>
      <c r="N569" s="113"/>
      <c r="O569" s="113"/>
      <c r="P569" s="113"/>
      <c r="Q569" s="113"/>
      <c r="R569" s="113"/>
      <c r="S569" s="113"/>
      <c r="T569" s="113"/>
      <c r="U569" s="113"/>
      <c r="V569" s="113"/>
      <c r="W569" s="113"/>
      <c r="X569" s="113"/>
      <c r="Y569" s="113"/>
      <c r="Z569" s="113"/>
    </row>
    <row r="570">
      <c r="A570" s="113"/>
      <c r="B570" s="120"/>
      <c r="C570" s="120"/>
      <c r="D570" s="40"/>
      <c r="E570" s="114"/>
      <c r="F570" s="113"/>
      <c r="G570" s="113"/>
      <c r="H570" s="113"/>
      <c r="I570" s="113"/>
      <c r="J570" s="113"/>
      <c r="K570" s="113"/>
      <c r="L570" s="113"/>
      <c r="M570" s="113"/>
      <c r="N570" s="113"/>
      <c r="O570" s="113"/>
      <c r="P570" s="113"/>
      <c r="Q570" s="113"/>
      <c r="R570" s="113"/>
      <c r="S570" s="113"/>
      <c r="T570" s="113"/>
      <c r="U570" s="113"/>
      <c r="V570" s="113"/>
      <c r="W570" s="113"/>
      <c r="X570" s="113"/>
      <c r="Y570" s="113"/>
      <c r="Z570" s="113"/>
    </row>
    <row r="571">
      <c r="A571" s="113"/>
      <c r="B571" s="120"/>
      <c r="C571" s="120"/>
      <c r="D571" s="40"/>
      <c r="E571" s="114"/>
      <c r="F571" s="113"/>
      <c r="G571" s="113"/>
      <c r="H571" s="113"/>
      <c r="I571" s="113"/>
      <c r="J571" s="113"/>
      <c r="K571" s="113"/>
      <c r="L571" s="113"/>
      <c r="M571" s="113"/>
      <c r="N571" s="113"/>
      <c r="O571" s="113"/>
      <c r="P571" s="113"/>
      <c r="Q571" s="113"/>
      <c r="R571" s="113"/>
      <c r="S571" s="113"/>
      <c r="T571" s="113"/>
      <c r="U571" s="113"/>
      <c r="V571" s="113"/>
      <c r="W571" s="113"/>
      <c r="X571" s="113"/>
      <c r="Y571" s="113"/>
      <c r="Z571" s="113"/>
    </row>
    <row r="572">
      <c r="A572" s="113"/>
      <c r="B572" s="120"/>
      <c r="C572" s="120"/>
      <c r="D572" s="40"/>
      <c r="E572" s="114"/>
      <c r="F572" s="113"/>
      <c r="G572" s="113"/>
      <c r="H572" s="113"/>
      <c r="I572" s="113"/>
      <c r="J572" s="113"/>
      <c r="K572" s="113"/>
      <c r="L572" s="113"/>
      <c r="M572" s="113"/>
      <c r="N572" s="113"/>
      <c r="O572" s="113"/>
      <c r="P572" s="113"/>
      <c r="Q572" s="113"/>
      <c r="R572" s="113"/>
      <c r="S572" s="113"/>
      <c r="T572" s="113"/>
      <c r="U572" s="113"/>
      <c r="V572" s="113"/>
      <c r="W572" s="113"/>
      <c r="X572" s="113"/>
      <c r="Y572" s="113"/>
      <c r="Z572" s="113"/>
    </row>
    <row r="573">
      <c r="A573" s="113"/>
      <c r="B573" s="120"/>
      <c r="C573" s="120"/>
      <c r="D573" s="40"/>
      <c r="E573" s="114"/>
      <c r="F573" s="113"/>
      <c r="G573" s="113"/>
      <c r="H573" s="113"/>
      <c r="I573" s="113"/>
      <c r="J573" s="113"/>
      <c r="K573" s="113"/>
      <c r="L573" s="113"/>
      <c r="M573" s="113"/>
      <c r="N573" s="113"/>
      <c r="O573" s="113"/>
      <c r="P573" s="113"/>
      <c r="Q573" s="113"/>
      <c r="R573" s="113"/>
      <c r="S573" s="113"/>
      <c r="T573" s="113"/>
      <c r="U573" s="113"/>
      <c r="V573" s="113"/>
      <c r="W573" s="113"/>
      <c r="X573" s="113"/>
      <c r="Y573" s="113"/>
      <c r="Z573" s="113"/>
    </row>
    <row r="574">
      <c r="A574" s="113"/>
      <c r="B574" s="120"/>
      <c r="C574" s="120"/>
      <c r="D574" s="40"/>
      <c r="E574" s="114"/>
      <c r="F574" s="113"/>
      <c r="G574" s="113"/>
      <c r="H574" s="113"/>
      <c r="I574" s="113"/>
      <c r="J574" s="113"/>
      <c r="K574" s="113"/>
      <c r="L574" s="113"/>
      <c r="M574" s="113"/>
      <c r="N574" s="113"/>
      <c r="O574" s="113"/>
      <c r="P574" s="113"/>
      <c r="Q574" s="113"/>
      <c r="R574" s="113"/>
      <c r="S574" s="113"/>
      <c r="T574" s="113"/>
      <c r="U574" s="113"/>
      <c r="V574" s="113"/>
      <c r="W574" s="113"/>
      <c r="X574" s="113"/>
      <c r="Y574" s="113"/>
      <c r="Z574" s="113"/>
    </row>
    <row r="575">
      <c r="A575" s="113"/>
      <c r="B575" s="120"/>
      <c r="C575" s="120"/>
      <c r="D575" s="40"/>
      <c r="E575" s="114"/>
      <c r="F575" s="113"/>
      <c r="G575" s="113"/>
      <c r="H575" s="113"/>
      <c r="I575" s="113"/>
      <c r="J575" s="113"/>
      <c r="K575" s="113"/>
      <c r="L575" s="113"/>
      <c r="M575" s="113"/>
      <c r="N575" s="113"/>
      <c r="O575" s="113"/>
      <c r="P575" s="113"/>
      <c r="Q575" s="113"/>
      <c r="R575" s="113"/>
      <c r="S575" s="113"/>
      <c r="T575" s="113"/>
      <c r="U575" s="113"/>
      <c r="V575" s="113"/>
      <c r="W575" s="113"/>
      <c r="X575" s="113"/>
      <c r="Y575" s="113"/>
      <c r="Z575" s="113"/>
    </row>
    <row r="576">
      <c r="A576" s="113"/>
      <c r="B576" s="120"/>
      <c r="C576" s="120"/>
      <c r="D576" s="40"/>
      <c r="E576" s="114"/>
      <c r="F576" s="113"/>
      <c r="G576" s="113"/>
      <c r="H576" s="113"/>
      <c r="I576" s="113"/>
      <c r="J576" s="113"/>
      <c r="K576" s="113"/>
      <c r="L576" s="113"/>
      <c r="M576" s="113"/>
      <c r="N576" s="113"/>
      <c r="O576" s="113"/>
      <c r="P576" s="113"/>
      <c r="Q576" s="113"/>
      <c r="R576" s="113"/>
      <c r="S576" s="113"/>
      <c r="T576" s="113"/>
      <c r="U576" s="113"/>
      <c r="V576" s="113"/>
      <c r="W576" s="113"/>
      <c r="X576" s="113"/>
      <c r="Y576" s="113"/>
      <c r="Z576" s="113"/>
    </row>
    <row r="577">
      <c r="A577" s="113"/>
      <c r="B577" s="120"/>
      <c r="C577" s="120"/>
      <c r="D577" s="40"/>
      <c r="E577" s="114"/>
      <c r="F577" s="113"/>
      <c r="G577" s="113"/>
      <c r="H577" s="113"/>
      <c r="I577" s="113"/>
      <c r="J577" s="113"/>
      <c r="K577" s="113"/>
      <c r="L577" s="113"/>
      <c r="M577" s="113"/>
      <c r="N577" s="113"/>
      <c r="O577" s="113"/>
      <c r="P577" s="113"/>
      <c r="Q577" s="113"/>
      <c r="R577" s="113"/>
      <c r="S577" s="113"/>
      <c r="T577" s="113"/>
      <c r="U577" s="113"/>
      <c r="V577" s="113"/>
      <c r="W577" s="113"/>
      <c r="X577" s="113"/>
      <c r="Y577" s="113"/>
      <c r="Z577" s="113"/>
    </row>
    <row r="578">
      <c r="A578" s="113"/>
      <c r="B578" s="120"/>
      <c r="C578" s="120"/>
      <c r="D578" s="40"/>
      <c r="E578" s="114"/>
      <c r="F578" s="113"/>
      <c r="G578" s="113"/>
      <c r="H578" s="113"/>
      <c r="I578" s="113"/>
      <c r="J578" s="113"/>
      <c r="K578" s="113"/>
      <c r="L578" s="113"/>
      <c r="M578" s="113"/>
      <c r="N578" s="113"/>
      <c r="O578" s="113"/>
      <c r="P578" s="113"/>
      <c r="Q578" s="113"/>
      <c r="R578" s="113"/>
      <c r="S578" s="113"/>
      <c r="T578" s="113"/>
      <c r="U578" s="113"/>
      <c r="V578" s="113"/>
      <c r="W578" s="113"/>
      <c r="X578" s="113"/>
      <c r="Y578" s="113"/>
      <c r="Z578" s="113"/>
    </row>
    <row r="579">
      <c r="A579" s="113"/>
      <c r="B579" s="120"/>
      <c r="C579" s="120"/>
      <c r="D579" s="40"/>
      <c r="E579" s="114"/>
      <c r="F579" s="113"/>
      <c r="G579" s="113"/>
      <c r="H579" s="113"/>
      <c r="I579" s="113"/>
      <c r="J579" s="113"/>
      <c r="K579" s="113"/>
      <c r="L579" s="113"/>
      <c r="M579" s="113"/>
      <c r="N579" s="113"/>
      <c r="O579" s="113"/>
      <c r="P579" s="113"/>
      <c r="Q579" s="113"/>
      <c r="R579" s="113"/>
      <c r="S579" s="113"/>
      <c r="T579" s="113"/>
      <c r="U579" s="113"/>
      <c r="V579" s="113"/>
      <c r="W579" s="113"/>
      <c r="X579" s="113"/>
      <c r="Y579" s="113"/>
      <c r="Z579" s="113"/>
    </row>
    <row r="580">
      <c r="A580" s="113"/>
      <c r="B580" s="120"/>
      <c r="C580" s="120"/>
      <c r="D580" s="40"/>
      <c r="E580" s="114"/>
      <c r="F580" s="113"/>
      <c r="G580" s="113"/>
      <c r="H580" s="113"/>
      <c r="I580" s="113"/>
      <c r="J580" s="113"/>
      <c r="K580" s="113"/>
      <c r="L580" s="113"/>
      <c r="M580" s="113"/>
      <c r="N580" s="113"/>
      <c r="O580" s="113"/>
      <c r="P580" s="113"/>
      <c r="Q580" s="113"/>
      <c r="R580" s="113"/>
      <c r="S580" s="113"/>
      <c r="T580" s="113"/>
      <c r="U580" s="113"/>
      <c r="V580" s="113"/>
      <c r="W580" s="113"/>
      <c r="X580" s="113"/>
      <c r="Y580" s="113"/>
      <c r="Z580" s="113"/>
    </row>
    <row r="581">
      <c r="A581" s="113"/>
      <c r="B581" s="120"/>
      <c r="C581" s="120"/>
      <c r="D581" s="40"/>
      <c r="E581" s="114"/>
      <c r="F581" s="113"/>
      <c r="G581" s="113"/>
      <c r="H581" s="113"/>
      <c r="I581" s="113"/>
      <c r="J581" s="113"/>
      <c r="K581" s="113"/>
      <c r="L581" s="113"/>
      <c r="M581" s="113"/>
      <c r="N581" s="113"/>
      <c r="O581" s="113"/>
      <c r="P581" s="113"/>
      <c r="Q581" s="113"/>
      <c r="R581" s="113"/>
      <c r="S581" s="113"/>
      <c r="T581" s="113"/>
      <c r="U581" s="113"/>
      <c r="V581" s="113"/>
      <c r="W581" s="113"/>
      <c r="X581" s="113"/>
      <c r="Y581" s="113"/>
      <c r="Z581" s="113"/>
    </row>
    <row r="582">
      <c r="A582" s="113"/>
      <c r="B582" s="120"/>
      <c r="C582" s="120"/>
      <c r="D582" s="40"/>
      <c r="E582" s="114"/>
      <c r="F582" s="113"/>
      <c r="G582" s="113"/>
      <c r="H582" s="113"/>
      <c r="I582" s="113"/>
      <c r="J582" s="113"/>
      <c r="K582" s="113"/>
      <c r="L582" s="113"/>
      <c r="M582" s="113"/>
      <c r="N582" s="113"/>
      <c r="O582" s="113"/>
      <c r="P582" s="113"/>
      <c r="Q582" s="113"/>
      <c r="R582" s="113"/>
      <c r="S582" s="113"/>
      <c r="T582" s="113"/>
      <c r="U582" s="113"/>
      <c r="V582" s="113"/>
      <c r="W582" s="113"/>
      <c r="X582" s="113"/>
      <c r="Y582" s="113"/>
      <c r="Z582" s="113"/>
    </row>
    <row r="583">
      <c r="A583" s="113"/>
      <c r="B583" s="120"/>
      <c r="C583" s="120"/>
      <c r="D583" s="40"/>
      <c r="E583" s="114"/>
      <c r="F583" s="113"/>
      <c r="G583" s="113"/>
      <c r="H583" s="113"/>
      <c r="I583" s="113"/>
      <c r="J583" s="113"/>
      <c r="K583" s="113"/>
      <c r="L583" s="113"/>
      <c r="M583" s="113"/>
      <c r="N583" s="113"/>
      <c r="O583" s="113"/>
      <c r="P583" s="113"/>
      <c r="Q583" s="113"/>
      <c r="R583" s="113"/>
      <c r="S583" s="113"/>
      <c r="T583" s="113"/>
      <c r="U583" s="113"/>
      <c r="V583" s="113"/>
      <c r="W583" s="113"/>
      <c r="X583" s="113"/>
      <c r="Y583" s="113"/>
      <c r="Z583" s="113"/>
    </row>
    <row r="584">
      <c r="A584" s="113"/>
      <c r="B584" s="120"/>
      <c r="C584" s="120"/>
      <c r="D584" s="40"/>
      <c r="E584" s="114"/>
      <c r="F584" s="113"/>
      <c r="G584" s="113"/>
      <c r="H584" s="113"/>
      <c r="I584" s="113"/>
      <c r="J584" s="113"/>
      <c r="K584" s="113"/>
      <c r="L584" s="113"/>
      <c r="M584" s="113"/>
      <c r="N584" s="113"/>
      <c r="O584" s="113"/>
      <c r="P584" s="113"/>
      <c r="Q584" s="113"/>
      <c r="R584" s="113"/>
      <c r="S584" s="113"/>
      <c r="T584" s="113"/>
      <c r="U584" s="113"/>
      <c r="V584" s="113"/>
      <c r="W584" s="113"/>
      <c r="X584" s="113"/>
      <c r="Y584" s="113"/>
      <c r="Z584" s="113"/>
    </row>
    <row r="585">
      <c r="A585" s="113"/>
      <c r="B585" s="120"/>
      <c r="C585" s="120"/>
      <c r="D585" s="40"/>
      <c r="E585" s="114"/>
      <c r="F585" s="113"/>
      <c r="G585" s="113"/>
      <c r="H585" s="113"/>
      <c r="I585" s="113"/>
      <c r="J585" s="113"/>
      <c r="K585" s="113"/>
      <c r="L585" s="113"/>
      <c r="M585" s="113"/>
      <c r="N585" s="113"/>
      <c r="O585" s="113"/>
      <c r="P585" s="113"/>
      <c r="Q585" s="113"/>
      <c r="R585" s="113"/>
      <c r="S585" s="113"/>
      <c r="T585" s="113"/>
      <c r="U585" s="113"/>
      <c r="V585" s="113"/>
      <c r="W585" s="113"/>
      <c r="X585" s="113"/>
      <c r="Y585" s="113"/>
      <c r="Z585" s="113"/>
    </row>
    <row r="586">
      <c r="A586" s="113"/>
      <c r="B586" s="120"/>
      <c r="C586" s="120"/>
      <c r="D586" s="40"/>
      <c r="E586" s="114"/>
      <c r="F586" s="113"/>
      <c r="G586" s="113"/>
      <c r="H586" s="113"/>
      <c r="I586" s="113"/>
      <c r="J586" s="113"/>
      <c r="K586" s="113"/>
      <c r="L586" s="113"/>
      <c r="M586" s="113"/>
      <c r="N586" s="113"/>
      <c r="O586" s="113"/>
      <c r="P586" s="113"/>
      <c r="Q586" s="113"/>
      <c r="R586" s="113"/>
      <c r="S586" s="113"/>
      <c r="T586" s="113"/>
      <c r="U586" s="113"/>
      <c r="V586" s="113"/>
      <c r="W586" s="113"/>
      <c r="X586" s="113"/>
      <c r="Y586" s="113"/>
      <c r="Z586" s="113"/>
    </row>
    <row r="587">
      <c r="A587" s="113"/>
      <c r="B587" s="120"/>
      <c r="C587" s="120"/>
      <c r="D587" s="40"/>
      <c r="E587" s="114"/>
      <c r="F587" s="113"/>
      <c r="G587" s="113"/>
      <c r="H587" s="113"/>
      <c r="I587" s="113"/>
      <c r="J587" s="113"/>
      <c r="K587" s="113"/>
      <c r="L587" s="113"/>
      <c r="M587" s="113"/>
      <c r="N587" s="113"/>
      <c r="O587" s="113"/>
      <c r="P587" s="113"/>
      <c r="Q587" s="113"/>
      <c r="R587" s="113"/>
      <c r="S587" s="113"/>
      <c r="T587" s="113"/>
      <c r="U587" s="113"/>
      <c r="V587" s="113"/>
      <c r="W587" s="113"/>
      <c r="X587" s="113"/>
      <c r="Y587" s="113"/>
      <c r="Z587" s="113"/>
    </row>
    <row r="588">
      <c r="A588" s="113"/>
      <c r="B588" s="120"/>
      <c r="C588" s="120"/>
      <c r="D588" s="40"/>
      <c r="E588" s="114"/>
      <c r="F588" s="113"/>
      <c r="G588" s="113"/>
      <c r="H588" s="113"/>
      <c r="I588" s="113"/>
      <c r="J588" s="113"/>
      <c r="K588" s="113"/>
      <c r="L588" s="113"/>
      <c r="M588" s="113"/>
      <c r="N588" s="113"/>
      <c r="O588" s="113"/>
      <c r="P588" s="113"/>
      <c r="Q588" s="113"/>
      <c r="R588" s="113"/>
      <c r="S588" s="113"/>
      <c r="T588" s="113"/>
      <c r="U588" s="113"/>
      <c r="V588" s="113"/>
      <c r="W588" s="113"/>
      <c r="X588" s="113"/>
      <c r="Y588" s="113"/>
      <c r="Z588" s="113"/>
    </row>
    <row r="589">
      <c r="A589" s="113"/>
      <c r="B589" s="120"/>
      <c r="C589" s="120"/>
      <c r="D589" s="40"/>
      <c r="E589" s="114"/>
      <c r="F589" s="113"/>
      <c r="G589" s="113"/>
      <c r="H589" s="113"/>
      <c r="I589" s="113"/>
      <c r="J589" s="113"/>
      <c r="K589" s="113"/>
      <c r="L589" s="113"/>
      <c r="M589" s="113"/>
      <c r="N589" s="113"/>
      <c r="O589" s="113"/>
      <c r="P589" s="113"/>
      <c r="Q589" s="113"/>
      <c r="R589" s="113"/>
      <c r="S589" s="113"/>
      <c r="T589" s="113"/>
      <c r="U589" s="113"/>
      <c r="V589" s="113"/>
      <c r="W589" s="113"/>
      <c r="X589" s="113"/>
      <c r="Y589" s="113"/>
      <c r="Z589" s="113"/>
    </row>
    <row r="590">
      <c r="A590" s="113"/>
      <c r="B590" s="120"/>
      <c r="C590" s="120"/>
      <c r="D590" s="40"/>
      <c r="E590" s="114"/>
      <c r="F590" s="113"/>
      <c r="G590" s="113"/>
      <c r="H590" s="113"/>
      <c r="I590" s="113"/>
      <c r="J590" s="113"/>
      <c r="K590" s="113"/>
      <c r="L590" s="113"/>
      <c r="M590" s="113"/>
      <c r="N590" s="113"/>
      <c r="O590" s="113"/>
      <c r="P590" s="113"/>
      <c r="Q590" s="113"/>
      <c r="R590" s="113"/>
      <c r="S590" s="113"/>
      <c r="T590" s="113"/>
      <c r="U590" s="113"/>
      <c r="V590" s="113"/>
      <c r="W590" s="113"/>
      <c r="X590" s="113"/>
      <c r="Y590" s="113"/>
      <c r="Z590" s="113"/>
    </row>
    <row r="591">
      <c r="A591" s="113"/>
      <c r="B591" s="120"/>
      <c r="C591" s="120"/>
      <c r="D591" s="40"/>
      <c r="E591" s="114"/>
      <c r="F591" s="113"/>
      <c r="G591" s="113"/>
      <c r="H591" s="113"/>
      <c r="I591" s="113"/>
      <c r="J591" s="113"/>
      <c r="K591" s="113"/>
      <c r="L591" s="113"/>
      <c r="M591" s="113"/>
      <c r="N591" s="113"/>
      <c r="O591" s="113"/>
      <c r="P591" s="113"/>
      <c r="Q591" s="113"/>
      <c r="R591" s="113"/>
      <c r="S591" s="113"/>
      <c r="T591" s="113"/>
      <c r="U591" s="113"/>
      <c r="V591" s="113"/>
      <c r="W591" s="113"/>
      <c r="X591" s="113"/>
      <c r="Y591" s="113"/>
      <c r="Z591" s="113"/>
    </row>
    <row r="592">
      <c r="A592" s="113"/>
      <c r="B592" s="120"/>
      <c r="C592" s="120"/>
      <c r="D592" s="40"/>
      <c r="E592" s="114"/>
      <c r="F592" s="113"/>
      <c r="G592" s="113"/>
      <c r="H592" s="113"/>
      <c r="I592" s="113"/>
      <c r="J592" s="113"/>
      <c r="K592" s="113"/>
      <c r="L592" s="113"/>
      <c r="M592" s="113"/>
      <c r="N592" s="113"/>
      <c r="O592" s="113"/>
      <c r="P592" s="113"/>
      <c r="Q592" s="113"/>
      <c r="R592" s="113"/>
      <c r="S592" s="113"/>
      <c r="T592" s="113"/>
      <c r="U592" s="113"/>
      <c r="V592" s="113"/>
      <c r="W592" s="113"/>
      <c r="X592" s="113"/>
      <c r="Y592" s="113"/>
      <c r="Z592" s="113"/>
    </row>
    <row r="593">
      <c r="A593" s="113"/>
      <c r="B593" s="120"/>
      <c r="C593" s="120"/>
      <c r="D593" s="40"/>
      <c r="E593" s="114"/>
      <c r="F593" s="113"/>
      <c r="G593" s="113"/>
      <c r="H593" s="113"/>
      <c r="I593" s="113"/>
      <c r="J593" s="113"/>
      <c r="K593" s="113"/>
      <c r="L593" s="113"/>
      <c r="M593" s="113"/>
      <c r="N593" s="113"/>
      <c r="O593" s="113"/>
      <c r="P593" s="113"/>
      <c r="Q593" s="113"/>
      <c r="R593" s="113"/>
      <c r="S593" s="113"/>
      <c r="T593" s="113"/>
      <c r="U593" s="113"/>
      <c r="V593" s="113"/>
      <c r="W593" s="113"/>
      <c r="X593" s="113"/>
      <c r="Y593" s="113"/>
      <c r="Z593" s="113"/>
    </row>
    <row r="594">
      <c r="A594" s="113"/>
      <c r="B594" s="120"/>
      <c r="C594" s="120"/>
      <c r="D594" s="40"/>
      <c r="E594" s="114"/>
      <c r="F594" s="113"/>
      <c r="G594" s="113"/>
      <c r="H594" s="113"/>
      <c r="I594" s="113"/>
      <c r="J594" s="113"/>
      <c r="K594" s="113"/>
      <c r="L594" s="113"/>
      <c r="M594" s="113"/>
      <c r="N594" s="113"/>
      <c r="O594" s="113"/>
      <c r="P594" s="113"/>
      <c r="Q594" s="113"/>
      <c r="R594" s="113"/>
      <c r="S594" s="113"/>
      <c r="T594" s="113"/>
      <c r="U594" s="113"/>
      <c r="V594" s="113"/>
      <c r="W594" s="113"/>
      <c r="X594" s="113"/>
      <c r="Y594" s="113"/>
      <c r="Z594" s="113"/>
    </row>
    <row r="595">
      <c r="A595" s="113"/>
      <c r="B595" s="120"/>
      <c r="C595" s="120"/>
      <c r="D595" s="40"/>
      <c r="E595" s="114"/>
      <c r="F595" s="113"/>
      <c r="G595" s="113"/>
      <c r="H595" s="113"/>
      <c r="I595" s="113"/>
      <c r="J595" s="113"/>
      <c r="K595" s="113"/>
      <c r="L595" s="113"/>
      <c r="M595" s="113"/>
      <c r="N595" s="113"/>
      <c r="O595" s="113"/>
      <c r="P595" s="113"/>
      <c r="Q595" s="113"/>
      <c r="R595" s="113"/>
      <c r="S595" s="113"/>
      <c r="T595" s="113"/>
      <c r="U595" s="113"/>
      <c r="V595" s="113"/>
      <c r="W595" s="113"/>
      <c r="X595" s="113"/>
      <c r="Y595" s="113"/>
      <c r="Z595" s="113"/>
    </row>
    <row r="596">
      <c r="A596" s="113"/>
      <c r="B596" s="120"/>
      <c r="C596" s="120"/>
      <c r="D596" s="40"/>
      <c r="E596" s="114"/>
      <c r="F596" s="113"/>
      <c r="G596" s="113"/>
      <c r="H596" s="113"/>
      <c r="I596" s="113"/>
      <c r="J596" s="113"/>
      <c r="K596" s="113"/>
      <c r="L596" s="113"/>
      <c r="M596" s="113"/>
      <c r="N596" s="113"/>
      <c r="O596" s="113"/>
      <c r="P596" s="113"/>
      <c r="Q596" s="113"/>
      <c r="R596" s="113"/>
      <c r="S596" s="113"/>
      <c r="T596" s="113"/>
      <c r="U596" s="113"/>
      <c r="V596" s="113"/>
      <c r="W596" s="113"/>
      <c r="X596" s="113"/>
      <c r="Y596" s="113"/>
      <c r="Z596" s="113"/>
    </row>
    <row r="597">
      <c r="A597" s="113"/>
      <c r="B597" s="120"/>
      <c r="C597" s="120"/>
      <c r="D597" s="40"/>
      <c r="E597" s="114"/>
      <c r="F597" s="113"/>
      <c r="G597" s="113"/>
      <c r="H597" s="113"/>
      <c r="I597" s="113"/>
      <c r="J597" s="113"/>
      <c r="K597" s="113"/>
      <c r="L597" s="113"/>
      <c r="M597" s="113"/>
      <c r="N597" s="113"/>
      <c r="O597" s="113"/>
      <c r="P597" s="113"/>
      <c r="Q597" s="113"/>
      <c r="R597" s="113"/>
      <c r="S597" s="113"/>
      <c r="T597" s="113"/>
      <c r="U597" s="113"/>
      <c r="V597" s="113"/>
      <c r="W597" s="113"/>
      <c r="X597" s="113"/>
      <c r="Y597" s="113"/>
      <c r="Z597" s="113"/>
    </row>
    <row r="598">
      <c r="A598" s="113"/>
      <c r="B598" s="120"/>
      <c r="C598" s="120"/>
      <c r="D598" s="40"/>
      <c r="E598" s="114"/>
      <c r="F598" s="113"/>
      <c r="G598" s="113"/>
      <c r="H598" s="113"/>
      <c r="I598" s="113"/>
      <c r="J598" s="113"/>
      <c r="K598" s="113"/>
      <c r="L598" s="113"/>
      <c r="M598" s="113"/>
      <c r="N598" s="113"/>
      <c r="O598" s="113"/>
      <c r="P598" s="113"/>
      <c r="Q598" s="113"/>
      <c r="R598" s="113"/>
      <c r="S598" s="113"/>
      <c r="T598" s="113"/>
      <c r="U598" s="113"/>
      <c r="V598" s="113"/>
      <c r="W598" s="113"/>
      <c r="X598" s="113"/>
      <c r="Y598" s="113"/>
      <c r="Z598" s="113"/>
    </row>
    <row r="599">
      <c r="A599" s="113"/>
      <c r="B599" s="120"/>
      <c r="C599" s="120"/>
      <c r="D599" s="40"/>
      <c r="E599" s="114"/>
      <c r="F599" s="113"/>
      <c r="G599" s="113"/>
      <c r="H599" s="113"/>
      <c r="I599" s="113"/>
      <c r="J599" s="113"/>
      <c r="K599" s="113"/>
      <c r="L599" s="113"/>
      <c r="M599" s="113"/>
      <c r="N599" s="113"/>
      <c r="O599" s="113"/>
      <c r="P599" s="113"/>
      <c r="Q599" s="113"/>
      <c r="R599" s="113"/>
      <c r="S599" s="113"/>
      <c r="T599" s="113"/>
      <c r="U599" s="113"/>
      <c r="V599" s="113"/>
      <c r="W599" s="113"/>
      <c r="X599" s="113"/>
      <c r="Y599" s="113"/>
      <c r="Z599" s="113"/>
    </row>
    <row r="600">
      <c r="A600" s="113"/>
      <c r="B600" s="120"/>
      <c r="C600" s="120"/>
      <c r="D600" s="40"/>
      <c r="E600" s="114"/>
      <c r="F600" s="113"/>
      <c r="G600" s="113"/>
      <c r="H600" s="113"/>
      <c r="I600" s="113"/>
      <c r="J600" s="113"/>
      <c r="K600" s="113"/>
      <c r="L600" s="113"/>
      <c r="M600" s="113"/>
      <c r="N600" s="113"/>
      <c r="O600" s="113"/>
      <c r="P600" s="113"/>
      <c r="Q600" s="113"/>
      <c r="R600" s="113"/>
      <c r="S600" s="113"/>
      <c r="T600" s="113"/>
      <c r="U600" s="113"/>
      <c r="V600" s="113"/>
      <c r="W600" s="113"/>
      <c r="X600" s="113"/>
      <c r="Y600" s="113"/>
      <c r="Z600" s="113"/>
    </row>
    <row r="601">
      <c r="A601" s="113"/>
      <c r="B601" s="120"/>
      <c r="C601" s="120"/>
      <c r="D601" s="40"/>
      <c r="E601" s="114"/>
      <c r="F601" s="113"/>
      <c r="G601" s="113"/>
      <c r="H601" s="113"/>
      <c r="I601" s="113"/>
      <c r="J601" s="113"/>
      <c r="K601" s="113"/>
      <c r="L601" s="113"/>
      <c r="M601" s="113"/>
      <c r="N601" s="113"/>
      <c r="O601" s="113"/>
      <c r="P601" s="113"/>
      <c r="Q601" s="113"/>
      <c r="R601" s="113"/>
      <c r="S601" s="113"/>
      <c r="T601" s="113"/>
      <c r="U601" s="113"/>
      <c r="V601" s="113"/>
      <c r="W601" s="113"/>
      <c r="X601" s="113"/>
      <c r="Y601" s="113"/>
      <c r="Z601" s="113"/>
    </row>
    <row r="602">
      <c r="A602" s="113"/>
      <c r="B602" s="120"/>
      <c r="C602" s="120"/>
      <c r="D602" s="40"/>
      <c r="E602" s="114"/>
      <c r="F602" s="113"/>
      <c r="G602" s="113"/>
      <c r="H602" s="113"/>
      <c r="I602" s="113"/>
      <c r="J602" s="113"/>
      <c r="K602" s="113"/>
      <c r="L602" s="113"/>
      <c r="M602" s="113"/>
      <c r="N602" s="113"/>
      <c r="O602" s="113"/>
      <c r="P602" s="113"/>
      <c r="Q602" s="113"/>
      <c r="R602" s="113"/>
      <c r="S602" s="113"/>
      <c r="T602" s="113"/>
      <c r="U602" s="113"/>
      <c r="V602" s="113"/>
      <c r="W602" s="113"/>
      <c r="X602" s="113"/>
      <c r="Y602" s="113"/>
      <c r="Z602" s="113"/>
    </row>
    <row r="603">
      <c r="A603" s="113"/>
      <c r="B603" s="120"/>
      <c r="C603" s="120"/>
      <c r="D603" s="40"/>
      <c r="E603" s="114"/>
      <c r="F603" s="113"/>
      <c r="G603" s="113"/>
      <c r="H603" s="113"/>
      <c r="I603" s="113"/>
      <c r="J603" s="113"/>
      <c r="K603" s="113"/>
      <c r="L603" s="113"/>
      <c r="M603" s="113"/>
      <c r="N603" s="113"/>
      <c r="O603" s="113"/>
      <c r="P603" s="113"/>
      <c r="Q603" s="113"/>
      <c r="R603" s="113"/>
      <c r="S603" s="113"/>
      <c r="T603" s="113"/>
      <c r="U603" s="113"/>
      <c r="V603" s="113"/>
      <c r="W603" s="113"/>
      <c r="X603" s="113"/>
      <c r="Y603" s="113"/>
      <c r="Z603" s="113"/>
    </row>
    <row r="604">
      <c r="A604" s="113"/>
      <c r="B604" s="120"/>
      <c r="C604" s="120"/>
      <c r="D604" s="40"/>
      <c r="E604" s="114"/>
      <c r="F604" s="113"/>
      <c r="G604" s="113"/>
      <c r="H604" s="113"/>
      <c r="I604" s="113"/>
      <c r="J604" s="113"/>
      <c r="K604" s="113"/>
      <c r="L604" s="113"/>
      <c r="M604" s="113"/>
      <c r="N604" s="113"/>
      <c r="O604" s="113"/>
      <c r="P604" s="113"/>
      <c r="Q604" s="113"/>
      <c r="R604" s="113"/>
      <c r="S604" s="113"/>
      <c r="T604" s="113"/>
      <c r="U604" s="113"/>
      <c r="V604" s="113"/>
      <c r="W604" s="113"/>
      <c r="X604" s="113"/>
      <c r="Y604" s="113"/>
      <c r="Z604" s="113"/>
    </row>
    <row r="605">
      <c r="A605" s="113"/>
      <c r="B605" s="120"/>
      <c r="C605" s="120"/>
      <c r="D605" s="40"/>
      <c r="E605" s="114"/>
      <c r="F605" s="113"/>
      <c r="G605" s="113"/>
      <c r="H605" s="113"/>
      <c r="I605" s="113"/>
      <c r="J605" s="113"/>
      <c r="K605" s="113"/>
      <c r="L605" s="113"/>
      <c r="M605" s="113"/>
      <c r="N605" s="113"/>
      <c r="O605" s="113"/>
      <c r="P605" s="113"/>
      <c r="Q605" s="113"/>
      <c r="R605" s="113"/>
      <c r="S605" s="113"/>
      <c r="T605" s="113"/>
      <c r="U605" s="113"/>
      <c r="V605" s="113"/>
      <c r="W605" s="113"/>
      <c r="X605" s="113"/>
      <c r="Y605" s="113"/>
      <c r="Z605" s="113"/>
    </row>
    <row r="606">
      <c r="A606" s="113"/>
      <c r="B606" s="120"/>
      <c r="C606" s="120"/>
      <c r="D606" s="40"/>
      <c r="E606" s="114"/>
      <c r="F606" s="113"/>
      <c r="G606" s="113"/>
      <c r="H606" s="113"/>
      <c r="I606" s="113"/>
      <c r="J606" s="113"/>
      <c r="K606" s="113"/>
      <c r="L606" s="113"/>
      <c r="M606" s="113"/>
      <c r="N606" s="113"/>
      <c r="O606" s="113"/>
      <c r="P606" s="113"/>
      <c r="Q606" s="113"/>
      <c r="R606" s="113"/>
      <c r="S606" s="113"/>
      <c r="T606" s="113"/>
      <c r="U606" s="113"/>
      <c r="V606" s="113"/>
      <c r="W606" s="113"/>
      <c r="X606" s="113"/>
      <c r="Y606" s="113"/>
      <c r="Z606" s="113"/>
    </row>
    <row r="607">
      <c r="A607" s="113"/>
      <c r="B607" s="120"/>
      <c r="C607" s="120"/>
      <c r="D607" s="40"/>
      <c r="E607" s="114"/>
      <c r="F607" s="113"/>
      <c r="G607" s="113"/>
      <c r="H607" s="113"/>
      <c r="I607" s="113"/>
      <c r="J607" s="113"/>
      <c r="K607" s="113"/>
      <c r="L607" s="113"/>
      <c r="M607" s="113"/>
      <c r="N607" s="113"/>
      <c r="O607" s="113"/>
      <c r="P607" s="113"/>
      <c r="Q607" s="113"/>
      <c r="R607" s="113"/>
      <c r="S607" s="113"/>
      <c r="T607" s="113"/>
      <c r="U607" s="113"/>
      <c r="V607" s="113"/>
      <c r="W607" s="113"/>
      <c r="X607" s="113"/>
      <c r="Y607" s="113"/>
      <c r="Z607" s="113"/>
    </row>
    <row r="608">
      <c r="A608" s="113"/>
      <c r="B608" s="120"/>
      <c r="C608" s="120"/>
      <c r="D608" s="40"/>
      <c r="E608" s="114"/>
      <c r="F608" s="113"/>
      <c r="G608" s="113"/>
      <c r="H608" s="113"/>
      <c r="I608" s="113"/>
      <c r="J608" s="113"/>
      <c r="K608" s="113"/>
      <c r="L608" s="113"/>
      <c r="M608" s="113"/>
      <c r="N608" s="113"/>
      <c r="O608" s="113"/>
      <c r="P608" s="113"/>
      <c r="Q608" s="113"/>
      <c r="R608" s="113"/>
      <c r="S608" s="113"/>
      <c r="T608" s="113"/>
      <c r="U608" s="113"/>
      <c r="V608" s="113"/>
      <c r="W608" s="113"/>
      <c r="X608" s="113"/>
      <c r="Y608" s="113"/>
      <c r="Z608" s="113"/>
    </row>
    <row r="609">
      <c r="A609" s="113"/>
      <c r="B609" s="120"/>
      <c r="C609" s="120"/>
      <c r="D609" s="40"/>
      <c r="E609" s="114"/>
      <c r="F609" s="113"/>
      <c r="G609" s="113"/>
      <c r="H609" s="113"/>
      <c r="I609" s="113"/>
      <c r="J609" s="113"/>
      <c r="K609" s="113"/>
      <c r="L609" s="113"/>
      <c r="M609" s="113"/>
      <c r="N609" s="113"/>
      <c r="O609" s="113"/>
      <c r="P609" s="113"/>
      <c r="Q609" s="113"/>
      <c r="R609" s="113"/>
      <c r="S609" s="113"/>
      <c r="T609" s="113"/>
      <c r="U609" s="113"/>
      <c r="V609" s="113"/>
      <c r="W609" s="113"/>
      <c r="X609" s="113"/>
      <c r="Y609" s="113"/>
      <c r="Z609" s="113"/>
    </row>
    <row r="610">
      <c r="A610" s="113"/>
      <c r="B610" s="120"/>
      <c r="C610" s="120"/>
      <c r="D610" s="40"/>
      <c r="E610" s="114"/>
      <c r="F610" s="113"/>
      <c r="G610" s="113"/>
      <c r="H610" s="113"/>
      <c r="I610" s="113"/>
      <c r="J610" s="113"/>
      <c r="K610" s="113"/>
      <c r="L610" s="113"/>
      <c r="M610" s="113"/>
      <c r="N610" s="113"/>
      <c r="O610" s="113"/>
      <c r="P610" s="113"/>
      <c r="Q610" s="113"/>
      <c r="R610" s="113"/>
      <c r="S610" s="113"/>
      <c r="T610" s="113"/>
      <c r="U610" s="113"/>
      <c r="V610" s="113"/>
      <c r="W610" s="113"/>
      <c r="X610" s="113"/>
      <c r="Y610" s="113"/>
      <c r="Z610" s="113"/>
    </row>
    <row r="611">
      <c r="A611" s="113"/>
      <c r="B611" s="120"/>
      <c r="C611" s="120"/>
      <c r="D611" s="40"/>
      <c r="E611" s="114"/>
      <c r="F611" s="113"/>
      <c r="G611" s="113"/>
      <c r="H611" s="113"/>
      <c r="I611" s="113"/>
      <c r="J611" s="113"/>
      <c r="K611" s="113"/>
      <c r="L611" s="113"/>
      <c r="M611" s="113"/>
      <c r="N611" s="113"/>
      <c r="O611" s="113"/>
      <c r="P611" s="113"/>
      <c r="Q611" s="113"/>
      <c r="R611" s="113"/>
      <c r="S611" s="113"/>
      <c r="T611" s="113"/>
      <c r="U611" s="113"/>
      <c r="V611" s="113"/>
      <c r="W611" s="113"/>
      <c r="X611" s="113"/>
      <c r="Y611" s="113"/>
      <c r="Z611" s="113"/>
    </row>
    <row r="612">
      <c r="A612" s="113"/>
      <c r="B612" s="120"/>
      <c r="C612" s="120"/>
      <c r="D612" s="40"/>
      <c r="E612" s="114"/>
      <c r="F612" s="113"/>
      <c r="G612" s="113"/>
      <c r="H612" s="113"/>
      <c r="I612" s="113"/>
      <c r="J612" s="113"/>
      <c r="K612" s="113"/>
      <c r="L612" s="113"/>
      <c r="M612" s="113"/>
      <c r="N612" s="113"/>
      <c r="O612" s="113"/>
      <c r="P612" s="113"/>
      <c r="Q612" s="113"/>
      <c r="R612" s="113"/>
      <c r="S612" s="113"/>
      <c r="T612" s="113"/>
      <c r="U612" s="113"/>
      <c r="V612" s="113"/>
      <c r="W612" s="113"/>
      <c r="X612" s="113"/>
      <c r="Y612" s="113"/>
      <c r="Z612" s="113"/>
    </row>
    <row r="613">
      <c r="A613" s="113"/>
      <c r="B613" s="120"/>
      <c r="C613" s="120"/>
      <c r="D613" s="40"/>
      <c r="E613" s="114"/>
      <c r="F613" s="113"/>
      <c r="G613" s="113"/>
      <c r="H613" s="113"/>
      <c r="I613" s="113"/>
      <c r="J613" s="113"/>
      <c r="K613" s="113"/>
      <c r="L613" s="113"/>
      <c r="M613" s="113"/>
      <c r="N613" s="113"/>
      <c r="O613" s="113"/>
      <c r="P613" s="113"/>
      <c r="Q613" s="113"/>
      <c r="R613" s="113"/>
      <c r="S613" s="113"/>
      <c r="T613" s="113"/>
      <c r="U613" s="113"/>
      <c r="V613" s="113"/>
      <c r="W613" s="113"/>
      <c r="X613" s="113"/>
      <c r="Y613" s="113"/>
      <c r="Z613" s="113"/>
    </row>
    <row r="614">
      <c r="A614" s="113"/>
      <c r="B614" s="120"/>
      <c r="C614" s="120"/>
      <c r="D614" s="40"/>
      <c r="E614" s="114"/>
      <c r="F614" s="113"/>
      <c r="G614" s="113"/>
      <c r="H614" s="113"/>
      <c r="I614" s="113"/>
      <c r="J614" s="113"/>
      <c r="K614" s="113"/>
      <c r="L614" s="113"/>
      <c r="M614" s="113"/>
      <c r="N614" s="113"/>
      <c r="O614" s="113"/>
      <c r="P614" s="113"/>
      <c r="Q614" s="113"/>
      <c r="R614" s="113"/>
      <c r="S614" s="113"/>
      <c r="T614" s="113"/>
      <c r="U614" s="113"/>
      <c r="V614" s="113"/>
      <c r="W614" s="113"/>
      <c r="X614" s="113"/>
      <c r="Y614" s="113"/>
      <c r="Z614" s="113"/>
    </row>
    <row r="615">
      <c r="A615" s="113"/>
      <c r="B615" s="120"/>
      <c r="C615" s="120"/>
      <c r="D615" s="40"/>
      <c r="E615" s="114"/>
      <c r="F615" s="113"/>
      <c r="G615" s="113"/>
      <c r="H615" s="113"/>
      <c r="I615" s="113"/>
      <c r="J615" s="113"/>
      <c r="K615" s="113"/>
      <c r="L615" s="113"/>
      <c r="M615" s="113"/>
      <c r="N615" s="113"/>
      <c r="O615" s="113"/>
      <c r="P615" s="113"/>
      <c r="Q615" s="113"/>
      <c r="R615" s="113"/>
      <c r="S615" s="113"/>
      <c r="T615" s="113"/>
      <c r="U615" s="113"/>
      <c r="V615" s="113"/>
      <c r="W615" s="113"/>
      <c r="X615" s="113"/>
      <c r="Y615" s="113"/>
      <c r="Z615" s="113"/>
    </row>
    <row r="616">
      <c r="A616" s="113"/>
      <c r="B616" s="120"/>
      <c r="C616" s="120"/>
      <c r="D616" s="40"/>
      <c r="E616" s="114"/>
      <c r="F616" s="113"/>
      <c r="G616" s="113"/>
      <c r="H616" s="113"/>
      <c r="I616" s="113"/>
      <c r="J616" s="113"/>
      <c r="K616" s="113"/>
      <c r="L616" s="113"/>
      <c r="M616" s="113"/>
      <c r="N616" s="113"/>
      <c r="O616" s="113"/>
      <c r="P616" s="113"/>
      <c r="Q616" s="113"/>
      <c r="R616" s="113"/>
      <c r="S616" s="113"/>
      <c r="T616" s="113"/>
      <c r="U616" s="113"/>
      <c r="V616" s="113"/>
      <c r="W616" s="113"/>
      <c r="X616" s="113"/>
      <c r="Y616" s="113"/>
      <c r="Z616" s="113"/>
    </row>
    <row r="617">
      <c r="A617" s="113"/>
      <c r="B617" s="120"/>
      <c r="C617" s="120"/>
      <c r="D617" s="40"/>
      <c r="E617" s="114"/>
      <c r="F617" s="113"/>
      <c r="G617" s="113"/>
      <c r="H617" s="113"/>
      <c r="I617" s="113"/>
      <c r="J617" s="113"/>
      <c r="K617" s="113"/>
      <c r="L617" s="113"/>
      <c r="M617" s="113"/>
      <c r="N617" s="113"/>
      <c r="O617" s="113"/>
      <c r="P617" s="113"/>
      <c r="Q617" s="113"/>
      <c r="R617" s="113"/>
      <c r="S617" s="113"/>
      <c r="T617" s="113"/>
      <c r="U617" s="113"/>
      <c r="V617" s="113"/>
      <c r="W617" s="113"/>
      <c r="X617" s="113"/>
      <c r="Y617" s="113"/>
      <c r="Z617" s="113"/>
    </row>
    <row r="618">
      <c r="A618" s="113"/>
      <c r="B618" s="120"/>
      <c r="C618" s="120"/>
      <c r="D618" s="40"/>
      <c r="E618" s="114"/>
      <c r="F618" s="113"/>
      <c r="G618" s="113"/>
      <c r="H618" s="113"/>
      <c r="I618" s="113"/>
      <c r="J618" s="113"/>
      <c r="K618" s="113"/>
      <c r="L618" s="113"/>
      <c r="M618" s="113"/>
      <c r="N618" s="113"/>
      <c r="O618" s="113"/>
      <c r="P618" s="113"/>
      <c r="Q618" s="113"/>
      <c r="R618" s="113"/>
      <c r="S618" s="113"/>
      <c r="T618" s="113"/>
      <c r="U618" s="113"/>
      <c r="V618" s="113"/>
      <c r="W618" s="113"/>
      <c r="X618" s="113"/>
      <c r="Y618" s="113"/>
      <c r="Z618" s="113"/>
    </row>
    <row r="619">
      <c r="A619" s="113"/>
      <c r="B619" s="120"/>
      <c r="C619" s="120"/>
      <c r="D619" s="40"/>
      <c r="E619" s="114"/>
      <c r="F619" s="113"/>
      <c r="G619" s="113"/>
      <c r="H619" s="113"/>
      <c r="I619" s="113"/>
      <c r="J619" s="113"/>
      <c r="K619" s="113"/>
      <c r="L619" s="113"/>
      <c r="M619" s="113"/>
      <c r="N619" s="113"/>
      <c r="O619" s="113"/>
      <c r="P619" s="113"/>
      <c r="Q619" s="113"/>
      <c r="R619" s="113"/>
      <c r="S619" s="113"/>
      <c r="T619" s="113"/>
      <c r="U619" s="113"/>
      <c r="V619" s="113"/>
      <c r="W619" s="113"/>
      <c r="X619" s="113"/>
      <c r="Y619" s="113"/>
      <c r="Z619" s="113"/>
    </row>
    <row r="620">
      <c r="A620" s="113"/>
      <c r="B620" s="120"/>
      <c r="C620" s="120"/>
      <c r="D620" s="40"/>
      <c r="E620" s="114"/>
      <c r="F620" s="113"/>
      <c r="G620" s="113"/>
      <c r="H620" s="113"/>
      <c r="I620" s="113"/>
      <c r="J620" s="113"/>
      <c r="K620" s="113"/>
      <c r="L620" s="113"/>
      <c r="M620" s="113"/>
      <c r="N620" s="113"/>
      <c r="O620" s="113"/>
      <c r="P620" s="113"/>
      <c r="Q620" s="113"/>
      <c r="R620" s="113"/>
      <c r="S620" s="113"/>
      <c r="T620" s="113"/>
      <c r="U620" s="113"/>
      <c r="V620" s="113"/>
      <c r="W620" s="113"/>
      <c r="X620" s="113"/>
      <c r="Y620" s="113"/>
      <c r="Z620" s="113"/>
    </row>
    <row r="621">
      <c r="A621" s="113"/>
      <c r="B621" s="120"/>
      <c r="C621" s="120"/>
      <c r="D621" s="40"/>
      <c r="E621" s="114"/>
      <c r="F621" s="113"/>
      <c r="G621" s="113"/>
      <c r="H621" s="113"/>
      <c r="I621" s="113"/>
      <c r="J621" s="113"/>
      <c r="K621" s="113"/>
      <c r="L621" s="113"/>
      <c r="M621" s="113"/>
      <c r="N621" s="113"/>
      <c r="O621" s="113"/>
      <c r="P621" s="113"/>
      <c r="Q621" s="113"/>
      <c r="R621" s="113"/>
      <c r="S621" s="113"/>
      <c r="T621" s="113"/>
      <c r="U621" s="113"/>
      <c r="V621" s="113"/>
      <c r="W621" s="113"/>
      <c r="X621" s="113"/>
      <c r="Y621" s="113"/>
      <c r="Z621" s="113"/>
    </row>
    <row r="622">
      <c r="A622" s="113"/>
      <c r="B622" s="120"/>
      <c r="C622" s="120"/>
      <c r="D622" s="40"/>
      <c r="E622" s="114"/>
      <c r="F622" s="113"/>
      <c r="G622" s="113"/>
      <c r="H622" s="113"/>
      <c r="I622" s="113"/>
      <c r="J622" s="113"/>
      <c r="K622" s="113"/>
      <c r="L622" s="113"/>
      <c r="M622" s="113"/>
      <c r="N622" s="113"/>
      <c r="O622" s="113"/>
      <c r="P622" s="113"/>
      <c r="Q622" s="113"/>
      <c r="R622" s="113"/>
      <c r="S622" s="113"/>
      <c r="T622" s="113"/>
      <c r="U622" s="113"/>
      <c r="V622" s="113"/>
      <c r="W622" s="113"/>
      <c r="X622" s="113"/>
      <c r="Y622" s="113"/>
      <c r="Z622" s="113"/>
    </row>
    <row r="623">
      <c r="A623" s="113"/>
      <c r="B623" s="120"/>
      <c r="C623" s="120"/>
      <c r="D623" s="40"/>
      <c r="E623" s="114"/>
      <c r="F623" s="113"/>
      <c r="G623" s="113"/>
      <c r="H623" s="113"/>
      <c r="I623" s="113"/>
      <c r="J623" s="113"/>
      <c r="K623" s="113"/>
      <c r="L623" s="113"/>
      <c r="M623" s="113"/>
      <c r="N623" s="113"/>
      <c r="O623" s="113"/>
      <c r="P623" s="113"/>
      <c r="Q623" s="113"/>
      <c r="R623" s="113"/>
      <c r="S623" s="113"/>
      <c r="T623" s="113"/>
      <c r="U623" s="113"/>
      <c r="V623" s="113"/>
      <c r="W623" s="113"/>
      <c r="X623" s="113"/>
      <c r="Y623" s="113"/>
      <c r="Z623" s="113"/>
    </row>
    <row r="624">
      <c r="A624" s="113"/>
      <c r="B624" s="120"/>
      <c r="C624" s="120"/>
      <c r="D624" s="40"/>
      <c r="E624" s="114"/>
      <c r="F624" s="113"/>
      <c r="G624" s="113"/>
      <c r="H624" s="113"/>
      <c r="I624" s="113"/>
      <c r="J624" s="113"/>
      <c r="K624" s="113"/>
      <c r="L624" s="113"/>
      <c r="M624" s="113"/>
      <c r="N624" s="113"/>
      <c r="O624" s="113"/>
      <c r="P624" s="113"/>
      <c r="Q624" s="113"/>
      <c r="R624" s="113"/>
      <c r="S624" s="113"/>
      <c r="T624" s="113"/>
      <c r="U624" s="113"/>
      <c r="V624" s="113"/>
      <c r="W624" s="113"/>
      <c r="X624" s="113"/>
      <c r="Y624" s="113"/>
      <c r="Z624" s="113"/>
    </row>
    <row r="625">
      <c r="A625" s="113"/>
      <c r="B625" s="120"/>
      <c r="C625" s="120"/>
      <c r="D625" s="40"/>
      <c r="E625" s="114"/>
      <c r="F625" s="113"/>
      <c r="G625" s="113"/>
      <c r="H625" s="113"/>
      <c r="I625" s="113"/>
      <c r="J625" s="113"/>
      <c r="K625" s="113"/>
      <c r="L625" s="113"/>
      <c r="M625" s="113"/>
      <c r="N625" s="113"/>
      <c r="O625" s="113"/>
      <c r="P625" s="113"/>
      <c r="Q625" s="113"/>
      <c r="R625" s="113"/>
      <c r="S625" s="113"/>
      <c r="T625" s="113"/>
      <c r="U625" s="113"/>
      <c r="V625" s="113"/>
      <c r="W625" s="113"/>
      <c r="X625" s="113"/>
      <c r="Y625" s="113"/>
      <c r="Z625" s="113"/>
    </row>
    <row r="626">
      <c r="A626" s="113"/>
      <c r="B626" s="120"/>
      <c r="C626" s="120"/>
      <c r="D626" s="40"/>
      <c r="E626" s="114"/>
      <c r="F626" s="113"/>
      <c r="G626" s="113"/>
      <c r="H626" s="113"/>
      <c r="I626" s="113"/>
      <c r="J626" s="113"/>
      <c r="K626" s="113"/>
      <c r="L626" s="113"/>
      <c r="M626" s="113"/>
      <c r="N626" s="113"/>
      <c r="O626" s="113"/>
      <c r="P626" s="113"/>
      <c r="Q626" s="113"/>
      <c r="R626" s="113"/>
      <c r="S626" s="113"/>
      <c r="T626" s="113"/>
      <c r="U626" s="113"/>
      <c r="V626" s="113"/>
      <c r="W626" s="113"/>
      <c r="X626" s="113"/>
      <c r="Y626" s="113"/>
      <c r="Z626" s="113"/>
    </row>
    <row r="627">
      <c r="A627" s="113"/>
      <c r="B627" s="120"/>
      <c r="C627" s="120"/>
      <c r="D627" s="40"/>
      <c r="E627" s="114"/>
      <c r="F627" s="113"/>
      <c r="G627" s="113"/>
      <c r="H627" s="113"/>
      <c r="I627" s="113"/>
      <c r="J627" s="113"/>
      <c r="K627" s="113"/>
      <c r="L627" s="113"/>
      <c r="M627" s="113"/>
      <c r="N627" s="113"/>
      <c r="O627" s="113"/>
      <c r="P627" s="113"/>
      <c r="Q627" s="113"/>
      <c r="R627" s="113"/>
      <c r="S627" s="113"/>
      <c r="T627" s="113"/>
      <c r="U627" s="113"/>
      <c r="V627" s="113"/>
      <c r="W627" s="113"/>
      <c r="X627" s="113"/>
      <c r="Y627" s="113"/>
      <c r="Z627" s="113"/>
    </row>
    <row r="628">
      <c r="A628" s="113"/>
      <c r="B628" s="120"/>
      <c r="C628" s="120"/>
      <c r="D628" s="40"/>
      <c r="E628" s="114"/>
      <c r="F628" s="113"/>
      <c r="G628" s="113"/>
      <c r="H628" s="113"/>
      <c r="I628" s="113"/>
      <c r="J628" s="113"/>
      <c r="K628" s="113"/>
      <c r="L628" s="113"/>
      <c r="M628" s="113"/>
      <c r="N628" s="113"/>
      <c r="O628" s="113"/>
      <c r="P628" s="113"/>
      <c r="Q628" s="113"/>
      <c r="R628" s="113"/>
      <c r="S628" s="113"/>
      <c r="T628" s="113"/>
      <c r="U628" s="113"/>
      <c r="V628" s="113"/>
      <c r="W628" s="113"/>
      <c r="X628" s="113"/>
      <c r="Y628" s="113"/>
      <c r="Z628" s="113"/>
    </row>
    <row r="629">
      <c r="A629" s="113"/>
      <c r="B629" s="120"/>
      <c r="C629" s="120"/>
      <c r="D629" s="40"/>
      <c r="E629" s="114"/>
      <c r="F629" s="113"/>
      <c r="G629" s="113"/>
      <c r="H629" s="113"/>
      <c r="I629" s="113"/>
      <c r="J629" s="113"/>
      <c r="K629" s="113"/>
      <c r="L629" s="113"/>
      <c r="M629" s="113"/>
      <c r="N629" s="113"/>
      <c r="O629" s="113"/>
      <c r="P629" s="113"/>
      <c r="Q629" s="113"/>
      <c r="R629" s="113"/>
      <c r="S629" s="113"/>
      <c r="T629" s="113"/>
      <c r="U629" s="113"/>
      <c r="V629" s="113"/>
      <c r="W629" s="113"/>
      <c r="X629" s="113"/>
      <c r="Y629" s="113"/>
      <c r="Z629" s="113"/>
    </row>
    <row r="630">
      <c r="A630" s="113"/>
      <c r="B630" s="120"/>
      <c r="C630" s="120"/>
      <c r="D630" s="40"/>
      <c r="E630" s="114"/>
      <c r="F630" s="113"/>
      <c r="G630" s="113"/>
      <c r="H630" s="113"/>
      <c r="I630" s="113"/>
      <c r="J630" s="113"/>
      <c r="K630" s="113"/>
      <c r="L630" s="113"/>
      <c r="M630" s="113"/>
      <c r="N630" s="113"/>
      <c r="O630" s="113"/>
      <c r="P630" s="113"/>
      <c r="Q630" s="113"/>
      <c r="R630" s="113"/>
      <c r="S630" s="113"/>
      <c r="T630" s="113"/>
      <c r="U630" s="113"/>
      <c r="V630" s="113"/>
      <c r="W630" s="113"/>
      <c r="X630" s="113"/>
      <c r="Y630" s="113"/>
      <c r="Z630" s="113"/>
    </row>
    <row r="631">
      <c r="A631" s="113"/>
      <c r="B631" s="120"/>
      <c r="C631" s="120"/>
      <c r="D631" s="40"/>
      <c r="E631" s="114"/>
      <c r="F631" s="113"/>
      <c r="G631" s="113"/>
      <c r="H631" s="113"/>
      <c r="I631" s="113"/>
      <c r="J631" s="113"/>
      <c r="K631" s="113"/>
      <c r="L631" s="113"/>
      <c r="M631" s="113"/>
      <c r="N631" s="113"/>
      <c r="O631" s="113"/>
      <c r="P631" s="113"/>
      <c r="Q631" s="113"/>
      <c r="R631" s="113"/>
      <c r="S631" s="113"/>
      <c r="T631" s="113"/>
      <c r="U631" s="113"/>
      <c r="V631" s="113"/>
      <c r="W631" s="113"/>
      <c r="X631" s="113"/>
      <c r="Y631" s="113"/>
      <c r="Z631" s="113"/>
    </row>
    <row r="632">
      <c r="A632" s="113"/>
      <c r="B632" s="120"/>
      <c r="C632" s="120"/>
      <c r="D632" s="40"/>
      <c r="E632" s="114"/>
      <c r="F632" s="113"/>
      <c r="G632" s="113"/>
      <c r="H632" s="113"/>
      <c r="I632" s="113"/>
      <c r="J632" s="113"/>
      <c r="K632" s="113"/>
      <c r="L632" s="113"/>
      <c r="M632" s="113"/>
      <c r="N632" s="113"/>
      <c r="O632" s="113"/>
      <c r="P632" s="113"/>
      <c r="Q632" s="113"/>
      <c r="R632" s="113"/>
      <c r="S632" s="113"/>
      <c r="T632" s="113"/>
      <c r="U632" s="113"/>
      <c r="V632" s="113"/>
      <c r="W632" s="113"/>
      <c r="X632" s="113"/>
      <c r="Y632" s="113"/>
      <c r="Z632" s="113"/>
    </row>
    <row r="633">
      <c r="A633" s="113"/>
      <c r="B633" s="120"/>
      <c r="C633" s="120"/>
      <c r="D633" s="40"/>
      <c r="E633" s="114"/>
      <c r="F633" s="113"/>
      <c r="G633" s="113"/>
      <c r="H633" s="113"/>
      <c r="I633" s="113"/>
      <c r="J633" s="113"/>
      <c r="K633" s="113"/>
      <c r="L633" s="113"/>
      <c r="M633" s="113"/>
      <c r="N633" s="113"/>
      <c r="O633" s="113"/>
      <c r="P633" s="113"/>
      <c r="Q633" s="113"/>
      <c r="R633" s="113"/>
      <c r="S633" s="113"/>
      <c r="T633" s="113"/>
      <c r="U633" s="113"/>
      <c r="V633" s="113"/>
      <c r="W633" s="113"/>
      <c r="X633" s="113"/>
      <c r="Y633" s="113"/>
      <c r="Z633" s="113"/>
    </row>
    <row r="634">
      <c r="A634" s="113"/>
      <c r="B634" s="120"/>
      <c r="C634" s="120"/>
      <c r="D634" s="40"/>
      <c r="E634" s="114"/>
      <c r="F634" s="113"/>
      <c r="G634" s="113"/>
      <c r="H634" s="113"/>
      <c r="I634" s="113"/>
      <c r="J634" s="113"/>
      <c r="K634" s="113"/>
      <c r="L634" s="113"/>
      <c r="M634" s="113"/>
      <c r="N634" s="113"/>
      <c r="O634" s="113"/>
      <c r="P634" s="113"/>
      <c r="Q634" s="113"/>
      <c r="R634" s="113"/>
      <c r="S634" s="113"/>
      <c r="T634" s="113"/>
      <c r="U634" s="113"/>
      <c r="V634" s="113"/>
      <c r="W634" s="113"/>
      <c r="X634" s="113"/>
      <c r="Y634" s="113"/>
      <c r="Z634" s="113"/>
    </row>
    <row r="635">
      <c r="A635" s="113"/>
      <c r="B635" s="120"/>
      <c r="C635" s="120"/>
      <c r="D635" s="40"/>
      <c r="E635" s="114"/>
      <c r="F635" s="113"/>
      <c r="G635" s="113"/>
      <c r="H635" s="113"/>
      <c r="I635" s="113"/>
      <c r="J635" s="113"/>
      <c r="K635" s="113"/>
      <c r="L635" s="113"/>
      <c r="M635" s="113"/>
      <c r="N635" s="113"/>
      <c r="O635" s="113"/>
      <c r="P635" s="113"/>
      <c r="Q635" s="113"/>
      <c r="R635" s="113"/>
      <c r="S635" s="113"/>
      <c r="T635" s="113"/>
      <c r="U635" s="113"/>
      <c r="V635" s="113"/>
      <c r="W635" s="113"/>
      <c r="X635" s="113"/>
      <c r="Y635" s="113"/>
      <c r="Z635" s="113"/>
    </row>
    <row r="636">
      <c r="A636" s="113"/>
      <c r="B636" s="120"/>
      <c r="C636" s="120"/>
      <c r="D636" s="40"/>
      <c r="E636" s="114"/>
      <c r="F636" s="113"/>
      <c r="G636" s="113"/>
      <c r="H636" s="113"/>
      <c r="I636" s="113"/>
      <c r="J636" s="113"/>
      <c r="K636" s="113"/>
      <c r="L636" s="113"/>
      <c r="M636" s="113"/>
      <c r="N636" s="113"/>
      <c r="O636" s="113"/>
      <c r="P636" s="113"/>
      <c r="Q636" s="113"/>
      <c r="R636" s="113"/>
      <c r="S636" s="113"/>
      <c r="T636" s="113"/>
      <c r="U636" s="113"/>
      <c r="V636" s="113"/>
      <c r="W636" s="113"/>
      <c r="X636" s="113"/>
      <c r="Y636" s="113"/>
      <c r="Z636" s="113"/>
    </row>
    <row r="637">
      <c r="A637" s="113"/>
      <c r="B637" s="120"/>
      <c r="C637" s="120"/>
      <c r="D637" s="40"/>
      <c r="E637" s="114"/>
      <c r="F637" s="113"/>
      <c r="G637" s="113"/>
      <c r="H637" s="113"/>
      <c r="I637" s="113"/>
      <c r="J637" s="113"/>
      <c r="K637" s="113"/>
      <c r="L637" s="113"/>
      <c r="M637" s="113"/>
      <c r="N637" s="113"/>
      <c r="O637" s="113"/>
      <c r="P637" s="113"/>
      <c r="Q637" s="113"/>
      <c r="R637" s="113"/>
      <c r="S637" s="113"/>
      <c r="T637" s="113"/>
      <c r="U637" s="113"/>
      <c r="V637" s="113"/>
      <c r="W637" s="113"/>
      <c r="X637" s="113"/>
      <c r="Y637" s="113"/>
      <c r="Z637" s="113"/>
    </row>
    <row r="638">
      <c r="A638" s="113"/>
      <c r="B638" s="120"/>
      <c r="C638" s="120"/>
      <c r="D638" s="40"/>
      <c r="E638" s="114"/>
      <c r="F638" s="113"/>
      <c r="G638" s="113"/>
      <c r="H638" s="113"/>
      <c r="I638" s="113"/>
      <c r="J638" s="113"/>
      <c r="K638" s="113"/>
      <c r="L638" s="113"/>
      <c r="M638" s="113"/>
      <c r="N638" s="113"/>
      <c r="O638" s="113"/>
      <c r="P638" s="113"/>
      <c r="Q638" s="113"/>
      <c r="R638" s="113"/>
      <c r="S638" s="113"/>
      <c r="T638" s="113"/>
      <c r="U638" s="113"/>
      <c r="V638" s="113"/>
      <c r="W638" s="113"/>
      <c r="X638" s="113"/>
      <c r="Y638" s="113"/>
      <c r="Z638" s="113"/>
    </row>
    <row r="639">
      <c r="A639" s="113"/>
      <c r="B639" s="120"/>
      <c r="C639" s="120"/>
      <c r="D639" s="40"/>
      <c r="E639" s="114"/>
      <c r="F639" s="113"/>
      <c r="G639" s="113"/>
      <c r="H639" s="113"/>
      <c r="I639" s="113"/>
      <c r="J639" s="113"/>
      <c r="K639" s="113"/>
      <c r="L639" s="113"/>
      <c r="M639" s="113"/>
      <c r="N639" s="113"/>
      <c r="O639" s="113"/>
      <c r="P639" s="113"/>
      <c r="Q639" s="113"/>
      <c r="R639" s="113"/>
      <c r="S639" s="113"/>
      <c r="T639" s="113"/>
      <c r="U639" s="113"/>
      <c r="V639" s="113"/>
      <c r="W639" s="113"/>
      <c r="X639" s="113"/>
      <c r="Y639" s="113"/>
      <c r="Z639" s="113"/>
    </row>
    <row r="640">
      <c r="A640" s="113"/>
      <c r="B640" s="120"/>
      <c r="C640" s="120"/>
      <c r="D640" s="40"/>
      <c r="E640" s="114"/>
      <c r="F640" s="113"/>
      <c r="G640" s="113"/>
      <c r="H640" s="113"/>
      <c r="I640" s="113"/>
      <c r="J640" s="113"/>
      <c r="K640" s="113"/>
      <c r="L640" s="113"/>
      <c r="M640" s="113"/>
      <c r="N640" s="113"/>
      <c r="O640" s="113"/>
      <c r="P640" s="113"/>
      <c r="Q640" s="113"/>
      <c r="R640" s="113"/>
      <c r="S640" s="113"/>
      <c r="T640" s="113"/>
      <c r="U640" s="113"/>
      <c r="V640" s="113"/>
      <c r="W640" s="113"/>
      <c r="X640" s="113"/>
      <c r="Y640" s="113"/>
      <c r="Z640" s="113"/>
    </row>
    <row r="641">
      <c r="A641" s="113"/>
      <c r="B641" s="120"/>
      <c r="C641" s="120"/>
      <c r="D641" s="40"/>
      <c r="E641" s="114"/>
      <c r="F641" s="113"/>
      <c r="G641" s="113"/>
      <c r="H641" s="113"/>
      <c r="I641" s="113"/>
      <c r="J641" s="113"/>
      <c r="K641" s="113"/>
      <c r="L641" s="113"/>
      <c r="M641" s="113"/>
      <c r="N641" s="113"/>
      <c r="O641" s="113"/>
      <c r="P641" s="113"/>
      <c r="Q641" s="113"/>
      <c r="R641" s="113"/>
      <c r="S641" s="113"/>
      <c r="T641" s="113"/>
      <c r="U641" s="113"/>
      <c r="V641" s="113"/>
      <c r="W641" s="113"/>
      <c r="X641" s="113"/>
      <c r="Y641" s="113"/>
      <c r="Z641" s="113"/>
    </row>
    <row r="642">
      <c r="A642" s="113"/>
      <c r="B642" s="120"/>
      <c r="C642" s="120"/>
      <c r="D642" s="40"/>
      <c r="E642" s="114"/>
      <c r="F642" s="113"/>
      <c r="G642" s="113"/>
      <c r="H642" s="113"/>
      <c r="I642" s="113"/>
      <c r="J642" s="113"/>
      <c r="K642" s="113"/>
      <c r="L642" s="113"/>
      <c r="M642" s="113"/>
      <c r="N642" s="113"/>
      <c r="O642" s="113"/>
      <c r="P642" s="113"/>
      <c r="Q642" s="113"/>
      <c r="R642" s="113"/>
      <c r="S642" s="113"/>
      <c r="T642" s="113"/>
      <c r="U642" s="113"/>
      <c r="V642" s="113"/>
      <c r="W642" s="113"/>
      <c r="X642" s="113"/>
      <c r="Y642" s="113"/>
      <c r="Z642" s="113"/>
    </row>
    <row r="643">
      <c r="A643" s="113"/>
      <c r="B643" s="120"/>
      <c r="C643" s="120"/>
      <c r="D643" s="40"/>
      <c r="E643" s="114"/>
      <c r="F643" s="113"/>
      <c r="G643" s="113"/>
      <c r="H643" s="113"/>
      <c r="I643" s="113"/>
      <c r="J643" s="113"/>
      <c r="K643" s="113"/>
      <c r="L643" s="113"/>
      <c r="M643" s="113"/>
      <c r="N643" s="113"/>
      <c r="O643" s="113"/>
      <c r="P643" s="113"/>
      <c r="Q643" s="113"/>
      <c r="R643" s="113"/>
      <c r="S643" s="113"/>
      <c r="T643" s="113"/>
      <c r="U643" s="113"/>
      <c r="V643" s="113"/>
      <c r="W643" s="113"/>
      <c r="X643" s="113"/>
      <c r="Y643" s="113"/>
      <c r="Z643" s="113"/>
    </row>
    <row r="644">
      <c r="A644" s="113"/>
      <c r="B644" s="120"/>
      <c r="C644" s="120"/>
      <c r="D644" s="40"/>
      <c r="E644" s="114"/>
      <c r="F644" s="113"/>
      <c r="G644" s="113"/>
      <c r="H644" s="113"/>
      <c r="I644" s="113"/>
      <c r="J644" s="113"/>
      <c r="K644" s="113"/>
      <c r="L644" s="113"/>
      <c r="M644" s="113"/>
      <c r="N644" s="113"/>
      <c r="O644" s="113"/>
      <c r="P644" s="113"/>
      <c r="Q644" s="113"/>
      <c r="R644" s="113"/>
      <c r="S644" s="113"/>
      <c r="T644" s="113"/>
      <c r="U644" s="113"/>
      <c r="V644" s="113"/>
      <c r="W644" s="113"/>
      <c r="X644" s="113"/>
      <c r="Y644" s="113"/>
      <c r="Z644" s="113"/>
    </row>
    <row r="645">
      <c r="A645" s="113"/>
      <c r="B645" s="120"/>
      <c r="C645" s="120"/>
      <c r="D645" s="40"/>
      <c r="E645" s="114"/>
      <c r="F645" s="113"/>
      <c r="G645" s="113"/>
      <c r="H645" s="113"/>
      <c r="I645" s="113"/>
      <c r="J645" s="113"/>
      <c r="K645" s="113"/>
      <c r="L645" s="113"/>
      <c r="M645" s="113"/>
      <c r="N645" s="113"/>
      <c r="O645" s="113"/>
      <c r="P645" s="113"/>
      <c r="Q645" s="113"/>
      <c r="R645" s="113"/>
      <c r="S645" s="113"/>
      <c r="T645" s="113"/>
      <c r="U645" s="113"/>
      <c r="V645" s="113"/>
      <c r="W645" s="113"/>
      <c r="X645" s="113"/>
      <c r="Y645" s="113"/>
      <c r="Z645" s="113"/>
    </row>
    <row r="646">
      <c r="A646" s="113"/>
      <c r="B646" s="120"/>
      <c r="C646" s="120"/>
      <c r="D646" s="40"/>
      <c r="E646" s="114"/>
      <c r="F646" s="113"/>
      <c r="G646" s="113"/>
      <c r="H646" s="113"/>
      <c r="I646" s="113"/>
      <c r="J646" s="113"/>
      <c r="K646" s="113"/>
      <c r="L646" s="113"/>
      <c r="M646" s="113"/>
      <c r="N646" s="113"/>
      <c r="O646" s="113"/>
      <c r="P646" s="113"/>
      <c r="Q646" s="113"/>
      <c r="R646" s="113"/>
      <c r="S646" s="113"/>
      <c r="T646" s="113"/>
      <c r="U646" s="113"/>
      <c r="V646" s="113"/>
      <c r="W646" s="113"/>
      <c r="X646" s="113"/>
      <c r="Y646" s="113"/>
      <c r="Z646" s="113"/>
    </row>
    <row r="647">
      <c r="A647" s="113"/>
      <c r="B647" s="120"/>
      <c r="C647" s="120"/>
      <c r="D647" s="40"/>
      <c r="E647" s="114"/>
      <c r="F647" s="113"/>
      <c r="G647" s="113"/>
      <c r="H647" s="113"/>
      <c r="I647" s="113"/>
      <c r="J647" s="113"/>
      <c r="K647" s="113"/>
      <c r="L647" s="113"/>
      <c r="M647" s="113"/>
      <c r="N647" s="113"/>
      <c r="O647" s="113"/>
      <c r="P647" s="113"/>
      <c r="Q647" s="113"/>
      <c r="R647" s="113"/>
      <c r="S647" s="113"/>
      <c r="T647" s="113"/>
      <c r="U647" s="113"/>
      <c r="V647" s="113"/>
      <c r="W647" s="113"/>
      <c r="X647" s="113"/>
      <c r="Y647" s="113"/>
      <c r="Z647" s="113"/>
    </row>
    <row r="648">
      <c r="A648" s="113"/>
      <c r="B648" s="120"/>
      <c r="C648" s="120"/>
      <c r="D648" s="40"/>
      <c r="E648" s="114"/>
      <c r="F648" s="113"/>
      <c r="G648" s="113"/>
      <c r="H648" s="113"/>
      <c r="I648" s="113"/>
      <c r="J648" s="113"/>
      <c r="K648" s="113"/>
      <c r="L648" s="113"/>
      <c r="M648" s="113"/>
      <c r="N648" s="113"/>
      <c r="O648" s="113"/>
      <c r="P648" s="113"/>
      <c r="Q648" s="113"/>
      <c r="R648" s="113"/>
      <c r="S648" s="113"/>
      <c r="T648" s="113"/>
      <c r="U648" s="113"/>
      <c r="V648" s="113"/>
      <c r="W648" s="113"/>
      <c r="X648" s="113"/>
      <c r="Y648" s="113"/>
      <c r="Z648" s="113"/>
    </row>
    <row r="649">
      <c r="A649" s="113"/>
      <c r="B649" s="120"/>
      <c r="C649" s="120"/>
      <c r="D649" s="40"/>
      <c r="E649" s="114"/>
      <c r="F649" s="113"/>
      <c r="G649" s="113"/>
      <c r="H649" s="113"/>
      <c r="I649" s="113"/>
      <c r="J649" s="113"/>
      <c r="K649" s="113"/>
      <c r="L649" s="113"/>
      <c r="M649" s="113"/>
      <c r="N649" s="113"/>
      <c r="O649" s="113"/>
      <c r="P649" s="113"/>
      <c r="Q649" s="113"/>
      <c r="R649" s="113"/>
      <c r="S649" s="113"/>
      <c r="T649" s="113"/>
      <c r="U649" s="113"/>
      <c r="V649" s="113"/>
      <c r="W649" s="113"/>
      <c r="X649" s="113"/>
      <c r="Y649" s="113"/>
      <c r="Z649" s="113"/>
    </row>
    <row r="650">
      <c r="A650" s="113"/>
      <c r="B650" s="120"/>
      <c r="C650" s="120"/>
      <c r="D650" s="40"/>
      <c r="E650" s="114"/>
      <c r="F650" s="113"/>
      <c r="G650" s="113"/>
      <c r="H650" s="113"/>
      <c r="I650" s="113"/>
      <c r="J650" s="113"/>
      <c r="K650" s="113"/>
      <c r="L650" s="113"/>
      <c r="M650" s="113"/>
      <c r="N650" s="113"/>
      <c r="O650" s="113"/>
      <c r="P650" s="113"/>
      <c r="Q650" s="113"/>
      <c r="R650" s="113"/>
      <c r="S650" s="113"/>
      <c r="T650" s="113"/>
      <c r="U650" s="113"/>
      <c r="V650" s="113"/>
      <c r="W650" s="113"/>
      <c r="X650" s="113"/>
      <c r="Y650" s="113"/>
      <c r="Z650" s="113"/>
    </row>
    <row r="651">
      <c r="A651" s="113"/>
      <c r="B651" s="120"/>
      <c r="C651" s="120"/>
      <c r="D651" s="40"/>
      <c r="E651" s="114"/>
      <c r="F651" s="113"/>
      <c r="G651" s="113"/>
      <c r="H651" s="113"/>
      <c r="I651" s="113"/>
      <c r="J651" s="113"/>
      <c r="K651" s="113"/>
      <c r="L651" s="113"/>
      <c r="M651" s="113"/>
      <c r="N651" s="113"/>
      <c r="O651" s="113"/>
      <c r="P651" s="113"/>
      <c r="Q651" s="113"/>
      <c r="R651" s="113"/>
      <c r="S651" s="113"/>
      <c r="T651" s="113"/>
      <c r="U651" s="113"/>
      <c r="V651" s="113"/>
      <c r="W651" s="113"/>
      <c r="X651" s="113"/>
      <c r="Y651" s="113"/>
      <c r="Z651" s="113"/>
    </row>
    <row r="652">
      <c r="A652" s="113"/>
      <c r="B652" s="120"/>
      <c r="C652" s="120"/>
      <c r="D652" s="40"/>
      <c r="E652" s="114"/>
      <c r="F652" s="113"/>
      <c r="G652" s="113"/>
      <c r="H652" s="113"/>
      <c r="I652" s="113"/>
      <c r="J652" s="113"/>
      <c r="K652" s="113"/>
      <c r="L652" s="113"/>
      <c r="M652" s="113"/>
      <c r="N652" s="113"/>
      <c r="O652" s="113"/>
      <c r="P652" s="113"/>
      <c r="Q652" s="113"/>
      <c r="R652" s="113"/>
      <c r="S652" s="113"/>
      <c r="T652" s="113"/>
      <c r="U652" s="113"/>
      <c r="V652" s="113"/>
      <c r="W652" s="113"/>
      <c r="X652" s="113"/>
      <c r="Y652" s="113"/>
      <c r="Z652" s="113"/>
    </row>
    <row r="653">
      <c r="A653" s="113"/>
      <c r="B653" s="120"/>
      <c r="C653" s="120"/>
      <c r="D653" s="40"/>
      <c r="E653" s="114"/>
      <c r="F653" s="113"/>
      <c r="G653" s="113"/>
      <c r="H653" s="113"/>
      <c r="I653" s="113"/>
      <c r="J653" s="113"/>
      <c r="K653" s="113"/>
      <c r="L653" s="113"/>
      <c r="M653" s="113"/>
      <c r="N653" s="113"/>
      <c r="O653" s="113"/>
      <c r="P653" s="113"/>
      <c r="Q653" s="113"/>
      <c r="R653" s="113"/>
      <c r="S653" s="113"/>
      <c r="T653" s="113"/>
      <c r="U653" s="113"/>
      <c r="V653" s="113"/>
      <c r="W653" s="113"/>
      <c r="X653" s="113"/>
      <c r="Y653" s="113"/>
      <c r="Z653" s="113"/>
    </row>
    <row r="654">
      <c r="A654" s="113"/>
      <c r="B654" s="120"/>
      <c r="C654" s="120"/>
      <c r="D654" s="40"/>
      <c r="E654" s="114"/>
      <c r="F654" s="113"/>
      <c r="G654" s="113"/>
      <c r="H654" s="113"/>
      <c r="I654" s="113"/>
      <c r="J654" s="113"/>
      <c r="K654" s="113"/>
      <c r="L654" s="113"/>
      <c r="M654" s="113"/>
      <c r="N654" s="113"/>
      <c r="O654" s="113"/>
      <c r="P654" s="113"/>
      <c r="Q654" s="113"/>
      <c r="R654" s="113"/>
      <c r="S654" s="113"/>
      <c r="T654" s="113"/>
      <c r="U654" s="113"/>
      <c r="V654" s="113"/>
      <c r="W654" s="113"/>
      <c r="X654" s="113"/>
      <c r="Y654" s="113"/>
      <c r="Z654" s="113"/>
    </row>
    <row r="655">
      <c r="A655" s="113"/>
      <c r="B655" s="120"/>
      <c r="C655" s="120"/>
      <c r="D655" s="40"/>
      <c r="E655" s="114"/>
      <c r="F655" s="113"/>
      <c r="G655" s="113"/>
      <c r="H655" s="113"/>
      <c r="I655" s="113"/>
      <c r="J655" s="113"/>
      <c r="K655" s="113"/>
      <c r="L655" s="113"/>
      <c r="M655" s="113"/>
      <c r="N655" s="113"/>
      <c r="O655" s="113"/>
      <c r="P655" s="113"/>
      <c r="Q655" s="113"/>
      <c r="R655" s="113"/>
      <c r="S655" s="113"/>
      <c r="T655" s="113"/>
      <c r="U655" s="113"/>
      <c r="V655" s="113"/>
      <c r="W655" s="113"/>
      <c r="X655" s="113"/>
      <c r="Y655" s="113"/>
      <c r="Z655" s="113"/>
    </row>
    <row r="656">
      <c r="A656" s="113"/>
      <c r="B656" s="120"/>
      <c r="C656" s="120"/>
      <c r="D656" s="40"/>
      <c r="E656" s="114"/>
      <c r="F656" s="113"/>
      <c r="G656" s="113"/>
      <c r="H656" s="113"/>
      <c r="I656" s="113"/>
      <c r="J656" s="113"/>
      <c r="K656" s="113"/>
      <c r="L656" s="113"/>
      <c r="M656" s="113"/>
      <c r="N656" s="113"/>
      <c r="O656" s="113"/>
      <c r="P656" s="113"/>
      <c r="Q656" s="113"/>
      <c r="R656" s="113"/>
      <c r="S656" s="113"/>
      <c r="T656" s="113"/>
      <c r="U656" s="113"/>
      <c r="V656" s="113"/>
      <c r="W656" s="113"/>
      <c r="X656" s="113"/>
      <c r="Y656" s="113"/>
      <c r="Z656" s="113"/>
    </row>
    <row r="657">
      <c r="A657" s="113"/>
      <c r="B657" s="120"/>
      <c r="C657" s="120"/>
      <c r="D657" s="40"/>
      <c r="E657" s="114"/>
      <c r="F657" s="113"/>
      <c r="G657" s="113"/>
      <c r="H657" s="113"/>
      <c r="I657" s="113"/>
      <c r="J657" s="113"/>
      <c r="K657" s="113"/>
      <c r="L657" s="113"/>
      <c r="M657" s="113"/>
      <c r="N657" s="113"/>
      <c r="O657" s="113"/>
      <c r="P657" s="113"/>
      <c r="Q657" s="113"/>
      <c r="R657" s="113"/>
      <c r="S657" s="113"/>
      <c r="T657" s="113"/>
      <c r="U657" s="113"/>
      <c r="V657" s="113"/>
      <c r="W657" s="113"/>
      <c r="X657" s="113"/>
      <c r="Y657" s="113"/>
      <c r="Z657" s="113"/>
    </row>
    <row r="658">
      <c r="A658" s="113"/>
      <c r="B658" s="120"/>
      <c r="C658" s="120"/>
      <c r="D658" s="40"/>
      <c r="E658" s="114"/>
      <c r="F658" s="113"/>
      <c r="G658" s="113"/>
      <c r="H658" s="113"/>
      <c r="I658" s="113"/>
      <c r="J658" s="113"/>
      <c r="K658" s="113"/>
      <c r="L658" s="113"/>
      <c r="M658" s="113"/>
      <c r="N658" s="113"/>
      <c r="O658" s="113"/>
      <c r="P658" s="113"/>
      <c r="Q658" s="113"/>
      <c r="R658" s="113"/>
      <c r="S658" s="113"/>
      <c r="T658" s="113"/>
      <c r="U658" s="113"/>
      <c r="V658" s="113"/>
      <c r="W658" s="113"/>
      <c r="X658" s="113"/>
      <c r="Y658" s="113"/>
      <c r="Z658" s="113"/>
    </row>
    <row r="659">
      <c r="A659" s="113"/>
      <c r="B659" s="120"/>
      <c r="C659" s="120"/>
      <c r="D659" s="40"/>
      <c r="E659" s="114"/>
      <c r="F659" s="113"/>
      <c r="G659" s="113"/>
      <c r="H659" s="113"/>
      <c r="I659" s="113"/>
      <c r="J659" s="113"/>
      <c r="K659" s="113"/>
      <c r="L659" s="113"/>
      <c r="M659" s="113"/>
      <c r="N659" s="113"/>
      <c r="O659" s="113"/>
      <c r="P659" s="113"/>
      <c r="Q659" s="113"/>
      <c r="R659" s="113"/>
      <c r="S659" s="113"/>
      <c r="T659" s="113"/>
      <c r="U659" s="113"/>
      <c r="V659" s="113"/>
      <c r="W659" s="113"/>
      <c r="X659" s="113"/>
      <c r="Y659" s="113"/>
      <c r="Z659" s="113"/>
    </row>
    <row r="660">
      <c r="A660" s="113"/>
      <c r="B660" s="120"/>
      <c r="C660" s="120"/>
      <c r="D660" s="40"/>
      <c r="E660" s="114"/>
      <c r="F660" s="113"/>
      <c r="G660" s="113"/>
      <c r="H660" s="113"/>
      <c r="I660" s="113"/>
      <c r="J660" s="113"/>
      <c r="K660" s="113"/>
      <c r="L660" s="113"/>
      <c r="M660" s="113"/>
      <c r="N660" s="113"/>
      <c r="O660" s="113"/>
      <c r="P660" s="113"/>
      <c r="Q660" s="113"/>
      <c r="R660" s="113"/>
      <c r="S660" s="113"/>
      <c r="T660" s="113"/>
      <c r="U660" s="113"/>
      <c r="V660" s="113"/>
      <c r="W660" s="113"/>
      <c r="X660" s="113"/>
      <c r="Y660" s="113"/>
      <c r="Z660" s="113"/>
    </row>
    <row r="661">
      <c r="A661" s="113"/>
      <c r="B661" s="120"/>
      <c r="C661" s="120"/>
      <c r="D661" s="40"/>
      <c r="E661" s="114"/>
      <c r="F661" s="113"/>
      <c r="G661" s="113"/>
      <c r="H661" s="113"/>
      <c r="I661" s="113"/>
      <c r="J661" s="113"/>
      <c r="K661" s="113"/>
      <c r="L661" s="113"/>
      <c r="M661" s="113"/>
      <c r="N661" s="113"/>
      <c r="O661" s="113"/>
      <c r="P661" s="113"/>
      <c r="Q661" s="113"/>
      <c r="R661" s="113"/>
      <c r="S661" s="113"/>
      <c r="T661" s="113"/>
      <c r="U661" s="113"/>
      <c r="V661" s="113"/>
      <c r="W661" s="113"/>
      <c r="X661" s="113"/>
      <c r="Y661" s="113"/>
      <c r="Z661" s="113"/>
    </row>
    <row r="662">
      <c r="A662" s="113"/>
      <c r="B662" s="120"/>
      <c r="C662" s="120"/>
      <c r="D662" s="40"/>
      <c r="E662" s="114"/>
      <c r="F662" s="113"/>
      <c r="G662" s="113"/>
      <c r="H662" s="113"/>
      <c r="I662" s="113"/>
      <c r="J662" s="113"/>
      <c r="K662" s="113"/>
      <c r="L662" s="113"/>
      <c r="M662" s="113"/>
      <c r="N662" s="113"/>
      <c r="O662" s="113"/>
      <c r="P662" s="113"/>
      <c r="Q662" s="113"/>
      <c r="R662" s="113"/>
      <c r="S662" s="113"/>
      <c r="T662" s="113"/>
      <c r="U662" s="113"/>
      <c r="V662" s="113"/>
      <c r="W662" s="113"/>
      <c r="X662" s="113"/>
      <c r="Y662" s="113"/>
      <c r="Z662" s="113"/>
    </row>
    <row r="663">
      <c r="A663" s="113"/>
      <c r="B663" s="120"/>
      <c r="C663" s="120"/>
      <c r="D663" s="40"/>
      <c r="E663" s="114"/>
      <c r="F663" s="113"/>
      <c r="G663" s="113"/>
      <c r="H663" s="113"/>
      <c r="I663" s="113"/>
      <c r="J663" s="113"/>
      <c r="K663" s="113"/>
      <c r="L663" s="113"/>
      <c r="M663" s="113"/>
      <c r="N663" s="113"/>
      <c r="O663" s="113"/>
      <c r="P663" s="113"/>
      <c r="Q663" s="113"/>
      <c r="R663" s="113"/>
      <c r="S663" s="113"/>
      <c r="T663" s="113"/>
      <c r="U663" s="113"/>
      <c r="V663" s="113"/>
      <c r="W663" s="113"/>
      <c r="X663" s="113"/>
      <c r="Y663" s="113"/>
      <c r="Z663" s="113"/>
    </row>
    <row r="664">
      <c r="A664" s="113"/>
      <c r="B664" s="120"/>
      <c r="C664" s="120"/>
      <c r="D664" s="40"/>
      <c r="E664" s="114"/>
      <c r="F664" s="113"/>
      <c r="G664" s="113"/>
      <c r="H664" s="113"/>
      <c r="I664" s="113"/>
      <c r="J664" s="113"/>
      <c r="K664" s="113"/>
      <c r="L664" s="113"/>
      <c r="M664" s="113"/>
      <c r="N664" s="113"/>
      <c r="O664" s="113"/>
      <c r="P664" s="113"/>
      <c r="Q664" s="113"/>
      <c r="R664" s="113"/>
      <c r="S664" s="113"/>
      <c r="T664" s="113"/>
      <c r="U664" s="113"/>
      <c r="V664" s="113"/>
      <c r="W664" s="113"/>
      <c r="X664" s="113"/>
      <c r="Y664" s="113"/>
      <c r="Z664" s="113"/>
    </row>
    <row r="665">
      <c r="A665" s="113"/>
      <c r="B665" s="120"/>
      <c r="C665" s="120"/>
      <c r="D665" s="40"/>
      <c r="E665" s="114"/>
      <c r="F665" s="113"/>
      <c r="G665" s="113"/>
      <c r="H665" s="113"/>
      <c r="I665" s="113"/>
      <c r="J665" s="113"/>
      <c r="K665" s="113"/>
      <c r="L665" s="113"/>
      <c r="M665" s="113"/>
      <c r="N665" s="113"/>
      <c r="O665" s="113"/>
      <c r="P665" s="113"/>
      <c r="Q665" s="113"/>
      <c r="R665" s="113"/>
      <c r="S665" s="113"/>
      <c r="T665" s="113"/>
      <c r="U665" s="113"/>
      <c r="V665" s="113"/>
      <c r="W665" s="113"/>
      <c r="X665" s="113"/>
      <c r="Y665" s="113"/>
      <c r="Z665" s="113"/>
    </row>
    <row r="666">
      <c r="A666" s="113"/>
      <c r="B666" s="120"/>
      <c r="C666" s="120"/>
      <c r="D666" s="40"/>
      <c r="E666" s="114"/>
      <c r="F666" s="113"/>
      <c r="G666" s="113"/>
      <c r="H666" s="113"/>
      <c r="I666" s="113"/>
      <c r="J666" s="113"/>
      <c r="K666" s="113"/>
      <c r="L666" s="113"/>
      <c r="M666" s="113"/>
      <c r="N666" s="113"/>
      <c r="O666" s="113"/>
      <c r="P666" s="113"/>
      <c r="Q666" s="113"/>
      <c r="R666" s="113"/>
      <c r="S666" s="113"/>
      <c r="T666" s="113"/>
      <c r="U666" s="113"/>
      <c r="V666" s="113"/>
      <c r="W666" s="113"/>
      <c r="X666" s="113"/>
      <c r="Y666" s="113"/>
      <c r="Z666" s="113"/>
    </row>
    <row r="667">
      <c r="A667" s="113"/>
      <c r="B667" s="120"/>
      <c r="C667" s="120"/>
      <c r="D667" s="40"/>
      <c r="E667" s="114"/>
      <c r="F667" s="113"/>
      <c r="G667" s="113"/>
      <c r="H667" s="113"/>
      <c r="I667" s="113"/>
      <c r="J667" s="113"/>
      <c r="K667" s="113"/>
      <c r="L667" s="113"/>
      <c r="M667" s="113"/>
      <c r="N667" s="113"/>
      <c r="O667" s="113"/>
      <c r="P667" s="113"/>
      <c r="Q667" s="113"/>
      <c r="R667" s="113"/>
      <c r="S667" s="113"/>
      <c r="T667" s="113"/>
      <c r="U667" s="113"/>
      <c r="V667" s="113"/>
      <c r="W667" s="113"/>
      <c r="X667" s="113"/>
      <c r="Y667" s="113"/>
      <c r="Z667" s="113"/>
    </row>
    <row r="668">
      <c r="A668" s="113"/>
      <c r="B668" s="120"/>
      <c r="C668" s="120"/>
      <c r="D668" s="40"/>
      <c r="E668" s="114"/>
      <c r="F668" s="113"/>
      <c r="G668" s="113"/>
      <c r="H668" s="113"/>
      <c r="I668" s="113"/>
      <c r="J668" s="113"/>
      <c r="K668" s="113"/>
      <c r="L668" s="113"/>
      <c r="M668" s="113"/>
      <c r="N668" s="113"/>
      <c r="O668" s="113"/>
      <c r="P668" s="113"/>
      <c r="Q668" s="113"/>
      <c r="R668" s="113"/>
      <c r="S668" s="113"/>
      <c r="T668" s="113"/>
      <c r="U668" s="113"/>
      <c r="V668" s="113"/>
      <c r="W668" s="113"/>
      <c r="X668" s="113"/>
      <c r="Y668" s="113"/>
      <c r="Z668" s="113"/>
    </row>
    <row r="669">
      <c r="A669" s="113"/>
      <c r="B669" s="120"/>
      <c r="C669" s="120"/>
      <c r="D669" s="40"/>
      <c r="E669" s="114"/>
      <c r="F669" s="113"/>
      <c r="G669" s="113"/>
      <c r="H669" s="113"/>
      <c r="I669" s="113"/>
      <c r="J669" s="113"/>
      <c r="K669" s="113"/>
      <c r="L669" s="113"/>
      <c r="M669" s="113"/>
      <c r="N669" s="113"/>
      <c r="O669" s="113"/>
      <c r="P669" s="113"/>
      <c r="Q669" s="113"/>
      <c r="R669" s="113"/>
      <c r="S669" s="113"/>
      <c r="T669" s="113"/>
      <c r="U669" s="113"/>
      <c r="V669" s="113"/>
      <c r="W669" s="113"/>
      <c r="X669" s="113"/>
      <c r="Y669" s="113"/>
      <c r="Z669" s="113"/>
    </row>
    <row r="670">
      <c r="A670" s="113"/>
      <c r="B670" s="120"/>
      <c r="C670" s="120"/>
      <c r="D670" s="40"/>
      <c r="E670" s="114"/>
      <c r="F670" s="113"/>
      <c r="G670" s="113"/>
      <c r="H670" s="113"/>
      <c r="I670" s="113"/>
      <c r="J670" s="113"/>
      <c r="K670" s="113"/>
      <c r="L670" s="113"/>
      <c r="M670" s="113"/>
      <c r="N670" s="113"/>
      <c r="O670" s="113"/>
      <c r="P670" s="113"/>
      <c r="Q670" s="113"/>
      <c r="R670" s="113"/>
      <c r="S670" s="113"/>
      <c r="T670" s="113"/>
      <c r="U670" s="113"/>
      <c r="V670" s="113"/>
      <c r="W670" s="113"/>
      <c r="X670" s="113"/>
      <c r="Y670" s="113"/>
      <c r="Z670" s="113"/>
    </row>
    <row r="671">
      <c r="A671" s="113"/>
      <c r="B671" s="120"/>
      <c r="C671" s="120"/>
      <c r="D671" s="40"/>
      <c r="E671" s="114"/>
      <c r="F671" s="113"/>
      <c r="G671" s="113"/>
      <c r="H671" s="113"/>
      <c r="I671" s="113"/>
      <c r="J671" s="113"/>
      <c r="K671" s="113"/>
      <c r="L671" s="113"/>
      <c r="M671" s="113"/>
      <c r="N671" s="113"/>
      <c r="O671" s="113"/>
      <c r="P671" s="113"/>
      <c r="Q671" s="113"/>
      <c r="R671" s="113"/>
      <c r="S671" s="113"/>
      <c r="T671" s="113"/>
      <c r="U671" s="113"/>
      <c r="V671" s="113"/>
      <c r="W671" s="113"/>
      <c r="X671" s="113"/>
      <c r="Y671" s="113"/>
      <c r="Z671" s="113"/>
    </row>
    <row r="672">
      <c r="A672" s="113"/>
      <c r="B672" s="120"/>
      <c r="C672" s="120"/>
      <c r="D672" s="40"/>
      <c r="E672" s="114"/>
      <c r="F672" s="113"/>
      <c r="G672" s="113"/>
      <c r="H672" s="113"/>
      <c r="I672" s="113"/>
      <c r="J672" s="113"/>
      <c r="K672" s="113"/>
      <c r="L672" s="113"/>
      <c r="M672" s="113"/>
      <c r="N672" s="113"/>
      <c r="O672" s="113"/>
      <c r="P672" s="113"/>
      <c r="Q672" s="113"/>
      <c r="R672" s="113"/>
      <c r="S672" s="113"/>
      <c r="T672" s="113"/>
      <c r="U672" s="113"/>
      <c r="V672" s="113"/>
      <c r="W672" s="113"/>
      <c r="X672" s="113"/>
      <c r="Y672" s="113"/>
      <c r="Z672" s="113"/>
    </row>
    <row r="673">
      <c r="A673" s="113"/>
      <c r="B673" s="120"/>
      <c r="C673" s="120"/>
      <c r="D673" s="40"/>
      <c r="E673" s="114"/>
      <c r="F673" s="113"/>
      <c r="G673" s="113"/>
      <c r="H673" s="113"/>
      <c r="I673" s="113"/>
      <c r="J673" s="113"/>
      <c r="K673" s="113"/>
      <c r="L673" s="113"/>
      <c r="M673" s="113"/>
      <c r="N673" s="113"/>
      <c r="O673" s="113"/>
      <c r="P673" s="113"/>
      <c r="Q673" s="113"/>
      <c r="R673" s="113"/>
      <c r="S673" s="113"/>
      <c r="T673" s="113"/>
      <c r="U673" s="113"/>
      <c r="V673" s="113"/>
      <c r="W673" s="113"/>
      <c r="X673" s="113"/>
      <c r="Y673" s="113"/>
      <c r="Z673" s="113"/>
    </row>
    <row r="674">
      <c r="A674" s="113"/>
      <c r="B674" s="120"/>
      <c r="C674" s="120"/>
      <c r="D674" s="40"/>
      <c r="E674" s="114"/>
      <c r="F674" s="113"/>
      <c r="G674" s="113"/>
      <c r="H674" s="113"/>
      <c r="I674" s="113"/>
      <c r="J674" s="113"/>
      <c r="K674" s="113"/>
      <c r="L674" s="113"/>
      <c r="M674" s="113"/>
      <c r="N674" s="113"/>
      <c r="O674" s="113"/>
      <c r="P674" s="113"/>
      <c r="Q674" s="113"/>
      <c r="R674" s="113"/>
      <c r="S674" s="113"/>
      <c r="T674" s="113"/>
      <c r="U674" s="113"/>
      <c r="V674" s="113"/>
      <c r="W674" s="113"/>
      <c r="X674" s="113"/>
      <c r="Y674" s="113"/>
      <c r="Z674" s="113"/>
    </row>
    <row r="675">
      <c r="A675" s="113"/>
      <c r="B675" s="120"/>
      <c r="C675" s="120"/>
      <c r="D675" s="40"/>
      <c r="E675" s="114"/>
      <c r="F675" s="113"/>
      <c r="G675" s="113"/>
      <c r="H675" s="113"/>
      <c r="I675" s="113"/>
      <c r="J675" s="113"/>
      <c r="K675" s="113"/>
      <c r="L675" s="113"/>
      <c r="M675" s="113"/>
      <c r="N675" s="113"/>
      <c r="O675" s="113"/>
      <c r="P675" s="113"/>
      <c r="Q675" s="113"/>
      <c r="R675" s="113"/>
      <c r="S675" s="113"/>
      <c r="T675" s="113"/>
      <c r="U675" s="113"/>
      <c r="V675" s="113"/>
      <c r="W675" s="113"/>
      <c r="X675" s="113"/>
      <c r="Y675" s="113"/>
      <c r="Z675" s="113"/>
    </row>
    <row r="676">
      <c r="A676" s="113"/>
      <c r="B676" s="120"/>
      <c r="C676" s="120"/>
      <c r="D676" s="40"/>
      <c r="E676" s="114"/>
      <c r="F676" s="113"/>
      <c r="G676" s="113"/>
      <c r="H676" s="113"/>
      <c r="I676" s="113"/>
      <c r="J676" s="113"/>
      <c r="K676" s="113"/>
      <c r="L676" s="113"/>
      <c r="M676" s="113"/>
      <c r="N676" s="113"/>
      <c r="O676" s="113"/>
      <c r="P676" s="113"/>
      <c r="Q676" s="113"/>
      <c r="R676" s="113"/>
      <c r="S676" s="113"/>
      <c r="T676" s="113"/>
      <c r="U676" s="113"/>
      <c r="V676" s="113"/>
      <c r="W676" s="113"/>
      <c r="X676" s="113"/>
      <c r="Y676" s="113"/>
      <c r="Z676" s="113"/>
    </row>
    <row r="677">
      <c r="A677" s="113"/>
      <c r="B677" s="120"/>
      <c r="C677" s="120"/>
      <c r="D677" s="40"/>
      <c r="E677" s="114"/>
      <c r="F677" s="113"/>
      <c r="G677" s="113"/>
      <c r="H677" s="113"/>
      <c r="I677" s="113"/>
      <c r="J677" s="113"/>
      <c r="K677" s="113"/>
      <c r="L677" s="113"/>
      <c r="M677" s="113"/>
      <c r="N677" s="113"/>
      <c r="O677" s="113"/>
      <c r="P677" s="113"/>
      <c r="Q677" s="113"/>
      <c r="R677" s="113"/>
      <c r="S677" s="113"/>
      <c r="T677" s="113"/>
      <c r="U677" s="113"/>
      <c r="V677" s="113"/>
      <c r="W677" s="113"/>
      <c r="X677" s="113"/>
      <c r="Y677" s="113"/>
      <c r="Z677" s="113"/>
    </row>
    <row r="678">
      <c r="A678" s="113"/>
      <c r="B678" s="120"/>
      <c r="C678" s="120"/>
      <c r="D678" s="40"/>
      <c r="E678" s="114"/>
      <c r="F678" s="113"/>
      <c r="G678" s="113"/>
      <c r="H678" s="113"/>
      <c r="I678" s="113"/>
      <c r="J678" s="113"/>
      <c r="K678" s="113"/>
      <c r="L678" s="113"/>
      <c r="M678" s="113"/>
      <c r="N678" s="113"/>
      <c r="O678" s="113"/>
      <c r="P678" s="113"/>
      <c r="Q678" s="113"/>
      <c r="R678" s="113"/>
      <c r="S678" s="113"/>
      <c r="T678" s="113"/>
      <c r="U678" s="113"/>
      <c r="V678" s="113"/>
      <c r="W678" s="113"/>
      <c r="X678" s="113"/>
      <c r="Y678" s="113"/>
      <c r="Z678" s="113"/>
    </row>
    <row r="679">
      <c r="A679" s="113"/>
      <c r="B679" s="120"/>
      <c r="C679" s="120"/>
      <c r="D679" s="40"/>
      <c r="E679" s="114"/>
      <c r="F679" s="113"/>
      <c r="G679" s="113"/>
      <c r="H679" s="113"/>
      <c r="I679" s="113"/>
      <c r="J679" s="113"/>
      <c r="K679" s="113"/>
      <c r="L679" s="113"/>
      <c r="M679" s="113"/>
      <c r="N679" s="113"/>
      <c r="O679" s="113"/>
      <c r="P679" s="113"/>
      <c r="Q679" s="113"/>
      <c r="R679" s="113"/>
      <c r="S679" s="113"/>
      <c r="T679" s="113"/>
      <c r="U679" s="113"/>
      <c r="V679" s="113"/>
      <c r="W679" s="113"/>
      <c r="X679" s="113"/>
      <c r="Y679" s="113"/>
      <c r="Z679" s="113"/>
    </row>
    <row r="680">
      <c r="A680" s="113"/>
      <c r="B680" s="120"/>
      <c r="C680" s="120"/>
      <c r="D680" s="40"/>
      <c r="E680" s="114"/>
      <c r="F680" s="113"/>
      <c r="G680" s="113"/>
      <c r="H680" s="113"/>
      <c r="I680" s="113"/>
      <c r="J680" s="113"/>
      <c r="K680" s="113"/>
      <c r="L680" s="113"/>
      <c r="M680" s="113"/>
      <c r="N680" s="113"/>
      <c r="O680" s="113"/>
      <c r="P680" s="113"/>
      <c r="Q680" s="113"/>
      <c r="R680" s="113"/>
      <c r="S680" s="113"/>
      <c r="T680" s="113"/>
      <c r="U680" s="113"/>
      <c r="V680" s="113"/>
      <c r="W680" s="113"/>
      <c r="X680" s="113"/>
      <c r="Y680" s="113"/>
      <c r="Z680" s="113"/>
    </row>
    <row r="681">
      <c r="A681" s="113"/>
      <c r="B681" s="120"/>
      <c r="C681" s="120"/>
      <c r="D681" s="40"/>
      <c r="E681" s="114"/>
      <c r="F681" s="113"/>
      <c r="G681" s="113"/>
      <c r="H681" s="113"/>
      <c r="I681" s="113"/>
      <c r="J681" s="113"/>
      <c r="K681" s="113"/>
      <c r="L681" s="113"/>
      <c r="M681" s="113"/>
      <c r="N681" s="113"/>
      <c r="O681" s="113"/>
      <c r="P681" s="113"/>
      <c r="Q681" s="113"/>
      <c r="R681" s="113"/>
      <c r="S681" s="113"/>
      <c r="T681" s="113"/>
      <c r="U681" s="113"/>
      <c r="V681" s="113"/>
      <c r="W681" s="113"/>
      <c r="X681" s="113"/>
      <c r="Y681" s="113"/>
      <c r="Z681" s="113"/>
    </row>
    <row r="682">
      <c r="A682" s="113"/>
      <c r="B682" s="120"/>
      <c r="C682" s="120"/>
      <c r="D682" s="40"/>
      <c r="E682" s="114"/>
      <c r="F682" s="113"/>
      <c r="G682" s="113"/>
      <c r="H682" s="113"/>
      <c r="I682" s="113"/>
      <c r="J682" s="113"/>
      <c r="K682" s="113"/>
      <c r="L682" s="113"/>
      <c r="M682" s="113"/>
      <c r="N682" s="113"/>
      <c r="O682" s="113"/>
      <c r="P682" s="113"/>
      <c r="Q682" s="113"/>
      <c r="R682" s="113"/>
      <c r="S682" s="113"/>
      <c r="T682" s="113"/>
      <c r="U682" s="113"/>
      <c r="V682" s="113"/>
      <c r="W682" s="113"/>
      <c r="X682" s="113"/>
      <c r="Y682" s="113"/>
      <c r="Z682" s="113"/>
    </row>
    <row r="683">
      <c r="A683" s="113"/>
      <c r="B683" s="120"/>
      <c r="C683" s="120"/>
      <c r="D683" s="40"/>
      <c r="E683" s="114"/>
      <c r="F683" s="113"/>
      <c r="G683" s="113"/>
      <c r="H683" s="113"/>
      <c r="I683" s="113"/>
      <c r="J683" s="113"/>
      <c r="K683" s="113"/>
      <c r="L683" s="113"/>
      <c r="M683" s="113"/>
      <c r="N683" s="113"/>
      <c r="O683" s="113"/>
      <c r="P683" s="113"/>
      <c r="Q683" s="113"/>
      <c r="R683" s="113"/>
      <c r="S683" s="113"/>
      <c r="T683" s="113"/>
      <c r="U683" s="113"/>
      <c r="V683" s="113"/>
      <c r="W683" s="113"/>
      <c r="X683" s="113"/>
      <c r="Y683" s="113"/>
      <c r="Z683" s="113"/>
    </row>
    <row r="684">
      <c r="A684" s="113"/>
      <c r="B684" s="120"/>
      <c r="C684" s="120"/>
      <c r="D684" s="40"/>
      <c r="E684" s="114"/>
      <c r="F684" s="113"/>
      <c r="G684" s="113"/>
      <c r="H684" s="113"/>
      <c r="I684" s="113"/>
      <c r="J684" s="113"/>
      <c r="K684" s="113"/>
      <c r="L684" s="113"/>
      <c r="M684" s="113"/>
      <c r="N684" s="113"/>
      <c r="O684" s="113"/>
      <c r="P684" s="113"/>
      <c r="Q684" s="113"/>
      <c r="R684" s="113"/>
      <c r="S684" s="113"/>
      <c r="T684" s="113"/>
      <c r="U684" s="113"/>
      <c r="V684" s="113"/>
      <c r="W684" s="113"/>
      <c r="X684" s="113"/>
      <c r="Y684" s="113"/>
      <c r="Z684" s="113"/>
    </row>
    <row r="685">
      <c r="A685" s="113"/>
      <c r="B685" s="120"/>
      <c r="C685" s="120"/>
      <c r="D685" s="40"/>
      <c r="E685" s="114"/>
      <c r="F685" s="113"/>
      <c r="G685" s="113"/>
      <c r="H685" s="113"/>
      <c r="I685" s="113"/>
      <c r="J685" s="113"/>
      <c r="K685" s="113"/>
      <c r="L685" s="113"/>
      <c r="M685" s="113"/>
      <c r="N685" s="113"/>
      <c r="O685" s="113"/>
      <c r="P685" s="113"/>
      <c r="Q685" s="113"/>
      <c r="R685" s="113"/>
      <c r="S685" s="113"/>
      <c r="T685" s="113"/>
      <c r="U685" s="113"/>
      <c r="V685" s="113"/>
      <c r="W685" s="113"/>
      <c r="X685" s="113"/>
      <c r="Y685" s="113"/>
      <c r="Z685" s="113"/>
    </row>
    <row r="686">
      <c r="A686" s="113"/>
      <c r="B686" s="120"/>
      <c r="C686" s="120"/>
      <c r="D686" s="40"/>
      <c r="E686" s="114"/>
      <c r="F686" s="113"/>
      <c r="G686" s="113"/>
      <c r="H686" s="113"/>
      <c r="I686" s="113"/>
      <c r="J686" s="113"/>
      <c r="K686" s="113"/>
      <c r="L686" s="113"/>
      <c r="M686" s="113"/>
      <c r="N686" s="113"/>
      <c r="O686" s="113"/>
      <c r="P686" s="113"/>
      <c r="Q686" s="113"/>
      <c r="R686" s="113"/>
      <c r="S686" s="113"/>
      <c r="T686" s="113"/>
      <c r="U686" s="113"/>
      <c r="V686" s="113"/>
      <c r="W686" s="113"/>
      <c r="X686" s="113"/>
      <c r="Y686" s="113"/>
      <c r="Z686" s="113"/>
    </row>
    <row r="687">
      <c r="A687" s="113"/>
      <c r="B687" s="120"/>
      <c r="C687" s="120"/>
      <c r="D687" s="40"/>
      <c r="E687" s="114"/>
      <c r="F687" s="113"/>
      <c r="G687" s="113"/>
      <c r="H687" s="113"/>
      <c r="I687" s="113"/>
      <c r="J687" s="113"/>
      <c r="K687" s="113"/>
      <c r="L687" s="113"/>
      <c r="M687" s="113"/>
      <c r="N687" s="113"/>
      <c r="O687" s="113"/>
      <c r="P687" s="113"/>
      <c r="Q687" s="113"/>
      <c r="R687" s="113"/>
      <c r="S687" s="113"/>
      <c r="T687" s="113"/>
      <c r="U687" s="113"/>
      <c r="V687" s="113"/>
      <c r="W687" s="113"/>
      <c r="X687" s="113"/>
      <c r="Y687" s="113"/>
      <c r="Z687" s="113"/>
    </row>
    <row r="688">
      <c r="A688" s="113"/>
      <c r="B688" s="120"/>
      <c r="C688" s="120"/>
      <c r="D688" s="40"/>
      <c r="E688" s="114"/>
      <c r="F688" s="113"/>
      <c r="G688" s="113"/>
      <c r="H688" s="113"/>
      <c r="I688" s="113"/>
      <c r="J688" s="113"/>
      <c r="K688" s="113"/>
      <c r="L688" s="113"/>
      <c r="M688" s="113"/>
      <c r="N688" s="113"/>
      <c r="O688" s="113"/>
      <c r="P688" s="113"/>
      <c r="Q688" s="113"/>
      <c r="R688" s="113"/>
      <c r="S688" s="113"/>
      <c r="T688" s="113"/>
      <c r="U688" s="113"/>
      <c r="V688" s="113"/>
      <c r="W688" s="113"/>
      <c r="X688" s="113"/>
      <c r="Y688" s="113"/>
      <c r="Z688" s="113"/>
    </row>
    <row r="689">
      <c r="A689" s="113"/>
      <c r="B689" s="120"/>
      <c r="C689" s="120"/>
      <c r="D689" s="40"/>
      <c r="E689" s="114"/>
      <c r="F689" s="113"/>
      <c r="G689" s="113"/>
      <c r="H689" s="113"/>
      <c r="I689" s="113"/>
      <c r="J689" s="113"/>
      <c r="K689" s="113"/>
      <c r="L689" s="113"/>
      <c r="M689" s="113"/>
      <c r="N689" s="113"/>
      <c r="O689" s="113"/>
      <c r="P689" s="113"/>
      <c r="Q689" s="113"/>
      <c r="R689" s="113"/>
      <c r="S689" s="113"/>
      <c r="T689" s="113"/>
      <c r="U689" s="113"/>
      <c r="V689" s="113"/>
      <c r="W689" s="113"/>
      <c r="X689" s="113"/>
      <c r="Y689" s="113"/>
      <c r="Z689" s="113"/>
    </row>
    <row r="690">
      <c r="A690" s="113"/>
      <c r="B690" s="120"/>
      <c r="C690" s="120"/>
      <c r="D690" s="40"/>
      <c r="E690" s="114"/>
      <c r="F690" s="113"/>
      <c r="G690" s="113"/>
      <c r="H690" s="113"/>
      <c r="I690" s="113"/>
      <c r="J690" s="113"/>
      <c r="K690" s="113"/>
      <c r="L690" s="113"/>
      <c r="M690" s="113"/>
      <c r="N690" s="113"/>
      <c r="O690" s="113"/>
      <c r="P690" s="113"/>
      <c r="Q690" s="113"/>
      <c r="R690" s="113"/>
      <c r="S690" s="113"/>
      <c r="T690" s="113"/>
      <c r="U690" s="113"/>
      <c r="V690" s="113"/>
      <c r="W690" s="113"/>
      <c r="X690" s="113"/>
      <c r="Y690" s="113"/>
      <c r="Z690" s="113"/>
    </row>
    <row r="691">
      <c r="A691" s="113"/>
      <c r="B691" s="120"/>
      <c r="C691" s="120"/>
      <c r="D691" s="40"/>
      <c r="E691" s="114"/>
      <c r="F691" s="113"/>
      <c r="G691" s="113"/>
      <c r="H691" s="113"/>
      <c r="I691" s="113"/>
      <c r="J691" s="113"/>
      <c r="K691" s="113"/>
      <c r="L691" s="113"/>
      <c r="M691" s="113"/>
      <c r="N691" s="113"/>
      <c r="O691" s="113"/>
      <c r="P691" s="113"/>
      <c r="Q691" s="113"/>
      <c r="R691" s="113"/>
      <c r="S691" s="113"/>
      <c r="T691" s="113"/>
      <c r="U691" s="113"/>
      <c r="V691" s="113"/>
      <c r="W691" s="113"/>
      <c r="X691" s="113"/>
      <c r="Y691" s="113"/>
      <c r="Z691" s="113"/>
    </row>
    <row r="692">
      <c r="A692" s="113"/>
      <c r="B692" s="120"/>
      <c r="C692" s="120"/>
      <c r="D692" s="40"/>
      <c r="E692" s="114"/>
      <c r="F692" s="113"/>
      <c r="G692" s="113"/>
      <c r="H692" s="113"/>
      <c r="I692" s="113"/>
      <c r="J692" s="113"/>
      <c r="K692" s="113"/>
      <c r="L692" s="113"/>
      <c r="M692" s="113"/>
      <c r="N692" s="113"/>
      <c r="O692" s="113"/>
      <c r="P692" s="113"/>
      <c r="Q692" s="113"/>
      <c r="R692" s="113"/>
      <c r="S692" s="113"/>
      <c r="T692" s="113"/>
      <c r="U692" s="113"/>
      <c r="V692" s="113"/>
      <c r="W692" s="113"/>
      <c r="X692" s="113"/>
      <c r="Y692" s="113"/>
      <c r="Z692" s="113"/>
    </row>
    <row r="693">
      <c r="A693" s="113"/>
      <c r="B693" s="120"/>
      <c r="C693" s="120"/>
      <c r="D693" s="40"/>
      <c r="E693" s="114"/>
      <c r="F693" s="113"/>
      <c r="G693" s="113"/>
      <c r="H693" s="113"/>
      <c r="I693" s="113"/>
      <c r="J693" s="113"/>
      <c r="K693" s="113"/>
      <c r="L693" s="113"/>
      <c r="M693" s="113"/>
      <c r="N693" s="113"/>
      <c r="O693" s="113"/>
      <c r="P693" s="113"/>
      <c r="Q693" s="113"/>
      <c r="R693" s="113"/>
      <c r="S693" s="113"/>
      <c r="T693" s="113"/>
      <c r="U693" s="113"/>
      <c r="V693" s="113"/>
      <c r="W693" s="113"/>
      <c r="X693" s="113"/>
      <c r="Y693" s="113"/>
      <c r="Z693" s="113"/>
    </row>
    <row r="694">
      <c r="A694" s="113"/>
      <c r="B694" s="120"/>
      <c r="C694" s="120"/>
      <c r="D694" s="40"/>
      <c r="E694" s="114"/>
      <c r="F694" s="113"/>
      <c r="G694" s="113"/>
      <c r="H694" s="113"/>
      <c r="I694" s="113"/>
      <c r="J694" s="113"/>
      <c r="K694" s="113"/>
      <c r="L694" s="113"/>
      <c r="M694" s="113"/>
      <c r="N694" s="113"/>
      <c r="O694" s="113"/>
      <c r="P694" s="113"/>
      <c r="Q694" s="113"/>
      <c r="R694" s="113"/>
      <c r="S694" s="113"/>
      <c r="T694" s="113"/>
      <c r="U694" s="113"/>
      <c r="V694" s="113"/>
      <c r="W694" s="113"/>
      <c r="X694" s="113"/>
      <c r="Y694" s="113"/>
      <c r="Z694" s="113"/>
    </row>
    <row r="695">
      <c r="A695" s="113"/>
      <c r="B695" s="120"/>
      <c r="C695" s="120"/>
      <c r="D695" s="40"/>
      <c r="E695" s="114"/>
      <c r="F695" s="113"/>
      <c r="G695" s="113"/>
      <c r="H695" s="113"/>
      <c r="I695" s="113"/>
      <c r="J695" s="113"/>
      <c r="K695" s="113"/>
      <c r="L695" s="113"/>
      <c r="M695" s="113"/>
      <c r="N695" s="113"/>
      <c r="O695" s="113"/>
      <c r="P695" s="113"/>
      <c r="Q695" s="113"/>
      <c r="R695" s="113"/>
      <c r="S695" s="113"/>
      <c r="T695" s="113"/>
      <c r="U695" s="113"/>
      <c r="V695" s="113"/>
      <c r="W695" s="113"/>
      <c r="X695" s="113"/>
      <c r="Y695" s="113"/>
      <c r="Z695" s="113"/>
    </row>
    <row r="696">
      <c r="A696" s="113"/>
      <c r="B696" s="120"/>
      <c r="C696" s="120"/>
      <c r="D696" s="40"/>
      <c r="E696" s="114"/>
      <c r="F696" s="113"/>
      <c r="G696" s="113"/>
      <c r="H696" s="113"/>
      <c r="I696" s="113"/>
      <c r="J696" s="113"/>
      <c r="K696" s="113"/>
      <c r="L696" s="113"/>
      <c r="M696" s="113"/>
      <c r="N696" s="113"/>
      <c r="O696" s="113"/>
      <c r="P696" s="113"/>
      <c r="Q696" s="113"/>
      <c r="R696" s="113"/>
      <c r="S696" s="113"/>
      <c r="T696" s="113"/>
      <c r="U696" s="113"/>
      <c r="V696" s="113"/>
      <c r="W696" s="113"/>
      <c r="X696" s="113"/>
      <c r="Y696" s="113"/>
      <c r="Z696" s="113"/>
    </row>
    <row r="697">
      <c r="A697" s="113"/>
      <c r="B697" s="120"/>
      <c r="C697" s="120"/>
      <c r="D697" s="40"/>
      <c r="E697" s="114"/>
      <c r="F697" s="113"/>
      <c r="G697" s="113"/>
      <c r="H697" s="113"/>
      <c r="I697" s="113"/>
      <c r="J697" s="113"/>
      <c r="K697" s="113"/>
      <c r="L697" s="113"/>
      <c r="M697" s="113"/>
      <c r="N697" s="113"/>
      <c r="O697" s="113"/>
      <c r="P697" s="113"/>
      <c r="Q697" s="113"/>
      <c r="R697" s="113"/>
      <c r="S697" s="113"/>
      <c r="T697" s="113"/>
      <c r="U697" s="113"/>
      <c r="V697" s="113"/>
      <c r="W697" s="113"/>
      <c r="X697" s="113"/>
      <c r="Y697" s="113"/>
      <c r="Z697" s="113"/>
    </row>
    <row r="698">
      <c r="A698" s="113"/>
      <c r="B698" s="120"/>
      <c r="C698" s="120"/>
      <c r="D698" s="40"/>
      <c r="E698" s="114"/>
      <c r="F698" s="113"/>
      <c r="G698" s="113"/>
      <c r="H698" s="113"/>
      <c r="I698" s="113"/>
      <c r="J698" s="113"/>
      <c r="K698" s="113"/>
      <c r="L698" s="113"/>
      <c r="M698" s="113"/>
      <c r="N698" s="113"/>
      <c r="O698" s="113"/>
      <c r="P698" s="113"/>
      <c r="Q698" s="113"/>
      <c r="R698" s="113"/>
      <c r="S698" s="113"/>
      <c r="T698" s="113"/>
      <c r="U698" s="113"/>
      <c r="V698" s="113"/>
      <c r="W698" s="113"/>
      <c r="X698" s="113"/>
      <c r="Y698" s="113"/>
      <c r="Z698" s="113"/>
    </row>
    <row r="699">
      <c r="A699" s="113"/>
      <c r="B699" s="120"/>
      <c r="C699" s="120"/>
      <c r="D699" s="40"/>
      <c r="E699" s="114"/>
      <c r="F699" s="113"/>
      <c r="G699" s="113"/>
      <c r="H699" s="113"/>
      <c r="I699" s="113"/>
      <c r="J699" s="113"/>
      <c r="K699" s="113"/>
      <c r="L699" s="113"/>
      <c r="M699" s="113"/>
      <c r="N699" s="113"/>
      <c r="O699" s="113"/>
      <c r="P699" s="113"/>
      <c r="Q699" s="113"/>
      <c r="R699" s="113"/>
      <c r="S699" s="113"/>
      <c r="T699" s="113"/>
      <c r="U699" s="113"/>
      <c r="V699" s="113"/>
      <c r="W699" s="113"/>
      <c r="X699" s="113"/>
      <c r="Y699" s="113"/>
      <c r="Z699" s="113"/>
    </row>
    <row r="700">
      <c r="A700" s="113"/>
      <c r="B700" s="120"/>
      <c r="C700" s="120"/>
      <c r="D700" s="40"/>
      <c r="E700" s="114"/>
      <c r="F700" s="113"/>
      <c r="G700" s="113"/>
      <c r="H700" s="113"/>
      <c r="I700" s="113"/>
      <c r="J700" s="113"/>
      <c r="K700" s="113"/>
      <c r="L700" s="113"/>
      <c r="M700" s="113"/>
      <c r="N700" s="113"/>
      <c r="O700" s="113"/>
      <c r="P700" s="113"/>
      <c r="Q700" s="113"/>
      <c r="R700" s="113"/>
      <c r="S700" s="113"/>
      <c r="T700" s="113"/>
      <c r="U700" s="113"/>
      <c r="V700" s="113"/>
      <c r="W700" s="113"/>
      <c r="X700" s="113"/>
      <c r="Y700" s="113"/>
      <c r="Z700" s="113"/>
    </row>
    <row r="701">
      <c r="A701" s="113"/>
      <c r="B701" s="120"/>
      <c r="C701" s="120"/>
      <c r="D701" s="40"/>
      <c r="E701" s="114"/>
      <c r="F701" s="113"/>
      <c r="G701" s="113"/>
      <c r="H701" s="113"/>
      <c r="I701" s="113"/>
      <c r="J701" s="113"/>
      <c r="K701" s="113"/>
      <c r="L701" s="113"/>
      <c r="M701" s="113"/>
      <c r="N701" s="113"/>
      <c r="O701" s="113"/>
      <c r="P701" s="113"/>
      <c r="Q701" s="113"/>
      <c r="R701" s="113"/>
      <c r="S701" s="113"/>
      <c r="T701" s="113"/>
      <c r="U701" s="113"/>
      <c r="V701" s="113"/>
      <c r="W701" s="113"/>
      <c r="X701" s="113"/>
      <c r="Y701" s="113"/>
      <c r="Z701" s="113"/>
    </row>
    <row r="702">
      <c r="A702" s="113"/>
      <c r="B702" s="120"/>
      <c r="C702" s="120"/>
      <c r="D702" s="40"/>
      <c r="E702" s="114"/>
      <c r="F702" s="113"/>
      <c r="G702" s="113"/>
      <c r="H702" s="113"/>
      <c r="I702" s="113"/>
      <c r="J702" s="113"/>
      <c r="K702" s="113"/>
      <c r="L702" s="113"/>
      <c r="M702" s="113"/>
      <c r="N702" s="113"/>
      <c r="O702" s="113"/>
      <c r="P702" s="113"/>
      <c r="Q702" s="113"/>
      <c r="R702" s="113"/>
      <c r="S702" s="113"/>
      <c r="T702" s="113"/>
      <c r="U702" s="113"/>
      <c r="V702" s="113"/>
      <c r="W702" s="113"/>
      <c r="X702" s="113"/>
      <c r="Y702" s="113"/>
      <c r="Z702" s="113"/>
    </row>
    <row r="703">
      <c r="A703" s="113"/>
      <c r="B703" s="120"/>
      <c r="C703" s="120"/>
      <c r="D703" s="40"/>
      <c r="E703" s="114"/>
      <c r="F703" s="113"/>
      <c r="G703" s="113"/>
      <c r="H703" s="113"/>
      <c r="I703" s="113"/>
      <c r="J703" s="113"/>
      <c r="K703" s="113"/>
      <c r="L703" s="113"/>
      <c r="M703" s="113"/>
      <c r="N703" s="113"/>
      <c r="O703" s="113"/>
      <c r="P703" s="113"/>
      <c r="Q703" s="113"/>
      <c r="R703" s="113"/>
      <c r="S703" s="113"/>
      <c r="T703" s="113"/>
      <c r="U703" s="113"/>
      <c r="V703" s="113"/>
      <c r="W703" s="113"/>
      <c r="X703" s="113"/>
      <c r="Y703" s="113"/>
      <c r="Z703" s="113"/>
    </row>
    <row r="704">
      <c r="A704" s="113"/>
      <c r="B704" s="120"/>
      <c r="C704" s="120"/>
      <c r="D704" s="40"/>
      <c r="E704" s="114"/>
      <c r="F704" s="113"/>
      <c r="G704" s="113"/>
      <c r="H704" s="113"/>
      <c r="I704" s="113"/>
      <c r="J704" s="113"/>
      <c r="K704" s="113"/>
      <c r="L704" s="113"/>
      <c r="M704" s="113"/>
      <c r="N704" s="113"/>
      <c r="O704" s="113"/>
      <c r="P704" s="113"/>
      <c r="Q704" s="113"/>
      <c r="R704" s="113"/>
      <c r="S704" s="113"/>
      <c r="T704" s="113"/>
      <c r="U704" s="113"/>
      <c r="V704" s="113"/>
      <c r="W704" s="113"/>
      <c r="X704" s="113"/>
      <c r="Y704" s="113"/>
      <c r="Z704" s="113"/>
    </row>
    <row r="705">
      <c r="A705" s="113"/>
      <c r="B705" s="120"/>
      <c r="C705" s="120"/>
      <c r="D705" s="40"/>
      <c r="E705" s="114"/>
      <c r="F705" s="113"/>
      <c r="G705" s="113"/>
      <c r="H705" s="113"/>
      <c r="I705" s="113"/>
      <c r="J705" s="113"/>
      <c r="K705" s="113"/>
      <c r="L705" s="113"/>
      <c r="M705" s="113"/>
      <c r="N705" s="113"/>
      <c r="O705" s="113"/>
      <c r="P705" s="113"/>
      <c r="Q705" s="113"/>
      <c r="R705" s="113"/>
      <c r="S705" s="113"/>
      <c r="T705" s="113"/>
      <c r="U705" s="113"/>
      <c r="V705" s="113"/>
      <c r="W705" s="113"/>
      <c r="X705" s="113"/>
      <c r="Y705" s="113"/>
      <c r="Z705" s="113"/>
    </row>
    <row r="706">
      <c r="A706" s="113"/>
      <c r="B706" s="120"/>
      <c r="C706" s="120"/>
      <c r="D706" s="40"/>
      <c r="E706" s="114"/>
      <c r="F706" s="113"/>
      <c r="G706" s="113"/>
      <c r="H706" s="113"/>
      <c r="I706" s="113"/>
      <c r="J706" s="113"/>
      <c r="K706" s="113"/>
      <c r="L706" s="113"/>
      <c r="M706" s="113"/>
      <c r="N706" s="113"/>
      <c r="O706" s="113"/>
      <c r="P706" s="113"/>
      <c r="Q706" s="113"/>
      <c r="R706" s="113"/>
      <c r="S706" s="113"/>
      <c r="T706" s="113"/>
      <c r="U706" s="113"/>
      <c r="V706" s="113"/>
      <c r="W706" s="113"/>
      <c r="X706" s="113"/>
      <c r="Y706" s="113"/>
      <c r="Z706" s="113"/>
    </row>
    <row r="707">
      <c r="A707" s="113"/>
      <c r="B707" s="120"/>
      <c r="C707" s="120"/>
      <c r="D707" s="40"/>
      <c r="E707" s="114"/>
      <c r="F707" s="113"/>
      <c r="G707" s="113"/>
      <c r="H707" s="113"/>
      <c r="I707" s="113"/>
      <c r="J707" s="113"/>
      <c r="K707" s="113"/>
      <c r="L707" s="113"/>
      <c r="M707" s="113"/>
      <c r="N707" s="113"/>
      <c r="O707" s="113"/>
      <c r="P707" s="113"/>
      <c r="Q707" s="113"/>
      <c r="R707" s="113"/>
      <c r="S707" s="113"/>
      <c r="T707" s="113"/>
      <c r="U707" s="113"/>
      <c r="V707" s="113"/>
      <c r="W707" s="113"/>
      <c r="X707" s="113"/>
      <c r="Y707" s="113"/>
      <c r="Z707" s="113"/>
    </row>
    <row r="708">
      <c r="A708" s="113"/>
      <c r="B708" s="120"/>
      <c r="C708" s="120"/>
      <c r="D708" s="40"/>
      <c r="E708" s="114"/>
      <c r="F708" s="113"/>
      <c r="G708" s="113"/>
      <c r="H708" s="113"/>
      <c r="I708" s="113"/>
      <c r="J708" s="113"/>
      <c r="K708" s="113"/>
      <c r="L708" s="113"/>
      <c r="M708" s="113"/>
      <c r="N708" s="113"/>
      <c r="O708" s="113"/>
      <c r="P708" s="113"/>
      <c r="Q708" s="113"/>
      <c r="R708" s="113"/>
      <c r="S708" s="113"/>
      <c r="T708" s="113"/>
      <c r="U708" s="113"/>
      <c r="V708" s="113"/>
      <c r="W708" s="113"/>
      <c r="X708" s="113"/>
      <c r="Y708" s="113"/>
      <c r="Z708" s="113"/>
    </row>
    <row r="709">
      <c r="A709" s="113"/>
      <c r="B709" s="120"/>
      <c r="C709" s="120"/>
      <c r="D709" s="40"/>
      <c r="E709" s="114"/>
      <c r="F709" s="113"/>
      <c r="G709" s="113"/>
      <c r="H709" s="113"/>
      <c r="I709" s="113"/>
      <c r="J709" s="113"/>
      <c r="K709" s="113"/>
      <c r="L709" s="113"/>
      <c r="M709" s="113"/>
      <c r="N709" s="113"/>
      <c r="O709" s="113"/>
      <c r="P709" s="113"/>
      <c r="Q709" s="113"/>
      <c r="R709" s="113"/>
      <c r="S709" s="113"/>
      <c r="T709" s="113"/>
      <c r="U709" s="113"/>
      <c r="V709" s="113"/>
      <c r="W709" s="113"/>
      <c r="X709" s="113"/>
      <c r="Y709" s="113"/>
      <c r="Z709" s="113"/>
    </row>
    <row r="710">
      <c r="A710" s="113"/>
      <c r="B710" s="120"/>
      <c r="C710" s="120"/>
      <c r="D710" s="40"/>
      <c r="E710" s="114"/>
      <c r="F710" s="113"/>
      <c r="G710" s="113"/>
      <c r="H710" s="113"/>
      <c r="I710" s="113"/>
      <c r="J710" s="113"/>
      <c r="K710" s="113"/>
      <c r="L710" s="113"/>
      <c r="M710" s="113"/>
      <c r="N710" s="113"/>
      <c r="O710" s="113"/>
      <c r="P710" s="113"/>
      <c r="Q710" s="113"/>
      <c r="R710" s="113"/>
      <c r="S710" s="113"/>
      <c r="T710" s="113"/>
      <c r="U710" s="113"/>
      <c r="V710" s="113"/>
      <c r="W710" s="113"/>
      <c r="X710" s="113"/>
      <c r="Y710" s="113"/>
      <c r="Z710" s="113"/>
    </row>
    <row r="711">
      <c r="A711" s="113"/>
      <c r="B711" s="120"/>
      <c r="C711" s="120"/>
      <c r="D711" s="40"/>
      <c r="E711" s="114"/>
      <c r="F711" s="113"/>
      <c r="G711" s="113"/>
      <c r="H711" s="113"/>
      <c r="I711" s="113"/>
      <c r="J711" s="113"/>
      <c r="K711" s="113"/>
      <c r="L711" s="113"/>
      <c r="M711" s="113"/>
      <c r="N711" s="113"/>
      <c r="O711" s="113"/>
      <c r="P711" s="113"/>
      <c r="Q711" s="113"/>
      <c r="R711" s="113"/>
      <c r="S711" s="113"/>
      <c r="T711" s="113"/>
      <c r="U711" s="113"/>
      <c r="V711" s="113"/>
      <c r="W711" s="113"/>
      <c r="X711" s="113"/>
      <c r="Y711" s="113"/>
      <c r="Z711" s="113"/>
    </row>
    <row r="712">
      <c r="A712" s="113"/>
      <c r="B712" s="120"/>
      <c r="C712" s="120"/>
      <c r="D712" s="40"/>
      <c r="E712" s="114"/>
      <c r="F712" s="113"/>
      <c r="G712" s="113"/>
      <c r="H712" s="113"/>
      <c r="I712" s="113"/>
      <c r="J712" s="113"/>
      <c r="K712" s="113"/>
      <c r="L712" s="113"/>
      <c r="M712" s="113"/>
      <c r="N712" s="113"/>
      <c r="O712" s="113"/>
      <c r="P712" s="113"/>
      <c r="Q712" s="113"/>
      <c r="R712" s="113"/>
      <c r="S712" s="113"/>
      <c r="T712" s="113"/>
      <c r="U712" s="113"/>
      <c r="V712" s="113"/>
      <c r="W712" s="113"/>
      <c r="X712" s="113"/>
      <c r="Y712" s="113"/>
      <c r="Z712" s="113"/>
    </row>
    <row r="713">
      <c r="A713" s="113"/>
      <c r="B713" s="120"/>
      <c r="C713" s="120"/>
      <c r="D713" s="40"/>
      <c r="E713" s="114"/>
      <c r="F713" s="113"/>
      <c r="G713" s="113"/>
      <c r="H713" s="113"/>
      <c r="I713" s="113"/>
      <c r="J713" s="113"/>
      <c r="K713" s="113"/>
      <c r="L713" s="113"/>
      <c r="M713" s="113"/>
      <c r="N713" s="113"/>
      <c r="O713" s="113"/>
      <c r="P713" s="113"/>
      <c r="Q713" s="113"/>
      <c r="R713" s="113"/>
      <c r="S713" s="113"/>
      <c r="T713" s="113"/>
      <c r="U713" s="113"/>
      <c r="V713" s="113"/>
      <c r="W713" s="113"/>
      <c r="X713" s="113"/>
      <c r="Y713" s="113"/>
      <c r="Z713" s="113"/>
    </row>
    <row r="714">
      <c r="A714" s="113"/>
      <c r="B714" s="120"/>
      <c r="C714" s="120"/>
      <c r="D714" s="40"/>
      <c r="E714" s="114"/>
      <c r="F714" s="113"/>
      <c r="G714" s="113"/>
      <c r="H714" s="113"/>
      <c r="I714" s="113"/>
      <c r="J714" s="113"/>
      <c r="K714" s="113"/>
      <c r="L714" s="113"/>
      <c r="M714" s="113"/>
      <c r="N714" s="113"/>
      <c r="O714" s="113"/>
      <c r="P714" s="113"/>
      <c r="Q714" s="113"/>
      <c r="R714" s="113"/>
      <c r="S714" s="113"/>
      <c r="T714" s="113"/>
      <c r="U714" s="113"/>
      <c r="V714" s="113"/>
      <c r="W714" s="113"/>
      <c r="X714" s="113"/>
      <c r="Y714" s="113"/>
      <c r="Z714" s="113"/>
    </row>
    <row r="715">
      <c r="A715" s="113"/>
      <c r="B715" s="120"/>
      <c r="C715" s="120"/>
      <c r="D715" s="40"/>
      <c r="E715" s="114"/>
      <c r="F715" s="113"/>
      <c r="G715" s="113"/>
      <c r="H715" s="113"/>
      <c r="I715" s="113"/>
      <c r="J715" s="113"/>
      <c r="K715" s="113"/>
      <c r="L715" s="113"/>
      <c r="M715" s="113"/>
      <c r="N715" s="113"/>
      <c r="O715" s="113"/>
      <c r="P715" s="113"/>
      <c r="Q715" s="113"/>
      <c r="R715" s="113"/>
      <c r="S715" s="113"/>
      <c r="T715" s="113"/>
      <c r="U715" s="113"/>
      <c r="V715" s="113"/>
      <c r="W715" s="113"/>
      <c r="X715" s="113"/>
      <c r="Y715" s="113"/>
      <c r="Z715" s="113"/>
    </row>
    <row r="716">
      <c r="A716" s="113"/>
      <c r="B716" s="120"/>
      <c r="C716" s="120"/>
      <c r="D716" s="40"/>
      <c r="E716" s="114"/>
      <c r="F716" s="113"/>
      <c r="G716" s="113"/>
      <c r="H716" s="113"/>
      <c r="I716" s="113"/>
      <c r="J716" s="113"/>
      <c r="K716" s="113"/>
      <c r="L716" s="113"/>
      <c r="M716" s="113"/>
      <c r="N716" s="113"/>
      <c r="O716" s="113"/>
      <c r="P716" s="113"/>
      <c r="Q716" s="113"/>
      <c r="R716" s="113"/>
      <c r="S716" s="113"/>
      <c r="T716" s="113"/>
      <c r="U716" s="113"/>
      <c r="V716" s="113"/>
      <c r="W716" s="113"/>
      <c r="X716" s="113"/>
      <c r="Y716" s="113"/>
      <c r="Z716" s="113"/>
    </row>
    <row r="717">
      <c r="A717" s="113"/>
      <c r="B717" s="120"/>
      <c r="C717" s="120"/>
      <c r="D717" s="40"/>
      <c r="E717" s="114"/>
      <c r="F717" s="113"/>
      <c r="G717" s="113"/>
      <c r="H717" s="113"/>
      <c r="I717" s="113"/>
      <c r="J717" s="113"/>
      <c r="K717" s="113"/>
      <c r="L717" s="113"/>
      <c r="M717" s="113"/>
      <c r="N717" s="113"/>
      <c r="O717" s="113"/>
      <c r="P717" s="113"/>
      <c r="Q717" s="113"/>
      <c r="R717" s="113"/>
      <c r="S717" s="113"/>
      <c r="T717" s="113"/>
      <c r="U717" s="113"/>
      <c r="V717" s="113"/>
      <c r="W717" s="113"/>
      <c r="X717" s="113"/>
      <c r="Y717" s="113"/>
      <c r="Z717" s="113"/>
    </row>
    <row r="718">
      <c r="A718" s="113"/>
      <c r="B718" s="120"/>
      <c r="C718" s="120"/>
      <c r="D718" s="40"/>
      <c r="E718" s="114"/>
      <c r="F718" s="113"/>
      <c r="G718" s="113"/>
      <c r="H718" s="113"/>
      <c r="I718" s="113"/>
      <c r="J718" s="113"/>
      <c r="K718" s="113"/>
      <c r="L718" s="113"/>
      <c r="M718" s="113"/>
      <c r="N718" s="113"/>
      <c r="O718" s="113"/>
      <c r="P718" s="113"/>
      <c r="Q718" s="113"/>
      <c r="R718" s="113"/>
      <c r="S718" s="113"/>
      <c r="T718" s="113"/>
      <c r="U718" s="113"/>
      <c r="V718" s="113"/>
      <c r="W718" s="113"/>
      <c r="X718" s="113"/>
      <c r="Y718" s="113"/>
      <c r="Z718" s="113"/>
    </row>
    <row r="719">
      <c r="A719" s="113"/>
      <c r="B719" s="120"/>
      <c r="C719" s="120"/>
      <c r="D719" s="40"/>
      <c r="E719" s="114"/>
      <c r="F719" s="113"/>
      <c r="G719" s="113"/>
      <c r="H719" s="113"/>
      <c r="I719" s="113"/>
      <c r="J719" s="113"/>
      <c r="K719" s="113"/>
      <c r="L719" s="113"/>
      <c r="M719" s="113"/>
      <c r="N719" s="113"/>
      <c r="O719" s="113"/>
      <c r="P719" s="113"/>
      <c r="Q719" s="113"/>
      <c r="R719" s="113"/>
      <c r="S719" s="113"/>
      <c r="T719" s="113"/>
      <c r="U719" s="113"/>
      <c r="V719" s="113"/>
      <c r="W719" s="113"/>
      <c r="X719" s="113"/>
      <c r="Y719" s="113"/>
      <c r="Z719" s="113"/>
    </row>
    <row r="720">
      <c r="A720" s="113"/>
      <c r="B720" s="120"/>
      <c r="C720" s="120"/>
      <c r="D720" s="40"/>
      <c r="E720" s="114"/>
      <c r="F720" s="113"/>
      <c r="G720" s="113"/>
      <c r="H720" s="113"/>
      <c r="I720" s="113"/>
      <c r="J720" s="113"/>
      <c r="K720" s="113"/>
      <c r="L720" s="113"/>
      <c r="M720" s="113"/>
      <c r="N720" s="113"/>
      <c r="O720" s="113"/>
      <c r="P720" s="113"/>
      <c r="Q720" s="113"/>
      <c r="R720" s="113"/>
      <c r="S720" s="113"/>
      <c r="T720" s="113"/>
      <c r="U720" s="113"/>
      <c r="V720" s="113"/>
      <c r="W720" s="113"/>
      <c r="X720" s="113"/>
      <c r="Y720" s="113"/>
      <c r="Z720" s="113"/>
    </row>
    <row r="721">
      <c r="A721" s="113"/>
      <c r="B721" s="120"/>
      <c r="C721" s="120"/>
      <c r="D721" s="40"/>
      <c r="E721" s="114"/>
      <c r="F721" s="113"/>
      <c r="G721" s="113"/>
      <c r="H721" s="113"/>
      <c r="I721" s="113"/>
      <c r="J721" s="113"/>
      <c r="K721" s="113"/>
      <c r="L721" s="113"/>
      <c r="M721" s="113"/>
      <c r="N721" s="113"/>
      <c r="O721" s="113"/>
      <c r="P721" s="113"/>
      <c r="Q721" s="113"/>
      <c r="R721" s="113"/>
      <c r="S721" s="113"/>
      <c r="T721" s="113"/>
      <c r="U721" s="113"/>
      <c r="V721" s="113"/>
      <c r="W721" s="113"/>
      <c r="X721" s="113"/>
      <c r="Y721" s="113"/>
      <c r="Z721" s="113"/>
    </row>
    <row r="722">
      <c r="A722" s="113"/>
      <c r="B722" s="120"/>
      <c r="C722" s="120"/>
      <c r="D722" s="40"/>
      <c r="E722" s="114"/>
      <c r="F722" s="113"/>
      <c r="G722" s="113"/>
      <c r="H722" s="113"/>
      <c r="I722" s="113"/>
      <c r="J722" s="113"/>
      <c r="K722" s="113"/>
      <c r="L722" s="113"/>
      <c r="M722" s="113"/>
      <c r="N722" s="113"/>
      <c r="O722" s="113"/>
      <c r="P722" s="113"/>
      <c r="Q722" s="113"/>
      <c r="R722" s="113"/>
      <c r="S722" s="113"/>
      <c r="T722" s="113"/>
      <c r="U722" s="113"/>
      <c r="V722" s="113"/>
      <c r="W722" s="113"/>
      <c r="X722" s="113"/>
      <c r="Y722" s="113"/>
      <c r="Z722" s="113"/>
    </row>
    <row r="723">
      <c r="A723" s="113"/>
      <c r="B723" s="120"/>
      <c r="C723" s="120"/>
      <c r="D723" s="40"/>
      <c r="E723" s="114"/>
      <c r="F723" s="113"/>
      <c r="G723" s="113"/>
      <c r="H723" s="113"/>
      <c r="I723" s="113"/>
      <c r="J723" s="113"/>
      <c r="K723" s="113"/>
      <c r="L723" s="113"/>
      <c r="M723" s="113"/>
      <c r="N723" s="113"/>
      <c r="O723" s="113"/>
      <c r="P723" s="113"/>
      <c r="Q723" s="113"/>
      <c r="R723" s="113"/>
      <c r="S723" s="113"/>
      <c r="T723" s="113"/>
      <c r="U723" s="113"/>
      <c r="V723" s="113"/>
      <c r="W723" s="113"/>
      <c r="X723" s="113"/>
      <c r="Y723" s="113"/>
      <c r="Z723" s="113"/>
    </row>
    <row r="724">
      <c r="A724" s="113"/>
      <c r="B724" s="120"/>
      <c r="C724" s="120"/>
      <c r="D724" s="40"/>
      <c r="E724" s="114"/>
      <c r="F724" s="113"/>
      <c r="G724" s="113"/>
      <c r="H724" s="113"/>
      <c r="I724" s="113"/>
      <c r="J724" s="113"/>
      <c r="K724" s="113"/>
      <c r="L724" s="113"/>
      <c r="M724" s="113"/>
      <c r="N724" s="113"/>
      <c r="O724" s="113"/>
      <c r="P724" s="113"/>
      <c r="Q724" s="113"/>
      <c r="R724" s="113"/>
      <c r="S724" s="113"/>
      <c r="T724" s="113"/>
      <c r="U724" s="113"/>
      <c r="V724" s="113"/>
      <c r="W724" s="113"/>
      <c r="X724" s="113"/>
      <c r="Y724" s="113"/>
      <c r="Z724" s="113"/>
    </row>
    <row r="725">
      <c r="A725" s="113"/>
      <c r="B725" s="120"/>
      <c r="C725" s="120"/>
      <c r="D725" s="40"/>
      <c r="E725" s="114"/>
      <c r="F725" s="113"/>
      <c r="G725" s="113"/>
      <c r="H725" s="113"/>
      <c r="I725" s="113"/>
      <c r="J725" s="113"/>
      <c r="K725" s="113"/>
      <c r="L725" s="113"/>
      <c r="M725" s="113"/>
      <c r="N725" s="113"/>
      <c r="O725" s="113"/>
      <c r="P725" s="113"/>
      <c r="Q725" s="113"/>
      <c r="R725" s="113"/>
      <c r="S725" s="113"/>
      <c r="T725" s="113"/>
      <c r="U725" s="113"/>
      <c r="V725" s="113"/>
      <c r="W725" s="113"/>
      <c r="X725" s="113"/>
      <c r="Y725" s="113"/>
      <c r="Z725" s="113"/>
    </row>
    <row r="726">
      <c r="A726" s="113"/>
      <c r="B726" s="120"/>
      <c r="C726" s="120"/>
      <c r="D726" s="40"/>
      <c r="E726" s="114"/>
      <c r="F726" s="113"/>
      <c r="G726" s="113"/>
      <c r="H726" s="113"/>
      <c r="I726" s="113"/>
      <c r="J726" s="113"/>
      <c r="K726" s="113"/>
      <c r="L726" s="113"/>
      <c r="M726" s="113"/>
      <c r="N726" s="113"/>
      <c r="O726" s="113"/>
      <c r="P726" s="113"/>
      <c r="Q726" s="113"/>
      <c r="R726" s="113"/>
      <c r="S726" s="113"/>
      <c r="T726" s="113"/>
      <c r="U726" s="113"/>
      <c r="V726" s="113"/>
      <c r="W726" s="113"/>
      <c r="X726" s="113"/>
      <c r="Y726" s="113"/>
      <c r="Z726" s="113"/>
    </row>
    <row r="727">
      <c r="A727" s="113"/>
      <c r="B727" s="120"/>
      <c r="C727" s="120"/>
      <c r="D727" s="40"/>
      <c r="E727" s="114"/>
      <c r="F727" s="113"/>
      <c r="G727" s="113"/>
      <c r="H727" s="113"/>
      <c r="I727" s="113"/>
      <c r="J727" s="113"/>
      <c r="K727" s="113"/>
      <c r="L727" s="113"/>
      <c r="M727" s="113"/>
      <c r="N727" s="113"/>
      <c r="O727" s="113"/>
      <c r="P727" s="113"/>
      <c r="Q727" s="113"/>
      <c r="R727" s="113"/>
      <c r="S727" s="113"/>
      <c r="T727" s="113"/>
      <c r="U727" s="113"/>
      <c r="V727" s="113"/>
      <c r="W727" s="113"/>
      <c r="X727" s="113"/>
      <c r="Y727" s="113"/>
      <c r="Z727" s="113"/>
    </row>
    <row r="728">
      <c r="A728" s="113"/>
      <c r="B728" s="120"/>
      <c r="C728" s="120"/>
      <c r="D728" s="40"/>
      <c r="E728" s="114"/>
      <c r="F728" s="113"/>
      <c r="G728" s="113"/>
      <c r="H728" s="113"/>
      <c r="I728" s="113"/>
      <c r="J728" s="113"/>
      <c r="K728" s="113"/>
      <c r="L728" s="113"/>
      <c r="M728" s="113"/>
      <c r="N728" s="113"/>
      <c r="O728" s="113"/>
      <c r="P728" s="113"/>
      <c r="Q728" s="113"/>
      <c r="R728" s="113"/>
      <c r="S728" s="113"/>
      <c r="T728" s="113"/>
      <c r="U728" s="113"/>
      <c r="V728" s="113"/>
      <c r="W728" s="113"/>
      <c r="X728" s="113"/>
      <c r="Y728" s="113"/>
      <c r="Z728" s="113"/>
    </row>
    <row r="729">
      <c r="A729" s="113"/>
      <c r="B729" s="120"/>
      <c r="C729" s="120"/>
      <c r="D729" s="40"/>
      <c r="E729" s="114"/>
      <c r="F729" s="113"/>
      <c r="G729" s="113"/>
      <c r="H729" s="113"/>
      <c r="I729" s="113"/>
      <c r="J729" s="113"/>
      <c r="K729" s="113"/>
      <c r="L729" s="113"/>
      <c r="M729" s="113"/>
      <c r="N729" s="113"/>
      <c r="O729" s="113"/>
      <c r="P729" s="113"/>
      <c r="Q729" s="113"/>
      <c r="R729" s="113"/>
      <c r="S729" s="113"/>
      <c r="T729" s="113"/>
      <c r="U729" s="113"/>
      <c r="V729" s="113"/>
      <c r="W729" s="113"/>
      <c r="X729" s="113"/>
      <c r="Y729" s="113"/>
      <c r="Z729" s="113"/>
    </row>
    <row r="730">
      <c r="A730" s="113"/>
      <c r="B730" s="120"/>
      <c r="C730" s="120"/>
      <c r="D730" s="40"/>
      <c r="E730" s="114"/>
      <c r="F730" s="113"/>
      <c r="G730" s="113"/>
      <c r="H730" s="113"/>
      <c r="I730" s="113"/>
      <c r="J730" s="113"/>
      <c r="K730" s="113"/>
      <c r="L730" s="113"/>
      <c r="M730" s="113"/>
      <c r="N730" s="113"/>
      <c r="O730" s="113"/>
      <c r="P730" s="113"/>
      <c r="Q730" s="113"/>
      <c r="R730" s="113"/>
      <c r="S730" s="113"/>
      <c r="T730" s="113"/>
      <c r="U730" s="113"/>
      <c r="V730" s="113"/>
      <c r="W730" s="113"/>
      <c r="X730" s="113"/>
      <c r="Y730" s="113"/>
      <c r="Z730" s="113"/>
    </row>
    <row r="731">
      <c r="A731" s="113"/>
      <c r="B731" s="120"/>
      <c r="C731" s="120"/>
      <c r="D731" s="40"/>
      <c r="E731" s="114"/>
      <c r="F731" s="113"/>
      <c r="G731" s="113"/>
      <c r="H731" s="113"/>
      <c r="I731" s="113"/>
      <c r="J731" s="113"/>
      <c r="K731" s="113"/>
      <c r="L731" s="113"/>
      <c r="M731" s="113"/>
      <c r="N731" s="113"/>
      <c r="O731" s="113"/>
      <c r="P731" s="113"/>
      <c r="Q731" s="113"/>
      <c r="R731" s="113"/>
      <c r="S731" s="113"/>
      <c r="T731" s="113"/>
      <c r="U731" s="113"/>
      <c r="V731" s="113"/>
      <c r="W731" s="113"/>
      <c r="X731" s="113"/>
      <c r="Y731" s="113"/>
      <c r="Z731" s="113"/>
    </row>
    <row r="732">
      <c r="A732" s="113"/>
      <c r="B732" s="120"/>
      <c r="C732" s="120"/>
      <c r="D732" s="40"/>
      <c r="E732" s="114"/>
      <c r="F732" s="113"/>
      <c r="G732" s="113"/>
      <c r="H732" s="113"/>
      <c r="I732" s="113"/>
      <c r="J732" s="113"/>
      <c r="K732" s="113"/>
      <c r="L732" s="113"/>
      <c r="M732" s="113"/>
      <c r="N732" s="113"/>
      <c r="O732" s="113"/>
      <c r="P732" s="113"/>
      <c r="Q732" s="113"/>
      <c r="R732" s="113"/>
      <c r="S732" s="113"/>
      <c r="T732" s="113"/>
      <c r="U732" s="113"/>
      <c r="V732" s="113"/>
      <c r="W732" s="113"/>
      <c r="X732" s="113"/>
      <c r="Y732" s="113"/>
      <c r="Z732" s="113"/>
    </row>
    <row r="733">
      <c r="A733" s="113"/>
      <c r="B733" s="120"/>
      <c r="C733" s="120"/>
      <c r="D733" s="40"/>
      <c r="E733" s="114"/>
      <c r="F733" s="113"/>
      <c r="G733" s="113"/>
      <c r="H733" s="113"/>
      <c r="I733" s="113"/>
      <c r="J733" s="113"/>
      <c r="K733" s="113"/>
      <c r="L733" s="113"/>
      <c r="M733" s="113"/>
      <c r="N733" s="113"/>
      <c r="O733" s="113"/>
      <c r="P733" s="113"/>
      <c r="Q733" s="113"/>
      <c r="R733" s="113"/>
      <c r="S733" s="113"/>
      <c r="T733" s="113"/>
      <c r="U733" s="113"/>
      <c r="V733" s="113"/>
      <c r="W733" s="113"/>
      <c r="X733" s="113"/>
      <c r="Y733" s="113"/>
      <c r="Z733" s="113"/>
    </row>
    <row r="734">
      <c r="A734" s="113"/>
      <c r="B734" s="120"/>
      <c r="C734" s="120"/>
      <c r="D734" s="40"/>
      <c r="E734" s="114"/>
      <c r="F734" s="113"/>
      <c r="G734" s="113"/>
      <c r="H734" s="113"/>
      <c r="I734" s="113"/>
      <c r="J734" s="113"/>
      <c r="K734" s="113"/>
      <c r="L734" s="113"/>
      <c r="M734" s="113"/>
      <c r="N734" s="113"/>
      <c r="O734" s="113"/>
      <c r="P734" s="113"/>
      <c r="Q734" s="113"/>
      <c r="R734" s="113"/>
      <c r="S734" s="113"/>
      <c r="T734" s="113"/>
      <c r="U734" s="113"/>
      <c r="V734" s="113"/>
      <c r="W734" s="113"/>
      <c r="X734" s="113"/>
      <c r="Y734" s="113"/>
      <c r="Z734" s="113"/>
    </row>
    <row r="735">
      <c r="A735" s="113"/>
      <c r="B735" s="120"/>
      <c r="C735" s="120"/>
      <c r="D735" s="40"/>
      <c r="E735" s="114"/>
      <c r="F735" s="113"/>
      <c r="G735" s="113"/>
      <c r="H735" s="113"/>
      <c r="I735" s="113"/>
      <c r="J735" s="113"/>
      <c r="K735" s="113"/>
      <c r="L735" s="113"/>
      <c r="M735" s="113"/>
      <c r="N735" s="113"/>
      <c r="O735" s="113"/>
      <c r="P735" s="113"/>
      <c r="Q735" s="113"/>
      <c r="R735" s="113"/>
      <c r="S735" s="113"/>
      <c r="T735" s="113"/>
      <c r="U735" s="113"/>
      <c r="V735" s="113"/>
      <c r="W735" s="113"/>
      <c r="X735" s="113"/>
      <c r="Y735" s="113"/>
      <c r="Z735" s="113"/>
    </row>
    <row r="736">
      <c r="A736" s="113"/>
      <c r="B736" s="120"/>
      <c r="C736" s="120"/>
      <c r="D736" s="40"/>
      <c r="E736" s="114"/>
      <c r="F736" s="113"/>
      <c r="G736" s="113"/>
      <c r="H736" s="113"/>
      <c r="I736" s="113"/>
      <c r="J736" s="113"/>
      <c r="K736" s="113"/>
      <c r="L736" s="113"/>
      <c r="M736" s="113"/>
      <c r="N736" s="113"/>
      <c r="O736" s="113"/>
      <c r="P736" s="113"/>
      <c r="Q736" s="113"/>
      <c r="R736" s="113"/>
      <c r="S736" s="113"/>
      <c r="T736" s="113"/>
      <c r="U736" s="113"/>
      <c r="V736" s="113"/>
      <c r="W736" s="113"/>
      <c r="X736" s="113"/>
      <c r="Y736" s="113"/>
      <c r="Z736" s="113"/>
    </row>
    <row r="737">
      <c r="A737" s="113"/>
      <c r="B737" s="120"/>
      <c r="C737" s="120"/>
      <c r="D737" s="40"/>
      <c r="E737" s="114"/>
      <c r="F737" s="113"/>
      <c r="G737" s="113"/>
      <c r="H737" s="113"/>
      <c r="I737" s="113"/>
      <c r="J737" s="113"/>
      <c r="K737" s="113"/>
      <c r="L737" s="113"/>
      <c r="M737" s="113"/>
      <c r="N737" s="113"/>
      <c r="O737" s="113"/>
      <c r="P737" s="113"/>
      <c r="Q737" s="113"/>
      <c r="R737" s="113"/>
      <c r="S737" s="113"/>
      <c r="T737" s="113"/>
      <c r="U737" s="113"/>
      <c r="V737" s="113"/>
      <c r="W737" s="113"/>
      <c r="X737" s="113"/>
      <c r="Y737" s="113"/>
      <c r="Z737" s="113"/>
    </row>
    <row r="738">
      <c r="A738" s="113"/>
      <c r="B738" s="120"/>
      <c r="C738" s="120"/>
      <c r="D738" s="40"/>
      <c r="E738" s="114"/>
      <c r="F738" s="113"/>
      <c r="G738" s="113"/>
      <c r="H738" s="113"/>
      <c r="I738" s="113"/>
      <c r="J738" s="113"/>
      <c r="K738" s="113"/>
      <c r="L738" s="113"/>
      <c r="M738" s="113"/>
      <c r="N738" s="113"/>
      <c r="O738" s="113"/>
      <c r="P738" s="113"/>
      <c r="Q738" s="113"/>
      <c r="R738" s="113"/>
      <c r="S738" s="113"/>
      <c r="T738" s="113"/>
      <c r="U738" s="113"/>
      <c r="V738" s="113"/>
      <c r="W738" s="113"/>
      <c r="X738" s="113"/>
      <c r="Y738" s="113"/>
      <c r="Z738" s="113"/>
    </row>
    <row r="739">
      <c r="A739" s="113"/>
      <c r="B739" s="120"/>
      <c r="C739" s="120"/>
      <c r="D739" s="40"/>
      <c r="E739" s="114"/>
      <c r="F739" s="113"/>
      <c r="G739" s="113"/>
      <c r="H739" s="113"/>
      <c r="I739" s="113"/>
      <c r="J739" s="113"/>
      <c r="K739" s="113"/>
      <c r="L739" s="113"/>
      <c r="M739" s="113"/>
      <c r="N739" s="113"/>
      <c r="O739" s="113"/>
      <c r="P739" s="113"/>
      <c r="Q739" s="113"/>
      <c r="R739" s="113"/>
      <c r="S739" s="113"/>
      <c r="T739" s="113"/>
      <c r="U739" s="113"/>
      <c r="V739" s="113"/>
      <c r="W739" s="113"/>
      <c r="X739" s="113"/>
      <c r="Y739" s="113"/>
      <c r="Z739" s="113"/>
    </row>
    <row r="740">
      <c r="A740" s="113"/>
      <c r="B740" s="120"/>
      <c r="C740" s="120"/>
      <c r="D740" s="40"/>
      <c r="E740" s="114"/>
      <c r="F740" s="113"/>
      <c r="G740" s="113"/>
      <c r="H740" s="113"/>
      <c r="I740" s="113"/>
      <c r="J740" s="113"/>
      <c r="K740" s="113"/>
      <c r="L740" s="113"/>
      <c r="M740" s="113"/>
      <c r="N740" s="113"/>
      <c r="O740" s="113"/>
      <c r="P740" s="113"/>
      <c r="Q740" s="113"/>
      <c r="R740" s="113"/>
      <c r="S740" s="113"/>
      <c r="T740" s="113"/>
      <c r="U740" s="113"/>
      <c r="V740" s="113"/>
      <c r="W740" s="113"/>
      <c r="X740" s="113"/>
      <c r="Y740" s="113"/>
      <c r="Z740" s="113"/>
    </row>
    <row r="741">
      <c r="A741" s="113"/>
      <c r="B741" s="120"/>
      <c r="C741" s="120"/>
      <c r="D741" s="40"/>
      <c r="E741" s="114"/>
      <c r="F741" s="113"/>
      <c r="G741" s="113"/>
      <c r="H741" s="113"/>
      <c r="I741" s="113"/>
      <c r="J741" s="113"/>
      <c r="K741" s="113"/>
      <c r="L741" s="113"/>
      <c r="M741" s="113"/>
      <c r="N741" s="113"/>
      <c r="O741" s="113"/>
      <c r="P741" s="113"/>
      <c r="Q741" s="113"/>
      <c r="R741" s="113"/>
      <c r="S741" s="113"/>
      <c r="T741" s="113"/>
      <c r="U741" s="113"/>
      <c r="V741" s="113"/>
      <c r="W741" s="113"/>
      <c r="X741" s="113"/>
      <c r="Y741" s="113"/>
      <c r="Z741" s="113"/>
    </row>
    <row r="742">
      <c r="A742" s="113"/>
      <c r="B742" s="120"/>
      <c r="C742" s="120"/>
      <c r="D742" s="40"/>
      <c r="E742" s="114"/>
      <c r="F742" s="113"/>
      <c r="G742" s="113"/>
      <c r="H742" s="113"/>
      <c r="I742" s="113"/>
      <c r="J742" s="113"/>
      <c r="K742" s="113"/>
      <c r="L742" s="113"/>
      <c r="M742" s="113"/>
      <c r="N742" s="113"/>
      <c r="O742" s="113"/>
      <c r="P742" s="113"/>
      <c r="Q742" s="113"/>
      <c r="R742" s="113"/>
      <c r="S742" s="113"/>
      <c r="T742" s="113"/>
      <c r="U742" s="113"/>
      <c r="V742" s="113"/>
      <c r="W742" s="113"/>
      <c r="X742" s="113"/>
      <c r="Y742" s="113"/>
      <c r="Z742" s="113"/>
    </row>
    <row r="743">
      <c r="A743" s="113"/>
      <c r="B743" s="120"/>
      <c r="C743" s="120"/>
      <c r="D743" s="40"/>
      <c r="E743" s="114"/>
      <c r="F743" s="113"/>
      <c r="G743" s="113"/>
      <c r="H743" s="113"/>
      <c r="I743" s="113"/>
      <c r="J743" s="113"/>
      <c r="K743" s="113"/>
      <c r="L743" s="113"/>
      <c r="M743" s="113"/>
      <c r="N743" s="113"/>
      <c r="O743" s="113"/>
      <c r="P743" s="113"/>
      <c r="Q743" s="113"/>
      <c r="R743" s="113"/>
      <c r="S743" s="113"/>
      <c r="T743" s="113"/>
      <c r="U743" s="113"/>
      <c r="V743" s="113"/>
      <c r="W743" s="113"/>
      <c r="X743" s="113"/>
      <c r="Y743" s="113"/>
      <c r="Z743" s="113"/>
    </row>
    <row r="744">
      <c r="A744" s="113"/>
      <c r="B744" s="120"/>
      <c r="C744" s="120"/>
      <c r="D744" s="40"/>
      <c r="E744" s="114"/>
      <c r="F744" s="113"/>
      <c r="G744" s="113"/>
      <c r="H744" s="113"/>
      <c r="I744" s="113"/>
      <c r="J744" s="113"/>
      <c r="K744" s="113"/>
      <c r="L744" s="113"/>
      <c r="M744" s="113"/>
      <c r="N744" s="113"/>
      <c r="O744" s="113"/>
      <c r="P744" s="113"/>
      <c r="Q744" s="113"/>
      <c r="R744" s="113"/>
      <c r="S744" s="113"/>
      <c r="T744" s="113"/>
      <c r="U744" s="113"/>
      <c r="V744" s="113"/>
      <c r="W744" s="113"/>
      <c r="X744" s="113"/>
      <c r="Y744" s="113"/>
      <c r="Z744" s="113"/>
    </row>
    <row r="745">
      <c r="A745" s="113"/>
      <c r="B745" s="120"/>
      <c r="C745" s="120"/>
      <c r="D745" s="40"/>
      <c r="E745" s="114"/>
      <c r="F745" s="113"/>
      <c r="G745" s="113"/>
      <c r="H745" s="113"/>
      <c r="I745" s="113"/>
      <c r="J745" s="113"/>
      <c r="K745" s="113"/>
      <c r="L745" s="113"/>
      <c r="M745" s="113"/>
      <c r="N745" s="113"/>
      <c r="O745" s="113"/>
      <c r="P745" s="113"/>
      <c r="Q745" s="113"/>
      <c r="R745" s="113"/>
      <c r="S745" s="113"/>
      <c r="T745" s="113"/>
      <c r="U745" s="113"/>
      <c r="V745" s="113"/>
      <c r="W745" s="113"/>
      <c r="X745" s="113"/>
      <c r="Y745" s="113"/>
      <c r="Z745" s="113"/>
    </row>
    <row r="746">
      <c r="A746" s="113"/>
      <c r="B746" s="120"/>
      <c r="C746" s="120"/>
      <c r="D746" s="40"/>
      <c r="E746" s="114"/>
      <c r="F746" s="113"/>
      <c r="G746" s="113"/>
      <c r="H746" s="113"/>
      <c r="I746" s="113"/>
      <c r="J746" s="113"/>
      <c r="K746" s="113"/>
      <c r="L746" s="113"/>
      <c r="M746" s="113"/>
      <c r="N746" s="113"/>
      <c r="O746" s="113"/>
      <c r="P746" s="113"/>
      <c r="Q746" s="113"/>
      <c r="R746" s="113"/>
      <c r="S746" s="113"/>
      <c r="T746" s="113"/>
      <c r="U746" s="113"/>
      <c r="V746" s="113"/>
      <c r="W746" s="113"/>
      <c r="X746" s="113"/>
      <c r="Y746" s="113"/>
      <c r="Z746" s="113"/>
    </row>
    <row r="747">
      <c r="A747" s="113"/>
      <c r="B747" s="120"/>
      <c r="C747" s="120"/>
      <c r="D747" s="40"/>
      <c r="E747" s="114"/>
      <c r="F747" s="113"/>
      <c r="G747" s="113"/>
      <c r="H747" s="113"/>
      <c r="I747" s="113"/>
      <c r="J747" s="113"/>
      <c r="K747" s="113"/>
      <c r="L747" s="113"/>
      <c r="M747" s="113"/>
      <c r="N747" s="113"/>
      <c r="O747" s="113"/>
      <c r="P747" s="113"/>
      <c r="Q747" s="113"/>
      <c r="R747" s="113"/>
      <c r="S747" s="113"/>
      <c r="T747" s="113"/>
      <c r="U747" s="113"/>
      <c r="V747" s="113"/>
      <c r="W747" s="113"/>
      <c r="X747" s="113"/>
      <c r="Y747" s="113"/>
      <c r="Z747" s="113"/>
    </row>
    <row r="748">
      <c r="A748" s="113"/>
      <c r="B748" s="120"/>
      <c r="C748" s="120"/>
      <c r="D748" s="40"/>
      <c r="E748" s="114"/>
      <c r="F748" s="113"/>
      <c r="G748" s="113"/>
      <c r="H748" s="113"/>
      <c r="I748" s="113"/>
      <c r="J748" s="113"/>
      <c r="K748" s="113"/>
      <c r="L748" s="113"/>
      <c r="M748" s="113"/>
      <c r="N748" s="113"/>
      <c r="O748" s="113"/>
      <c r="P748" s="113"/>
      <c r="Q748" s="113"/>
      <c r="R748" s="113"/>
      <c r="S748" s="113"/>
      <c r="T748" s="113"/>
      <c r="U748" s="113"/>
      <c r="V748" s="113"/>
      <c r="W748" s="113"/>
      <c r="X748" s="113"/>
      <c r="Y748" s="113"/>
      <c r="Z748" s="113"/>
    </row>
    <row r="749">
      <c r="A749" s="113"/>
      <c r="B749" s="120"/>
      <c r="C749" s="120"/>
      <c r="D749" s="40"/>
      <c r="E749" s="114"/>
      <c r="F749" s="113"/>
      <c r="G749" s="113"/>
      <c r="H749" s="113"/>
      <c r="I749" s="113"/>
      <c r="J749" s="113"/>
      <c r="K749" s="113"/>
      <c r="L749" s="113"/>
      <c r="M749" s="113"/>
      <c r="N749" s="113"/>
      <c r="O749" s="113"/>
      <c r="P749" s="113"/>
      <c r="Q749" s="113"/>
      <c r="R749" s="113"/>
      <c r="S749" s="113"/>
      <c r="T749" s="113"/>
      <c r="U749" s="113"/>
      <c r="V749" s="113"/>
      <c r="W749" s="113"/>
      <c r="X749" s="113"/>
      <c r="Y749" s="113"/>
      <c r="Z749" s="113"/>
    </row>
    <row r="750">
      <c r="A750" s="113"/>
      <c r="B750" s="120"/>
      <c r="C750" s="120"/>
      <c r="D750" s="40"/>
      <c r="E750" s="114"/>
      <c r="F750" s="113"/>
      <c r="G750" s="113"/>
      <c r="H750" s="113"/>
      <c r="I750" s="113"/>
      <c r="J750" s="113"/>
      <c r="K750" s="113"/>
      <c r="L750" s="113"/>
      <c r="M750" s="113"/>
      <c r="N750" s="113"/>
      <c r="O750" s="113"/>
      <c r="P750" s="113"/>
      <c r="Q750" s="113"/>
      <c r="R750" s="113"/>
      <c r="S750" s="113"/>
      <c r="T750" s="113"/>
      <c r="U750" s="113"/>
      <c r="V750" s="113"/>
      <c r="W750" s="113"/>
      <c r="X750" s="113"/>
      <c r="Y750" s="113"/>
      <c r="Z750" s="113"/>
    </row>
    <row r="751">
      <c r="A751" s="113"/>
      <c r="B751" s="120"/>
      <c r="C751" s="120"/>
      <c r="D751" s="40"/>
      <c r="E751" s="114"/>
      <c r="F751" s="113"/>
      <c r="G751" s="113"/>
      <c r="H751" s="113"/>
      <c r="I751" s="113"/>
      <c r="J751" s="113"/>
      <c r="K751" s="113"/>
      <c r="L751" s="113"/>
      <c r="M751" s="113"/>
      <c r="N751" s="113"/>
      <c r="O751" s="113"/>
      <c r="P751" s="113"/>
      <c r="Q751" s="113"/>
      <c r="R751" s="113"/>
      <c r="S751" s="113"/>
      <c r="T751" s="113"/>
      <c r="U751" s="113"/>
      <c r="V751" s="113"/>
      <c r="W751" s="113"/>
      <c r="X751" s="113"/>
      <c r="Y751" s="113"/>
      <c r="Z751" s="113"/>
    </row>
    <row r="752">
      <c r="A752" s="113"/>
      <c r="B752" s="120"/>
      <c r="C752" s="120"/>
      <c r="D752" s="40"/>
      <c r="E752" s="114"/>
      <c r="F752" s="113"/>
      <c r="G752" s="113"/>
      <c r="H752" s="113"/>
      <c r="I752" s="113"/>
      <c r="J752" s="113"/>
      <c r="K752" s="113"/>
      <c r="L752" s="113"/>
      <c r="M752" s="113"/>
      <c r="N752" s="113"/>
      <c r="O752" s="113"/>
      <c r="P752" s="113"/>
      <c r="Q752" s="113"/>
      <c r="R752" s="113"/>
      <c r="S752" s="113"/>
      <c r="T752" s="113"/>
      <c r="U752" s="113"/>
      <c r="V752" s="113"/>
      <c r="W752" s="113"/>
      <c r="X752" s="113"/>
      <c r="Y752" s="113"/>
      <c r="Z752" s="113"/>
    </row>
    <row r="753">
      <c r="A753" s="113"/>
      <c r="B753" s="120"/>
      <c r="C753" s="120"/>
      <c r="D753" s="40"/>
      <c r="E753" s="114"/>
      <c r="F753" s="113"/>
      <c r="G753" s="113"/>
      <c r="H753" s="113"/>
      <c r="I753" s="113"/>
      <c r="J753" s="113"/>
      <c r="K753" s="113"/>
      <c r="L753" s="113"/>
      <c r="M753" s="113"/>
      <c r="N753" s="113"/>
      <c r="O753" s="113"/>
      <c r="P753" s="113"/>
      <c r="Q753" s="113"/>
      <c r="R753" s="113"/>
      <c r="S753" s="113"/>
      <c r="T753" s="113"/>
      <c r="U753" s="113"/>
      <c r="V753" s="113"/>
      <c r="W753" s="113"/>
      <c r="X753" s="113"/>
      <c r="Y753" s="113"/>
      <c r="Z753" s="113"/>
    </row>
    <row r="754">
      <c r="A754" s="113"/>
      <c r="B754" s="120"/>
      <c r="C754" s="120"/>
      <c r="D754" s="40"/>
      <c r="E754" s="114"/>
      <c r="F754" s="113"/>
      <c r="G754" s="113"/>
      <c r="H754" s="113"/>
      <c r="I754" s="113"/>
      <c r="J754" s="113"/>
      <c r="K754" s="113"/>
      <c r="L754" s="113"/>
      <c r="M754" s="113"/>
      <c r="N754" s="113"/>
      <c r="O754" s="113"/>
      <c r="P754" s="113"/>
      <c r="Q754" s="113"/>
      <c r="R754" s="113"/>
      <c r="S754" s="113"/>
      <c r="T754" s="113"/>
      <c r="U754" s="113"/>
      <c r="V754" s="113"/>
      <c r="W754" s="113"/>
      <c r="X754" s="113"/>
      <c r="Y754" s="113"/>
      <c r="Z754" s="113"/>
    </row>
    <row r="755">
      <c r="A755" s="113"/>
      <c r="B755" s="120"/>
      <c r="C755" s="120"/>
      <c r="D755" s="40"/>
      <c r="E755" s="114"/>
      <c r="F755" s="113"/>
      <c r="G755" s="113"/>
      <c r="H755" s="113"/>
      <c r="I755" s="113"/>
      <c r="J755" s="113"/>
      <c r="K755" s="113"/>
      <c r="L755" s="113"/>
      <c r="M755" s="113"/>
      <c r="N755" s="113"/>
      <c r="O755" s="113"/>
      <c r="P755" s="113"/>
      <c r="Q755" s="113"/>
      <c r="R755" s="113"/>
      <c r="S755" s="113"/>
      <c r="T755" s="113"/>
      <c r="U755" s="113"/>
      <c r="V755" s="113"/>
      <c r="W755" s="113"/>
      <c r="X755" s="113"/>
      <c r="Y755" s="113"/>
      <c r="Z755" s="113"/>
    </row>
    <row r="756">
      <c r="A756" s="113"/>
      <c r="B756" s="120"/>
      <c r="C756" s="120"/>
      <c r="D756" s="40"/>
      <c r="E756" s="114"/>
      <c r="F756" s="113"/>
      <c r="G756" s="113"/>
      <c r="H756" s="113"/>
      <c r="I756" s="113"/>
      <c r="J756" s="113"/>
      <c r="K756" s="113"/>
      <c r="L756" s="113"/>
      <c r="M756" s="113"/>
      <c r="N756" s="113"/>
      <c r="O756" s="113"/>
      <c r="P756" s="113"/>
      <c r="Q756" s="113"/>
      <c r="R756" s="113"/>
      <c r="S756" s="113"/>
      <c r="T756" s="113"/>
      <c r="U756" s="113"/>
      <c r="V756" s="113"/>
      <c r="W756" s="113"/>
      <c r="X756" s="113"/>
      <c r="Y756" s="113"/>
      <c r="Z756" s="113"/>
    </row>
    <row r="757">
      <c r="A757" s="113"/>
      <c r="B757" s="120"/>
      <c r="C757" s="120"/>
      <c r="D757" s="40"/>
      <c r="E757" s="114"/>
      <c r="F757" s="113"/>
      <c r="G757" s="113"/>
      <c r="H757" s="113"/>
      <c r="I757" s="113"/>
      <c r="J757" s="113"/>
      <c r="K757" s="113"/>
      <c r="L757" s="113"/>
      <c r="M757" s="113"/>
      <c r="N757" s="113"/>
      <c r="O757" s="113"/>
      <c r="P757" s="113"/>
      <c r="Q757" s="113"/>
      <c r="R757" s="113"/>
      <c r="S757" s="113"/>
      <c r="T757" s="113"/>
      <c r="U757" s="113"/>
      <c r="V757" s="113"/>
      <c r="W757" s="113"/>
      <c r="X757" s="113"/>
      <c r="Y757" s="113"/>
      <c r="Z757" s="113"/>
    </row>
    <row r="758">
      <c r="A758" s="113"/>
      <c r="B758" s="120"/>
      <c r="C758" s="120"/>
      <c r="D758" s="40"/>
      <c r="E758" s="114"/>
      <c r="F758" s="113"/>
      <c r="G758" s="113"/>
      <c r="H758" s="113"/>
      <c r="I758" s="113"/>
      <c r="J758" s="113"/>
      <c r="K758" s="113"/>
      <c r="L758" s="113"/>
      <c r="M758" s="113"/>
      <c r="N758" s="113"/>
      <c r="O758" s="113"/>
      <c r="P758" s="113"/>
      <c r="Q758" s="113"/>
      <c r="R758" s="113"/>
      <c r="S758" s="113"/>
      <c r="T758" s="113"/>
      <c r="U758" s="113"/>
      <c r="V758" s="113"/>
      <c r="W758" s="113"/>
      <c r="X758" s="113"/>
      <c r="Y758" s="113"/>
      <c r="Z758" s="113"/>
    </row>
    <row r="759">
      <c r="A759" s="113"/>
      <c r="B759" s="120"/>
      <c r="C759" s="120"/>
      <c r="D759" s="40"/>
      <c r="E759" s="114"/>
      <c r="F759" s="113"/>
      <c r="G759" s="113"/>
      <c r="H759" s="113"/>
      <c r="I759" s="113"/>
      <c r="J759" s="113"/>
      <c r="K759" s="113"/>
      <c r="L759" s="113"/>
      <c r="M759" s="113"/>
      <c r="N759" s="113"/>
      <c r="O759" s="113"/>
      <c r="P759" s="113"/>
      <c r="Q759" s="113"/>
      <c r="R759" s="113"/>
      <c r="S759" s="113"/>
      <c r="T759" s="113"/>
      <c r="U759" s="113"/>
      <c r="V759" s="113"/>
      <c r="W759" s="113"/>
      <c r="X759" s="113"/>
      <c r="Y759" s="113"/>
      <c r="Z759" s="113"/>
    </row>
    <row r="760">
      <c r="A760" s="113"/>
      <c r="B760" s="120"/>
      <c r="C760" s="120"/>
      <c r="D760" s="40"/>
      <c r="E760" s="114"/>
      <c r="F760" s="113"/>
      <c r="G760" s="113"/>
      <c r="H760" s="113"/>
      <c r="I760" s="113"/>
      <c r="J760" s="113"/>
      <c r="K760" s="113"/>
      <c r="L760" s="113"/>
      <c r="M760" s="113"/>
      <c r="N760" s="113"/>
      <c r="O760" s="113"/>
      <c r="P760" s="113"/>
      <c r="Q760" s="113"/>
      <c r="R760" s="113"/>
      <c r="S760" s="113"/>
      <c r="T760" s="113"/>
      <c r="U760" s="113"/>
      <c r="V760" s="113"/>
      <c r="W760" s="113"/>
      <c r="X760" s="113"/>
      <c r="Y760" s="113"/>
      <c r="Z760" s="113"/>
    </row>
    <row r="761">
      <c r="A761" s="113"/>
      <c r="B761" s="120"/>
      <c r="C761" s="120"/>
      <c r="D761" s="40"/>
      <c r="E761" s="114"/>
      <c r="F761" s="113"/>
      <c r="G761" s="113"/>
      <c r="H761" s="113"/>
      <c r="I761" s="113"/>
      <c r="J761" s="113"/>
      <c r="K761" s="113"/>
      <c r="L761" s="113"/>
      <c r="M761" s="113"/>
      <c r="N761" s="113"/>
      <c r="O761" s="113"/>
      <c r="P761" s="113"/>
      <c r="Q761" s="113"/>
      <c r="R761" s="113"/>
      <c r="S761" s="113"/>
      <c r="T761" s="113"/>
      <c r="U761" s="113"/>
      <c r="V761" s="113"/>
      <c r="W761" s="113"/>
      <c r="X761" s="113"/>
      <c r="Y761" s="113"/>
      <c r="Z761" s="113"/>
    </row>
    <row r="762">
      <c r="A762" s="113"/>
      <c r="B762" s="120"/>
      <c r="C762" s="120"/>
      <c r="D762" s="40"/>
      <c r="E762" s="114"/>
      <c r="F762" s="113"/>
      <c r="G762" s="113"/>
      <c r="H762" s="113"/>
      <c r="I762" s="113"/>
      <c r="J762" s="113"/>
      <c r="K762" s="113"/>
      <c r="L762" s="113"/>
      <c r="M762" s="113"/>
      <c r="N762" s="113"/>
      <c r="O762" s="113"/>
      <c r="P762" s="113"/>
      <c r="Q762" s="113"/>
      <c r="R762" s="113"/>
      <c r="S762" s="113"/>
      <c r="T762" s="113"/>
      <c r="U762" s="113"/>
      <c r="V762" s="113"/>
      <c r="W762" s="113"/>
      <c r="X762" s="113"/>
      <c r="Y762" s="113"/>
      <c r="Z762" s="113"/>
    </row>
    <row r="763">
      <c r="A763" s="113"/>
      <c r="B763" s="120"/>
      <c r="C763" s="120"/>
      <c r="D763" s="40"/>
      <c r="E763" s="114"/>
      <c r="F763" s="113"/>
      <c r="G763" s="113"/>
      <c r="H763" s="113"/>
      <c r="I763" s="113"/>
      <c r="J763" s="113"/>
      <c r="K763" s="113"/>
      <c r="L763" s="113"/>
      <c r="M763" s="113"/>
      <c r="N763" s="113"/>
      <c r="O763" s="113"/>
      <c r="P763" s="113"/>
      <c r="Q763" s="113"/>
      <c r="R763" s="113"/>
      <c r="S763" s="113"/>
      <c r="T763" s="113"/>
      <c r="U763" s="113"/>
      <c r="V763" s="113"/>
      <c r="W763" s="113"/>
      <c r="X763" s="113"/>
      <c r="Y763" s="113"/>
      <c r="Z763" s="113"/>
    </row>
    <row r="764">
      <c r="A764" s="113"/>
      <c r="B764" s="120"/>
      <c r="C764" s="120"/>
      <c r="D764" s="40"/>
      <c r="E764" s="114"/>
      <c r="F764" s="113"/>
      <c r="G764" s="113"/>
      <c r="H764" s="113"/>
      <c r="I764" s="113"/>
      <c r="J764" s="113"/>
      <c r="K764" s="113"/>
      <c r="L764" s="113"/>
      <c r="M764" s="113"/>
      <c r="N764" s="113"/>
      <c r="O764" s="113"/>
      <c r="P764" s="113"/>
      <c r="Q764" s="113"/>
      <c r="R764" s="113"/>
      <c r="S764" s="113"/>
      <c r="T764" s="113"/>
      <c r="U764" s="113"/>
      <c r="V764" s="113"/>
      <c r="W764" s="113"/>
      <c r="X764" s="113"/>
      <c r="Y764" s="113"/>
      <c r="Z764" s="113"/>
    </row>
    <row r="765">
      <c r="A765" s="113"/>
      <c r="B765" s="120"/>
      <c r="C765" s="120"/>
      <c r="D765" s="40"/>
      <c r="E765" s="114"/>
      <c r="F765" s="113"/>
      <c r="G765" s="113"/>
      <c r="H765" s="113"/>
      <c r="I765" s="113"/>
      <c r="J765" s="113"/>
      <c r="K765" s="113"/>
      <c r="L765" s="113"/>
      <c r="M765" s="113"/>
      <c r="N765" s="113"/>
      <c r="O765" s="113"/>
      <c r="P765" s="113"/>
      <c r="Q765" s="113"/>
      <c r="R765" s="113"/>
      <c r="S765" s="113"/>
      <c r="T765" s="113"/>
      <c r="U765" s="113"/>
      <c r="V765" s="113"/>
      <c r="W765" s="113"/>
      <c r="X765" s="113"/>
      <c r="Y765" s="113"/>
      <c r="Z765" s="113"/>
    </row>
    <row r="766">
      <c r="A766" s="113"/>
      <c r="B766" s="120"/>
      <c r="C766" s="120"/>
      <c r="D766" s="40"/>
      <c r="E766" s="114"/>
      <c r="F766" s="113"/>
      <c r="G766" s="113"/>
      <c r="H766" s="113"/>
      <c r="I766" s="113"/>
      <c r="J766" s="113"/>
      <c r="K766" s="113"/>
      <c r="L766" s="113"/>
      <c r="M766" s="113"/>
      <c r="N766" s="113"/>
      <c r="O766" s="113"/>
      <c r="P766" s="113"/>
      <c r="Q766" s="113"/>
      <c r="R766" s="113"/>
      <c r="S766" s="113"/>
      <c r="T766" s="113"/>
      <c r="U766" s="113"/>
      <c r="V766" s="113"/>
      <c r="W766" s="113"/>
      <c r="X766" s="113"/>
      <c r="Y766" s="113"/>
      <c r="Z766" s="113"/>
    </row>
    <row r="767">
      <c r="A767" s="113"/>
      <c r="B767" s="120"/>
      <c r="C767" s="120"/>
      <c r="D767" s="40"/>
      <c r="E767" s="114"/>
      <c r="F767" s="113"/>
      <c r="G767" s="113"/>
      <c r="H767" s="113"/>
      <c r="I767" s="113"/>
      <c r="J767" s="113"/>
      <c r="K767" s="113"/>
      <c r="L767" s="113"/>
      <c r="M767" s="113"/>
      <c r="N767" s="113"/>
      <c r="O767" s="113"/>
      <c r="P767" s="113"/>
      <c r="Q767" s="113"/>
      <c r="R767" s="113"/>
      <c r="S767" s="113"/>
      <c r="T767" s="113"/>
      <c r="U767" s="113"/>
      <c r="V767" s="113"/>
      <c r="W767" s="113"/>
      <c r="X767" s="113"/>
      <c r="Y767" s="113"/>
      <c r="Z767" s="113"/>
    </row>
    <row r="768">
      <c r="A768" s="113"/>
      <c r="B768" s="120"/>
      <c r="C768" s="120"/>
      <c r="D768" s="40"/>
      <c r="E768" s="114"/>
      <c r="F768" s="113"/>
      <c r="G768" s="113"/>
      <c r="H768" s="113"/>
      <c r="I768" s="113"/>
      <c r="J768" s="113"/>
      <c r="K768" s="113"/>
      <c r="L768" s="113"/>
      <c r="M768" s="113"/>
      <c r="N768" s="113"/>
      <c r="O768" s="113"/>
      <c r="P768" s="113"/>
      <c r="Q768" s="113"/>
      <c r="R768" s="113"/>
      <c r="S768" s="113"/>
      <c r="T768" s="113"/>
      <c r="U768" s="113"/>
      <c r="V768" s="113"/>
      <c r="W768" s="113"/>
      <c r="X768" s="113"/>
      <c r="Y768" s="113"/>
      <c r="Z768" s="113"/>
    </row>
    <row r="769">
      <c r="A769" s="113"/>
      <c r="B769" s="120"/>
      <c r="C769" s="120"/>
      <c r="D769" s="40"/>
      <c r="E769" s="114"/>
      <c r="F769" s="113"/>
      <c r="G769" s="113"/>
      <c r="H769" s="113"/>
      <c r="I769" s="113"/>
      <c r="J769" s="113"/>
      <c r="K769" s="113"/>
      <c r="L769" s="113"/>
      <c r="M769" s="113"/>
      <c r="N769" s="113"/>
      <c r="O769" s="113"/>
      <c r="P769" s="113"/>
      <c r="Q769" s="113"/>
      <c r="R769" s="113"/>
      <c r="S769" s="113"/>
      <c r="T769" s="113"/>
      <c r="U769" s="113"/>
      <c r="V769" s="113"/>
      <c r="W769" s="113"/>
      <c r="X769" s="113"/>
      <c r="Y769" s="113"/>
      <c r="Z769" s="113"/>
    </row>
    <row r="770">
      <c r="A770" s="113"/>
      <c r="B770" s="120"/>
      <c r="C770" s="120"/>
      <c r="D770" s="40"/>
      <c r="E770" s="114"/>
      <c r="F770" s="113"/>
      <c r="G770" s="113"/>
      <c r="H770" s="113"/>
      <c r="I770" s="113"/>
      <c r="J770" s="113"/>
      <c r="K770" s="113"/>
      <c r="L770" s="113"/>
      <c r="M770" s="113"/>
      <c r="N770" s="113"/>
      <c r="O770" s="113"/>
      <c r="P770" s="113"/>
      <c r="Q770" s="113"/>
      <c r="R770" s="113"/>
      <c r="S770" s="113"/>
      <c r="T770" s="113"/>
      <c r="U770" s="113"/>
      <c r="V770" s="113"/>
      <c r="W770" s="113"/>
      <c r="X770" s="113"/>
      <c r="Y770" s="113"/>
      <c r="Z770" s="113"/>
    </row>
    <row r="771">
      <c r="A771" s="113"/>
      <c r="B771" s="120"/>
      <c r="C771" s="120"/>
      <c r="D771" s="40"/>
      <c r="E771" s="114"/>
      <c r="F771" s="113"/>
      <c r="G771" s="113"/>
      <c r="H771" s="113"/>
      <c r="I771" s="113"/>
      <c r="J771" s="113"/>
      <c r="K771" s="113"/>
      <c r="L771" s="113"/>
      <c r="M771" s="113"/>
      <c r="N771" s="113"/>
      <c r="O771" s="113"/>
      <c r="P771" s="113"/>
      <c r="Q771" s="113"/>
      <c r="R771" s="113"/>
      <c r="S771" s="113"/>
      <c r="T771" s="113"/>
      <c r="U771" s="113"/>
      <c r="V771" s="113"/>
      <c r="W771" s="113"/>
      <c r="X771" s="113"/>
      <c r="Y771" s="113"/>
      <c r="Z771" s="113"/>
    </row>
    <row r="772">
      <c r="A772" s="113"/>
      <c r="B772" s="120"/>
      <c r="C772" s="120"/>
      <c r="D772" s="40"/>
      <c r="E772" s="114"/>
      <c r="F772" s="113"/>
      <c r="G772" s="113"/>
      <c r="H772" s="113"/>
      <c r="I772" s="113"/>
      <c r="J772" s="113"/>
      <c r="K772" s="113"/>
      <c r="L772" s="113"/>
      <c r="M772" s="113"/>
      <c r="N772" s="113"/>
      <c r="O772" s="113"/>
      <c r="P772" s="113"/>
      <c r="Q772" s="113"/>
      <c r="R772" s="113"/>
      <c r="S772" s="113"/>
      <c r="T772" s="113"/>
      <c r="U772" s="113"/>
      <c r="V772" s="113"/>
      <c r="W772" s="113"/>
      <c r="X772" s="113"/>
      <c r="Y772" s="113"/>
      <c r="Z772" s="113"/>
    </row>
    <row r="773">
      <c r="A773" s="113"/>
      <c r="B773" s="120"/>
      <c r="C773" s="120"/>
      <c r="D773" s="40"/>
      <c r="E773" s="114"/>
      <c r="F773" s="113"/>
      <c r="G773" s="113"/>
      <c r="H773" s="113"/>
      <c r="I773" s="113"/>
      <c r="J773" s="113"/>
      <c r="K773" s="113"/>
      <c r="L773" s="113"/>
      <c r="M773" s="113"/>
      <c r="N773" s="113"/>
      <c r="O773" s="113"/>
      <c r="P773" s="113"/>
      <c r="Q773" s="113"/>
      <c r="R773" s="113"/>
      <c r="S773" s="113"/>
      <c r="T773" s="113"/>
      <c r="U773" s="113"/>
      <c r="V773" s="113"/>
      <c r="W773" s="113"/>
      <c r="X773" s="113"/>
      <c r="Y773" s="113"/>
      <c r="Z773" s="113"/>
    </row>
    <row r="774">
      <c r="A774" s="113"/>
      <c r="B774" s="120"/>
      <c r="C774" s="120"/>
      <c r="D774" s="40"/>
      <c r="E774" s="114"/>
      <c r="F774" s="113"/>
      <c r="G774" s="113"/>
      <c r="H774" s="113"/>
      <c r="I774" s="113"/>
      <c r="J774" s="113"/>
      <c r="K774" s="113"/>
      <c r="L774" s="113"/>
      <c r="M774" s="113"/>
      <c r="N774" s="113"/>
      <c r="O774" s="113"/>
      <c r="P774" s="113"/>
      <c r="Q774" s="113"/>
      <c r="R774" s="113"/>
      <c r="S774" s="113"/>
      <c r="T774" s="113"/>
      <c r="U774" s="113"/>
      <c r="V774" s="113"/>
      <c r="W774" s="113"/>
      <c r="X774" s="113"/>
      <c r="Y774" s="113"/>
      <c r="Z774" s="113"/>
    </row>
    <row r="775">
      <c r="A775" s="113"/>
      <c r="B775" s="120"/>
      <c r="C775" s="120"/>
      <c r="D775" s="40"/>
      <c r="E775" s="114"/>
      <c r="F775" s="113"/>
      <c r="G775" s="113"/>
      <c r="H775" s="113"/>
      <c r="I775" s="113"/>
      <c r="J775" s="113"/>
      <c r="K775" s="113"/>
      <c r="L775" s="113"/>
      <c r="M775" s="113"/>
      <c r="N775" s="113"/>
      <c r="O775" s="113"/>
      <c r="P775" s="113"/>
      <c r="Q775" s="113"/>
      <c r="R775" s="113"/>
      <c r="S775" s="113"/>
      <c r="T775" s="113"/>
      <c r="U775" s="113"/>
      <c r="V775" s="113"/>
      <c r="W775" s="113"/>
      <c r="X775" s="113"/>
      <c r="Y775" s="113"/>
      <c r="Z775" s="113"/>
    </row>
    <row r="776">
      <c r="A776" s="113"/>
      <c r="B776" s="120"/>
      <c r="C776" s="120"/>
      <c r="D776" s="40"/>
      <c r="E776" s="114"/>
      <c r="F776" s="113"/>
      <c r="G776" s="113"/>
      <c r="H776" s="113"/>
      <c r="I776" s="113"/>
      <c r="J776" s="113"/>
      <c r="K776" s="113"/>
      <c r="L776" s="113"/>
      <c r="M776" s="113"/>
      <c r="N776" s="113"/>
      <c r="O776" s="113"/>
      <c r="P776" s="113"/>
      <c r="Q776" s="113"/>
      <c r="R776" s="113"/>
      <c r="S776" s="113"/>
      <c r="T776" s="113"/>
      <c r="U776" s="113"/>
      <c r="V776" s="113"/>
      <c r="W776" s="113"/>
      <c r="X776" s="113"/>
      <c r="Y776" s="113"/>
      <c r="Z776" s="113"/>
    </row>
    <row r="777">
      <c r="A777" s="113"/>
      <c r="B777" s="120"/>
      <c r="C777" s="120"/>
      <c r="D777" s="40"/>
      <c r="E777" s="114"/>
      <c r="F777" s="113"/>
      <c r="G777" s="113"/>
      <c r="H777" s="113"/>
      <c r="I777" s="113"/>
      <c r="J777" s="113"/>
      <c r="K777" s="113"/>
      <c r="L777" s="113"/>
      <c r="M777" s="113"/>
      <c r="N777" s="113"/>
      <c r="O777" s="113"/>
      <c r="P777" s="113"/>
      <c r="Q777" s="113"/>
      <c r="R777" s="113"/>
      <c r="S777" s="113"/>
      <c r="T777" s="113"/>
      <c r="U777" s="113"/>
      <c r="V777" s="113"/>
      <c r="W777" s="113"/>
      <c r="X777" s="113"/>
      <c r="Y777" s="113"/>
      <c r="Z777" s="113"/>
    </row>
    <row r="778">
      <c r="A778" s="113"/>
      <c r="B778" s="120"/>
      <c r="C778" s="120"/>
      <c r="D778" s="40"/>
      <c r="E778" s="114"/>
      <c r="F778" s="113"/>
      <c r="G778" s="113"/>
      <c r="H778" s="113"/>
      <c r="I778" s="113"/>
      <c r="J778" s="113"/>
      <c r="K778" s="113"/>
      <c r="L778" s="113"/>
      <c r="M778" s="113"/>
      <c r="N778" s="113"/>
      <c r="O778" s="113"/>
      <c r="P778" s="113"/>
      <c r="Q778" s="113"/>
      <c r="R778" s="113"/>
      <c r="S778" s="113"/>
      <c r="T778" s="113"/>
      <c r="U778" s="113"/>
      <c r="V778" s="113"/>
      <c r="W778" s="113"/>
      <c r="X778" s="113"/>
      <c r="Y778" s="113"/>
      <c r="Z778" s="113"/>
    </row>
    <row r="779">
      <c r="A779" s="113"/>
      <c r="B779" s="120"/>
      <c r="C779" s="120"/>
      <c r="D779" s="40"/>
      <c r="E779" s="114"/>
      <c r="F779" s="113"/>
      <c r="G779" s="113"/>
      <c r="H779" s="113"/>
      <c r="I779" s="113"/>
      <c r="J779" s="113"/>
      <c r="K779" s="113"/>
      <c r="L779" s="113"/>
      <c r="M779" s="113"/>
      <c r="N779" s="113"/>
      <c r="O779" s="113"/>
      <c r="P779" s="113"/>
      <c r="Q779" s="113"/>
      <c r="R779" s="113"/>
      <c r="S779" s="113"/>
      <c r="T779" s="113"/>
      <c r="U779" s="113"/>
      <c r="V779" s="113"/>
      <c r="W779" s="113"/>
      <c r="X779" s="113"/>
      <c r="Y779" s="113"/>
      <c r="Z779" s="113"/>
    </row>
    <row r="780">
      <c r="A780" s="113"/>
      <c r="B780" s="120"/>
      <c r="C780" s="120"/>
      <c r="D780" s="40"/>
      <c r="E780" s="114"/>
      <c r="F780" s="113"/>
      <c r="G780" s="113"/>
      <c r="H780" s="113"/>
      <c r="I780" s="113"/>
      <c r="J780" s="113"/>
      <c r="K780" s="113"/>
      <c r="L780" s="113"/>
      <c r="M780" s="113"/>
      <c r="N780" s="113"/>
      <c r="O780" s="113"/>
      <c r="P780" s="113"/>
      <c r="Q780" s="113"/>
      <c r="R780" s="113"/>
      <c r="S780" s="113"/>
      <c r="T780" s="113"/>
      <c r="U780" s="113"/>
      <c r="V780" s="113"/>
      <c r="W780" s="113"/>
      <c r="X780" s="113"/>
      <c r="Y780" s="113"/>
      <c r="Z780" s="113"/>
    </row>
    <row r="781">
      <c r="A781" s="113"/>
      <c r="B781" s="120"/>
      <c r="C781" s="120"/>
      <c r="D781" s="40"/>
      <c r="E781" s="114"/>
      <c r="F781" s="113"/>
      <c r="G781" s="113"/>
      <c r="H781" s="113"/>
      <c r="I781" s="113"/>
      <c r="J781" s="113"/>
      <c r="K781" s="113"/>
      <c r="L781" s="113"/>
      <c r="M781" s="113"/>
      <c r="N781" s="113"/>
      <c r="O781" s="113"/>
      <c r="P781" s="113"/>
      <c r="Q781" s="113"/>
      <c r="R781" s="113"/>
      <c r="S781" s="113"/>
      <c r="T781" s="113"/>
      <c r="U781" s="113"/>
      <c r="V781" s="113"/>
      <c r="W781" s="113"/>
      <c r="X781" s="113"/>
      <c r="Y781" s="113"/>
      <c r="Z781" s="113"/>
    </row>
    <row r="782">
      <c r="A782" s="113"/>
      <c r="B782" s="120"/>
      <c r="C782" s="120"/>
      <c r="D782" s="40"/>
      <c r="E782" s="114"/>
      <c r="F782" s="113"/>
      <c r="G782" s="113"/>
      <c r="H782" s="113"/>
      <c r="I782" s="113"/>
      <c r="J782" s="113"/>
      <c r="K782" s="113"/>
      <c r="L782" s="113"/>
      <c r="M782" s="113"/>
      <c r="N782" s="113"/>
      <c r="O782" s="113"/>
      <c r="P782" s="113"/>
      <c r="Q782" s="113"/>
      <c r="R782" s="113"/>
      <c r="S782" s="113"/>
      <c r="T782" s="113"/>
      <c r="U782" s="113"/>
      <c r="V782" s="113"/>
      <c r="W782" s="113"/>
      <c r="X782" s="113"/>
      <c r="Y782" s="113"/>
      <c r="Z782" s="113"/>
    </row>
    <row r="783">
      <c r="A783" s="113"/>
      <c r="B783" s="120"/>
      <c r="C783" s="120"/>
      <c r="D783" s="40"/>
      <c r="E783" s="114"/>
      <c r="F783" s="113"/>
      <c r="G783" s="113"/>
      <c r="H783" s="113"/>
      <c r="I783" s="113"/>
      <c r="J783" s="113"/>
      <c r="K783" s="113"/>
      <c r="L783" s="113"/>
      <c r="M783" s="113"/>
      <c r="N783" s="113"/>
      <c r="O783" s="113"/>
      <c r="P783" s="113"/>
      <c r="Q783" s="113"/>
      <c r="R783" s="113"/>
      <c r="S783" s="113"/>
      <c r="T783" s="113"/>
      <c r="U783" s="113"/>
      <c r="V783" s="113"/>
      <c r="W783" s="113"/>
      <c r="X783" s="113"/>
      <c r="Y783" s="113"/>
      <c r="Z783" s="113"/>
    </row>
    <row r="784">
      <c r="A784" s="113"/>
      <c r="B784" s="120"/>
      <c r="C784" s="120"/>
      <c r="D784" s="40"/>
      <c r="E784" s="114"/>
      <c r="F784" s="113"/>
      <c r="G784" s="113"/>
      <c r="H784" s="113"/>
      <c r="I784" s="113"/>
      <c r="J784" s="113"/>
      <c r="K784" s="113"/>
      <c r="L784" s="113"/>
      <c r="M784" s="113"/>
      <c r="N784" s="113"/>
      <c r="O784" s="113"/>
      <c r="P784" s="113"/>
      <c r="Q784" s="113"/>
      <c r="R784" s="113"/>
      <c r="S784" s="113"/>
      <c r="T784" s="113"/>
      <c r="U784" s="113"/>
      <c r="V784" s="113"/>
      <c r="W784" s="113"/>
      <c r="X784" s="113"/>
      <c r="Y784" s="113"/>
      <c r="Z784" s="113"/>
    </row>
    <row r="785">
      <c r="A785" s="113"/>
      <c r="B785" s="120"/>
      <c r="C785" s="120"/>
      <c r="D785" s="40"/>
      <c r="E785" s="114"/>
      <c r="F785" s="113"/>
      <c r="G785" s="113"/>
      <c r="H785" s="113"/>
      <c r="I785" s="113"/>
      <c r="J785" s="113"/>
      <c r="K785" s="113"/>
      <c r="L785" s="113"/>
      <c r="M785" s="113"/>
      <c r="N785" s="113"/>
      <c r="O785" s="113"/>
      <c r="P785" s="113"/>
      <c r="Q785" s="113"/>
      <c r="R785" s="113"/>
      <c r="S785" s="113"/>
      <c r="T785" s="113"/>
      <c r="U785" s="113"/>
      <c r="V785" s="113"/>
      <c r="W785" s="113"/>
      <c r="X785" s="113"/>
      <c r="Y785" s="113"/>
      <c r="Z785" s="113"/>
    </row>
    <row r="786">
      <c r="A786" s="113"/>
      <c r="B786" s="120"/>
      <c r="C786" s="120"/>
      <c r="D786" s="40"/>
      <c r="E786" s="114"/>
      <c r="F786" s="113"/>
      <c r="G786" s="113"/>
      <c r="H786" s="113"/>
      <c r="I786" s="113"/>
      <c r="J786" s="113"/>
      <c r="K786" s="113"/>
      <c r="L786" s="113"/>
      <c r="M786" s="113"/>
      <c r="N786" s="113"/>
      <c r="O786" s="113"/>
      <c r="P786" s="113"/>
      <c r="Q786" s="113"/>
      <c r="R786" s="113"/>
      <c r="S786" s="113"/>
      <c r="T786" s="113"/>
      <c r="U786" s="113"/>
      <c r="V786" s="113"/>
      <c r="W786" s="113"/>
      <c r="X786" s="113"/>
      <c r="Y786" s="113"/>
      <c r="Z786" s="113"/>
    </row>
    <row r="787">
      <c r="A787" s="113"/>
      <c r="B787" s="120"/>
      <c r="C787" s="120"/>
      <c r="D787" s="40"/>
      <c r="E787" s="114"/>
      <c r="F787" s="113"/>
      <c r="G787" s="113"/>
      <c r="H787" s="113"/>
      <c r="I787" s="113"/>
      <c r="J787" s="113"/>
      <c r="K787" s="113"/>
      <c r="L787" s="113"/>
      <c r="M787" s="113"/>
      <c r="N787" s="113"/>
      <c r="O787" s="113"/>
      <c r="P787" s="113"/>
      <c r="Q787" s="113"/>
      <c r="R787" s="113"/>
      <c r="S787" s="113"/>
      <c r="T787" s="113"/>
      <c r="U787" s="113"/>
      <c r="V787" s="113"/>
      <c r="W787" s="113"/>
      <c r="X787" s="113"/>
      <c r="Y787" s="113"/>
      <c r="Z787" s="113"/>
    </row>
    <row r="788">
      <c r="A788" s="113"/>
      <c r="B788" s="120"/>
      <c r="C788" s="120"/>
      <c r="D788" s="40"/>
      <c r="E788" s="114"/>
      <c r="F788" s="113"/>
      <c r="G788" s="113"/>
      <c r="H788" s="113"/>
      <c r="I788" s="113"/>
      <c r="J788" s="113"/>
      <c r="K788" s="113"/>
      <c r="L788" s="113"/>
      <c r="M788" s="113"/>
      <c r="N788" s="113"/>
      <c r="O788" s="113"/>
      <c r="P788" s="113"/>
      <c r="Q788" s="113"/>
      <c r="R788" s="113"/>
      <c r="S788" s="113"/>
      <c r="T788" s="113"/>
      <c r="U788" s="113"/>
      <c r="V788" s="113"/>
      <c r="W788" s="113"/>
      <c r="X788" s="113"/>
      <c r="Y788" s="113"/>
      <c r="Z788" s="113"/>
    </row>
    <row r="789">
      <c r="A789" s="113"/>
      <c r="B789" s="120"/>
      <c r="C789" s="120"/>
      <c r="D789" s="40"/>
      <c r="E789" s="114"/>
      <c r="F789" s="113"/>
      <c r="G789" s="113"/>
      <c r="H789" s="113"/>
      <c r="I789" s="113"/>
      <c r="J789" s="113"/>
      <c r="K789" s="113"/>
      <c r="L789" s="113"/>
      <c r="M789" s="113"/>
      <c r="N789" s="113"/>
      <c r="O789" s="113"/>
      <c r="P789" s="113"/>
      <c r="Q789" s="113"/>
      <c r="R789" s="113"/>
      <c r="S789" s="113"/>
      <c r="T789" s="113"/>
      <c r="U789" s="113"/>
      <c r="V789" s="113"/>
      <c r="W789" s="113"/>
      <c r="X789" s="113"/>
      <c r="Y789" s="113"/>
      <c r="Z789" s="113"/>
    </row>
    <row r="790">
      <c r="A790" s="113"/>
      <c r="B790" s="120"/>
      <c r="C790" s="120"/>
      <c r="D790" s="40"/>
      <c r="E790" s="114"/>
      <c r="F790" s="113"/>
      <c r="G790" s="113"/>
      <c r="H790" s="113"/>
      <c r="I790" s="113"/>
      <c r="J790" s="113"/>
      <c r="K790" s="113"/>
      <c r="L790" s="113"/>
      <c r="M790" s="113"/>
      <c r="N790" s="113"/>
      <c r="O790" s="113"/>
      <c r="P790" s="113"/>
      <c r="Q790" s="113"/>
      <c r="R790" s="113"/>
      <c r="S790" s="113"/>
      <c r="T790" s="113"/>
      <c r="U790" s="113"/>
      <c r="V790" s="113"/>
      <c r="W790" s="113"/>
      <c r="X790" s="113"/>
      <c r="Y790" s="113"/>
      <c r="Z790" s="113"/>
    </row>
    <row r="791">
      <c r="A791" s="113"/>
      <c r="B791" s="120"/>
      <c r="C791" s="120"/>
      <c r="D791" s="40"/>
      <c r="E791" s="114"/>
      <c r="F791" s="113"/>
      <c r="G791" s="113"/>
      <c r="H791" s="113"/>
      <c r="I791" s="113"/>
      <c r="J791" s="113"/>
      <c r="K791" s="113"/>
      <c r="L791" s="113"/>
      <c r="M791" s="113"/>
      <c r="N791" s="113"/>
      <c r="O791" s="113"/>
      <c r="P791" s="113"/>
      <c r="Q791" s="113"/>
      <c r="R791" s="113"/>
      <c r="S791" s="113"/>
      <c r="T791" s="113"/>
      <c r="U791" s="113"/>
      <c r="V791" s="113"/>
      <c r="W791" s="113"/>
      <c r="X791" s="113"/>
      <c r="Y791" s="113"/>
      <c r="Z791" s="113"/>
    </row>
    <row r="792">
      <c r="A792" s="113"/>
      <c r="B792" s="120"/>
      <c r="C792" s="120"/>
      <c r="D792" s="40"/>
      <c r="E792" s="114"/>
      <c r="F792" s="113"/>
      <c r="G792" s="113"/>
      <c r="H792" s="113"/>
      <c r="I792" s="113"/>
      <c r="J792" s="113"/>
      <c r="K792" s="113"/>
      <c r="L792" s="113"/>
      <c r="M792" s="113"/>
      <c r="N792" s="113"/>
      <c r="O792" s="113"/>
      <c r="P792" s="113"/>
      <c r="Q792" s="113"/>
      <c r="R792" s="113"/>
      <c r="S792" s="113"/>
      <c r="T792" s="113"/>
      <c r="U792" s="113"/>
      <c r="V792" s="113"/>
      <c r="W792" s="113"/>
      <c r="X792" s="113"/>
      <c r="Y792" s="113"/>
      <c r="Z792" s="113"/>
    </row>
    <row r="793">
      <c r="A793" s="113"/>
      <c r="B793" s="120"/>
      <c r="C793" s="120"/>
      <c r="D793" s="40"/>
      <c r="E793" s="114"/>
      <c r="F793" s="113"/>
      <c r="G793" s="113"/>
      <c r="H793" s="113"/>
      <c r="I793" s="113"/>
      <c r="J793" s="113"/>
      <c r="K793" s="113"/>
      <c r="L793" s="113"/>
      <c r="M793" s="113"/>
      <c r="N793" s="113"/>
      <c r="O793" s="113"/>
      <c r="P793" s="113"/>
      <c r="Q793" s="113"/>
      <c r="R793" s="113"/>
      <c r="S793" s="113"/>
      <c r="T793" s="113"/>
      <c r="U793" s="113"/>
      <c r="V793" s="113"/>
      <c r="W793" s="113"/>
      <c r="X793" s="113"/>
      <c r="Y793" s="113"/>
      <c r="Z793" s="113"/>
    </row>
    <row r="794">
      <c r="A794" s="113"/>
      <c r="B794" s="120"/>
      <c r="C794" s="120"/>
      <c r="D794" s="40"/>
      <c r="E794" s="114"/>
      <c r="F794" s="113"/>
      <c r="G794" s="113"/>
      <c r="H794" s="113"/>
      <c r="I794" s="113"/>
      <c r="J794" s="113"/>
      <c r="K794" s="113"/>
      <c r="L794" s="113"/>
      <c r="M794" s="113"/>
      <c r="N794" s="113"/>
      <c r="O794" s="113"/>
      <c r="P794" s="113"/>
      <c r="Q794" s="113"/>
      <c r="R794" s="113"/>
      <c r="S794" s="113"/>
      <c r="T794" s="113"/>
      <c r="U794" s="113"/>
      <c r="V794" s="113"/>
      <c r="W794" s="113"/>
      <c r="X794" s="113"/>
      <c r="Y794" s="113"/>
      <c r="Z794" s="113"/>
    </row>
    <row r="795">
      <c r="A795" s="113"/>
      <c r="B795" s="120"/>
      <c r="C795" s="120"/>
      <c r="D795" s="40"/>
      <c r="E795" s="114"/>
      <c r="F795" s="113"/>
      <c r="G795" s="113"/>
      <c r="H795" s="113"/>
      <c r="I795" s="113"/>
      <c r="J795" s="113"/>
      <c r="K795" s="113"/>
      <c r="L795" s="113"/>
      <c r="M795" s="113"/>
      <c r="N795" s="113"/>
      <c r="O795" s="113"/>
      <c r="P795" s="113"/>
      <c r="Q795" s="113"/>
      <c r="R795" s="113"/>
      <c r="S795" s="113"/>
      <c r="T795" s="113"/>
      <c r="U795" s="113"/>
      <c r="V795" s="113"/>
      <c r="W795" s="113"/>
      <c r="X795" s="113"/>
      <c r="Y795" s="113"/>
      <c r="Z795" s="113"/>
    </row>
    <row r="796">
      <c r="A796" s="113"/>
      <c r="B796" s="120"/>
      <c r="C796" s="120"/>
      <c r="D796" s="40"/>
      <c r="E796" s="114"/>
      <c r="F796" s="113"/>
      <c r="G796" s="113"/>
      <c r="H796" s="113"/>
      <c r="I796" s="113"/>
      <c r="J796" s="113"/>
      <c r="K796" s="113"/>
      <c r="L796" s="113"/>
      <c r="M796" s="113"/>
      <c r="N796" s="113"/>
      <c r="O796" s="113"/>
      <c r="P796" s="113"/>
      <c r="Q796" s="113"/>
      <c r="R796" s="113"/>
      <c r="S796" s="113"/>
      <c r="T796" s="113"/>
      <c r="U796" s="113"/>
      <c r="V796" s="113"/>
      <c r="W796" s="113"/>
      <c r="X796" s="113"/>
      <c r="Y796" s="113"/>
      <c r="Z796" s="113"/>
    </row>
    <row r="797">
      <c r="A797" s="113"/>
      <c r="B797" s="120"/>
      <c r="C797" s="120"/>
      <c r="D797" s="40"/>
      <c r="E797" s="114"/>
      <c r="F797" s="113"/>
      <c r="G797" s="113"/>
      <c r="H797" s="113"/>
      <c r="I797" s="113"/>
      <c r="J797" s="113"/>
      <c r="K797" s="113"/>
      <c r="L797" s="113"/>
      <c r="M797" s="113"/>
      <c r="N797" s="113"/>
      <c r="O797" s="113"/>
      <c r="P797" s="113"/>
      <c r="Q797" s="113"/>
      <c r="R797" s="113"/>
      <c r="S797" s="113"/>
      <c r="T797" s="113"/>
      <c r="U797" s="113"/>
      <c r="V797" s="113"/>
      <c r="W797" s="113"/>
      <c r="X797" s="113"/>
      <c r="Y797" s="113"/>
      <c r="Z797" s="113"/>
    </row>
    <row r="798">
      <c r="A798" s="113"/>
      <c r="B798" s="120"/>
      <c r="C798" s="120"/>
      <c r="D798" s="40"/>
      <c r="E798" s="114"/>
      <c r="F798" s="113"/>
      <c r="G798" s="113"/>
      <c r="H798" s="113"/>
      <c r="I798" s="113"/>
      <c r="J798" s="113"/>
      <c r="K798" s="113"/>
      <c r="L798" s="113"/>
      <c r="M798" s="113"/>
      <c r="N798" s="113"/>
      <c r="O798" s="113"/>
      <c r="P798" s="113"/>
      <c r="Q798" s="113"/>
      <c r="R798" s="113"/>
      <c r="S798" s="113"/>
      <c r="T798" s="113"/>
      <c r="U798" s="113"/>
      <c r="V798" s="113"/>
      <c r="W798" s="113"/>
      <c r="X798" s="113"/>
      <c r="Y798" s="113"/>
      <c r="Z798" s="113"/>
    </row>
    <row r="799">
      <c r="A799" s="113"/>
      <c r="B799" s="120"/>
      <c r="C799" s="120"/>
      <c r="D799" s="40"/>
      <c r="E799" s="114"/>
      <c r="F799" s="113"/>
      <c r="G799" s="113"/>
      <c r="H799" s="113"/>
      <c r="I799" s="113"/>
      <c r="J799" s="113"/>
      <c r="K799" s="113"/>
      <c r="L799" s="113"/>
      <c r="M799" s="113"/>
      <c r="N799" s="113"/>
      <c r="O799" s="113"/>
      <c r="P799" s="113"/>
      <c r="Q799" s="113"/>
      <c r="R799" s="113"/>
      <c r="S799" s="113"/>
      <c r="T799" s="113"/>
      <c r="U799" s="113"/>
      <c r="V799" s="113"/>
      <c r="W799" s="113"/>
      <c r="X799" s="113"/>
      <c r="Y799" s="113"/>
      <c r="Z799" s="113"/>
    </row>
    <row r="800">
      <c r="A800" s="113"/>
      <c r="B800" s="120"/>
      <c r="C800" s="120"/>
      <c r="D800" s="40"/>
      <c r="E800" s="114"/>
      <c r="F800" s="113"/>
      <c r="G800" s="113"/>
      <c r="H800" s="113"/>
      <c r="I800" s="113"/>
      <c r="J800" s="113"/>
      <c r="K800" s="113"/>
      <c r="L800" s="113"/>
      <c r="M800" s="113"/>
      <c r="N800" s="113"/>
      <c r="O800" s="113"/>
      <c r="P800" s="113"/>
      <c r="Q800" s="113"/>
      <c r="R800" s="113"/>
      <c r="S800" s="113"/>
      <c r="T800" s="113"/>
      <c r="U800" s="113"/>
      <c r="V800" s="113"/>
      <c r="W800" s="113"/>
      <c r="X800" s="113"/>
      <c r="Y800" s="113"/>
      <c r="Z800" s="113"/>
    </row>
    <row r="801">
      <c r="A801" s="113"/>
      <c r="B801" s="120"/>
      <c r="C801" s="120"/>
      <c r="D801" s="40"/>
      <c r="E801" s="114"/>
      <c r="F801" s="113"/>
      <c r="G801" s="113"/>
      <c r="H801" s="113"/>
      <c r="I801" s="113"/>
      <c r="J801" s="113"/>
      <c r="K801" s="113"/>
      <c r="L801" s="113"/>
      <c r="M801" s="113"/>
      <c r="N801" s="113"/>
      <c r="O801" s="113"/>
      <c r="P801" s="113"/>
      <c r="Q801" s="113"/>
      <c r="R801" s="113"/>
      <c r="S801" s="113"/>
      <c r="T801" s="113"/>
      <c r="U801" s="113"/>
      <c r="V801" s="113"/>
      <c r="W801" s="113"/>
      <c r="X801" s="113"/>
      <c r="Y801" s="113"/>
      <c r="Z801" s="113"/>
    </row>
    <row r="802">
      <c r="A802" s="113"/>
      <c r="B802" s="120"/>
      <c r="C802" s="120"/>
      <c r="D802" s="40"/>
      <c r="E802" s="114"/>
      <c r="F802" s="113"/>
      <c r="G802" s="113"/>
      <c r="H802" s="113"/>
      <c r="I802" s="113"/>
      <c r="J802" s="113"/>
      <c r="K802" s="113"/>
      <c r="L802" s="113"/>
      <c r="M802" s="113"/>
      <c r="N802" s="113"/>
      <c r="O802" s="113"/>
      <c r="P802" s="113"/>
      <c r="Q802" s="113"/>
      <c r="R802" s="113"/>
      <c r="S802" s="113"/>
      <c r="T802" s="113"/>
      <c r="U802" s="113"/>
      <c r="V802" s="113"/>
      <c r="W802" s="113"/>
      <c r="X802" s="113"/>
      <c r="Y802" s="113"/>
      <c r="Z802" s="113"/>
    </row>
    <row r="803">
      <c r="A803" s="113"/>
      <c r="B803" s="120"/>
      <c r="C803" s="120"/>
      <c r="D803" s="40"/>
      <c r="E803" s="114"/>
      <c r="F803" s="113"/>
      <c r="G803" s="113"/>
      <c r="H803" s="113"/>
      <c r="I803" s="113"/>
      <c r="J803" s="113"/>
      <c r="K803" s="113"/>
      <c r="L803" s="113"/>
      <c r="M803" s="113"/>
      <c r="N803" s="113"/>
      <c r="O803" s="113"/>
      <c r="P803" s="113"/>
      <c r="Q803" s="113"/>
      <c r="R803" s="113"/>
      <c r="S803" s="113"/>
      <c r="T803" s="113"/>
      <c r="U803" s="113"/>
      <c r="V803" s="113"/>
      <c r="W803" s="113"/>
      <c r="X803" s="113"/>
      <c r="Y803" s="113"/>
      <c r="Z803" s="113"/>
    </row>
    <row r="804">
      <c r="A804" s="113"/>
      <c r="B804" s="120"/>
      <c r="C804" s="120"/>
      <c r="D804" s="40"/>
      <c r="E804" s="114"/>
      <c r="F804" s="113"/>
      <c r="G804" s="113"/>
      <c r="H804" s="113"/>
      <c r="I804" s="113"/>
      <c r="J804" s="113"/>
      <c r="K804" s="113"/>
      <c r="L804" s="113"/>
      <c r="M804" s="113"/>
      <c r="N804" s="113"/>
      <c r="O804" s="113"/>
      <c r="P804" s="113"/>
      <c r="Q804" s="113"/>
      <c r="R804" s="113"/>
      <c r="S804" s="113"/>
      <c r="T804" s="113"/>
      <c r="U804" s="113"/>
      <c r="V804" s="113"/>
      <c r="W804" s="113"/>
      <c r="X804" s="113"/>
      <c r="Y804" s="113"/>
      <c r="Z804" s="113"/>
    </row>
    <row r="805">
      <c r="A805" s="113"/>
      <c r="B805" s="120"/>
      <c r="C805" s="120"/>
      <c r="D805" s="40"/>
      <c r="E805" s="114"/>
      <c r="F805" s="113"/>
      <c r="G805" s="113"/>
      <c r="H805" s="113"/>
      <c r="I805" s="113"/>
      <c r="J805" s="113"/>
      <c r="K805" s="113"/>
      <c r="L805" s="113"/>
      <c r="M805" s="113"/>
      <c r="N805" s="113"/>
      <c r="O805" s="113"/>
      <c r="P805" s="113"/>
      <c r="Q805" s="113"/>
      <c r="R805" s="113"/>
      <c r="S805" s="113"/>
      <c r="T805" s="113"/>
      <c r="U805" s="113"/>
      <c r="V805" s="113"/>
      <c r="W805" s="113"/>
      <c r="X805" s="113"/>
      <c r="Y805" s="113"/>
      <c r="Z805" s="113"/>
    </row>
    <row r="806">
      <c r="A806" s="113"/>
      <c r="B806" s="120"/>
      <c r="C806" s="120"/>
      <c r="D806" s="40"/>
      <c r="E806" s="114"/>
      <c r="F806" s="113"/>
      <c r="G806" s="113"/>
      <c r="H806" s="113"/>
      <c r="I806" s="113"/>
      <c r="J806" s="113"/>
      <c r="K806" s="113"/>
      <c r="L806" s="113"/>
      <c r="M806" s="113"/>
      <c r="N806" s="113"/>
      <c r="O806" s="113"/>
      <c r="P806" s="113"/>
      <c r="Q806" s="113"/>
      <c r="R806" s="113"/>
      <c r="S806" s="113"/>
      <c r="T806" s="113"/>
      <c r="U806" s="113"/>
      <c r="V806" s="113"/>
      <c r="W806" s="113"/>
      <c r="X806" s="113"/>
      <c r="Y806" s="113"/>
      <c r="Z806" s="113"/>
    </row>
    <row r="807">
      <c r="A807" s="113"/>
      <c r="B807" s="120"/>
      <c r="C807" s="120"/>
      <c r="D807" s="40"/>
      <c r="E807" s="114"/>
      <c r="F807" s="113"/>
      <c r="G807" s="113"/>
      <c r="H807" s="113"/>
      <c r="I807" s="113"/>
      <c r="J807" s="113"/>
      <c r="K807" s="113"/>
      <c r="L807" s="113"/>
      <c r="M807" s="113"/>
      <c r="N807" s="113"/>
      <c r="O807" s="113"/>
      <c r="P807" s="113"/>
      <c r="Q807" s="113"/>
      <c r="R807" s="113"/>
      <c r="S807" s="113"/>
      <c r="T807" s="113"/>
      <c r="U807" s="113"/>
      <c r="V807" s="113"/>
      <c r="W807" s="113"/>
      <c r="X807" s="113"/>
      <c r="Y807" s="113"/>
      <c r="Z807" s="113"/>
    </row>
    <row r="808">
      <c r="A808" s="113"/>
      <c r="B808" s="120"/>
      <c r="C808" s="120"/>
      <c r="D808" s="40"/>
      <c r="E808" s="114"/>
      <c r="F808" s="113"/>
      <c r="G808" s="113"/>
      <c r="H808" s="113"/>
      <c r="I808" s="113"/>
      <c r="J808" s="113"/>
      <c r="K808" s="113"/>
      <c r="L808" s="113"/>
      <c r="M808" s="113"/>
      <c r="N808" s="113"/>
      <c r="O808" s="113"/>
      <c r="P808" s="113"/>
      <c r="Q808" s="113"/>
      <c r="R808" s="113"/>
      <c r="S808" s="113"/>
      <c r="T808" s="113"/>
      <c r="U808" s="113"/>
      <c r="V808" s="113"/>
      <c r="W808" s="113"/>
      <c r="X808" s="113"/>
      <c r="Y808" s="113"/>
      <c r="Z808" s="113"/>
    </row>
    <row r="809">
      <c r="A809" s="113"/>
      <c r="B809" s="120"/>
      <c r="C809" s="120"/>
      <c r="D809" s="40"/>
      <c r="E809" s="114"/>
      <c r="F809" s="113"/>
      <c r="G809" s="113"/>
      <c r="H809" s="113"/>
      <c r="I809" s="113"/>
      <c r="J809" s="113"/>
      <c r="K809" s="113"/>
      <c r="L809" s="113"/>
      <c r="M809" s="113"/>
      <c r="N809" s="113"/>
      <c r="O809" s="113"/>
      <c r="P809" s="113"/>
      <c r="Q809" s="113"/>
      <c r="R809" s="113"/>
      <c r="S809" s="113"/>
      <c r="T809" s="113"/>
      <c r="U809" s="113"/>
      <c r="V809" s="113"/>
      <c r="W809" s="113"/>
      <c r="X809" s="113"/>
      <c r="Y809" s="113"/>
      <c r="Z809" s="113"/>
    </row>
    <row r="810">
      <c r="A810" s="113"/>
      <c r="B810" s="120"/>
      <c r="C810" s="120"/>
      <c r="D810" s="40"/>
      <c r="E810" s="114"/>
      <c r="F810" s="113"/>
      <c r="G810" s="113"/>
      <c r="H810" s="113"/>
      <c r="I810" s="113"/>
      <c r="J810" s="113"/>
      <c r="K810" s="113"/>
      <c r="L810" s="113"/>
      <c r="M810" s="113"/>
      <c r="N810" s="113"/>
      <c r="O810" s="113"/>
      <c r="P810" s="113"/>
      <c r="Q810" s="113"/>
      <c r="R810" s="113"/>
      <c r="S810" s="113"/>
      <c r="T810" s="113"/>
      <c r="U810" s="113"/>
      <c r="V810" s="113"/>
      <c r="W810" s="113"/>
      <c r="X810" s="113"/>
      <c r="Y810" s="113"/>
      <c r="Z810" s="113"/>
    </row>
    <row r="811">
      <c r="A811" s="113"/>
      <c r="B811" s="120"/>
      <c r="C811" s="120"/>
      <c r="D811" s="40"/>
      <c r="E811" s="114"/>
      <c r="F811" s="113"/>
      <c r="G811" s="113"/>
      <c r="H811" s="113"/>
      <c r="I811" s="113"/>
      <c r="J811" s="113"/>
      <c r="K811" s="113"/>
      <c r="L811" s="113"/>
      <c r="M811" s="113"/>
      <c r="N811" s="113"/>
      <c r="O811" s="113"/>
      <c r="P811" s="113"/>
      <c r="Q811" s="113"/>
      <c r="R811" s="113"/>
      <c r="S811" s="113"/>
      <c r="T811" s="113"/>
      <c r="U811" s="113"/>
      <c r="V811" s="113"/>
      <c r="W811" s="113"/>
      <c r="X811" s="113"/>
      <c r="Y811" s="113"/>
      <c r="Z811" s="113"/>
    </row>
    <row r="812">
      <c r="A812" s="113"/>
      <c r="B812" s="120"/>
      <c r="C812" s="120"/>
      <c r="D812" s="40"/>
      <c r="E812" s="114"/>
      <c r="F812" s="113"/>
      <c r="G812" s="113"/>
      <c r="H812" s="113"/>
      <c r="I812" s="113"/>
      <c r="J812" s="113"/>
      <c r="K812" s="113"/>
      <c r="L812" s="113"/>
      <c r="M812" s="113"/>
      <c r="N812" s="113"/>
      <c r="O812" s="113"/>
      <c r="P812" s="113"/>
      <c r="Q812" s="113"/>
      <c r="R812" s="113"/>
      <c r="S812" s="113"/>
      <c r="T812" s="113"/>
      <c r="U812" s="113"/>
      <c r="V812" s="113"/>
      <c r="W812" s="113"/>
      <c r="X812" s="113"/>
      <c r="Y812" s="113"/>
      <c r="Z812" s="113"/>
    </row>
    <row r="813">
      <c r="A813" s="113"/>
      <c r="B813" s="120"/>
      <c r="C813" s="120"/>
      <c r="D813" s="40"/>
      <c r="E813" s="114"/>
      <c r="F813" s="113"/>
      <c r="G813" s="113"/>
      <c r="H813" s="113"/>
      <c r="I813" s="113"/>
      <c r="J813" s="113"/>
      <c r="K813" s="113"/>
      <c r="L813" s="113"/>
      <c r="M813" s="113"/>
      <c r="N813" s="113"/>
      <c r="O813" s="113"/>
      <c r="P813" s="113"/>
      <c r="Q813" s="113"/>
      <c r="R813" s="113"/>
      <c r="S813" s="113"/>
      <c r="T813" s="113"/>
      <c r="U813" s="113"/>
      <c r="V813" s="113"/>
      <c r="W813" s="113"/>
      <c r="X813" s="113"/>
      <c r="Y813" s="113"/>
      <c r="Z813" s="113"/>
    </row>
    <row r="814">
      <c r="A814" s="113"/>
      <c r="B814" s="120"/>
      <c r="C814" s="120"/>
      <c r="D814" s="40"/>
      <c r="E814" s="114"/>
      <c r="F814" s="113"/>
      <c r="G814" s="113"/>
      <c r="H814" s="113"/>
      <c r="I814" s="113"/>
      <c r="J814" s="113"/>
      <c r="K814" s="113"/>
      <c r="L814" s="113"/>
      <c r="M814" s="113"/>
      <c r="N814" s="113"/>
      <c r="O814" s="113"/>
      <c r="P814" s="113"/>
      <c r="Q814" s="113"/>
      <c r="R814" s="113"/>
      <c r="S814" s="113"/>
      <c r="T814" s="113"/>
      <c r="U814" s="113"/>
      <c r="V814" s="113"/>
      <c r="W814" s="113"/>
      <c r="X814" s="113"/>
      <c r="Y814" s="113"/>
      <c r="Z814" s="113"/>
    </row>
    <row r="815">
      <c r="A815" s="113"/>
      <c r="B815" s="120"/>
      <c r="C815" s="120"/>
      <c r="D815" s="40"/>
      <c r="E815" s="114"/>
      <c r="F815" s="113"/>
      <c r="G815" s="113"/>
      <c r="H815" s="113"/>
      <c r="I815" s="113"/>
      <c r="J815" s="113"/>
      <c r="K815" s="113"/>
      <c r="L815" s="113"/>
      <c r="M815" s="113"/>
      <c r="N815" s="113"/>
      <c r="O815" s="113"/>
      <c r="P815" s="113"/>
      <c r="Q815" s="113"/>
      <c r="R815" s="113"/>
      <c r="S815" s="113"/>
      <c r="T815" s="113"/>
      <c r="U815" s="113"/>
      <c r="V815" s="113"/>
      <c r="W815" s="113"/>
      <c r="X815" s="113"/>
      <c r="Y815" s="113"/>
      <c r="Z815" s="113"/>
    </row>
    <row r="816">
      <c r="A816" s="113"/>
      <c r="B816" s="120"/>
      <c r="C816" s="120"/>
      <c r="D816" s="40"/>
      <c r="E816" s="114"/>
      <c r="F816" s="113"/>
      <c r="G816" s="113"/>
      <c r="H816" s="113"/>
      <c r="I816" s="113"/>
      <c r="J816" s="113"/>
      <c r="K816" s="113"/>
      <c r="L816" s="113"/>
      <c r="M816" s="113"/>
      <c r="N816" s="113"/>
      <c r="O816" s="113"/>
      <c r="P816" s="113"/>
      <c r="Q816" s="113"/>
      <c r="R816" s="113"/>
      <c r="S816" s="113"/>
      <c r="T816" s="113"/>
      <c r="U816" s="113"/>
      <c r="V816" s="113"/>
      <c r="W816" s="113"/>
      <c r="X816" s="113"/>
      <c r="Y816" s="113"/>
      <c r="Z816" s="113"/>
    </row>
    <row r="817">
      <c r="A817" s="113"/>
      <c r="B817" s="120"/>
      <c r="C817" s="120"/>
      <c r="D817" s="40"/>
      <c r="E817" s="114"/>
      <c r="F817" s="113"/>
      <c r="G817" s="113"/>
      <c r="H817" s="113"/>
      <c r="I817" s="113"/>
      <c r="J817" s="113"/>
      <c r="K817" s="113"/>
      <c r="L817" s="113"/>
      <c r="M817" s="113"/>
      <c r="N817" s="113"/>
      <c r="O817" s="113"/>
      <c r="P817" s="113"/>
      <c r="Q817" s="113"/>
      <c r="R817" s="113"/>
      <c r="S817" s="113"/>
      <c r="T817" s="113"/>
      <c r="U817" s="113"/>
      <c r="V817" s="113"/>
      <c r="W817" s="113"/>
      <c r="X817" s="113"/>
      <c r="Y817" s="113"/>
      <c r="Z817" s="113"/>
    </row>
    <row r="818">
      <c r="A818" s="113"/>
      <c r="B818" s="120"/>
      <c r="C818" s="120"/>
      <c r="D818" s="40"/>
      <c r="E818" s="114"/>
      <c r="F818" s="113"/>
      <c r="G818" s="113"/>
      <c r="H818" s="113"/>
      <c r="I818" s="113"/>
      <c r="J818" s="113"/>
      <c r="K818" s="113"/>
      <c r="L818" s="113"/>
      <c r="M818" s="113"/>
      <c r="N818" s="113"/>
      <c r="O818" s="113"/>
      <c r="P818" s="113"/>
      <c r="Q818" s="113"/>
      <c r="R818" s="113"/>
      <c r="S818" s="113"/>
      <c r="T818" s="113"/>
      <c r="U818" s="113"/>
      <c r="V818" s="113"/>
      <c r="W818" s="113"/>
      <c r="X818" s="113"/>
      <c r="Y818" s="113"/>
      <c r="Z818" s="113"/>
    </row>
    <row r="819">
      <c r="A819" s="113"/>
      <c r="B819" s="120"/>
      <c r="C819" s="120"/>
      <c r="D819" s="40"/>
      <c r="E819" s="114"/>
      <c r="F819" s="113"/>
      <c r="G819" s="113"/>
      <c r="H819" s="113"/>
      <c r="I819" s="113"/>
      <c r="J819" s="113"/>
      <c r="K819" s="113"/>
      <c r="L819" s="113"/>
      <c r="M819" s="113"/>
      <c r="N819" s="113"/>
      <c r="O819" s="113"/>
      <c r="P819" s="113"/>
      <c r="Q819" s="113"/>
      <c r="R819" s="113"/>
      <c r="S819" s="113"/>
      <c r="T819" s="113"/>
      <c r="U819" s="113"/>
      <c r="V819" s="113"/>
      <c r="W819" s="113"/>
      <c r="X819" s="113"/>
      <c r="Y819" s="113"/>
      <c r="Z819" s="113"/>
    </row>
    <row r="820">
      <c r="A820" s="113"/>
      <c r="B820" s="120"/>
      <c r="C820" s="120"/>
      <c r="D820" s="40"/>
      <c r="E820" s="114"/>
      <c r="F820" s="113"/>
      <c r="G820" s="113"/>
      <c r="H820" s="113"/>
      <c r="I820" s="113"/>
      <c r="J820" s="113"/>
      <c r="K820" s="113"/>
      <c r="L820" s="113"/>
      <c r="M820" s="113"/>
      <c r="N820" s="113"/>
      <c r="O820" s="113"/>
      <c r="P820" s="113"/>
      <c r="Q820" s="113"/>
      <c r="R820" s="113"/>
      <c r="S820" s="113"/>
      <c r="T820" s="113"/>
      <c r="U820" s="113"/>
      <c r="V820" s="113"/>
      <c r="W820" s="113"/>
      <c r="X820" s="113"/>
      <c r="Y820" s="113"/>
      <c r="Z820" s="113"/>
    </row>
    <row r="821">
      <c r="A821" s="113"/>
      <c r="B821" s="120"/>
      <c r="C821" s="120"/>
      <c r="D821" s="40"/>
      <c r="E821" s="114"/>
      <c r="F821" s="113"/>
      <c r="G821" s="113"/>
      <c r="H821" s="113"/>
      <c r="I821" s="113"/>
      <c r="J821" s="113"/>
      <c r="K821" s="113"/>
      <c r="L821" s="113"/>
      <c r="M821" s="113"/>
      <c r="N821" s="113"/>
      <c r="O821" s="113"/>
      <c r="P821" s="113"/>
      <c r="Q821" s="113"/>
      <c r="R821" s="113"/>
      <c r="S821" s="113"/>
      <c r="T821" s="113"/>
      <c r="U821" s="113"/>
      <c r="V821" s="113"/>
      <c r="W821" s="113"/>
      <c r="X821" s="113"/>
      <c r="Y821" s="113"/>
      <c r="Z821" s="113"/>
    </row>
    <row r="822">
      <c r="A822" s="113"/>
      <c r="B822" s="120"/>
      <c r="C822" s="120"/>
      <c r="D822" s="40"/>
      <c r="E822" s="114"/>
      <c r="F822" s="113"/>
      <c r="G822" s="113"/>
      <c r="H822" s="113"/>
      <c r="I822" s="113"/>
      <c r="J822" s="113"/>
      <c r="K822" s="113"/>
      <c r="L822" s="113"/>
      <c r="M822" s="113"/>
      <c r="N822" s="113"/>
      <c r="O822" s="113"/>
      <c r="P822" s="113"/>
      <c r="Q822" s="113"/>
      <c r="R822" s="113"/>
      <c r="S822" s="113"/>
      <c r="T822" s="113"/>
      <c r="U822" s="113"/>
      <c r="V822" s="113"/>
      <c r="W822" s="113"/>
      <c r="X822" s="113"/>
      <c r="Y822" s="113"/>
      <c r="Z822" s="113"/>
    </row>
    <row r="823">
      <c r="A823" s="113"/>
      <c r="B823" s="120"/>
      <c r="C823" s="120"/>
      <c r="D823" s="40"/>
      <c r="E823" s="114"/>
      <c r="F823" s="113"/>
      <c r="G823" s="113"/>
      <c r="H823" s="113"/>
      <c r="I823" s="113"/>
      <c r="J823" s="113"/>
      <c r="K823" s="113"/>
      <c r="L823" s="113"/>
      <c r="M823" s="113"/>
      <c r="N823" s="113"/>
      <c r="O823" s="113"/>
      <c r="P823" s="113"/>
      <c r="Q823" s="113"/>
      <c r="R823" s="113"/>
      <c r="S823" s="113"/>
      <c r="T823" s="113"/>
      <c r="U823" s="113"/>
      <c r="V823" s="113"/>
      <c r="W823" s="113"/>
      <c r="X823" s="113"/>
      <c r="Y823" s="113"/>
      <c r="Z823" s="113"/>
    </row>
    <row r="824">
      <c r="A824" s="113"/>
      <c r="B824" s="120"/>
      <c r="C824" s="120"/>
      <c r="D824" s="40"/>
      <c r="E824" s="114"/>
      <c r="F824" s="113"/>
      <c r="G824" s="113"/>
      <c r="H824" s="113"/>
      <c r="I824" s="113"/>
      <c r="J824" s="113"/>
      <c r="K824" s="113"/>
      <c r="L824" s="113"/>
      <c r="M824" s="113"/>
      <c r="N824" s="113"/>
      <c r="O824" s="113"/>
      <c r="P824" s="113"/>
      <c r="Q824" s="113"/>
      <c r="R824" s="113"/>
      <c r="S824" s="113"/>
      <c r="T824" s="113"/>
      <c r="U824" s="113"/>
      <c r="V824" s="113"/>
      <c r="W824" s="113"/>
      <c r="X824" s="113"/>
      <c r="Y824" s="113"/>
      <c r="Z824" s="113"/>
    </row>
    <row r="825">
      <c r="A825" s="113"/>
      <c r="B825" s="120"/>
      <c r="C825" s="120"/>
      <c r="D825" s="40"/>
      <c r="E825" s="114"/>
      <c r="F825" s="113"/>
      <c r="G825" s="113"/>
      <c r="H825" s="113"/>
      <c r="I825" s="113"/>
      <c r="J825" s="113"/>
      <c r="K825" s="113"/>
      <c r="L825" s="113"/>
      <c r="M825" s="113"/>
      <c r="N825" s="113"/>
      <c r="O825" s="113"/>
      <c r="P825" s="113"/>
      <c r="Q825" s="113"/>
      <c r="R825" s="113"/>
      <c r="S825" s="113"/>
      <c r="T825" s="113"/>
      <c r="U825" s="113"/>
      <c r="V825" s="113"/>
      <c r="W825" s="113"/>
      <c r="X825" s="113"/>
      <c r="Y825" s="113"/>
      <c r="Z825" s="113"/>
    </row>
    <row r="826">
      <c r="A826" s="113"/>
      <c r="B826" s="120"/>
      <c r="C826" s="120"/>
      <c r="D826" s="40"/>
      <c r="E826" s="114"/>
      <c r="F826" s="113"/>
      <c r="G826" s="113"/>
      <c r="H826" s="113"/>
      <c r="I826" s="113"/>
      <c r="J826" s="113"/>
      <c r="K826" s="113"/>
      <c r="L826" s="113"/>
      <c r="M826" s="113"/>
      <c r="N826" s="113"/>
      <c r="O826" s="113"/>
      <c r="P826" s="113"/>
      <c r="Q826" s="113"/>
      <c r="R826" s="113"/>
      <c r="S826" s="113"/>
      <c r="T826" s="113"/>
      <c r="U826" s="113"/>
      <c r="V826" s="113"/>
      <c r="W826" s="113"/>
      <c r="X826" s="113"/>
      <c r="Y826" s="113"/>
      <c r="Z826" s="113"/>
    </row>
    <row r="827">
      <c r="A827" s="113"/>
      <c r="B827" s="120"/>
      <c r="C827" s="120"/>
      <c r="D827" s="40"/>
      <c r="E827" s="114"/>
      <c r="F827" s="113"/>
      <c r="G827" s="113"/>
      <c r="H827" s="113"/>
      <c r="I827" s="113"/>
      <c r="J827" s="113"/>
      <c r="K827" s="113"/>
      <c r="L827" s="113"/>
      <c r="M827" s="113"/>
      <c r="N827" s="113"/>
      <c r="O827" s="113"/>
      <c r="P827" s="113"/>
      <c r="Q827" s="113"/>
      <c r="R827" s="113"/>
      <c r="S827" s="113"/>
      <c r="T827" s="113"/>
      <c r="U827" s="113"/>
      <c r="V827" s="113"/>
      <c r="W827" s="113"/>
      <c r="X827" s="113"/>
      <c r="Y827" s="113"/>
      <c r="Z827" s="113"/>
    </row>
    <row r="828">
      <c r="A828" s="113"/>
      <c r="B828" s="120"/>
      <c r="C828" s="120"/>
      <c r="D828" s="40"/>
      <c r="E828" s="114"/>
      <c r="F828" s="113"/>
      <c r="G828" s="113"/>
      <c r="H828" s="113"/>
      <c r="I828" s="113"/>
      <c r="J828" s="113"/>
      <c r="K828" s="113"/>
      <c r="L828" s="113"/>
      <c r="M828" s="113"/>
      <c r="N828" s="113"/>
      <c r="O828" s="113"/>
      <c r="P828" s="113"/>
      <c r="Q828" s="113"/>
      <c r="R828" s="113"/>
      <c r="S828" s="113"/>
      <c r="T828" s="113"/>
      <c r="U828" s="113"/>
      <c r="V828" s="113"/>
      <c r="W828" s="113"/>
      <c r="X828" s="113"/>
      <c r="Y828" s="113"/>
      <c r="Z828" s="113"/>
    </row>
    <row r="829">
      <c r="A829" s="113"/>
      <c r="B829" s="120"/>
      <c r="C829" s="120"/>
      <c r="D829" s="40"/>
      <c r="E829" s="114"/>
      <c r="F829" s="113"/>
      <c r="G829" s="113"/>
      <c r="H829" s="113"/>
      <c r="I829" s="113"/>
      <c r="J829" s="113"/>
      <c r="K829" s="113"/>
      <c r="L829" s="113"/>
      <c r="M829" s="113"/>
      <c r="N829" s="113"/>
      <c r="O829" s="113"/>
      <c r="P829" s="113"/>
      <c r="Q829" s="113"/>
      <c r="R829" s="113"/>
      <c r="S829" s="113"/>
      <c r="T829" s="113"/>
      <c r="U829" s="113"/>
      <c r="V829" s="113"/>
      <c r="W829" s="113"/>
      <c r="X829" s="113"/>
      <c r="Y829" s="113"/>
      <c r="Z829" s="113"/>
    </row>
    <row r="830">
      <c r="A830" s="113"/>
      <c r="B830" s="120"/>
      <c r="C830" s="120"/>
      <c r="D830" s="40"/>
      <c r="E830" s="114"/>
      <c r="F830" s="113"/>
      <c r="G830" s="113"/>
      <c r="H830" s="113"/>
      <c r="I830" s="113"/>
      <c r="J830" s="113"/>
      <c r="K830" s="113"/>
      <c r="L830" s="113"/>
      <c r="M830" s="113"/>
      <c r="N830" s="113"/>
      <c r="O830" s="113"/>
      <c r="P830" s="113"/>
      <c r="Q830" s="113"/>
      <c r="R830" s="113"/>
      <c r="S830" s="113"/>
      <c r="T830" s="113"/>
      <c r="U830" s="113"/>
      <c r="V830" s="113"/>
      <c r="W830" s="113"/>
      <c r="X830" s="113"/>
      <c r="Y830" s="113"/>
      <c r="Z830" s="113"/>
    </row>
    <row r="831">
      <c r="A831" s="113"/>
      <c r="B831" s="120"/>
      <c r="C831" s="120"/>
      <c r="D831" s="40"/>
      <c r="E831" s="114"/>
      <c r="F831" s="113"/>
      <c r="G831" s="113"/>
      <c r="H831" s="113"/>
      <c r="I831" s="113"/>
      <c r="J831" s="113"/>
      <c r="K831" s="113"/>
      <c r="L831" s="113"/>
      <c r="M831" s="113"/>
      <c r="N831" s="113"/>
      <c r="O831" s="113"/>
      <c r="P831" s="113"/>
      <c r="Q831" s="113"/>
      <c r="R831" s="113"/>
      <c r="S831" s="113"/>
      <c r="T831" s="113"/>
      <c r="U831" s="113"/>
      <c r="V831" s="113"/>
      <c r="W831" s="113"/>
      <c r="X831" s="113"/>
      <c r="Y831" s="113"/>
      <c r="Z831" s="113"/>
    </row>
    <row r="832">
      <c r="A832" s="113"/>
      <c r="B832" s="120"/>
      <c r="C832" s="120"/>
      <c r="D832" s="40"/>
      <c r="E832" s="114"/>
      <c r="F832" s="113"/>
      <c r="G832" s="113"/>
      <c r="H832" s="113"/>
      <c r="I832" s="113"/>
      <c r="J832" s="113"/>
      <c r="K832" s="113"/>
      <c r="L832" s="113"/>
      <c r="M832" s="113"/>
      <c r="N832" s="113"/>
      <c r="O832" s="113"/>
      <c r="P832" s="113"/>
      <c r="Q832" s="113"/>
      <c r="R832" s="113"/>
      <c r="S832" s="113"/>
      <c r="T832" s="113"/>
      <c r="U832" s="113"/>
      <c r="V832" s="113"/>
      <c r="W832" s="113"/>
      <c r="X832" s="113"/>
      <c r="Y832" s="113"/>
      <c r="Z832" s="113"/>
    </row>
    <row r="833">
      <c r="A833" s="113"/>
      <c r="B833" s="120"/>
      <c r="C833" s="120"/>
      <c r="D833" s="40"/>
      <c r="E833" s="114"/>
      <c r="F833" s="113"/>
      <c r="G833" s="113"/>
      <c r="H833" s="113"/>
      <c r="I833" s="113"/>
      <c r="J833" s="113"/>
      <c r="K833" s="113"/>
      <c r="L833" s="113"/>
      <c r="M833" s="113"/>
      <c r="N833" s="113"/>
      <c r="O833" s="113"/>
      <c r="P833" s="113"/>
      <c r="Q833" s="113"/>
      <c r="R833" s="113"/>
      <c r="S833" s="113"/>
      <c r="T833" s="113"/>
      <c r="U833" s="113"/>
      <c r="V833" s="113"/>
      <c r="W833" s="113"/>
      <c r="X833" s="113"/>
      <c r="Y833" s="113"/>
      <c r="Z833" s="113"/>
    </row>
    <row r="834">
      <c r="A834" s="113"/>
      <c r="B834" s="120"/>
      <c r="C834" s="120"/>
      <c r="D834" s="40"/>
      <c r="E834" s="114"/>
      <c r="F834" s="113"/>
      <c r="G834" s="113"/>
      <c r="H834" s="113"/>
      <c r="I834" s="113"/>
      <c r="J834" s="113"/>
      <c r="K834" s="113"/>
      <c r="L834" s="113"/>
      <c r="M834" s="113"/>
      <c r="N834" s="113"/>
      <c r="O834" s="113"/>
      <c r="P834" s="113"/>
      <c r="Q834" s="113"/>
      <c r="R834" s="113"/>
      <c r="S834" s="113"/>
      <c r="T834" s="113"/>
      <c r="U834" s="113"/>
      <c r="V834" s="113"/>
      <c r="W834" s="113"/>
      <c r="X834" s="113"/>
      <c r="Y834" s="113"/>
      <c r="Z834" s="113"/>
    </row>
    <row r="835">
      <c r="A835" s="113"/>
      <c r="B835" s="120"/>
      <c r="C835" s="120"/>
      <c r="D835" s="40"/>
      <c r="E835" s="114"/>
      <c r="F835" s="113"/>
      <c r="G835" s="113"/>
      <c r="H835" s="113"/>
      <c r="I835" s="113"/>
      <c r="J835" s="113"/>
      <c r="K835" s="113"/>
      <c r="L835" s="113"/>
      <c r="M835" s="113"/>
      <c r="N835" s="113"/>
      <c r="O835" s="113"/>
      <c r="P835" s="113"/>
      <c r="Q835" s="113"/>
      <c r="R835" s="113"/>
      <c r="S835" s="113"/>
      <c r="T835" s="113"/>
      <c r="U835" s="113"/>
      <c r="V835" s="113"/>
      <c r="W835" s="113"/>
      <c r="X835" s="113"/>
      <c r="Y835" s="113"/>
      <c r="Z835" s="113"/>
    </row>
    <row r="836">
      <c r="A836" s="113"/>
      <c r="B836" s="120"/>
      <c r="C836" s="120"/>
      <c r="D836" s="40"/>
      <c r="E836" s="114"/>
      <c r="F836" s="113"/>
      <c r="G836" s="113"/>
      <c r="H836" s="113"/>
      <c r="I836" s="113"/>
      <c r="J836" s="113"/>
      <c r="K836" s="113"/>
      <c r="L836" s="113"/>
      <c r="M836" s="113"/>
      <c r="N836" s="113"/>
      <c r="O836" s="113"/>
      <c r="P836" s="113"/>
      <c r="Q836" s="113"/>
      <c r="R836" s="113"/>
      <c r="S836" s="113"/>
      <c r="T836" s="113"/>
      <c r="U836" s="113"/>
      <c r="V836" s="113"/>
      <c r="W836" s="113"/>
      <c r="X836" s="113"/>
      <c r="Y836" s="113"/>
      <c r="Z836" s="113"/>
    </row>
    <row r="837">
      <c r="A837" s="113"/>
      <c r="B837" s="120"/>
      <c r="C837" s="120"/>
      <c r="D837" s="40"/>
      <c r="E837" s="114"/>
      <c r="F837" s="113"/>
      <c r="G837" s="113"/>
      <c r="H837" s="113"/>
      <c r="I837" s="113"/>
      <c r="J837" s="113"/>
      <c r="K837" s="113"/>
      <c r="L837" s="113"/>
      <c r="M837" s="113"/>
      <c r="N837" s="113"/>
      <c r="O837" s="113"/>
      <c r="P837" s="113"/>
      <c r="Q837" s="113"/>
      <c r="R837" s="113"/>
      <c r="S837" s="113"/>
      <c r="T837" s="113"/>
      <c r="U837" s="113"/>
      <c r="V837" s="113"/>
      <c r="W837" s="113"/>
      <c r="X837" s="113"/>
      <c r="Y837" s="113"/>
      <c r="Z837" s="113"/>
    </row>
    <row r="838">
      <c r="A838" s="113"/>
      <c r="B838" s="120"/>
      <c r="C838" s="120"/>
      <c r="D838" s="40"/>
      <c r="E838" s="114"/>
      <c r="F838" s="113"/>
      <c r="G838" s="113"/>
      <c r="H838" s="113"/>
      <c r="I838" s="113"/>
      <c r="J838" s="113"/>
      <c r="K838" s="113"/>
      <c r="L838" s="113"/>
      <c r="M838" s="113"/>
      <c r="N838" s="113"/>
      <c r="O838" s="113"/>
      <c r="P838" s="113"/>
      <c r="Q838" s="113"/>
      <c r="R838" s="113"/>
      <c r="S838" s="113"/>
      <c r="T838" s="113"/>
      <c r="U838" s="113"/>
      <c r="V838" s="113"/>
      <c r="W838" s="113"/>
      <c r="X838" s="113"/>
      <c r="Y838" s="113"/>
      <c r="Z838" s="113"/>
    </row>
    <row r="839">
      <c r="A839" s="113"/>
      <c r="B839" s="120"/>
      <c r="C839" s="120"/>
      <c r="D839" s="40"/>
      <c r="E839" s="114"/>
      <c r="F839" s="113"/>
      <c r="G839" s="113"/>
      <c r="H839" s="113"/>
      <c r="I839" s="113"/>
      <c r="J839" s="113"/>
      <c r="K839" s="113"/>
      <c r="L839" s="113"/>
      <c r="M839" s="113"/>
      <c r="N839" s="113"/>
      <c r="O839" s="113"/>
      <c r="P839" s="113"/>
      <c r="Q839" s="113"/>
      <c r="R839" s="113"/>
      <c r="S839" s="113"/>
      <c r="T839" s="113"/>
      <c r="U839" s="113"/>
      <c r="V839" s="113"/>
      <c r="W839" s="113"/>
      <c r="X839" s="113"/>
      <c r="Y839" s="113"/>
      <c r="Z839" s="113"/>
    </row>
    <row r="840">
      <c r="A840" s="113"/>
      <c r="B840" s="120"/>
      <c r="C840" s="120"/>
      <c r="D840" s="40"/>
      <c r="E840" s="114"/>
      <c r="F840" s="113"/>
      <c r="G840" s="113"/>
      <c r="H840" s="113"/>
      <c r="I840" s="113"/>
      <c r="J840" s="113"/>
      <c r="K840" s="113"/>
      <c r="L840" s="113"/>
      <c r="M840" s="113"/>
      <c r="N840" s="113"/>
      <c r="O840" s="113"/>
      <c r="P840" s="113"/>
      <c r="Q840" s="113"/>
      <c r="R840" s="113"/>
      <c r="S840" s="113"/>
      <c r="T840" s="113"/>
      <c r="U840" s="113"/>
      <c r="V840" s="113"/>
      <c r="W840" s="113"/>
      <c r="X840" s="113"/>
      <c r="Y840" s="113"/>
      <c r="Z840" s="113"/>
    </row>
    <row r="841">
      <c r="A841" s="113"/>
      <c r="B841" s="120"/>
      <c r="C841" s="120"/>
      <c r="D841" s="40"/>
      <c r="E841" s="114"/>
      <c r="F841" s="113"/>
      <c r="G841" s="113"/>
      <c r="H841" s="113"/>
      <c r="I841" s="113"/>
      <c r="J841" s="113"/>
      <c r="K841" s="113"/>
      <c r="L841" s="113"/>
      <c r="M841" s="113"/>
      <c r="N841" s="113"/>
      <c r="O841" s="113"/>
      <c r="P841" s="113"/>
      <c r="Q841" s="113"/>
      <c r="R841" s="113"/>
      <c r="S841" s="113"/>
      <c r="T841" s="113"/>
      <c r="U841" s="113"/>
      <c r="V841" s="113"/>
      <c r="W841" s="113"/>
      <c r="X841" s="113"/>
      <c r="Y841" s="113"/>
      <c r="Z841" s="113"/>
    </row>
    <row r="842">
      <c r="A842" s="113"/>
      <c r="B842" s="120"/>
      <c r="C842" s="120"/>
      <c r="D842" s="40"/>
      <c r="E842" s="114"/>
      <c r="F842" s="113"/>
      <c r="G842" s="113"/>
      <c r="H842" s="113"/>
      <c r="I842" s="113"/>
      <c r="J842" s="113"/>
      <c r="K842" s="113"/>
      <c r="L842" s="113"/>
      <c r="M842" s="113"/>
      <c r="N842" s="113"/>
      <c r="O842" s="113"/>
      <c r="P842" s="113"/>
      <c r="Q842" s="113"/>
      <c r="R842" s="113"/>
      <c r="S842" s="113"/>
      <c r="T842" s="113"/>
      <c r="U842" s="113"/>
      <c r="V842" s="113"/>
      <c r="W842" s="113"/>
      <c r="X842" s="113"/>
      <c r="Y842" s="113"/>
      <c r="Z842" s="113"/>
    </row>
    <row r="843">
      <c r="A843" s="113"/>
      <c r="B843" s="120"/>
      <c r="C843" s="120"/>
      <c r="D843" s="40"/>
      <c r="E843" s="114"/>
      <c r="F843" s="113"/>
      <c r="G843" s="113"/>
      <c r="H843" s="113"/>
      <c r="I843" s="113"/>
      <c r="J843" s="113"/>
      <c r="K843" s="113"/>
      <c r="L843" s="113"/>
      <c r="M843" s="113"/>
      <c r="N843" s="113"/>
      <c r="O843" s="113"/>
      <c r="P843" s="113"/>
      <c r="Q843" s="113"/>
      <c r="R843" s="113"/>
      <c r="S843" s="113"/>
      <c r="T843" s="113"/>
      <c r="U843" s="113"/>
      <c r="V843" s="113"/>
      <c r="W843" s="113"/>
      <c r="X843" s="113"/>
      <c r="Y843" s="113"/>
      <c r="Z843" s="113"/>
    </row>
    <row r="844">
      <c r="A844" s="113"/>
      <c r="B844" s="120"/>
      <c r="C844" s="120"/>
      <c r="D844" s="40"/>
      <c r="E844" s="114"/>
      <c r="F844" s="113"/>
      <c r="G844" s="113"/>
      <c r="H844" s="113"/>
      <c r="I844" s="113"/>
      <c r="J844" s="113"/>
      <c r="K844" s="113"/>
      <c r="L844" s="113"/>
      <c r="M844" s="113"/>
      <c r="N844" s="113"/>
      <c r="O844" s="113"/>
      <c r="P844" s="113"/>
      <c r="Q844" s="113"/>
      <c r="R844" s="113"/>
      <c r="S844" s="113"/>
      <c r="T844" s="113"/>
      <c r="U844" s="113"/>
      <c r="V844" s="113"/>
      <c r="W844" s="113"/>
      <c r="X844" s="113"/>
      <c r="Y844" s="113"/>
      <c r="Z844" s="113"/>
    </row>
    <row r="845">
      <c r="A845" s="113"/>
      <c r="B845" s="120"/>
      <c r="C845" s="120"/>
      <c r="D845" s="40"/>
      <c r="E845" s="114"/>
      <c r="F845" s="113"/>
      <c r="G845" s="113"/>
      <c r="H845" s="113"/>
      <c r="I845" s="113"/>
      <c r="J845" s="113"/>
      <c r="K845" s="113"/>
      <c r="L845" s="113"/>
      <c r="M845" s="113"/>
      <c r="N845" s="113"/>
      <c r="O845" s="113"/>
      <c r="P845" s="113"/>
      <c r="Q845" s="113"/>
      <c r="R845" s="113"/>
      <c r="S845" s="113"/>
      <c r="T845" s="113"/>
      <c r="U845" s="113"/>
      <c r="V845" s="113"/>
      <c r="W845" s="113"/>
      <c r="X845" s="113"/>
      <c r="Y845" s="113"/>
      <c r="Z845" s="113"/>
    </row>
    <row r="846">
      <c r="A846" s="113"/>
      <c r="B846" s="120"/>
      <c r="C846" s="120"/>
      <c r="D846" s="40"/>
      <c r="E846" s="114"/>
      <c r="F846" s="113"/>
      <c r="G846" s="113"/>
      <c r="H846" s="113"/>
      <c r="I846" s="113"/>
      <c r="J846" s="113"/>
      <c r="K846" s="113"/>
      <c r="L846" s="113"/>
      <c r="M846" s="113"/>
      <c r="N846" s="113"/>
      <c r="O846" s="113"/>
      <c r="P846" s="113"/>
      <c r="Q846" s="113"/>
      <c r="R846" s="113"/>
      <c r="S846" s="113"/>
      <c r="T846" s="113"/>
      <c r="U846" s="113"/>
      <c r="V846" s="113"/>
      <c r="W846" s="113"/>
      <c r="X846" s="113"/>
      <c r="Y846" s="113"/>
      <c r="Z846" s="113"/>
    </row>
    <row r="847">
      <c r="A847" s="113"/>
      <c r="B847" s="120"/>
      <c r="C847" s="120"/>
      <c r="D847" s="40"/>
      <c r="E847" s="114"/>
      <c r="F847" s="113"/>
      <c r="G847" s="113"/>
      <c r="H847" s="113"/>
      <c r="I847" s="113"/>
      <c r="J847" s="113"/>
      <c r="K847" s="113"/>
      <c r="L847" s="113"/>
      <c r="M847" s="113"/>
      <c r="N847" s="113"/>
      <c r="O847" s="113"/>
      <c r="P847" s="113"/>
      <c r="Q847" s="113"/>
      <c r="R847" s="113"/>
      <c r="S847" s="113"/>
      <c r="T847" s="113"/>
      <c r="U847" s="113"/>
      <c r="V847" s="113"/>
      <c r="W847" s="113"/>
      <c r="X847" s="113"/>
      <c r="Y847" s="113"/>
      <c r="Z847" s="113"/>
    </row>
    <row r="848">
      <c r="A848" s="113"/>
      <c r="B848" s="120"/>
      <c r="C848" s="120"/>
      <c r="D848" s="40"/>
      <c r="E848" s="114"/>
      <c r="F848" s="113"/>
      <c r="G848" s="113"/>
      <c r="H848" s="113"/>
      <c r="I848" s="113"/>
      <c r="J848" s="113"/>
      <c r="K848" s="113"/>
      <c r="L848" s="113"/>
      <c r="M848" s="113"/>
      <c r="N848" s="113"/>
      <c r="O848" s="113"/>
      <c r="P848" s="113"/>
      <c r="Q848" s="113"/>
      <c r="R848" s="113"/>
      <c r="S848" s="113"/>
      <c r="T848" s="113"/>
      <c r="U848" s="113"/>
      <c r="V848" s="113"/>
      <c r="W848" s="113"/>
      <c r="X848" s="113"/>
      <c r="Y848" s="113"/>
      <c r="Z848" s="113"/>
    </row>
    <row r="849">
      <c r="A849" s="113"/>
      <c r="B849" s="120"/>
      <c r="C849" s="120"/>
      <c r="D849" s="40"/>
      <c r="E849" s="114"/>
      <c r="F849" s="113"/>
      <c r="G849" s="113"/>
      <c r="H849" s="113"/>
      <c r="I849" s="113"/>
      <c r="J849" s="113"/>
      <c r="K849" s="113"/>
      <c r="L849" s="113"/>
      <c r="M849" s="113"/>
      <c r="N849" s="113"/>
      <c r="O849" s="113"/>
      <c r="P849" s="113"/>
      <c r="Q849" s="113"/>
      <c r="R849" s="113"/>
      <c r="S849" s="113"/>
      <c r="T849" s="113"/>
      <c r="U849" s="113"/>
      <c r="V849" s="113"/>
      <c r="W849" s="113"/>
      <c r="X849" s="113"/>
      <c r="Y849" s="113"/>
      <c r="Z849" s="113"/>
    </row>
    <row r="850">
      <c r="A850" s="113"/>
      <c r="B850" s="120"/>
      <c r="C850" s="120"/>
      <c r="D850" s="40"/>
      <c r="E850" s="114"/>
      <c r="F850" s="113"/>
      <c r="G850" s="113"/>
      <c r="H850" s="113"/>
      <c r="I850" s="113"/>
      <c r="J850" s="113"/>
      <c r="K850" s="113"/>
      <c r="L850" s="113"/>
      <c r="M850" s="113"/>
      <c r="N850" s="113"/>
      <c r="O850" s="113"/>
      <c r="P850" s="113"/>
      <c r="Q850" s="113"/>
      <c r="R850" s="113"/>
      <c r="S850" s="113"/>
      <c r="T850" s="113"/>
      <c r="U850" s="113"/>
      <c r="V850" s="113"/>
      <c r="W850" s="113"/>
      <c r="X850" s="113"/>
      <c r="Y850" s="113"/>
      <c r="Z850" s="113"/>
    </row>
    <row r="851">
      <c r="A851" s="113"/>
      <c r="B851" s="120"/>
      <c r="C851" s="120"/>
      <c r="D851" s="40"/>
      <c r="E851" s="114"/>
      <c r="F851" s="113"/>
      <c r="G851" s="113"/>
      <c r="H851" s="113"/>
      <c r="I851" s="113"/>
      <c r="J851" s="113"/>
      <c r="K851" s="113"/>
      <c r="L851" s="113"/>
      <c r="M851" s="113"/>
      <c r="N851" s="113"/>
      <c r="O851" s="113"/>
      <c r="P851" s="113"/>
      <c r="Q851" s="113"/>
      <c r="R851" s="113"/>
      <c r="S851" s="113"/>
      <c r="T851" s="113"/>
      <c r="U851" s="113"/>
      <c r="V851" s="113"/>
      <c r="W851" s="113"/>
      <c r="X851" s="113"/>
      <c r="Y851" s="113"/>
      <c r="Z851" s="113"/>
    </row>
    <row r="852">
      <c r="A852" s="113"/>
      <c r="B852" s="120"/>
      <c r="C852" s="120"/>
      <c r="D852" s="40"/>
      <c r="E852" s="114"/>
      <c r="F852" s="113"/>
      <c r="G852" s="113"/>
      <c r="H852" s="113"/>
      <c r="I852" s="113"/>
      <c r="J852" s="113"/>
      <c r="K852" s="113"/>
      <c r="L852" s="113"/>
      <c r="M852" s="113"/>
      <c r="N852" s="113"/>
      <c r="O852" s="113"/>
      <c r="P852" s="113"/>
      <c r="Q852" s="113"/>
      <c r="R852" s="113"/>
      <c r="S852" s="113"/>
      <c r="T852" s="113"/>
      <c r="U852" s="113"/>
      <c r="V852" s="113"/>
      <c r="W852" s="113"/>
      <c r="X852" s="113"/>
      <c r="Y852" s="113"/>
      <c r="Z852" s="113"/>
    </row>
    <row r="853">
      <c r="A853" s="113"/>
      <c r="B853" s="120"/>
      <c r="C853" s="120"/>
      <c r="D853" s="40"/>
      <c r="E853" s="114"/>
      <c r="F853" s="113"/>
      <c r="G853" s="113"/>
      <c r="H853" s="113"/>
      <c r="I853" s="113"/>
      <c r="J853" s="113"/>
      <c r="K853" s="113"/>
      <c r="L853" s="113"/>
      <c r="M853" s="113"/>
      <c r="N853" s="113"/>
      <c r="O853" s="113"/>
      <c r="P853" s="113"/>
      <c r="Q853" s="113"/>
      <c r="R853" s="113"/>
      <c r="S853" s="113"/>
      <c r="T853" s="113"/>
      <c r="U853" s="113"/>
      <c r="V853" s="113"/>
      <c r="W853" s="113"/>
      <c r="X853" s="113"/>
      <c r="Y853" s="113"/>
      <c r="Z853" s="113"/>
    </row>
    <row r="854">
      <c r="A854" s="113"/>
      <c r="B854" s="120"/>
      <c r="C854" s="120"/>
      <c r="D854" s="40"/>
      <c r="E854" s="114"/>
      <c r="F854" s="113"/>
      <c r="G854" s="113"/>
      <c r="H854" s="113"/>
      <c r="I854" s="113"/>
      <c r="J854" s="113"/>
      <c r="K854" s="113"/>
      <c r="L854" s="113"/>
      <c r="M854" s="113"/>
      <c r="N854" s="113"/>
      <c r="O854" s="113"/>
      <c r="P854" s="113"/>
      <c r="Q854" s="113"/>
      <c r="R854" s="113"/>
      <c r="S854" s="113"/>
      <c r="T854" s="113"/>
      <c r="U854" s="113"/>
      <c r="V854" s="113"/>
      <c r="W854" s="113"/>
      <c r="X854" s="113"/>
      <c r="Y854" s="113"/>
      <c r="Z854" s="113"/>
    </row>
    <row r="855">
      <c r="A855" s="113"/>
      <c r="B855" s="120"/>
      <c r="C855" s="120"/>
      <c r="D855" s="40"/>
      <c r="E855" s="114"/>
      <c r="F855" s="113"/>
      <c r="G855" s="113"/>
      <c r="H855" s="113"/>
      <c r="I855" s="113"/>
      <c r="J855" s="113"/>
      <c r="K855" s="113"/>
      <c r="L855" s="113"/>
      <c r="M855" s="113"/>
      <c r="N855" s="113"/>
      <c r="O855" s="113"/>
      <c r="P855" s="113"/>
      <c r="Q855" s="113"/>
      <c r="R855" s="113"/>
      <c r="S855" s="113"/>
      <c r="T855" s="113"/>
      <c r="U855" s="113"/>
      <c r="V855" s="113"/>
      <c r="W855" s="113"/>
      <c r="X855" s="113"/>
      <c r="Y855" s="113"/>
      <c r="Z855" s="113"/>
    </row>
    <row r="856">
      <c r="A856" s="113"/>
      <c r="B856" s="120"/>
      <c r="C856" s="120"/>
      <c r="D856" s="40"/>
      <c r="E856" s="114"/>
      <c r="F856" s="113"/>
      <c r="G856" s="113"/>
      <c r="H856" s="113"/>
      <c r="I856" s="113"/>
      <c r="J856" s="113"/>
      <c r="K856" s="113"/>
      <c r="L856" s="113"/>
      <c r="M856" s="113"/>
      <c r="N856" s="113"/>
      <c r="O856" s="113"/>
      <c r="P856" s="113"/>
      <c r="Q856" s="113"/>
      <c r="R856" s="113"/>
      <c r="S856" s="113"/>
      <c r="T856" s="113"/>
      <c r="U856" s="113"/>
      <c r="V856" s="113"/>
      <c r="W856" s="113"/>
      <c r="X856" s="113"/>
      <c r="Y856" s="113"/>
      <c r="Z856" s="113"/>
    </row>
    <row r="857">
      <c r="A857" s="113"/>
      <c r="B857" s="120"/>
      <c r="C857" s="120"/>
      <c r="D857" s="40"/>
      <c r="E857" s="114"/>
      <c r="F857" s="113"/>
      <c r="G857" s="113"/>
      <c r="H857" s="113"/>
      <c r="I857" s="113"/>
      <c r="J857" s="113"/>
      <c r="K857" s="113"/>
      <c r="L857" s="113"/>
      <c r="M857" s="113"/>
      <c r="N857" s="113"/>
      <c r="O857" s="113"/>
      <c r="P857" s="113"/>
      <c r="Q857" s="113"/>
      <c r="R857" s="113"/>
      <c r="S857" s="113"/>
      <c r="T857" s="113"/>
      <c r="U857" s="113"/>
      <c r="V857" s="113"/>
      <c r="W857" s="113"/>
      <c r="X857" s="113"/>
      <c r="Y857" s="113"/>
      <c r="Z857" s="113"/>
    </row>
    <row r="858">
      <c r="A858" s="113"/>
      <c r="B858" s="120"/>
      <c r="C858" s="120"/>
      <c r="D858" s="40"/>
      <c r="E858" s="114"/>
      <c r="F858" s="113"/>
      <c r="G858" s="113"/>
      <c r="H858" s="113"/>
      <c r="I858" s="113"/>
      <c r="J858" s="113"/>
      <c r="K858" s="113"/>
      <c r="L858" s="113"/>
      <c r="M858" s="113"/>
      <c r="N858" s="113"/>
      <c r="O858" s="113"/>
      <c r="P858" s="113"/>
      <c r="Q858" s="113"/>
      <c r="R858" s="113"/>
      <c r="S858" s="113"/>
      <c r="T858" s="113"/>
      <c r="U858" s="113"/>
      <c r="V858" s="113"/>
      <c r="W858" s="113"/>
      <c r="X858" s="113"/>
      <c r="Y858" s="113"/>
      <c r="Z858" s="113"/>
    </row>
    <row r="859">
      <c r="A859" s="113"/>
      <c r="B859" s="120"/>
      <c r="C859" s="120"/>
      <c r="D859" s="40"/>
      <c r="E859" s="114"/>
      <c r="F859" s="113"/>
      <c r="G859" s="113"/>
      <c r="H859" s="113"/>
      <c r="I859" s="113"/>
      <c r="J859" s="113"/>
      <c r="K859" s="113"/>
      <c r="L859" s="113"/>
      <c r="M859" s="113"/>
      <c r="N859" s="113"/>
      <c r="O859" s="113"/>
      <c r="P859" s="113"/>
      <c r="Q859" s="113"/>
      <c r="R859" s="113"/>
      <c r="S859" s="113"/>
      <c r="T859" s="113"/>
      <c r="U859" s="113"/>
      <c r="V859" s="113"/>
      <c r="W859" s="113"/>
      <c r="X859" s="113"/>
      <c r="Y859" s="113"/>
      <c r="Z859" s="113"/>
    </row>
    <row r="860">
      <c r="A860" s="113"/>
      <c r="B860" s="120"/>
      <c r="C860" s="120"/>
      <c r="D860" s="40"/>
      <c r="E860" s="114"/>
      <c r="F860" s="113"/>
      <c r="G860" s="113"/>
      <c r="H860" s="113"/>
      <c r="I860" s="113"/>
      <c r="J860" s="113"/>
      <c r="K860" s="113"/>
      <c r="L860" s="113"/>
      <c r="M860" s="113"/>
      <c r="N860" s="113"/>
      <c r="O860" s="113"/>
      <c r="P860" s="113"/>
      <c r="Q860" s="113"/>
      <c r="R860" s="113"/>
      <c r="S860" s="113"/>
      <c r="T860" s="113"/>
      <c r="U860" s="113"/>
      <c r="V860" s="113"/>
      <c r="W860" s="113"/>
      <c r="X860" s="113"/>
      <c r="Y860" s="113"/>
      <c r="Z860" s="113"/>
    </row>
    <row r="861">
      <c r="A861" s="113"/>
      <c r="B861" s="120"/>
      <c r="C861" s="120"/>
      <c r="D861" s="40"/>
      <c r="E861" s="114"/>
      <c r="F861" s="113"/>
      <c r="G861" s="113"/>
      <c r="H861" s="113"/>
      <c r="I861" s="113"/>
      <c r="J861" s="113"/>
      <c r="K861" s="113"/>
      <c r="L861" s="113"/>
      <c r="M861" s="113"/>
      <c r="N861" s="113"/>
      <c r="O861" s="113"/>
      <c r="P861" s="113"/>
      <c r="Q861" s="113"/>
      <c r="R861" s="113"/>
      <c r="S861" s="113"/>
      <c r="T861" s="113"/>
      <c r="U861" s="113"/>
      <c r="V861" s="113"/>
      <c r="W861" s="113"/>
      <c r="X861" s="113"/>
      <c r="Y861" s="113"/>
      <c r="Z861" s="113"/>
    </row>
    <row r="862">
      <c r="A862" s="113"/>
      <c r="B862" s="120"/>
      <c r="C862" s="120"/>
      <c r="D862" s="40"/>
      <c r="E862" s="114"/>
      <c r="F862" s="113"/>
      <c r="G862" s="113"/>
      <c r="H862" s="113"/>
      <c r="I862" s="113"/>
      <c r="J862" s="113"/>
      <c r="K862" s="113"/>
      <c r="L862" s="113"/>
      <c r="M862" s="113"/>
      <c r="N862" s="113"/>
      <c r="O862" s="113"/>
      <c r="P862" s="113"/>
      <c r="Q862" s="113"/>
      <c r="R862" s="113"/>
      <c r="S862" s="113"/>
      <c r="T862" s="113"/>
      <c r="U862" s="113"/>
      <c r="V862" s="113"/>
      <c r="W862" s="113"/>
      <c r="X862" s="113"/>
      <c r="Y862" s="113"/>
      <c r="Z862" s="113"/>
    </row>
    <row r="863">
      <c r="A863" s="113"/>
      <c r="B863" s="120"/>
      <c r="C863" s="120"/>
      <c r="D863" s="40"/>
      <c r="E863" s="114"/>
      <c r="F863" s="113"/>
      <c r="G863" s="113"/>
      <c r="H863" s="113"/>
      <c r="I863" s="113"/>
      <c r="J863" s="113"/>
      <c r="K863" s="113"/>
      <c r="L863" s="113"/>
      <c r="M863" s="113"/>
      <c r="N863" s="113"/>
      <c r="O863" s="113"/>
      <c r="P863" s="113"/>
      <c r="Q863" s="113"/>
      <c r="R863" s="113"/>
      <c r="S863" s="113"/>
      <c r="T863" s="113"/>
      <c r="U863" s="113"/>
      <c r="V863" s="113"/>
      <c r="W863" s="113"/>
      <c r="X863" s="113"/>
      <c r="Y863" s="113"/>
      <c r="Z863" s="113"/>
    </row>
    <row r="864">
      <c r="A864" s="113"/>
      <c r="B864" s="120"/>
      <c r="C864" s="120"/>
      <c r="D864" s="40"/>
      <c r="E864" s="114"/>
      <c r="F864" s="113"/>
      <c r="G864" s="113"/>
      <c r="H864" s="113"/>
      <c r="I864" s="113"/>
      <c r="J864" s="113"/>
      <c r="K864" s="113"/>
      <c r="L864" s="113"/>
      <c r="M864" s="113"/>
      <c r="N864" s="113"/>
      <c r="O864" s="113"/>
      <c r="P864" s="113"/>
      <c r="Q864" s="113"/>
      <c r="R864" s="113"/>
      <c r="S864" s="113"/>
      <c r="T864" s="113"/>
      <c r="U864" s="113"/>
      <c r="V864" s="113"/>
      <c r="W864" s="113"/>
      <c r="X864" s="113"/>
      <c r="Y864" s="113"/>
      <c r="Z864" s="113"/>
    </row>
    <row r="865">
      <c r="A865" s="113"/>
      <c r="B865" s="120"/>
      <c r="C865" s="120"/>
      <c r="D865" s="40"/>
      <c r="E865" s="114"/>
      <c r="F865" s="113"/>
      <c r="G865" s="113"/>
      <c r="H865" s="113"/>
      <c r="I865" s="113"/>
      <c r="J865" s="113"/>
      <c r="K865" s="113"/>
      <c r="L865" s="113"/>
      <c r="M865" s="113"/>
      <c r="N865" s="113"/>
      <c r="O865" s="113"/>
      <c r="P865" s="113"/>
      <c r="Q865" s="113"/>
      <c r="R865" s="113"/>
      <c r="S865" s="113"/>
      <c r="T865" s="113"/>
      <c r="U865" s="113"/>
      <c r="V865" s="113"/>
      <c r="W865" s="113"/>
      <c r="X865" s="113"/>
      <c r="Y865" s="113"/>
      <c r="Z865" s="113"/>
    </row>
    <row r="866">
      <c r="A866" s="113"/>
      <c r="B866" s="120"/>
      <c r="C866" s="120"/>
      <c r="D866" s="40"/>
      <c r="E866" s="114"/>
      <c r="F866" s="113"/>
      <c r="G866" s="113"/>
      <c r="H866" s="113"/>
      <c r="I866" s="113"/>
      <c r="J866" s="113"/>
      <c r="K866" s="113"/>
      <c r="L866" s="113"/>
      <c r="M866" s="113"/>
      <c r="N866" s="113"/>
      <c r="O866" s="113"/>
      <c r="P866" s="113"/>
      <c r="Q866" s="113"/>
      <c r="R866" s="113"/>
      <c r="S866" s="113"/>
      <c r="T866" s="113"/>
      <c r="U866" s="113"/>
      <c r="V866" s="113"/>
      <c r="W866" s="113"/>
      <c r="X866" s="113"/>
      <c r="Y866" s="113"/>
      <c r="Z866" s="113"/>
    </row>
    <row r="867">
      <c r="A867" s="113"/>
      <c r="B867" s="120"/>
      <c r="C867" s="120"/>
      <c r="D867" s="40"/>
      <c r="E867" s="114"/>
      <c r="F867" s="113"/>
      <c r="G867" s="113"/>
      <c r="H867" s="113"/>
      <c r="I867" s="113"/>
      <c r="J867" s="113"/>
      <c r="K867" s="113"/>
      <c r="L867" s="113"/>
      <c r="M867" s="113"/>
      <c r="N867" s="113"/>
      <c r="O867" s="113"/>
      <c r="P867" s="113"/>
      <c r="Q867" s="113"/>
      <c r="R867" s="113"/>
      <c r="S867" s="113"/>
      <c r="T867" s="113"/>
      <c r="U867" s="113"/>
      <c r="V867" s="113"/>
      <c r="W867" s="113"/>
      <c r="X867" s="113"/>
      <c r="Y867" s="113"/>
      <c r="Z867" s="113"/>
    </row>
    <row r="868">
      <c r="A868" s="113"/>
      <c r="B868" s="120"/>
      <c r="C868" s="120"/>
      <c r="D868" s="40"/>
      <c r="E868" s="114"/>
      <c r="F868" s="113"/>
      <c r="G868" s="113"/>
      <c r="H868" s="113"/>
      <c r="I868" s="113"/>
      <c r="J868" s="113"/>
      <c r="K868" s="113"/>
      <c r="L868" s="113"/>
      <c r="M868" s="113"/>
      <c r="N868" s="113"/>
      <c r="O868" s="113"/>
      <c r="P868" s="113"/>
      <c r="Q868" s="113"/>
      <c r="R868" s="113"/>
      <c r="S868" s="113"/>
      <c r="T868" s="113"/>
      <c r="U868" s="113"/>
      <c r="V868" s="113"/>
      <c r="W868" s="113"/>
      <c r="X868" s="113"/>
      <c r="Y868" s="113"/>
      <c r="Z868" s="113"/>
    </row>
    <row r="869">
      <c r="A869" s="113"/>
      <c r="B869" s="120"/>
      <c r="C869" s="120"/>
      <c r="D869" s="40"/>
      <c r="E869" s="114"/>
      <c r="F869" s="113"/>
      <c r="G869" s="113"/>
      <c r="H869" s="113"/>
      <c r="I869" s="113"/>
      <c r="J869" s="113"/>
      <c r="K869" s="113"/>
      <c r="L869" s="113"/>
      <c r="M869" s="113"/>
      <c r="N869" s="113"/>
      <c r="O869" s="113"/>
      <c r="P869" s="113"/>
      <c r="Q869" s="113"/>
      <c r="R869" s="113"/>
      <c r="S869" s="113"/>
      <c r="T869" s="113"/>
      <c r="U869" s="113"/>
      <c r="V869" s="113"/>
      <c r="W869" s="113"/>
      <c r="X869" s="113"/>
      <c r="Y869" s="113"/>
      <c r="Z869" s="113"/>
    </row>
    <row r="870">
      <c r="A870" s="113"/>
      <c r="B870" s="120"/>
      <c r="C870" s="120"/>
      <c r="D870" s="40"/>
      <c r="E870" s="114"/>
      <c r="F870" s="113"/>
      <c r="G870" s="113"/>
      <c r="H870" s="113"/>
      <c r="I870" s="113"/>
      <c r="J870" s="113"/>
      <c r="K870" s="113"/>
      <c r="L870" s="113"/>
      <c r="M870" s="113"/>
      <c r="N870" s="113"/>
      <c r="O870" s="113"/>
      <c r="P870" s="113"/>
      <c r="Q870" s="113"/>
      <c r="R870" s="113"/>
      <c r="S870" s="113"/>
      <c r="T870" s="113"/>
      <c r="U870" s="113"/>
      <c r="V870" s="113"/>
      <c r="W870" s="113"/>
      <c r="X870" s="113"/>
      <c r="Y870" s="113"/>
      <c r="Z870" s="113"/>
    </row>
    <row r="871">
      <c r="A871" s="113"/>
      <c r="B871" s="120"/>
      <c r="C871" s="120"/>
      <c r="D871" s="40"/>
      <c r="E871" s="114"/>
      <c r="F871" s="113"/>
      <c r="G871" s="113"/>
      <c r="H871" s="113"/>
      <c r="I871" s="113"/>
      <c r="J871" s="113"/>
      <c r="K871" s="113"/>
      <c r="L871" s="113"/>
      <c r="M871" s="113"/>
      <c r="N871" s="113"/>
      <c r="O871" s="113"/>
      <c r="P871" s="113"/>
      <c r="Q871" s="113"/>
      <c r="R871" s="113"/>
      <c r="S871" s="113"/>
      <c r="T871" s="113"/>
      <c r="U871" s="113"/>
      <c r="V871" s="113"/>
      <c r="W871" s="113"/>
      <c r="X871" s="113"/>
      <c r="Y871" s="113"/>
      <c r="Z871" s="113"/>
    </row>
    <row r="872">
      <c r="A872" s="113"/>
      <c r="B872" s="120"/>
      <c r="C872" s="120"/>
      <c r="D872" s="40"/>
      <c r="E872" s="114"/>
      <c r="F872" s="113"/>
      <c r="G872" s="113"/>
      <c r="H872" s="113"/>
      <c r="I872" s="113"/>
      <c r="J872" s="113"/>
      <c r="K872" s="113"/>
      <c r="L872" s="113"/>
      <c r="M872" s="113"/>
      <c r="N872" s="113"/>
      <c r="O872" s="113"/>
      <c r="P872" s="113"/>
      <c r="Q872" s="113"/>
      <c r="R872" s="113"/>
      <c r="S872" s="113"/>
      <c r="T872" s="113"/>
      <c r="U872" s="113"/>
      <c r="V872" s="113"/>
      <c r="W872" s="113"/>
      <c r="X872" s="113"/>
      <c r="Y872" s="113"/>
      <c r="Z872" s="113"/>
    </row>
    <row r="873">
      <c r="A873" s="113"/>
      <c r="B873" s="120"/>
      <c r="C873" s="120"/>
      <c r="D873" s="40"/>
      <c r="E873" s="114"/>
      <c r="F873" s="113"/>
      <c r="G873" s="113"/>
      <c r="H873" s="113"/>
      <c r="I873" s="113"/>
      <c r="J873" s="113"/>
      <c r="K873" s="113"/>
      <c r="L873" s="113"/>
      <c r="M873" s="113"/>
      <c r="N873" s="113"/>
      <c r="O873" s="113"/>
      <c r="P873" s="113"/>
      <c r="Q873" s="113"/>
      <c r="R873" s="113"/>
      <c r="S873" s="113"/>
      <c r="T873" s="113"/>
      <c r="U873" s="113"/>
      <c r="V873" s="113"/>
      <c r="W873" s="113"/>
      <c r="X873" s="113"/>
      <c r="Y873" s="113"/>
      <c r="Z873" s="113"/>
    </row>
    <row r="874">
      <c r="A874" s="113"/>
      <c r="B874" s="120"/>
      <c r="C874" s="120"/>
      <c r="D874" s="40"/>
      <c r="E874" s="114"/>
      <c r="F874" s="113"/>
      <c r="G874" s="113"/>
      <c r="H874" s="113"/>
      <c r="I874" s="113"/>
      <c r="J874" s="113"/>
      <c r="K874" s="113"/>
      <c r="L874" s="113"/>
      <c r="M874" s="113"/>
      <c r="N874" s="113"/>
      <c r="O874" s="113"/>
      <c r="P874" s="113"/>
      <c r="Q874" s="113"/>
      <c r="R874" s="113"/>
      <c r="S874" s="113"/>
      <c r="T874" s="113"/>
      <c r="U874" s="113"/>
      <c r="V874" s="113"/>
      <c r="W874" s="113"/>
      <c r="X874" s="113"/>
      <c r="Y874" s="113"/>
      <c r="Z874" s="113"/>
    </row>
    <row r="875">
      <c r="A875" s="113"/>
      <c r="B875" s="120"/>
      <c r="C875" s="120"/>
      <c r="D875" s="40"/>
      <c r="E875" s="114"/>
      <c r="F875" s="113"/>
      <c r="G875" s="113"/>
      <c r="H875" s="113"/>
      <c r="I875" s="113"/>
      <c r="J875" s="113"/>
      <c r="K875" s="113"/>
      <c r="L875" s="113"/>
      <c r="M875" s="113"/>
      <c r="N875" s="113"/>
      <c r="O875" s="113"/>
      <c r="P875" s="113"/>
      <c r="Q875" s="113"/>
      <c r="R875" s="113"/>
      <c r="S875" s="113"/>
      <c r="T875" s="113"/>
      <c r="U875" s="113"/>
      <c r="V875" s="113"/>
      <c r="W875" s="113"/>
      <c r="X875" s="113"/>
      <c r="Y875" s="113"/>
      <c r="Z875" s="113"/>
    </row>
    <row r="876">
      <c r="A876" s="113"/>
      <c r="B876" s="120"/>
      <c r="C876" s="120"/>
      <c r="D876" s="40"/>
      <c r="E876" s="114"/>
      <c r="F876" s="113"/>
      <c r="G876" s="113"/>
      <c r="H876" s="113"/>
      <c r="I876" s="113"/>
      <c r="J876" s="113"/>
      <c r="K876" s="113"/>
      <c r="L876" s="113"/>
      <c r="M876" s="113"/>
      <c r="N876" s="113"/>
      <c r="O876" s="113"/>
      <c r="P876" s="113"/>
      <c r="Q876" s="113"/>
      <c r="R876" s="113"/>
      <c r="S876" s="113"/>
      <c r="T876" s="113"/>
      <c r="U876" s="113"/>
      <c r="V876" s="113"/>
      <c r="W876" s="113"/>
      <c r="X876" s="113"/>
      <c r="Y876" s="113"/>
      <c r="Z876" s="113"/>
    </row>
    <row r="877">
      <c r="A877" s="113"/>
      <c r="B877" s="120"/>
      <c r="C877" s="120"/>
      <c r="D877" s="40"/>
      <c r="E877" s="114"/>
      <c r="F877" s="113"/>
      <c r="G877" s="113"/>
      <c r="H877" s="113"/>
      <c r="I877" s="113"/>
      <c r="J877" s="113"/>
      <c r="K877" s="113"/>
      <c r="L877" s="113"/>
      <c r="M877" s="113"/>
      <c r="N877" s="113"/>
      <c r="O877" s="113"/>
      <c r="P877" s="113"/>
      <c r="Q877" s="113"/>
      <c r="R877" s="113"/>
      <c r="S877" s="113"/>
      <c r="T877" s="113"/>
      <c r="U877" s="113"/>
      <c r="V877" s="113"/>
      <c r="W877" s="113"/>
      <c r="X877" s="113"/>
      <c r="Y877" s="113"/>
      <c r="Z877" s="113"/>
    </row>
    <row r="878">
      <c r="A878" s="113"/>
      <c r="B878" s="120"/>
      <c r="C878" s="120"/>
      <c r="D878" s="40"/>
      <c r="E878" s="114"/>
      <c r="F878" s="113"/>
      <c r="G878" s="113"/>
      <c r="H878" s="113"/>
      <c r="I878" s="113"/>
      <c r="J878" s="113"/>
      <c r="K878" s="113"/>
      <c r="L878" s="113"/>
      <c r="M878" s="113"/>
      <c r="N878" s="113"/>
      <c r="O878" s="113"/>
      <c r="P878" s="113"/>
      <c r="Q878" s="113"/>
      <c r="R878" s="113"/>
      <c r="S878" s="113"/>
      <c r="T878" s="113"/>
      <c r="U878" s="113"/>
      <c r="V878" s="113"/>
      <c r="W878" s="113"/>
      <c r="X878" s="113"/>
      <c r="Y878" s="113"/>
      <c r="Z878" s="113"/>
    </row>
    <row r="879">
      <c r="A879" s="113"/>
      <c r="B879" s="120"/>
      <c r="C879" s="120"/>
      <c r="D879" s="40"/>
      <c r="E879" s="114"/>
      <c r="F879" s="113"/>
      <c r="G879" s="113"/>
      <c r="H879" s="113"/>
      <c r="I879" s="113"/>
      <c r="J879" s="113"/>
      <c r="K879" s="113"/>
      <c r="L879" s="113"/>
      <c r="M879" s="113"/>
      <c r="N879" s="113"/>
      <c r="O879" s="113"/>
      <c r="P879" s="113"/>
      <c r="Q879" s="113"/>
      <c r="R879" s="113"/>
      <c r="S879" s="113"/>
      <c r="T879" s="113"/>
      <c r="U879" s="113"/>
      <c r="V879" s="113"/>
      <c r="W879" s="113"/>
      <c r="X879" s="113"/>
      <c r="Y879" s="113"/>
      <c r="Z879" s="113"/>
    </row>
    <row r="880">
      <c r="A880" s="113"/>
      <c r="B880" s="120"/>
      <c r="C880" s="120"/>
      <c r="D880" s="40"/>
      <c r="E880" s="114"/>
      <c r="F880" s="113"/>
      <c r="G880" s="113"/>
      <c r="H880" s="113"/>
      <c r="I880" s="113"/>
      <c r="J880" s="113"/>
      <c r="K880" s="113"/>
      <c r="L880" s="113"/>
      <c r="M880" s="113"/>
      <c r="N880" s="113"/>
      <c r="O880" s="113"/>
      <c r="P880" s="113"/>
      <c r="Q880" s="113"/>
      <c r="R880" s="113"/>
      <c r="S880" s="113"/>
      <c r="T880" s="113"/>
      <c r="U880" s="113"/>
      <c r="V880" s="113"/>
      <c r="W880" s="113"/>
      <c r="X880" s="113"/>
      <c r="Y880" s="113"/>
      <c r="Z880" s="113"/>
    </row>
    <row r="881">
      <c r="A881" s="113"/>
      <c r="B881" s="120"/>
      <c r="C881" s="120"/>
      <c r="D881" s="40"/>
      <c r="E881" s="114"/>
      <c r="F881" s="113"/>
      <c r="G881" s="113"/>
      <c r="H881" s="113"/>
      <c r="I881" s="113"/>
      <c r="J881" s="113"/>
      <c r="K881" s="113"/>
      <c r="L881" s="113"/>
      <c r="M881" s="113"/>
      <c r="N881" s="113"/>
      <c r="O881" s="113"/>
      <c r="P881" s="113"/>
      <c r="Q881" s="113"/>
      <c r="R881" s="113"/>
      <c r="S881" s="113"/>
      <c r="T881" s="113"/>
      <c r="U881" s="113"/>
      <c r="V881" s="113"/>
      <c r="W881" s="113"/>
      <c r="X881" s="113"/>
      <c r="Y881" s="113"/>
      <c r="Z881" s="113"/>
    </row>
    <row r="882">
      <c r="A882" s="113"/>
      <c r="B882" s="120"/>
      <c r="C882" s="120"/>
      <c r="D882" s="40"/>
      <c r="E882" s="114"/>
      <c r="F882" s="113"/>
      <c r="G882" s="113"/>
      <c r="H882" s="113"/>
      <c r="I882" s="113"/>
      <c r="J882" s="113"/>
      <c r="K882" s="113"/>
      <c r="L882" s="113"/>
      <c r="M882" s="113"/>
      <c r="N882" s="113"/>
      <c r="O882" s="113"/>
      <c r="P882" s="113"/>
      <c r="Q882" s="113"/>
      <c r="R882" s="113"/>
      <c r="S882" s="113"/>
      <c r="T882" s="113"/>
      <c r="U882" s="113"/>
      <c r="V882" s="113"/>
      <c r="W882" s="113"/>
      <c r="X882" s="113"/>
      <c r="Y882" s="113"/>
      <c r="Z882" s="113"/>
    </row>
    <row r="883">
      <c r="A883" s="113"/>
      <c r="B883" s="120"/>
      <c r="C883" s="120"/>
      <c r="D883" s="40"/>
      <c r="E883" s="114"/>
      <c r="F883" s="113"/>
      <c r="G883" s="113"/>
      <c r="H883" s="113"/>
      <c r="I883" s="113"/>
      <c r="J883" s="113"/>
      <c r="K883" s="113"/>
      <c r="L883" s="113"/>
      <c r="M883" s="113"/>
      <c r="N883" s="113"/>
      <c r="O883" s="113"/>
      <c r="P883" s="113"/>
      <c r="Q883" s="113"/>
      <c r="R883" s="113"/>
      <c r="S883" s="113"/>
      <c r="T883" s="113"/>
      <c r="U883" s="113"/>
      <c r="V883" s="113"/>
      <c r="W883" s="113"/>
      <c r="X883" s="113"/>
      <c r="Y883" s="113"/>
      <c r="Z883" s="113"/>
    </row>
    <row r="884">
      <c r="A884" s="113"/>
      <c r="B884" s="120"/>
      <c r="C884" s="120"/>
      <c r="D884" s="40"/>
      <c r="E884" s="114"/>
      <c r="F884" s="113"/>
      <c r="G884" s="113"/>
      <c r="H884" s="113"/>
      <c r="I884" s="113"/>
      <c r="J884" s="113"/>
      <c r="K884" s="113"/>
      <c r="L884" s="113"/>
      <c r="M884" s="113"/>
      <c r="N884" s="113"/>
      <c r="O884" s="113"/>
      <c r="P884" s="113"/>
      <c r="Q884" s="113"/>
      <c r="R884" s="113"/>
      <c r="S884" s="113"/>
      <c r="T884" s="113"/>
      <c r="U884" s="113"/>
      <c r="V884" s="113"/>
      <c r="W884" s="113"/>
      <c r="X884" s="113"/>
      <c r="Y884" s="113"/>
      <c r="Z884" s="113"/>
    </row>
    <row r="885">
      <c r="A885" s="113"/>
      <c r="B885" s="120"/>
      <c r="C885" s="120"/>
      <c r="D885" s="40"/>
      <c r="E885" s="114"/>
      <c r="F885" s="113"/>
      <c r="G885" s="113"/>
      <c r="H885" s="113"/>
      <c r="I885" s="113"/>
      <c r="J885" s="113"/>
      <c r="K885" s="113"/>
      <c r="L885" s="113"/>
      <c r="M885" s="113"/>
      <c r="N885" s="113"/>
      <c r="O885" s="113"/>
      <c r="P885" s="113"/>
      <c r="Q885" s="113"/>
      <c r="R885" s="113"/>
      <c r="S885" s="113"/>
      <c r="T885" s="113"/>
      <c r="U885" s="113"/>
      <c r="V885" s="113"/>
      <c r="W885" s="113"/>
      <c r="X885" s="113"/>
      <c r="Y885" s="113"/>
      <c r="Z885" s="113"/>
    </row>
    <row r="886">
      <c r="A886" s="113"/>
      <c r="B886" s="120"/>
      <c r="C886" s="120"/>
      <c r="D886" s="40"/>
      <c r="E886" s="114"/>
      <c r="F886" s="113"/>
      <c r="G886" s="113"/>
      <c r="H886" s="113"/>
      <c r="I886" s="113"/>
      <c r="J886" s="113"/>
      <c r="K886" s="113"/>
      <c r="L886" s="113"/>
      <c r="M886" s="113"/>
      <c r="N886" s="113"/>
      <c r="O886" s="113"/>
      <c r="P886" s="113"/>
      <c r="Q886" s="113"/>
      <c r="R886" s="113"/>
      <c r="S886" s="113"/>
      <c r="T886" s="113"/>
      <c r="U886" s="113"/>
      <c r="V886" s="113"/>
      <c r="W886" s="113"/>
      <c r="X886" s="113"/>
      <c r="Y886" s="113"/>
      <c r="Z886" s="113"/>
    </row>
    <row r="887">
      <c r="A887" s="113"/>
      <c r="B887" s="120"/>
      <c r="C887" s="120"/>
      <c r="D887" s="40"/>
      <c r="E887" s="114"/>
      <c r="F887" s="113"/>
      <c r="G887" s="113"/>
      <c r="H887" s="113"/>
      <c r="I887" s="113"/>
      <c r="J887" s="113"/>
      <c r="K887" s="113"/>
      <c r="L887" s="113"/>
      <c r="M887" s="113"/>
      <c r="N887" s="113"/>
      <c r="O887" s="113"/>
      <c r="P887" s="113"/>
      <c r="Q887" s="113"/>
      <c r="R887" s="113"/>
      <c r="S887" s="113"/>
      <c r="T887" s="113"/>
      <c r="U887" s="113"/>
      <c r="V887" s="113"/>
      <c r="W887" s="113"/>
      <c r="X887" s="113"/>
      <c r="Y887" s="113"/>
      <c r="Z887" s="113"/>
    </row>
    <row r="888">
      <c r="A888" s="113"/>
      <c r="B888" s="120"/>
      <c r="C888" s="120"/>
      <c r="D888" s="40"/>
      <c r="E888" s="114"/>
      <c r="F888" s="113"/>
      <c r="G888" s="113"/>
      <c r="H888" s="113"/>
      <c r="I888" s="113"/>
      <c r="J888" s="113"/>
      <c r="K888" s="113"/>
      <c r="L888" s="113"/>
      <c r="M888" s="113"/>
      <c r="N888" s="113"/>
      <c r="O888" s="113"/>
      <c r="P888" s="113"/>
      <c r="Q888" s="113"/>
      <c r="R888" s="113"/>
      <c r="S888" s="113"/>
      <c r="T888" s="113"/>
      <c r="U888" s="113"/>
      <c r="V888" s="113"/>
      <c r="W888" s="113"/>
      <c r="X888" s="113"/>
      <c r="Y888" s="113"/>
      <c r="Z888" s="113"/>
    </row>
    <row r="889">
      <c r="A889" s="113"/>
      <c r="B889" s="120"/>
      <c r="C889" s="120"/>
      <c r="D889" s="40"/>
      <c r="E889" s="114"/>
      <c r="F889" s="113"/>
      <c r="G889" s="113"/>
      <c r="H889" s="113"/>
      <c r="I889" s="113"/>
      <c r="J889" s="113"/>
      <c r="K889" s="113"/>
      <c r="L889" s="113"/>
      <c r="M889" s="113"/>
      <c r="N889" s="113"/>
      <c r="O889" s="113"/>
      <c r="P889" s="113"/>
      <c r="Q889" s="113"/>
      <c r="R889" s="113"/>
      <c r="S889" s="113"/>
      <c r="T889" s="113"/>
      <c r="U889" s="113"/>
      <c r="V889" s="113"/>
      <c r="W889" s="113"/>
      <c r="X889" s="113"/>
      <c r="Y889" s="113"/>
      <c r="Z889" s="113"/>
    </row>
    <row r="890">
      <c r="A890" s="113"/>
      <c r="B890" s="120"/>
      <c r="C890" s="120"/>
      <c r="D890" s="40"/>
      <c r="E890" s="114"/>
      <c r="F890" s="113"/>
      <c r="G890" s="113"/>
      <c r="H890" s="113"/>
      <c r="I890" s="113"/>
      <c r="J890" s="113"/>
      <c r="K890" s="113"/>
      <c r="L890" s="113"/>
      <c r="M890" s="113"/>
      <c r="N890" s="113"/>
      <c r="O890" s="113"/>
      <c r="P890" s="113"/>
      <c r="Q890" s="113"/>
      <c r="R890" s="113"/>
      <c r="S890" s="113"/>
      <c r="T890" s="113"/>
      <c r="U890" s="113"/>
      <c r="V890" s="113"/>
      <c r="W890" s="113"/>
      <c r="X890" s="113"/>
      <c r="Y890" s="113"/>
      <c r="Z890" s="113"/>
    </row>
    <row r="891">
      <c r="A891" s="113"/>
      <c r="B891" s="120"/>
      <c r="C891" s="120"/>
      <c r="D891" s="40"/>
      <c r="E891" s="114"/>
      <c r="F891" s="113"/>
      <c r="G891" s="113"/>
      <c r="H891" s="113"/>
      <c r="I891" s="113"/>
      <c r="J891" s="113"/>
      <c r="K891" s="113"/>
      <c r="L891" s="113"/>
      <c r="M891" s="113"/>
      <c r="N891" s="113"/>
      <c r="O891" s="113"/>
      <c r="P891" s="113"/>
      <c r="Q891" s="113"/>
      <c r="R891" s="113"/>
      <c r="S891" s="113"/>
      <c r="T891" s="113"/>
      <c r="U891" s="113"/>
      <c r="V891" s="113"/>
      <c r="W891" s="113"/>
      <c r="X891" s="113"/>
      <c r="Y891" s="113"/>
      <c r="Z891" s="113"/>
    </row>
    <row r="892">
      <c r="A892" s="113"/>
      <c r="B892" s="120"/>
      <c r="C892" s="120"/>
      <c r="D892" s="40"/>
      <c r="E892" s="114"/>
      <c r="F892" s="113"/>
      <c r="G892" s="113"/>
      <c r="H892" s="113"/>
      <c r="I892" s="113"/>
      <c r="J892" s="113"/>
      <c r="K892" s="113"/>
      <c r="L892" s="113"/>
      <c r="M892" s="113"/>
      <c r="N892" s="113"/>
      <c r="O892" s="113"/>
      <c r="P892" s="113"/>
      <c r="Q892" s="113"/>
      <c r="R892" s="113"/>
      <c r="S892" s="113"/>
      <c r="T892" s="113"/>
      <c r="U892" s="113"/>
      <c r="V892" s="113"/>
      <c r="W892" s="113"/>
      <c r="X892" s="113"/>
      <c r="Y892" s="113"/>
      <c r="Z892" s="113"/>
    </row>
    <row r="893">
      <c r="A893" s="113"/>
      <c r="B893" s="120"/>
      <c r="C893" s="120"/>
      <c r="D893" s="40"/>
      <c r="E893" s="114"/>
      <c r="F893" s="113"/>
      <c r="G893" s="113"/>
      <c r="H893" s="113"/>
      <c r="I893" s="113"/>
      <c r="J893" s="113"/>
      <c r="K893" s="113"/>
      <c r="L893" s="113"/>
      <c r="M893" s="113"/>
      <c r="N893" s="113"/>
      <c r="O893" s="113"/>
      <c r="P893" s="113"/>
      <c r="Q893" s="113"/>
      <c r="R893" s="113"/>
      <c r="S893" s="113"/>
      <c r="T893" s="113"/>
      <c r="U893" s="113"/>
      <c r="V893" s="113"/>
      <c r="W893" s="113"/>
      <c r="X893" s="113"/>
      <c r="Y893" s="113"/>
      <c r="Z893" s="113"/>
    </row>
    <row r="894">
      <c r="A894" s="113"/>
      <c r="B894" s="120"/>
      <c r="C894" s="120"/>
      <c r="D894" s="40"/>
      <c r="E894" s="114"/>
      <c r="F894" s="113"/>
      <c r="G894" s="113"/>
      <c r="H894" s="113"/>
      <c r="I894" s="113"/>
      <c r="J894" s="113"/>
      <c r="K894" s="113"/>
      <c r="L894" s="113"/>
      <c r="M894" s="113"/>
      <c r="N894" s="113"/>
      <c r="O894" s="113"/>
      <c r="P894" s="113"/>
      <c r="Q894" s="113"/>
      <c r="R894" s="113"/>
      <c r="S894" s="113"/>
      <c r="T894" s="113"/>
      <c r="U894" s="113"/>
      <c r="V894" s="113"/>
      <c r="W894" s="113"/>
      <c r="X894" s="113"/>
      <c r="Y894" s="113"/>
      <c r="Z894" s="113"/>
    </row>
    <row r="895">
      <c r="A895" s="113"/>
      <c r="B895" s="120"/>
      <c r="C895" s="120"/>
      <c r="D895" s="40"/>
      <c r="E895" s="114"/>
      <c r="F895" s="113"/>
      <c r="G895" s="113"/>
      <c r="H895" s="113"/>
      <c r="I895" s="113"/>
      <c r="J895" s="113"/>
      <c r="K895" s="113"/>
      <c r="L895" s="113"/>
      <c r="M895" s="113"/>
      <c r="N895" s="113"/>
      <c r="O895" s="113"/>
      <c r="P895" s="113"/>
      <c r="Q895" s="113"/>
      <c r="R895" s="113"/>
      <c r="S895" s="113"/>
      <c r="T895" s="113"/>
      <c r="U895" s="113"/>
      <c r="V895" s="113"/>
      <c r="W895" s="113"/>
      <c r="X895" s="113"/>
      <c r="Y895" s="113"/>
      <c r="Z895" s="113"/>
    </row>
    <row r="896">
      <c r="A896" s="113"/>
      <c r="B896" s="120"/>
      <c r="C896" s="120"/>
      <c r="D896" s="40"/>
      <c r="E896" s="114"/>
      <c r="F896" s="113"/>
      <c r="G896" s="113"/>
      <c r="H896" s="113"/>
      <c r="I896" s="113"/>
      <c r="J896" s="113"/>
      <c r="K896" s="113"/>
      <c r="L896" s="113"/>
      <c r="M896" s="113"/>
      <c r="N896" s="113"/>
      <c r="O896" s="113"/>
      <c r="P896" s="113"/>
      <c r="Q896" s="113"/>
      <c r="R896" s="113"/>
      <c r="S896" s="113"/>
      <c r="T896" s="113"/>
      <c r="U896" s="113"/>
      <c r="V896" s="113"/>
      <c r="W896" s="113"/>
      <c r="X896" s="113"/>
      <c r="Y896" s="113"/>
      <c r="Z896" s="113"/>
    </row>
    <row r="897">
      <c r="A897" s="113"/>
      <c r="B897" s="120"/>
      <c r="C897" s="120"/>
      <c r="D897" s="40"/>
      <c r="E897" s="114"/>
      <c r="F897" s="113"/>
      <c r="G897" s="113"/>
      <c r="H897" s="113"/>
      <c r="I897" s="113"/>
      <c r="J897" s="113"/>
      <c r="K897" s="113"/>
      <c r="L897" s="113"/>
      <c r="M897" s="113"/>
      <c r="N897" s="113"/>
      <c r="O897" s="113"/>
      <c r="P897" s="113"/>
      <c r="Q897" s="113"/>
      <c r="R897" s="113"/>
      <c r="S897" s="113"/>
      <c r="T897" s="113"/>
      <c r="U897" s="113"/>
      <c r="V897" s="113"/>
      <c r="W897" s="113"/>
      <c r="X897" s="113"/>
      <c r="Y897" s="113"/>
      <c r="Z897" s="113"/>
    </row>
    <row r="898">
      <c r="A898" s="113"/>
      <c r="B898" s="120"/>
      <c r="C898" s="120"/>
      <c r="D898" s="40"/>
      <c r="E898" s="114"/>
      <c r="F898" s="113"/>
      <c r="G898" s="113"/>
      <c r="H898" s="113"/>
      <c r="I898" s="113"/>
      <c r="J898" s="113"/>
      <c r="K898" s="113"/>
      <c r="L898" s="113"/>
      <c r="M898" s="113"/>
      <c r="N898" s="113"/>
      <c r="O898" s="113"/>
      <c r="P898" s="113"/>
      <c r="Q898" s="113"/>
      <c r="R898" s="113"/>
      <c r="S898" s="113"/>
      <c r="T898" s="113"/>
      <c r="U898" s="113"/>
      <c r="V898" s="113"/>
      <c r="W898" s="113"/>
      <c r="X898" s="113"/>
      <c r="Y898" s="113"/>
      <c r="Z898" s="113"/>
    </row>
    <row r="899">
      <c r="A899" s="113"/>
      <c r="B899" s="120"/>
      <c r="C899" s="120"/>
      <c r="D899" s="40"/>
      <c r="E899" s="114"/>
      <c r="F899" s="113"/>
      <c r="G899" s="113"/>
      <c r="H899" s="113"/>
      <c r="I899" s="113"/>
      <c r="J899" s="113"/>
      <c r="K899" s="113"/>
      <c r="L899" s="113"/>
      <c r="M899" s="113"/>
      <c r="N899" s="113"/>
      <c r="O899" s="113"/>
      <c r="P899" s="113"/>
      <c r="Q899" s="113"/>
      <c r="R899" s="113"/>
      <c r="S899" s="113"/>
      <c r="T899" s="113"/>
      <c r="U899" s="113"/>
      <c r="V899" s="113"/>
      <c r="W899" s="113"/>
      <c r="X899" s="113"/>
      <c r="Y899" s="113"/>
      <c r="Z899" s="113"/>
    </row>
    <row r="900">
      <c r="A900" s="113"/>
      <c r="B900" s="120"/>
      <c r="C900" s="120"/>
      <c r="D900" s="40"/>
      <c r="E900" s="114"/>
      <c r="F900" s="113"/>
      <c r="G900" s="113"/>
      <c r="H900" s="113"/>
      <c r="I900" s="113"/>
      <c r="J900" s="113"/>
      <c r="K900" s="113"/>
      <c r="L900" s="113"/>
      <c r="M900" s="113"/>
      <c r="N900" s="113"/>
      <c r="O900" s="113"/>
      <c r="P900" s="113"/>
      <c r="Q900" s="113"/>
      <c r="R900" s="113"/>
      <c r="S900" s="113"/>
      <c r="T900" s="113"/>
      <c r="U900" s="113"/>
      <c r="V900" s="113"/>
      <c r="W900" s="113"/>
      <c r="X900" s="113"/>
      <c r="Y900" s="113"/>
      <c r="Z900" s="113"/>
    </row>
    <row r="901">
      <c r="A901" s="113"/>
      <c r="B901" s="120"/>
      <c r="C901" s="120"/>
      <c r="D901" s="40"/>
      <c r="E901" s="114"/>
      <c r="F901" s="113"/>
      <c r="G901" s="113"/>
      <c r="H901" s="113"/>
      <c r="I901" s="113"/>
      <c r="J901" s="113"/>
      <c r="K901" s="113"/>
      <c r="L901" s="113"/>
      <c r="M901" s="113"/>
      <c r="N901" s="113"/>
      <c r="O901" s="113"/>
      <c r="P901" s="113"/>
      <c r="Q901" s="113"/>
      <c r="R901" s="113"/>
      <c r="S901" s="113"/>
      <c r="T901" s="113"/>
      <c r="U901" s="113"/>
      <c r="V901" s="113"/>
      <c r="W901" s="113"/>
      <c r="X901" s="113"/>
      <c r="Y901" s="113"/>
      <c r="Z901" s="113"/>
    </row>
    <row r="902">
      <c r="A902" s="113"/>
      <c r="B902" s="120"/>
      <c r="C902" s="120"/>
      <c r="D902" s="40"/>
      <c r="E902" s="114"/>
      <c r="F902" s="113"/>
      <c r="G902" s="113"/>
      <c r="H902" s="113"/>
      <c r="I902" s="113"/>
      <c r="J902" s="113"/>
      <c r="K902" s="113"/>
      <c r="L902" s="113"/>
      <c r="M902" s="113"/>
      <c r="N902" s="113"/>
      <c r="O902" s="113"/>
      <c r="P902" s="113"/>
      <c r="Q902" s="113"/>
      <c r="R902" s="113"/>
      <c r="S902" s="113"/>
      <c r="T902" s="113"/>
      <c r="U902" s="113"/>
      <c r="V902" s="113"/>
      <c r="W902" s="113"/>
      <c r="X902" s="113"/>
      <c r="Y902" s="113"/>
      <c r="Z902" s="113"/>
    </row>
    <row r="903">
      <c r="A903" s="113"/>
      <c r="B903" s="120"/>
      <c r="C903" s="120"/>
      <c r="D903" s="40"/>
      <c r="E903" s="114"/>
      <c r="F903" s="113"/>
      <c r="G903" s="113"/>
      <c r="H903" s="113"/>
      <c r="I903" s="113"/>
      <c r="J903" s="113"/>
      <c r="K903" s="113"/>
      <c r="L903" s="113"/>
      <c r="M903" s="113"/>
      <c r="N903" s="113"/>
      <c r="O903" s="113"/>
      <c r="P903" s="113"/>
      <c r="Q903" s="113"/>
      <c r="R903" s="113"/>
      <c r="S903" s="113"/>
      <c r="T903" s="113"/>
      <c r="U903" s="113"/>
      <c r="V903" s="113"/>
      <c r="W903" s="113"/>
      <c r="X903" s="113"/>
      <c r="Y903" s="113"/>
      <c r="Z903" s="113"/>
    </row>
    <row r="904">
      <c r="A904" s="113"/>
      <c r="B904" s="120"/>
      <c r="C904" s="120"/>
      <c r="D904" s="40"/>
      <c r="E904" s="114"/>
      <c r="F904" s="113"/>
      <c r="G904" s="113"/>
      <c r="H904" s="113"/>
      <c r="I904" s="113"/>
      <c r="J904" s="113"/>
      <c r="K904" s="113"/>
      <c r="L904" s="113"/>
      <c r="M904" s="113"/>
      <c r="N904" s="113"/>
      <c r="O904" s="113"/>
      <c r="P904" s="113"/>
      <c r="Q904" s="113"/>
      <c r="R904" s="113"/>
      <c r="S904" s="113"/>
      <c r="T904" s="113"/>
      <c r="U904" s="113"/>
      <c r="V904" s="113"/>
      <c r="W904" s="113"/>
      <c r="X904" s="113"/>
      <c r="Y904" s="113"/>
      <c r="Z904" s="113"/>
    </row>
    <row r="905">
      <c r="A905" s="113"/>
      <c r="B905" s="120"/>
      <c r="C905" s="120"/>
      <c r="D905" s="40"/>
      <c r="E905" s="114"/>
      <c r="F905" s="113"/>
      <c r="G905" s="113"/>
      <c r="H905" s="113"/>
      <c r="I905" s="113"/>
      <c r="J905" s="113"/>
      <c r="K905" s="113"/>
      <c r="L905" s="113"/>
      <c r="M905" s="113"/>
      <c r="N905" s="113"/>
      <c r="O905" s="113"/>
      <c r="P905" s="113"/>
      <c r="Q905" s="113"/>
      <c r="R905" s="113"/>
      <c r="S905" s="113"/>
      <c r="T905" s="113"/>
      <c r="U905" s="113"/>
      <c r="V905" s="113"/>
      <c r="W905" s="113"/>
      <c r="X905" s="113"/>
      <c r="Y905" s="113"/>
      <c r="Z905" s="113"/>
    </row>
    <row r="906">
      <c r="A906" s="113"/>
      <c r="B906" s="120"/>
      <c r="C906" s="120"/>
      <c r="D906" s="40"/>
      <c r="E906" s="114"/>
      <c r="F906" s="113"/>
      <c r="G906" s="113"/>
      <c r="H906" s="113"/>
      <c r="I906" s="113"/>
      <c r="J906" s="113"/>
      <c r="K906" s="113"/>
      <c r="L906" s="113"/>
      <c r="M906" s="113"/>
      <c r="N906" s="113"/>
      <c r="O906" s="113"/>
      <c r="P906" s="113"/>
      <c r="Q906" s="113"/>
      <c r="R906" s="113"/>
      <c r="S906" s="113"/>
      <c r="T906" s="113"/>
      <c r="U906" s="113"/>
      <c r="V906" s="113"/>
      <c r="W906" s="113"/>
      <c r="X906" s="113"/>
      <c r="Y906" s="113"/>
      <c r="Z906" s="113"/>
    </row>
    <row r="907">
      <c r="A907" s="113"/>
      <c r="B907" s="120"/>
      <c r="C907" s="120"/>
      <c r="D907" s="40"/>
      <c r="E907" s="114"/>
      <c r="F907" s="113"/>
      <c r="G907" s="113"/>
      <c r="H907" s="113"/>
      <c r="I907" s="113"/>
      <c r="J907" s="113"/>
      <c r="K907" s="113"/>
      <c r="L907" s="113"/>
      <c r="M907" s="113"/>
      <c r="N907" s="113"/>
      <c r="O907" s="113"/>
      <c r="P907" s="113"/>
      <c r="Q907" s="113"/>
      <c r="R907" s="113"/>
      <c r="S907" s="113"/>
      <c r="T907" s="113"/>
      <c r="U907" s="113"/>
      <c r="V907" s="113"/>
      <c r="W907" s="113"/>
      <c r="X907" s="113"/>
      <c r="Y907" s="113"/>
      <c r="Z907" s="113"/>
    </row>
    <row r="908">
      <c r="A908" s="113"/>
      <c r="B908" s="120"/>
      <c r="C908" s="120"/>
      <c r="D908" s="40"/>
      <c r="E908" s="114"/>
      <c r="F908" s="113"/>
      <c r="G908" s="113"/>
      <c r="H908" s="113"/>
      <c r="I908" s="113"/>
      <c r="J908" s="113"/>
      <c r="K908" s="113"/>
      <c r="L908" s="113"/>
      <c r="M908" s="113"/>
      <c r="N908" s="113"/>
      <c r="O908" s="113"/>
      <c r="P908" s="113"/>
      <c r="Q908" s="113"/>
      <c r="R908" s="113"/>
      <c r="S908" s="113"/>
      <c r="T908" s="113"/>
      <c r="U908" s="113"/>
      <c r="V908" s="113"/>
      <c r="W908" s="113"/>
      <c r="X908" s="113"/>
      <c r="Y908" s="113"/>
      <c r="Z908" s="113"/>
    </row>
    <row r="909">
      <c r="A909" s="113"/>
      <c r="B909" s="120"/>
      <c r="C909" s="120"/>
      <c r="D909" s="40"/>
      <c r="E909" s="114"/>
      <c r="F909" s="113"/>
      <c r="G909" s="113"/>
      <c r="H909" s="113"/>
      <c r="I909" s="113"/>
      <c r="J909" s="113"/>
      <c r="K909" s="113"/>
      <c r="L909" s="113"/>
      <c r="M909" s="113"/>
      <c r="N909" s="113"/>
      <c r="O909" s="113"/>
      <c r="P909" s="113"/>
      <c r="Q909" s="113"/>
      <c r="R909" s="113"/>
      <c r="S909" s="113"/>
      <c r="T909" s="113"/>
      <c r="U909" s="113"/>
      <c r="V909" s="113"/>
      <c r="W909" s="113"/>
      <c r="X909" s="113"/>
      <c r="Y909" s="113"/>
      <c r="Z909" s="113"/>
    </row>
    <row r="910">
      <c r="A910" s="113"/>
      <c r="B910" s="120"/>
      <c r="C910" s="120"/>
      <c r="D910" s="40"/>
      <c r="E910" s="114"/>
      <c r="F910" s="113"/>
      <c r="G910" s="113"/>
      <c r="H910" s="113"/>
      <c r="I910" s="113"/>
      <c r="J910" s="113"/>
      <c r="K910" s="113"/>
      <c r="L910" s="113"/>
      <c r="M910" s="113"/>
      <c r="N910" s="113"/>
      <c r="O910" s="113"/>
      <c r="P910" s="113"/>
      <c r="Q910" s="113"/>
      <c r="R910" s="113"/>
      <c r="S910" s="113"/>
      <c r="T910" s="113"/>
      <c r="U910" s="113"/>
      <c r="V910" s="113"/>
      <c r="W910" s="113"/>
      <c r="X910" s="113"/>
      <c r="Y910" s="113"/>
      <c r="Z910" s="113"/>
    </row>
    <row r="911">
      <c r="A911" s="113"/>
      <c r="B911" s="120"/>
      <c r="C911" s="120"/>
      <c r="D911" s="40"/>
      <c r="E911" s="114"/>
      <c r="F911" s="113"/>
      <c r="G911" s="113"/>
      <c r="H911" s="113"/>
      <c r="I911" s="113"/>
      <c r="J911" s="113"/>
      <c r="K911" s="113"/>
      <c r="L911" s="113"/>
      <c r="M911" s="113"/>
      <c r="N911" s="113"/>
      <c r="O911" s="113"/>
      <c r="P911" s="113"/>
      <c r="Q911" s="113"/>
      <c r="R911" s="113"/>
      <c r="S911" s="113"/>
      <c r="T911" s="113"/>
      <c r="U911" s="113"/>
      <c r="V911" s="113"/>
      <c r="W911" s="113"/>
      <c r="X911" s="113"/>
      <c r="Y911" s="113"/>
      <c r="Z911" s="113"/>
    </row>
    <row r="912">
      <c r="A912" s="113"/>
      <c r="B912" s="120"/>
      <c r="C912" s="120"/>
      <c r="D912" s="40"/>
      <c r="E912" s="114"/>
      <c r="F912" s="113"/>
      <c r="G912" s="113"/>
      <c r="H912" s="113"/>
      <c r="I912" s="113"/>
      <c r="J912" s="113"/>
      <c r="K912" s="113"/>
      <c r="L912" s="113"/>
      <c r="M912" s="113"/>
      <c r="N912" s="113"/>
      <c r="O912" s="113"/>
      <c r="P912" s="113"/>
      <c r="Q912" s="113"/>
      <c r="R912" s="113"/>
      <c r="S912" s="113"/>
      <c r="T912" s="113"/>
      <c r="U912" s="113"/>
      <c r="V912" s="113"/>
      <c r="W912" s="113"/>
      <c r="X912" s="113"/>
      <c r="Y912" s="113"/>
      <c r="Z912" s="113"/>
    </row>
    <row r="913">
      <c r="A913" s="113"/>
      <c r="B913" s="120"/>
      <c r="C913" s="120"/>
      <c r="D913" s="40"/>
      <c r="E913" s="114"/>
      <c r="F913" s="113"/>
      <c r="G913" s="113"/>
      <c r="H913" s="113"/>
      <c r="I913" s="113"/>
      <c r="J913" s="113"/>
      <c r="K913" s="113"/>
      <c r="L913" s="113"/>
      <c r="M913" s="113"/>
      <c r="N913" s="113"/>
      <c r="O913" s="113"/>
      <c r="P913" s="113"/>
      <c r="Q913" s="113"/>
      <c r="R913" s="113"/>
      <c r="S913" s="113"/>
      <c r="T913" s="113"/>
      <c r="U913" s="113"/>
      <c r="V913" s="113"/>
      <c r="W913" s="113"/>
      <c r="X913" s="113"/>
      <c r="Y913" s="113"/>
      <c r="Z913" s="113"/>
    </row>
    <row r="914">
      <c r="A914" s="113"/>
      <c r="B914" s="120"/>
      <c r="C914" s="120"/>
      <c r="D914" s="40"/>
      <c r="E914" s="114"/>
      <c r="F914" s="113"/>
      <c r="G914" s="113"/>
      <c r="H914" s="113"/>
      <c r="I914" s="113"/>
      <c r="J914" s="113"/>
      <c r="K914" s="113"/>
      <c r="L914" s="113"/>
      <c r="M914" s="113"/>
      <c r="N914" s="113"/>
      <c r="O914" s="113"/>
      <c r="P914" s="113"/>
      <c r="Q914" s="113"/>
      <c r="R914" s="113"/>
      <c r="S914" s="113"/>
      <c r="T914" s="113"/>
      <c r="U914" s="113"/>
      <c r="V914" s="113"/>
      <c r="W914" s="113"/>
      <c r="X914" s="113"/>
      <c r="Y914" s="113"/>
      <c r="Z914" s="113"/>
    </row>
    <row r="915">
      <c r="A915" s="113"/>
      <c r="B915" s="120"/>
      <c r="C915" s="120"/>
      <c r="D915" s="40"/>
      <c r="E915" s="114"/>
      <c r="F915" s="113"/>
      <c r="G915" s="113"/>
      <c r="H915" s="113"/>
      <c r="I915" s="113"/>
      <c r="J915" s="113"/>
      <c r="K915" s="113"/>
      <c r="L915" s="113"/>
      <c r="M915" s="113"/>
      <c r="N915" s="113"/>
      <c r="O915" s="113"/>
      <c r="P915" s="113"/>
      <c r="Q915" s="113"/>
      <c r="R915" s="113"/>
      <c r="S915" s="113"/>
      <c r="T915" s="113"/>
      <c r="U915" s="113"/>
      <c r="V915" s="113"/>
      <c r="W915" s="113"/>
      <c r="X915" s="113"/>
      <c r="Y915" s="113"/>
      <c r="Z915" s="113"/>
    </row>
    <row r="916">
      <c r="A916" s="113"/>
      <c r="B916" s="120"/>
      <c r="C916" s="120"/>
      <c r="D916" s="40"/>
      <c r="E916" s="114"/>
      <c r="F916" s="113"/>
      <c r="G916" s="113"/>
      <c r="H916" s="113"/>
      <c r="I916" s="113"/>
      <c r="J916" s="113"/>
      <c r="K916" s="113"/>
      <c r="L916" s="113"/>
      <c r="M916" s="113"/>
      <c r="N916" s="113"/>
      <c r="O916" s="113"/>
      <c r="P916" s="113"/>
      <c r="Q916" s="113"/>
      <c r="R916" s="113"/>
      <c r="S916" s="113"/>
      <c r="T916" s="113"/>
      <c r="U916" s="113"/>
      <c r="V916" s="113"/>
      <c r="W916" s="113"/>
      <c r="X916" s="113"/>
      <c r="Y916" s="113"/>
      <c r="Z916" s="113"/>
    </row>
    <row r="917">
      <c r="A917" s="113"/>
      <c r="B917" s="120"/>
      <c r="C917" s="120"/>
      <c r="D917" s="40"/>
      <c r="E917" s="114"/>
      <c r="F917" s="113"/>
      <c r="G917" s="113"/>
      <c r="H917" s="113"/>
      <c r="I917" s="113"/>
      <c r="J917" s="113"/>
      <c r="K917" s="113"/>
      <c r="L917" s="113"/>
      <c r="M917" s="113"/>
      <c r="N917" s="113"/>
      <c r="O917" s="113"/>
      <c r="P917" s="113"/>
      <c r="Q917" s="113"/>
      <c r="R917" s="113"/>
      <c r="S917" s="113"/>
      <c r="T917" s="113"/>
      <c r="U917" s="113"/>
      <c r="V917" s="113"/>
      <c r="W917" s="113"/>
      <c r="X917" s="113"/>
      <c r="Y917" s="113"/>
      <c r="Z917" s="113"/>
    </row>
    <row r="918">
      <c r="A918" s="113"/>
      <c r="B918" s="120"/>
      <c r="C918" s="120"/>
      <c r="D918" s="40"/>
      <c r="E918" s="114"/>
      <c r="F918" s="113"/>
      <c r="G918" s="113"/>
      <c r="H918" s="113"/>
      <c r="I918" s="113"/>
      <c r="J918" s="113"/>
      <c r="K918" s="113"/>
      <c r="L918" s="113"/>
      <c r="M918" s="113"/>
      <c r="N918" s="113"/>
      <c r="O918" s="113"/>
      <c r="P918" s="113"/>
      <c r="Q918" s="113"/>
      <c r="R918" s="113"/>
      <c r="S918" s="113"/>
      <c r="T918" s="113"/>
      <c r="U918" s="113"/>
      <c r="V918" s="113"/>
      <c r="W918" s="113"/>
      <c r="X918" s="113"/>
      <c r="Y918" s="113"/>
      <c r="Z918" s="113"/>
    </row>
    <row r="919">
      <c r="A919" s="113"/>
      <c r="B919" s="120"/>
      <c r="C919" s="120"/>
      <c r="D919" s="40"/>
      <c r="E919" s="114"/>
      <c r="F919" s="113"/>
      <c r="G919" s="113"/>
      <c r="H919" s="113"/>
      <c r="I919" s="113"/>
      <c r="J919" s="113"/>
      <c r="K919" s="113"/>
      <c r="L919" s="113"/>
      <c r="M919" s="113"/>
      <c r="N919" s="113"/>
      <c r="O919" s="113"/>
      <c r="P919" s="113"/>
      <c r="Q919" s="113"/>
      <c r="R919" s="113"/>
      <c r="S919" s="113"/>
      <c r="T919" s="113"/>
      <c r="U919" s="113"/>
      <c r="V919" s="113"/>
      <c r="W919" s="113"/>
      <c r="X919" s="113"/>
      <c r="Y919" s="113"/>
      <c r="Z919" s="113"/>
    </row>
    <row r="920">
      <c r="A920" s="113"/>
      <c r="B920" s="120"/>
      <c r="C920" s="120"/>
      <c r="D920" s="40"/>
      <c r="E920" s="114"/>
      <c r="F920" s="113"/>
      <c r="G920" s="113"/>
      <c r="H920" s="113"/>
      <c r="I920" s="113"/>
      <c r="J920" s="113"/>
      <c r="K920" s="113"/>
      <c r="L920" s="113"/>
      <c r="M920" s="113"/>
      <c r="N920" s="113"/>
      <c r="O920" s="113"/>
      <c r="P920" s="113"/>
      <c r="Q920" s="113"/>
      <c r="R920" s="113"/>
      <c r="S920" s="113"/>
      <c r="T920" s="113"/>
      <c r="U920" s="113"/>
      <c r="V920" s="113"/>
      <c r="W920" s="113"/>
      <c r="X920" s="113"/>
      <c r="Y920" s="113"/>
      <c r="Z920" s="113"/>
    </row>
    <row r="921">
      <c r="A921" s="113"/>
      <c r="B921" s="120"/>
      <c r="C921" s="120"/>
      <c r="D921" s="40"/>
      <c r="E921" s="114"/>
      <c r="F921" s="113"/>
      <c r="G921" s="113"/>
      <c r="H921" s="113"/>
      <c r="I921" s="113"/>
      <c r="J921" s="113"/>
      <c r="K921" s="113"/>
      <c r="L921" s="113"/>
      <c r="M921" s="113"/>
      <c r="N921" s="113"/>
      <c r="O921" s="113"/>
      <c r="P921" s="113"/>
      <c r="Q921" s="113"/>
      <c r="R921" s="113"/>
      <c r="S921" s="113"/>
      <c r="T921" s="113"/>
      <c r="U921" s="113"/>
      <c r="V921" s="113"/>
      <c r="W921" s="113"/>
      <c r="X921" s="113"/>
      <c r="Y921" s="113"/>
      <c r="Z921" s="113"/>
    </row>
    <row r="922">
      <c r="A922" s="113"/>
      <c r="B922" s="120"/>
      <c r="C922" s="120"/>
      <c r="D922" s="40"/>
      <c r="E922" s="114"/>
      <c r="F922" s="113"/>
      <c r="G922" s="113"/>
      <c r="H922" s="113"/>
      <c r="I922" s="113"/>
      <c r="J922" s="113"/>
      <c r="K922" s="113"/>
      <c r="L922" s="113"/>
      <c r="M922" s="113"/>
      <c r="N922" s="113"/>
      <c r="O922" s="113"/>
      <c r="P922" s="113"/>
      <c r="Q922" s="113"/>
      <c r="R922" s="113"/>
      <c r="S922" s="113"/>
      <c r="T922" s="113"/>
      <c r="U922" s="113"/>
      <c r="V922" s="113"/>
      <c r="W922" s="113"/>
      <c r="X922" s="113"/>
      <c r="Y922" s="113"/>
      <c r="Z922" s="113"/>
    </row>
    <row r="923">
      <c r="A923" s="113"/>
      <c r="B923" s="120"/>
      <c r="C923" s="120"/>
      <c r="D923" s="40"/>
      <c r="E923" s="114"/>
      <c r="F923" s="113"/>
      <c r="G923" s="113"/>
      <c r="H923" s="113"/>
      <c r="I923" s="113"/>
      <c r="J923" s="113"/>
      <c r="K923" s="113"/>
      <c r="L923" s="113"/>
      <c r="M923" s="113"/>
      <c r="N923" s="113"/>
      <c r="O923" s="113"/>
      <c r="P923" s="113"/>
      <c r="Q923" s="113"/>
      <c r="R923" s="113"/>
      <c r="S923" s="113"/>
      <c r="T923" s="113"/>
      <c r="U923" s="113"/>
      <c r="V923" s="113"/>
      <c r="W923" s="113"/>
      <c r="X923" s="113"/>
      <c r="Y923" s="113"/>
      <c r="Z923" s="113"/>
    </row>
    <row r="924">
      <c r="A924" s="113"/>
      <c r="B924" s="120"/>
      <c r="C924" s="120"/>
      <c r="D924" s="40"/>
      <c r="E924" s="114"/>
      <c r="F924" s="113"/>
      <c r="G924" s="113"/>
      <c r="H924" s="113"/>
      <c r="I924" s="113"/>
      <c r="J924" s="113"/>
      <c r="K924" s="113"/>
      <c r="L924" s="113"/>
      <c r="M924" s="113"/>
      <c r="N924" s="113"/>
      <c r="O924" s="113"/>
      <c r="P924" s="113"/>
      <c r="Q924" s="113"/>
      <c r="R924" s="113"/>
      <c r="S924" s="113"/>
      <c r="T924" s="113"/>
      <c r="U924" s="113"/>
      <c r="V924" s="113"/>
      <c r="W924" s="113"/>
      <c r="X924" s="113"/>
      <c r="Y924" s="113"/>
      <c r="Z924" s="113"/>
    </row>
    <row r="925">
      <c r="A925" s="113"/>
      <c r="B925" s="120"/>
      <c r="C925" s="120"/>
      <c r="D925" s="40"/>
      <c r="E925" s="114"/>
      <c r="F925" s="113"/>
      <c r="G925" s="113"/>
      <c r="H925" s="113"/>
      <c r="I925" s="113"/>
      <c r="J925" s="113"/>
      <c r="K925" s="113"/>
      <c r="L925" s="113"/>
      <c r="M925" s="113"/>
      <c r="N925" s="113"/>
      <c r="O925" s="113"/>
      <c r="P925" s="113"/>
      <c r="Q925" s="113"/>
      <c r="R925" s="113"/>
      <c r="S925" s="113"/>
      <c r="T925" s="113"/>
      <c r="U925" s="113"/>
      <c r="V925" s="113"/>
      <c r="W925" s="113"/>
      <c r="X925" s="113"/>
      <c r="Y925" s="113"/>
      <c r="Z925" s="113"/>
    </row>
    <row r="926">
      <c r="A926" s="113"/>
      <c r="B926" s="120"/>
      <c r="C926" s="120"/>
      <c r="D926" s="40"/>
      <c r="E926" s="114"/>
      <c r="F926" s="113"/>
      <c r="G926" s="113"/>
      <c r="H926" s="113"/>
      <c r="I926" s="113"/>
      <c r="J926" s="113"/>
      <c r="K926" s="113"/>
      <c r="L926" s="113"/>
      <c r="M926" s="113"/>
      <c r="N926" s="113"/>
      <c r="O926" s="113"/>
      <c r="P926" s="113"/>
      <c r="Q926" s="113"/>
      <c r="R926" s="113"/>
      <c r="S926" s="113"/>
      <c r="T926" s="113"/>
      <c r="U926" s="113"/>
      <c r="V926" s="113"/>
      <c r="W926" s="113"/>
      <c r="X926" s="113"/>
      <c r="Y926" s="113"/>
      <c r="Z926" s="113"/>
    </row>
    <row r="927">
      <c r="A927" s="113"/>
      <c r="B927" s="120"/>
      <c r="C927" s="120"/>
      <c r="D927" s="40"/>
      <c r="E927" s="114"/>
      <c r="F927" s="113"/>
      <c r="G927" s="113"/>
      <c r="H927" s="113"/>
      <c r="I927" s="113"/>
      <c r="J927" s="113"/>
      <c r="K927" s="113"/>
      <c r="L927" s="113"/>
      <c r="M927" s="113"/>
      <c r="N927" s="113"/>
      <c r="O927" s="113"/>
      <c r="P927" s="113"/>
      <c r="Q927" s="113"/>
      <c r="R927" s="113"/>
      <c r="S927" s="113"/>
      <c r="T927" s="113"/>
      <c r="U927" s="113"/>
      <c r="V927" s="113"/>
      <c r="W927" s="113"/>
      <c r="X927" s="113"/>
      <c r="Y927" s="113"/>
      <c r="Z927" s="113"/>
    </row>
    <row r="928">
      <c r="A928" s="113"/>
      <c r="B928" s="120"/>
      <c r="C928" s="120"/>
      <c r="D928" s="40"/>
      <c r="E928" s="114"/>
      <c r="F928" s="113"/>
      <c r="G928" s="113"/>
      <c r="H928" s="113"/>
      <c r="I928" s="113"/>
      <c r="J928" s="113"/>
      <c r="K928" s="113"/>
      <c r="L928" s="113"/>
      <c r="M928" s="113"/>
      <c r="N928" s="113"/>
      <c r="O928" s="113"/>
      <c r="P928" s="113"/>
      <c r="Q928" s="113"/>
      <c r="R928" s="113"/>
      <c r="S928" s="113"/>
      <c r="T928" s="113"/>
      <c r="U928" s="113"/>
      <c r="V928" s="113"/>
      <c r="W928" s="113"/>
      <c r="X928" s="113"/>
      <c r="Y928" s="113"/>
      <c r="Z928" s="113"/>
    </row>
    <row r="929">
      <c r="A929" s="113"/>
      <c r="B929" s="120"/>
      <c r="C929" s="120"/>
      <c r="D929" s="40"/>
      <c r="E929" s="114"/>
      <c r="F929" s="113"/>
      <c r="G929" s="113"/>
      <c r="H929" s="113"/>
      <c r="I929" s="113"/>
      <c r="J929" s="113"/>
      <c r="K929" s="113"/>
      <c r="L929" s="113"/>
      <c r="M929" s="113"/>
      <c r="N929" s="113"/>
      <c r="O929" s="113"/>
      <c r="P929" s="113"/>
      <c r="Q929" s="113"/>
      <c r="R929" s="113"/>
      <c r="S929" s="113"/>
      <c r="T929" s="113"/>
      <c r="U929" s="113"/>
      <c r="V929" s="113"/>
      <c r="W929" s="113"/>
      <c r="X929" s="113"/>
      <c r="Y929" s="113"/>
      <c r="Z929" s="113"/>
    </row>
    <row r="930">
      <c r="A930" s="113"/>
      <c r="B930" s="120"/>
      <c r="C930" s="120"/>
      <c r="D930" s="40"/>
      <c r="E930" s="114"/>
      <c r="F930" s="113"/>
      <c r="G930" s="113"/>
      <c r="H930" s="113"/>
      <c r="I930" s="113"/>
      <c r="J930" s="113"/>
      <c r="K930" s="113"/>
      <c r="L930" s="113"/>
      <c r="M930" s="113"/>
      <c r="N930" s="113"/>
      <c r="O930" s="113"/>
      <c r="P930" s="113"/>
      <c r="Q930" s="113"/>
      <c r="R930" s="113"/>
      <c r="S930" s="113"/>
      <c r="T930" s="113"/>
      <c r="U930" s="113"/>
      <c r="V930" s="113"/>
      <c r="W930" s="113"/>
      <c r="X930" s="113"/>
      <c r="Y930" s="113"/>
      <c r="Z930" s="113"/>
    </row>
    <row r="931">
      <c r="A931" s="113"/>
      <c r="B931" s="120"/>
      <c r="C931" s="120"/>
      <c r="D931" s="40"/>
      <c r="E931" s="114"/>
      <c r="F931" s="113"/>
      <c r="G931" s="113"/>
      <c r="H931" s="113"/>
      <c r="I931" s="113"/>
      <c r="J931" s="113"/>
      <c r="K931" s="113"/>
      <c r="L931" s="113"/>
      <c r="M931" s="113"/>
      <c r="N931" s="113"/>
      <c r="O931" s="113"/>
      <c r="P931" s="113"/>
      <c r="Q931" s="113"/>
      <c r="R931" s="113"/>
      <c r="S931" s="113"/>
      <c r="T931" s="113"/>
      <c r="U931" s="113"/>
      <c r="V931" s="113"/>
      <c r="W931" s="113"/>
      <c r="X931" s="113"/>
      <c r="Y931" s="113"/>
      <c r="Z931" s="113"/>
    </row>
    <row r="932">
      <c r="A932" s="113"/>
      <c r="B932" s="120"/>
      <c r="C932" s="120"/>
      <c r="D932" s="40"/>
      <c r="E932" s="114"/>
      <c r="F932" s="113"/>
      <c r="G932" s="113"/>
      <c r="H932" s="113"/>
      <c r="I932" s="113"/>
      <c r="J932" s="113"/>
      <c r="K932" s="113"/>
      <c r="L932" s="113"/>
      <c r="M932" s="113"/>
      <c r="N932" s="113"/>
      <c r="O932" s="113"/>
      <c r="P932" s="113"/>
      <c r="Q932" s="113"/>
      <c r="R932" s="113"/>
      <c r="S932" s="113"/>
      <c r="T932" s="113"/>
      <c r="U932" s="113"/>
      <c r="V932" s="113"/>
      <c r="W932" s="113"/>
      <c r="X932" s="113"/>
      <c r="Y932" s="113"/>
      <c r="Z932" s="113"/>
    </row>
    <row r="933">
      <c r="A933" s="113"/>
      <c r="B933" s="120"/>
      <c r="C933" s="120"/>
      <c r="D933" s="40"/>
      <c r="E933" s="114"/>
      <c r="F933" s="113"/>
      <c r="G933" s="113"/>
      <c r="H933" s="113"/>
      <c r="I933" s="113"/>
      <c r="J933" s="113"/>
      <c r="K933" s="113"/>
      <c r="L933" s="113"/>
      <c r="M933" s="113"/>
      <c r="N933" s="113"/>
      <c r="O933" s="113"/>
      <c r="P933" s="113"/>
      <c r="Q933" s="113"/>
      <c r="R933" s="113"/>
      <c r="S933" s="113"/>
      <c r="T933" s="113"/>
      <c r="U933" s="113"/>
      <c r="V933" s="113"/>
      <c r="W933" s="113"/>
      <c r="X933" s="113"/>
      <c r="Y933" s="113"/>
      <c r="Z933" s="113"/>
    </row>
    <row r="934">
      <c r="A934" s="113"/>
      <c r="B934" s="120"/>
      <c r="C934" s="120"/>
      <c r="D934" s="40"/>
      <c r="E934" s="114"/>
      <c r="F934" s="113"/>
      <c r="G934" s="113"/>
      <c r="H934" s="113"/>
      <c r="I934" s="113"/>
      <c r="J934" s="113"/>
      <c r="K934" s="113"/>
      <c r="L934" s="113"/>
      <c r="M934" s="113"/>
      <c r="N934" s="113"/>
      <c r="O934" s="113"/>
      <c r="P934" s="113"/>
      <c r="Q934" s="113"/>
      <c r="R934" s="113"/>
      <c r="S934" s="113"/>
      <c r="T934" s="113"/>
      <c r="U934" s="113"/>
      <c r="V934" s="113"/>
      <c r="W934" s="113"/>
      <c r="X934" s="113"/>
      <c r="Y934" s="113"/>
      <c r="Z934" s="113"/>
    </row>
    <row r="935">
      <c r="A935" s="113"/>
      <c r="B935" s="120"/>
      <c r="C935" s="120"/>
      <c r="D935" s="40"/>
      <c r="E935" s="114"/>
      <c r="F935" s="113"/>
      <c r="G935" s="113"/>
      <c r="H935" s="113"/>
      <c r="I935" s="113"/>
      <c r="J935" s="113"/>
      <c r="K935" s="113"/>
      <c r="L935" s="113"/>
      <c r="M935" s="113"/>
      <c r="N935" s="113"/>
      <c r="O935" s="113"/>
      <c r="P935" s="113"/>
      <c r="Q935" s="113"/>
      <c r="R935" s="113"/>
      <c r="S935" s="113"/>
      <c r="T935" s="113"/>
      <c r="U935" s="113"/>
      <c r="V935" s="113"/>
      <c r="W935" s="113"/>
      <c r="X935" s="113"/>
      <c r="Y935" s="113"/>
      <c r="Z935" s="113"/>
    </row>
    <row r="936">
      <c r="A936" s="113"/>
      <c r="B936" s="120"/>
      <c r="C936" s="120"/>
      <c r="D936" s="40"/>
      <c r="E936" s="114"/>
      <c r="F936" s="113"/>
      <c r="G936" s="113"/>
      <c r="H936" s="113"/>
      <c r="I936" s="113"/>
      <c r="J936" s="113"/>
      <c r="K936" s="113"/>
      <c r="L936" s="113"/>
      <c r="M936" s="113"/>
      <c r="N936" s="113"/>
      <c r="O936" s="113"/>
      <c r="P936" s="113"/>
      <c r="Q936" s="113"/>
      <c r="R936" s="113"/>
      <c r="S936" s="113"/>
      <c r="T936" s="113"/>
      <c r="U936" s="113"/>
      <c r="V936" s="113"/>
      <c r="W936" s="113"/>
      <c r="X936" s="113"/>
      <c r="Y936" s="113"/>
      <c r="Z936" s="113"/>
    </row>
    <row r="937">
      <c r="A937" s="113"/>
      <c r="B937" s="120"/>
      <c r="C937" s="120"/>
      <c r="D937" s="40"/>
      <c r="E937" s="114"/>
      <c r="F937" s="113"/>
      <c r="G937" s="113"/>
      <c r="H937" s="113"/>
      <c r="I937" s="113"/>
      <c r="J937" s="113"/>
      <c r="K937" s="113"/>
      <c r="L937" s="113"/>
      <c r="M937" s="113"/>
      <c r="N937" s="113"/>
      <c r="O937" s="113"/>
      <c r="P937" s="113"/>
      <c r="Q937" s="113"/>
      <c r="R937" s="113"/>
      <c r="S937" s="113"/>
      <c r="T937" s="113"/>
      <c r="U937" s="113"/>
      <c r="V937" s="113"/>
      <c r="W937" s="113"/>
      <c r="X937" s="113"/>
      <c r="Y937" s="113"/>
      <c r="Z937" s="113"/>
    </row>
    <row r="938">
      <c r="A938" s="113"/>
      <c r="B938" s="120"/>
      <c r="C938" s="120"/>
      <c r="D938" s="40"/>
      <c r="E938" s="114"/>
      <c r="F938" s="113"/>
      <c r="G938" s="113"/>
      <c r="H938" s="113"/>
      <c r="I938" s="113"/>
      <c r="J938" s="113"/>
      <c r="K938" s="113"/>
      <c r="L938" s="113"/>
      <c r="M938" s="113"/>
      <c r="N938" s="113"/>
      <c r="O938" s="113"/>
      <c r="P938" s="113"/>
      <c r="Q938" s="113"/>
      <c r="R938" s="113"/>
      <c r="S938" s="113"/>
      <c r="T938" s="113"/>
      <c r="U938" s="113"/>
      <c r="V938" s="113"/>
      <c r="W938" s="113"/>
      <c r="X938" s="113"/>
      <c r="Y938" s="113"/>
      <c r="Z938" s="113"/>
    </row>
    <row r="939">
      <c r="A939" s="113"/>
      <c r="B939" s="120"/>
      <c r="C939" s="120"/>
      <c r="D939" s="40"/>
      <c r="E939" s="114"/>
      <c r="F939" s="113"/>
      <c r="G939" s="113"/>
      <c r="H939" s="113"/>
      <c r="I939" s="113"/>
      <c r="J939" s="113"/>
      <c r="K939" s="113"/>
      <c r="L939" s="113"/>
      <c r="M939" s="113"/>
      <c r="N939" s="113"/>
      <c r="O939" s="113"/>
      <c r="P939" s="113"/>
      <c r="Q939" s="113"/>
      <c r="R939" s="113"/>
      <c r="S939" s="113"/>
      <c r="T939" s="113"/>
      <c r="U939" s="113"/>
      <c r="V939" s="113"/>
      <c r="W939" s="113"/>
      <c r="X939" s="113"/>
      <c r="Y939" s="113"/>
      <c r="Z939" s="113"/>
    </row>
    <row r="940">
      <c r="A940" s="113"/>
      <c r="B940" s="120"/>
      <c r="C940" s="120"/>
      <c r="D940" s="40"/>
      <c r="E940" s="114"/>
      <c r="F940" s="113"/>
      <c r="G940" s="113"/>
      <c r="H940" s="113"/>
      <c r="I940" s="113"/>
      <c r="J940" s="113"/>
      <c r="K940" s="113"/>
      <c r="L940" s="113"/>
      <c r="M940" s="113"/>
      <c r="N940" s="113"/>
      <c r="O940" s="113"/>
      <c r="P940" s="113"/>
      <c r="Q940" s="113"/>
      <c r="R940" s="113"/>
      <c r="S940" s="113"/>
      <c r="T940" s="113"/>
      <c r="U940" s="113"/>
      <c r="V940" s="113"/>
      <c r="W940" s="113"/>
      <c r="X940" s="113"/>
      <c r="Y940" s="113"/>
      <c r="Z940" s="113"/>
    </row>
    <row r="941">
      <c r="A941" s="113"/>
      <c r="B941" s="120"/>
      <c r="C941" s="120"/>
      <c r="D941" s="40"/>
      <c r="E941" s="114"/>
      <c r="F941" s="113"/>
      <c r="G941" s="113"/>
      <c r="H941" s="113"/>
      <c r="I941" s="113"/>
      <c r="J941" s="113"/>
      <c r="K941" s="113"/>
      <c r="L941" s="113"/>
      <c r="M941" s="113"/>
      <c r="N941" s="113"/>
      <c r="O941" s="113"/>
      <c r="P941" s="113"/>
      <c r="Q941" s="113"/>
      <c r="R941" s="113"/>
      <c r="S941" s="113"/>
      <c r="T941" s="113"/>
      <c r="U941" s="113"/>
      <c r="V941" s="113"/>
      <c r="W941" s="113"/>
      <c r="X941" s="113"/>
      <c r="Y941" s="113"/>
      <c r="Z941" s="113"/>
    </row>
    <row r="942">
      <c r="A942" s="113"/>
      <c r="B942" s="120"/>
      <c r="C942" s="120"/>
      <c r="D942" s="40"/>
      <c r="E942" s="114"/>
      <c r="F942" s="113"/>
      <c r="G942" s="113"/>
      <c r="H942" s="113"/>
      <c r="I942" s="113"/>
      <c r="J942" s="113"/>
      <c r="K942" s="113"/>
      <c r="L942" s="113"/>
      <c r="M942" s="113"/>
      <c r="N942" s="113"/>
      <c r="O942" s="113"/>
      <c r="P942" s="113"/>
      <c r="Q942" s="113"/>
      <c r="R942" s="113"/>
      <c r="S942" s="113"/>
      <c r="T942" s="113"/>
      <c r="U942" s="113"/>
      <c r="V942" s="113"/>
      <c r="W942" s="113"/>
      <c r="X942" s="113"/>
      <c r="Y942" s="113"/>
      <c r="Z942" s="113"/>
    </row>
    <row r="943">
      <c r="A943" s="113"/>
      <c r="B943" s="120"/>
      <c r="C943" s="120"/>
      <c r="D943" s="40"/>
      <c r="E943" s="114"/>
      <c r="F943" s="113"/>
      <c r="G943" s="113"/>
      <c r="H943" s="113"/>
      <c r="I943" s="113"/>
      <c r="J943" s="113"/>
      <c r="K943" s="113"/>
      <c r="L943" s="113"/>
      <c r="M943" s="113"/>
      <c r="N943" s="113"/>
      <c r="O943" s="113"/>
      <c r="P943" s="113"/>
      <c r="Q943" s="113"/>
      <c r="R943" s="113"/>
      <c r="S943" s="113"/>
      <c r="T943" s="113"/>
      <c r="U943" s="113"/>
      <c r="V943" s="113"/>
      <c r="W943" s="113"/>
      <c r="X943" s="113"/>
      <c r="Y943" s="113"/>
      <c r="Z943" s="113"/>
    </row>
    <row r="944">
      <c r="A944" s="113"/>
      <c r="B944" s="120"/>
      <c r="C944" s="120"/>
      <c r="D944" s="40"/>
      <c r="E944" s="114"/>
      <c r="F944" s="113"/>
      <c r="G944" s="113"/>
      <c r="H944" s="113"/>
      <c r="I944" s="113"/>
      <c r="J944" s="113"/>
      <c r="K944" s="113"/>
      <c r="L944" s="113"/>
      <c r="M944" s="113"/>
      <c r="N944" s="113"/>
      <c r="O944" s="113"/>
      <c r="P944" s="113"/>
      <c r="Q944" s="113"/>
      <c r="R944" s="113"/>
      <c r="S944" s="113"/>
      <c r="T944" s="113"/>
      <c r="U944" s="113"/>
      <c r="V944" s="113"/>
      <c r="W944" s="113"/>
      <c r="X944" s="113"/>
      <c r="Y944" s="113"/>
      <c r="Z944" s="113"/>
    </row>
    <row r="945">
      <c r="A945" s="113"/>
      <c r="B945" s="120"/>
      <c r="C945" s="120"/>
      <c r="D945" s="40"/>
      <c r="E945" s="114"/>
      <c r="F945" s="113"/>
      <c r="G945" s="113"/>
      <c r="H945" s="113"/>
      <c r="I945" s="113"/>
      <c r="J945" s="113"/>
      <c r="K945" s="113"/>
      <c r="L945" s="113"/>
      <c r="M945" s="113"/>
      <c r="N945" s="113"/>
      <c r="O945" s="113"/>
      <c r="P945" s="113"/>
      <c r="Q945" s="113"/>
      <c r="R945" s="113"/>
      <c r="S945" s="113"/>
      <c r="T945" s="113"/>
      <c r="U945" s="113"/>
      <c r="V945" s="113"/>
      <c r="W945" s="113"/>
      <c r="X945" s="113"/>
      <c r="Y945" s="113"/>
      <c r="Z945" s="113"/>
    </row>
    <row r="946">
      <c r="A946" s="113"/>
      <c r="B946" s="120"/>
      <c r="C946" s="120"/>
      <c r="D946" s="40"/>
      <c r="E946" s="114"/>
      <c r="F946" s="113"/>
      <c r="G946" s="113"/>
      <c r="H946" s="113"/>
      <c r="I946" s="113"/>
      <c r="J946" s="113"/>
      <c r="K946" s="113"/>
      <c r="L946" s="113"/>
      <c r="M946" s="113"/>
      <c r="N946" s="113"/>
      <c r="O946" s="113"/>
      <c r="P946" s="113"/>
      <c r="Q946" s="113"/>
      <c r="R946" s="113"/>
      <c r="S946" s="113"/>
      <c r="T946" s="113"/>
      <c r="U946" s="113"/>
      <c r="V946" s="113"/>
      <c r="W946" s="113"/>
      <c r="X946" s="113"/>
      <c r="Y946" s="113"/>
      <c r="Z946" s="113"/>
    </row>
    <row r="947">
      <c r="A947" s="113"/>
      <c r="B947" s="120"/>
      <c r="C947" s="120"/>
      <c r="D947" s="40"/>
      <c r="E947" s="114"/>
      <c r="F947" s="113"/>
      <c r="G947" s="113"/>
      <c r="H947" s="113"/>
      <c r="I947" s="113"/>
      <c r="J947" s="113"/>
      <c r="K947" s="113"/>
      <c r="L947" s="113"/>
      <c r="M947" s="113"/>
      <c r="N947" s="113"/>
      <c r="O947" s="113"/>
      <c r="P947" s="113"/>
      <c r="Q947" s="113"/>
      <c r="R947" s="113"/>
      <c r="S947" s="113"/>
      <c r="T947" s="113"/>
      <c r="U947" s="113"/>
      <c r="V947" s="113"/>
      <c r="W947" s="113"/>
      <c r="X947" s="113"/>
      <c r="Y947" s="113"/>
      <c r="Z947" s="113"/>
    </row>
    <row r="948">
      <c r="A948" s="113"/>
      <c r="B948" s="120"/>
      <c r="C948" s="120"/>
      <c r="D948" s="40"/>
      <c r="E948" s="114"/>
      <c r="F948" s="113"/>
      <c r="G948" s="113"/>
      <c r="H948" s="113"/>
      <c r="I948" s="113"/>
      <c r="J948" s="113"/>
      <c r="K948" s="113"/>
      <c r="L948" s="113"/>
      <c r="M948" s="113"/>
      <c r="N948" s="113"/>
      <c r="O948" s="113"/>
      <c r="P948" s="113"/>
      <c r="Q948" s="113"/>
      <c r="R948" s="113"/>
      <c r="S948" s="113"/>
      <c r="T948" s="113"/>
      <c r="U948" s="113"/>
      <c r="V948" s="113"/>
      <c r="W948" s="113"/>
      <c r="X948" s="113"/>
      <c r="Y948" s="113"/>
      <c r="Z948" s="113"/>
    </row>
    <row r="949">
      <c r="A949" s="113"/>
      <c r="B949" s="120"/>
      <c r="C949" s="120"/>
      <c r="D949" s="40"/>
      <c r="E949" s="114"/>
      <c r="F949" s="113"/>
      <c r="G949" s="113"/>
      <c r="H949" s="113"/>
      <c r="I949" s="113"/>
      <c r="J949" s="113"/>
      <c r="K949" s="113"/>
      <c r="L949" s="113"/>
      <c r="M949" s="113"/>
      <c r="N949" s="113"/>
      <c r="O949" s="113"/>
      <c r="P949" s="113"/>
      <c r="Q949" s="113"/>
      <c r="R949" s="113"/>
      <c r="S949" s="113"/>
      <c r="T949" s="113"/>
      <c r="U949" s="113"/>
      <c r="V949" s="113"/>
      <c r="W949" s="113"/>
      <c r="X949" s="113"/>
      <c r="Y949" s="113"/>
      <c r="Z949" s="113"/>
    </row>
    <row r="950">
      <c r="A950" s="113"/>
      <c r="B950" s="120"/>
      <c r="C950" s="120"/>
      <c r="D950" s="40"/>
      <c r="E950" s="114"/>
      <c r="F950" s="113"/>
      <c r="G950" s="113"/>
      <c r="H950" s="113"/>
      <c r="I950" s="113"/>
      <c r="J950" s="113"/>
      <c r="K950" s="113"/>
      <c r="L950" s="113"/>
      <c r="M950" s="113"/>
      <c r="N950" s="113"/>
      <c r="O950" s="113"/>
      <c r="P950" s="113"/>
      <c r="Q950" s="113"/>
      <c r="R950" s="113"/>
      <c r="S950" s="113"/>
      <c r="T950" s="113"/>
      <c r="U950" s="113"/>
      <c r="V950" s="113"/>
      <c r="W950" s="113"/>
      <c r="X950" s="113"/>
      <c r="Y950" s="113"/>
      <c r="Z950" s="113"/>
    </row>
    <row r="951">
      <c r="A951" s="113"/>
      <c r="B951" s="120"/>
      <c r="C951" s="120"/>
      <c r="D951" s="40"/>
      <c r="E951" s="114"/>
      <c r="F951" s="113"/>
      <c r="G951" s="113"/>
      <c r="H951" s="113"/>
      <c r="I951" s="113"/>
      <c r="J951" s="113"/>
      <c r="K951" s="113"/>
      <c r="L951" s="113"/>
      <c r="M951" s="113"/>
      <c r="N951" s="113"/>
      <c r="O951" s="113"/>
      <c r="P951" s="113"/>
      <c r="Q951" s="113"/>
      <c r="R951" s="113"/>
      <c r="S951" s="113"/>
      <c r="T951" s="113"/>
      <c r="U951" s="113"/>
      <c r="V951" s="113"/>
      <c r="W951" s="113"/>
      <c r="X951" s="113"/>
      <c r="Y951" s="113"/>
      <c r="Z951" s="113"/>
    </row>
    <row r="952">
      <c r="A952" s="113"/>
      <c r="B952" s="120"/>
      <c r="C952" s="120"/>
      <c r="D952" s="40"/>
      <c r="E952" s="114"/>
      <c r="F952" s="113"/>
      <c r="G952" s="113"/>
      <c r="H952" s="113"/>
      <c r="I952" s="113"/>
      <c r="J952" s="113"/>
      <c r="K952" s="113"/>
      <c r="L952" s="113"/>
      <c r="M952" s="113"/>
      <c r="N952" s="113"/>
      <c r="O952" s="113"/>
      <c r="P952" s="113"/>
      <c r="Q952" s="113"/>
      <c r="R952" s="113"/>
      <c r="S952" s="113"/>
      <c r="T952" s="113"/>
      <c r="U952" s="113"/>
      <c r="V952" s="113"/>
      <c r="W952" s="113"/>
      <c r="X952" s="113"/>
      <c r="Y952" s="113"/>
      <c r="Z952" s="113"/>
    </row>
    <row r="953">
      <c r="A953" s="113"/>
      <c r="B953" s="120"/>
      <c r="C953" s="120"/>
      <c r="D953" s="40"/>
      <c r="E953" s="114"/>
      <c r="F953" s="113"/>
      <c r="G953" s="113"/>
      <c r="H953" s="113"/>
      <c r="I953" s="113"/>
      <c r="J953" s="113"/>
      <c r="K953" s="113"/>
      <c r="L953" s="113"/>
      <c r="M953" s="113"/>
      <c r="N953" s="113"/>
      <c r="O953" s="113"/>
      <c r="P953" s="113"/>
      <c r="Q953" s="113"/>
      <c r="R953" s="113"/>
      <c r="S953" s="113"/>
      <c r="T953" s="113"/>
      <c r="U953" s="113"/>
      <c r="V953" s="113"/>
      <c r="W953" s="113"/>
      <c r="X953" s="113"/>
      <c r="Y953" s="113"/>
      <c r="Z953" s="113"/>
    </row>
    <row r="954">
      <c r="A954" s="113"/>
      <c r="B954" s="120"/>
      <c r="C954" s="120"/>
      <c r="D954" s="40"/>
      <c r="E954" s="114"/>
      <c r="F954" s="113"/>
      <c r="G954" s="113"/>
      <c r="H954" s="113"/>
      <c r="I954" s="113"/>
      <c r="J954" s="113"/>
      <c r="K954" s="113"/>
      <c r="L954" s="113"/>
      <c r="M954" s="113"/>
      <c r="N954" s="113"/>
      <c r="O954" s="113"/>
      <c r="P954" s="113"/>
      <c r="Q954" s="113"/>
      <c r="R954" s="113"/>
      <c r="S954" s="113"/>
      <c r="T954" s="113"/>
      <c r="U954" s="113"/>
      <c r="V954" s="113"/>
      <c r="W954" s="113"/>
      <c r="X954" s="113"/>
      <c r="Y954" s="113"/>
      <c r="Z954" s="113"/>
    </row>
    <row r="955">
      <c r="A955" s="113"/>
      <c r="B955" s="120"/>
      <c r="C955" s="120"/>
      <c r="D955" s="40"/>
      <c r="E955" s="114"/>
      <c r="F955" s="113"/>
      <c r="G955" s="113"/>
      <c r="H955" s="113"/>
      <c r="I955" s="113"/>
      <c r="J955" s="113"/>
      <c r="K955" s="113"/>
      <c r="L955" s="113"/>
      <c r="M955" s="113"/>
      <c r="N955" s="113"/>
      <c r="O955" s="113"/>
      <c r="P955" s="113"/>
      <c r="Q955" s="113"/>
      <c r="R955" s="113"/>
      <c r="S955" s="113"/>
      <c r="T955" s="113"/>
      <c r="U955" s="113"/>
      <c r="V955" s="113"/>
      <c r="W955" s="113"/>
      <c r="X955" s="113"/>
      <c r="Y955" s="113"/>
      <c r="Z955" s="113"/>
    </row>
    <row r="956">
      <c r="A956" s="113"/>
      <c r="B956" s="120"/>
      <c r="C956" s="120"/>
      <c r="D956" s="40"/>
      <c r="E956" s="114"/>
      <c r="F956" s="113"/>
      <c r="G956" s="113"/>
      <c r="H956" s="113"/>
      <c r="I956" s="113"/>
      <c r="J956" s="113"/>
      <c r="K956" s="113"/>
      <c r="L956" s="113"/>
      <c r="M956" s="113"/>
      <c r="N956" s="113"/>
      <c r="O956" s="113"/>
      <c r="P956" s="113"/>
      <c r="Q956" s="113"/>
      <c r="R956" s="113"/>
      <c r="S956" s="113"/>
      <c r="T956" s="113"/>
      <c r="U956" s="113"/>
      <c r="V956" s="113"/>
      <c r="W956" s="113"/>
      <c r="X956" s="113"/>
      <c r="Y956" s="113"/>
      <c r="Z956" s="113"/>
    </row>
    <row r="957">
      <c r="A957" s="113"/>
      <c r="B957" s="120"/>
      <c r="C957" s="120"/>
      <c r="D957" s="40"/>
      <c r="E957" s="114"/>
      <c r="F957" s="113"/>
      <c r="G957" s="113"/>
      <c r="H957" s="113"/>
      <c r="I957" s="113"/>
      <c r="J957" s="113"/>
      <c r="K957" s="113"/>
      <c r="L957" s="113"/>
      <c r="M957" s="113"/>
      <c r="N957" s="113"/>
      <c r="O957" s="113"/>
      <c r="P957" s="113"/>
      <c r="Q957" s="113"/>
      <c r="R957" s="113"/>
      <c r="S957" s="113"/>
      <c r="T957" s="113"/>
      <c r="U957" s="113"/>
      <c r="V957" s="113"/>
      <c r="W957" s="113"/>
      <c r="X957" s="113"/>
      <c r="Y957" s="113"/>
      <c r="Z957" s="113"/>
    </row>
    <row r="958">
      <c r="A958" s="113"/>
      <c r="B958" s="120"/>
      <c r="C958" s="120"/>
      <c r="D958" s="40"/>
      <c r="E958" s="114"/>
      <c r="F958" s="113"/>
      <c r="G958" s="113"/>
      <c r="H958" s="113"/>
      <c r="I958" s="113"/>
      <c r="J958" s="113"/>
      <c r="K958" s="113"/>
      <c r="L958" s="113"/>
      <c r="M958" s="113"/>
      <c r="N958" s="113"/>
      <c r="O958" s="113"/>
      <c r="P958" s="113"/>
      <c r="Q958" s="113"/>
      <c r="R958" s="113"/>
      <c r="S958" s="113"/>
      <c r="T958" s="113"/>
      <c r="U958" s="113"/>
      <c r="V958" s="113"/>
      <c r="W958" s="113"/>
      <c r="X958" s="113"/>
      <c r="Y958" s="113"/>
      <c r="Z958" s="113"/>
    </row>
    <row r="959">
      <c r="A959" s="113"/>
      <c r="B959" s="120"/>
      <c r="C959" s="120"/>
      <c r="D959" s="40"/>
      <c r="E959" s="114"/>
      <c r="F959" s="113"/>
      <c r="G959" s="113"/>
      <c r="H959" s="113"/>
      <c r="I959" s="113"/>
      <c r="J959" s="113"/>
      <c r="K959" s="113"/>
      <c r="L959" s="113"/>
      <c r="M959" s="113"/>
      <c r="N959" s="113"/>
      <c r="O959" s="113"/>
      <c r="P959" s="113"/>
      <c r="Q959" s="113"/>
      <c r="R959" s="113"/>
      <c r="S959" s="113"/>
      <c r="T959" s="113"/>
      <c r="U959" s="113"/>
      <c r="V959" s="113"/>
      <c r="W959" s="113"/>
      <c r="X959" s="113"/>
      <c r="Y959" s="113"/>
      <c r="Z959" s="113"/>
    </row>
    <row r="960">
      <c r="A960" s="113"/>
      <c r="B960" s="120"/>
      <c r="C960" s="120"/>
      <c r="D960" s="40"/>
      <c r="E960" s="114"/>
      <c r="F960" s="113"/>
      <c r="G960" s="113"/>
      <c r="H960" s="113"/>
      <c r="I960" s="113"/>
      <c r="J960" s="113"/>
      <c r="K960" s="113"/>
      <c r="L960" s="113"/>
      <c r="M960" s="113"/>
      <c r="N960" s="113"/>
      <c r="O960" s="113"/>
      <c r="P960" s="113"/>
      <c r="Q960" s="113"/>
      <c r="R960" s="113"/>
      <c r="S960" s="113"/>
      <c r="T960" s="113"/>
      <c r="U960" s="113"/>
      <c r="V960" s="113"/>
      <c r="W960" s="113"/>
      <c r="X960" s="113"/>
      <c r="Y960" s="113"/>
      <c r="Z960" s="113"/>
    </row>
    <row r="961">
      <c r="A961" s="113"/>
      <c r="B961" s="120"/>
      <c r="C961" s="120"/>
      <c r="D961" s="40"/>
      <c r="E961" s="114"/>
      <c r="F961" s="113"/>
      <c r="G961" s="113"/>
      <c r="H961" s="113"/>
      <c r="I961" s="113"/>
      <c r="J961" s="113"/>
      <c r="K961" s="113"/>
      <c r="L961" s="113"/>
      <c r="M961" s="113"/>
      <c r="N961" s="113"/>
      <c r="O961" s="113"/>
      <c r="P961" s="113"/>
      <c r="Q961" s="113"/>
      <c r="R961" s="113"/>
      <c r="S961" s="113"/>
      <c r="T961" s="113"/>
      <c r="U961" s="113"/>
      <c r="V961" s="113"/>
      <c r="W961" s="113"/>
      <c r="X961" s="113"/>
      <c r="Y961" s="113"/>
      <c r="Z961" s="113"/>
    </row>
    <row r="962">
      <c r="A962" s="113"/>
      <c r="B962" s="120"/>
      <c r="C962" s="120"/>
      <c r="D962" s="40"/>
      <c r="E962" s="114"/>
      <c r="F962" s="113"/>
      <c r="G962" s="113"/>
      <c r="H962" s="113"/>
      <c r="I962" s="113"/>
      <c r="J962" s="113"/>
      <c r="K962" s="113"/>
      <c r="L962" s="113"/>
      <c r="M962" s="113"/>
      <c r="N962" s="113"/>
      <c r="O962" s="113"/>
      <c r="P962" s="113"/>
      <c r="Q962" s="113"/>
      <c r="R962" s="113"/>
      <c r="S962" s="113"/>
      <c r="T962" s="113"/>
      <c r="U962" s="113"/>
      <c r="V962" s="113"/>
      <c r="W962" s="113"/>
      <c r="X962" s="113"/>
      <c r="Y962" s="113"/>
      <c r="Z962" s="113"/>
    </row>
    <row r="963">
      <c r="A963" s="113"/>
      <c r="B963" s="120"/>
      <c r="C963" s="120"/>
      <c r="D963" s="40"/>
      <c r="E963" s="114"/>
      <c r="F963" s="113"/>
      <c r="G963" s="113"/>
      <c r="H963" s="113"/>
      <c r="I963" s="113"/>
      <c r="J963" s="113"/>
      <c r="K963" s="113"/>
      <c r="L963" s="113"/>
      <c r="M963" s="113"/>
      <c r="N963" s="113"/>
      <c r="O963" s="113"/>
      <c r="P963" s="113"/>
      <c r="Q963" s="113"/>
      <c r="R963" s="113"/>
      <c r="S963" s="113"/>
      <c r="T963" s="113"/>
      <c r="U963" s="113"/>
      <c r="V963" s="113"/>
      <c r="W963" s="113"/>
      <c r="X963" s="113"/>
      <c r="Y963" s="113"/>
      <c r="Z963" s="113"/>
    </row>
    <row r="964">
      <c r="A964" s="113"/>
      <c r="B964" s="120"/>
      <c r="C964" s="120"/>
      <c r="D964" s="40"/>
      <c r="E964" s="114"/>
      <c r="F964" s="113"/>
      <c r="G964" s="113"/>
      <c r="H964" s="113"/>
      <c r="I964" s="113"/>
      <c r="J964" s="113"/>
      <c r="K964" s="113"/>
      <c r="L964" s="113"/>
      <c r="M964" s="113"/>
      <c r="N964" s="113"/>
      <c r="O964" s="113"/>
      <c r="P964" s="113"/>
      <c r="Q964" s="113"/>
      <c r="R964" s="113"/>
      <c r="S964" s="113"/>
      <c r="T964" s="113"/>
      <c r="U964" s="113"/>
      <c r="V964" s="113"/>
      <c r="W964" s="113"/>
      <c r="X964" s="113"/>
      <c r="Y964" s="113"/>
      <c r="Z964" s="113"/>
    </row>
    <row r="965">
      <c r="A965" s="113"/>
      <c r="B965" s="120"/>
      <c r="C965" s="120"/>
      <c r="D965" s="40"/>
      <c r="E965" s="114"/>
      <c r="F965" s="113"/>
      <c r="G965" s="113"/>
      <c r="H965" s="113"/>
      <c r="I965" s="113"/>
      <c r="J965" s="113"/>
      <c r="K965" s="113"/>
      <c r="L965" s="113"/>
      <c r="M965" s="113"/>
      <c r="N965" s="113"/>
      <c r="O965" s="113"/>
      <c r="P965" s="113"/>
      <c r="Q965" s="113"/>
      <c r="R965" s="113"/>
      <c r="S965" s="113"/>
      <c r="T965" s="113"/>
      <c r="U965" s="113"/>
      <c r="V965" s="113"/>
      <c r="W965" s="113"/>
      <c r="X965" s="113"/>
      <c r="Y965" s="113"/>
      <c r="Z965" s="113"/>
    </row>
    <row r="966">
      <c r="A966" s="113"/>
      <c r="B966" s="120"/>
      <c r="C966" s="120"/>
      <c r="D966" s="40"/>
      <c r="E966" s="114"/>
      <c r="F966" s="113"/>
      <c r="G966" s="113"/>
      <c r="H966" s="113"/>
      <c r="I966" s="113"/>
      <c r="J966" s="113"/>
      <c r="K966" s="113"/>
      <c r="L966" s="113"/>
      <c r="M966" s="113"/>
      <c r="N966" s="113"/>
      <c r="O966" s="113"/>
      <c r="P966" s="113"/>
      <c r="Q966" s="113"/>
      <c r="R966" s="113"/>
      <c r="S966" s="113"/>
      <c r="T966" s="113"/>
      <c r="U966" s="113"/>
      <c r="V966" s="113"/>
      <c r="W966" s="113"/>
      <c r="X966" s="113"/>
      <c r="Y966" s="113"/>
      <c r="Z966" s="113"/>
    </row>
    <row r="967">
      <c r="A967" s="113"/>
      <c r="B967" s="120"/>
      <c r="C967" s="120"/>
      <c r="D967" s="40"/>
      <c r="E967" s="114"/>
      <c r="F967" s="113"/>
      <c r="G967" s="113"/>
      <c r="H967" s="113"/>
      <c r="I967" s="113"/>
      <c r="J967" s="113"/>
      <c r="K967" s="113"/>
      <c r="L967" s="113"/>
      <c r="M967" s="113"/>
      <c r="N967" s="113"/>
      <c r="O967" s="113"/>
      <c r="P967" s="113"/>
      <c r="Q967" s="113"/>
      <c r="R967" s="113"/>
      <c r="S967" s="113"/>
      <c r="T967" s="113"/>
      <c r="U967" s="113"/>
      <c r="V967" s="113"/>
      <c r="W967" s="113"/>
      <c r="X967" s="113"/>
      <c r="Y967" s="113"/>
      <c r="Z967" s="113"/>
    </row>
    <row r="968">
      <c r="A968" s="113"/>
      <c r="B968" s="120"/>
      <c r="C968" s="120"/>
      <c r="D968" s="40"/>
      <c r="E968" s="114"/>
      <c r="F968" s="113"/>
      <c r="G968" s="113"/>
      <c r="H968" s="113"/>
      <c r="I968" s="113"/>
      <c r="J968" s="113"/>
      <c r="K968" s="113"/>
      <c r="L968" s="113"/>
      <c r="M968" s="113"/>
      <c r="N968" s="113"/>
      <c r="O968" s="113"/>
      <c r="P968" s="113"/>
      <c r="Q968" s="113"/>
      <c r="R968" s="113"/>
      <c r="S968" s="113"/>
      <c r="T968" s="113"/>
      <c r="U968" s="113"/>
      <c r="V968" s="113"/>
      <c r="W968" s="113"/>
      <c r="X968" s="113"/>
      <c r="Y968" s="113"/>
      <c r="Z968" s="113"/>
    </row>
    <row r="969">
      <c r="A969" s="113"/>
      <c r="B969" s="120"/>
      <c r="C969" s="120"/>
      <c r="D969" s="40"/>
      <c r="E969" s="114"/>
      <c r="F969" s="113"/>
      <c r="G969" s="113"/>
      <c r="H969" s="113"/>
      <c r="I969" s="113"/>
      <c r="J969" s="113"/>
      <c r="K969" s="113"/>
      <c r="L969" s="113"/>
      <c r="M969" s="113"/>
      <c r="N969" s="113"/>
      <c r="O969" s="113"/>
      <c r="P969" s="113"/>
      <c r="Q969" s="113"/>
      <c r="R969" s="113"/>
      <c r="S969" s="113"/>
      <c r="T969" s="113"/>
      <c r="U969" s="113"/>
      <c r="V969" s="113"/>
      <c r="W969" s="113"/>
      <c r="X969" s="113"/>
      <c r="Y969" s="113"/>
      <c r="Z969" s="113"/>
    </row>
    <row r="970">
      <c r="A970" s="113"/>
      <c r="B970" s="120"/>
      <c r="C970" s="120"/>
      <c r="D970" s="40"/>
      <c r="E970" s="114"/>
      <c r="F970" s="113"/>
      <c r="G970" s="113"/>
      <c r="H970" s="113"/>
      <c r="I970" s="113"/>
      <c r="J970" s="113"/>
      <c r="K970" s="113"/>
      <c r="L970" s="113"/>
      <c r="M970" s="113"/>
      <c r="N970" s="113"/>
      <c r="O970" s="113"/>
      <c r="P970" s="113"/>
      <c r="Q970" s="113"/>
      <c r="R970" s="113"/>
      <c r="S970" s="113"/>
      <c r="T970" s="113"/>
      <c r="U970" s="113"/>
      <c r="V970" s="113"/>
      <c r="W970" s="113"/>
      <c r="X970" s="113"/>
      <c r="Y970" s="113"/>
      <c r="Z970" s="113"/>
    </row>
    <row r="971">
      <c r="A971" s="113"/>
      <c r="B971" s="120"/>
      <c r="C971" s="120"/>
      <c r="D971" s="40"/>
      <c r="E971" s="114"/>
      <c r="F971" s="113"/>
      <c r="G971" s="113"/>
      <c r="H971" s="113"/>
      <c r="I971" s="113"/>
      <c r="J971" s="113"/>
      <c r="K971" s="113"/>
      <c r="L971" s="113"/>
      <c r="M971" s="113"/>
      <c r="N971" s="113"/>
      <c r="O971" s="113"/>
      <c r="P971" s="113"/>
      <c r="Q971" s="113"/>
      <c r="R971" s="113"/>
      <c r="S971" s="113"/>
      <c r="T971" s="113"/>
      <c r="U971" s="113"/>
      <c r="V971" s="113"/>
      <c r="W971" s="113"/>
      <c r="X971" s="113"/>
      <c r="Y971" s="113"/>
      <c r="Z971" s="113"/>
    </row>
    <row r="972">
      <c r="A972" s="113"/>
      <c r="B972" s="120"/>
      <c r="C972" s="120"/>
      <c r="D972" s="40"/>
      <c r="E972" s="114"/>
      <c r="F972" s="113"/>
      <c r="G972" s="113"/>
      <c r="H972" s="113"/>
      <c r="I972" s="113"/>
      <c r="J972" s="113"/>
      <c r="K972" s="113"/>
      <c r="L972" s="113"/>
      <c r="M972" s="113"/>
      <c r="N972" s="113"/>
      <c r="O972" s="113"/>
      <c r="P972" s="113"/>
      <c r="Q972" s="113"/>
      <c r="R972" s="113"/>
      <c r="S972" s="113"/>
      <c r="T972" s="113"/>
      <c r="U972" s="113"/>
      <c r="V972" s="113"/>
      <c r="W972" s="113"/>
      <c r="X972" s="113"/>
      <c r="Y972" s="113"/>
      <c r="Z972" s="113"/>
    </row>
    <row r="973">
      <c r="A973" s="113"/>
      <c r="B973" s="120"/>
      <c r="C973" s="120"/>
      <c r="D973" s="40"/>
      <c r="E973" s="114"/>
      <c r="F973" s="113"/>
      <c r="G973" s="113"/>
      <c r="H973" s="113"/>
      <c r="I973" s="113"/>
      <c r="J973" s="113"/>
      <c r="K973" s="113"/>
      <c r="L973" s="113"/>
      <c r="M973" s="113"/>
      <c r="N973" s="113"/>
      <c r="O973" s="113"/>
      <c r="P973" s="113"/>
      <c r="Q973" s="113"/>
      <c r="R973" s="113"/>
      <c r="S973" s="113"/>
      <c r="T973" s="113"/>
      <c r="U973" s="113"/>
      <c r="V973" s="113"/>
      <c r="W973" s="113"/>
      <c r="X973" s="113"/>
      <c r="Y973" s="113"/>
      <c r="Z973" s="113"/>
    </row>
    <row r="974">
      <c r="A974" s="113"/>
      <c r="B974" s="120"/>
      <c r="C974" s="120"/>
      <c r="D974" s="40"/>
      <c r="E974" s="114"/>
      <c r="F974" s="113"/>
      <c r="G974" s="113"/>
      <c r="H974" s="113"/>
      <c r="I974" s="113"/>
      <c r="J974" s="113"/>
      <c r="K974" s="113"/>
      <c r="L974" s="113"/>
      <c r="M974" s="113"/>
      <c r="N974" s="113"/>
      <c r="O974" s="113"/>
      <c r="P974" s="113"/>
      <c r="Q974" s="113"/>
      <c r="R974" s="113"/>
      <c r="S974" s="113"/>
      <c r="T974" s="113"/>
      <c r="U974" s="113"/>
      <c r="V974" s="113"/>
      <c r="W974" s="113"/>
      <c r="X974" s="113"/>
      <c r="Y974" s="113"/>
      <c r="Z974" s="113"/>
    </row>
    <row r="975">
      <c r="A975" s="113"/>
      <c r="B975" s="120"/>
      <c r="C975" s="120"/>
      <c r="D975" s="40"/>
      <c r="E975" s="114"/>
      <c r="F975" s="113"/>
      <c r="G975" s="113"/>
      <c r="H975" s="113"/>
      <c r="I975" s="113"/>
      <c r="J975" s="113"/>
      <c r="K975" s="113"/>
      <c r="L975" s="113"/>
      <c r="M975" s="113"/>
      <c r="N975" s="113"/>
      <c r="O975" s="113"/>
      <c r="P975" s="113"/>
      <c r="Q975" s="113"/>
      <c r="R975" s="113"/>
      <c r="S975" s="113"/>
      <c r="T975" s="113"/>
      <c r="U975" s="113"/>
      <c r="V975" s="113"/>
      <c r="W975" s="113"/>
      <c r="X975" s="113"/>
      <c r="Y975" s="113"/>
      <c r="Z975" s="113"/>
    </row>
    <row r="976">
      <c r="A976" s="113"/>
      <c r="B976" s="120"/>
      <c r="C976" s="120"/>
      <c r="D976" s="40"/>
      <c r="E976" s="114"/>
      <c r="F976" s="113"/>
      <c r="G976" s="113"/>
      <c r="H976" s="113"/>
      <c r="I976" s="113"/>
      <c r="J976" s="113"/>
      <c r="K976" s="113"/>
      <c r="L976" s="113"/>
      <c r="M976" s="113"/>
      <c r="N976" s="113"/>
      <c r="O976" s="113"/>
      <c r="P976" s="113"/>
      <c r="Q976" s="113"/>
      <c r="R976" s="113"/>
      <c r="S976" s="113"/>
      <c r="T976" s="113"/>
      <c r="U976" s="113"/>
      <c r="V976" s="113"/>
      <c r="W976" s="113"/>
      <c r="X976" s="113"/>
      <c r="Y976" s="113"/>
      <c r="Z976" s="113"/>
    </row>
    <row r="977">
      <c r="A977" s="113"/>
      <c r="B977" s="120"/>
      <c r="C977" s="120"/>
      <c r="D977" s="40"/>
      <c r="E977" s="114"/>
      <c r="F977" s="113"/>
      <c r="G977" s="113"/>
      <c r="H977" s="113"/>
      <c r="I977" s="113"/>
      <c r="J977" s="113"/>
      <c r="K977" s="113"/>
      <c r="L977" s="113"/>
      <c r="M977" s="113"/>
      <c r="N977" s="113"/>
      <c r="O977" s="113"/>
      <c r="P977" s="113"/>
      <c r="Q977" s="113"/>
      <c r="R977" s="113"/>
      <c r="S977" s="113"/>
      <c r="T977" s="113"/>
      <c r="U977" s="113"/>
      <c r="V977" s="113"/>
      <c r="W977" s="113"/>
      <c r="X977" s="113"/>
      <c r="Y977" s="113"/>
      <c r="Z977" s="113"/>
    </row>
    <row r="978">
      <c r="A978" s="113"/>
      <c r="B978" s="120"/>
      <c r="C978" s="120"/>
      <c r="D978" s="40"/>
      <c r="E978" s="114"/>
      <c r="F978" s="113"/>
      <c r="G978" s="113"/>
      <c r="H978" s="113"/>
      <c r="I978" s="113"/>
      <c r="J978" s="113"/>
      <c r="K978" s="113"/>
      <c r="L978" s="113"/>
      <c r="M978" s="113"/>
      <c r="N978" s="113"/>
      <c r="O978" s="113"/>
      <c r="P978" s="113"/>
      <c r="Q978" s="113"/>
      <c r="R978" s="113"/>
      <c r="S978" s="113"/>
      <c r="T978" s="113"/>
      <c r="U978" s="113"/>
      <c r="V978" s="113"/>
      <c r="W978" s="113"/>
      <c r="X978" s="113"/>
      <c r="Y978" s="113"/>
      <c r="Z978" s="113"/>
    </row>
    <row r="979">
      <c r="A979" s="113"/>
      <c r="B979" s="120"/>
      <c r="C979" s="120"/>
      <c r="D979" s="40"/>
      <c r="E979" s="114"/>
      <c r="F979" s="113"/>
      <c r="G979" s="113"/>
      <c r="H979" s="113"/>
      <c r="I979" s="113"/>
      <c r="J979" s="113"/>
      <c r="K979" s="113"/>
      <c r="L979" s="113"/>
      <c r="M979" s="113"/>
      <c r="N979" s="113"/>
      <c r="O979" s="113"/>
      <c r="P979" s="113"/>
      <c r="Q979" s="113"/>
      <c r="R979" s="113"/>
      <c r="S979" s="113"/>
      <c r="T979" s="113"/>
      <c r="U979" s="113"/>
      <c r="V979" s="113"/>
      <c r="W979" s="113"/>
      <c r="X979" s="113"/>
      <c r="Y979" s="113"/>
      <c r="Z979" s="113"/>
    </row>
    <row r="980">
      <c r="A980" s="113"/>
      <c r="B980" s="120"/>
      <c r="C980" s="120"/>
      <c r="D980" s="40"/>
      <c r="E980" s="114"/>
      <c r="F980" s="113"/>
      <c r="G980" s="113"/>
      <c r="H980" s="113"/>
      <c r="I980" s="113"/>
      <c r="J980" s="113"/>
      <c r="K980" s="113"/>
      <c r="L980" s="113"/>
      <c r="M980" s="113"/>
      <c r="N980" s="113"/>
      <c r="O980" s="113"/>
      <c r="P980" s="113"/>
      <c r="Q980" s="113"/>
      <c r="R980" s="113"/>
      <c r="S980" s="113"/>
      <c r="T980" s="113"/>
      <c r="U980" s="113"/>
      <c r="V980" s="113"/>
      <c r="W980" s="113"/>
      <c r="X980" s="113"/>
      <c r="Y980" s="113"/>
      <c r="Z980" s="113"/>
    </row>
    <row r="981">
      <c r="A981" s="113"/>
      <c r="B981" s="120"/>
      <c r="C981" s="120"/>
      <c r="D981" s="40"/>
      <c r="E981" s="114"/>
      <c r="F981" s="113"/>
      <c r="G981" s="113"/>
      <c r="H981" s="113"/>
      <c r="I981" s="113"/>
      <c r="J981" s="113"/>
      <c r="K981" s="113"/>
      <c r="L981" s="113"/>
      <c r="M981" s="113"/>
      <c r="N981" s="113"/>
      <c r="O981" s="113"/>
      <c r="P981" s="113"/>
      <c r="Q981" s="113"/>
      <c r="R981" s="113"/>
      <c r="S981" s="113"/>
      <c r="T981" s="113"/>
      <c r="U981" s="113"/>
      <c r="V981" s="113"/>
      <c r="W981" s="113"/>
      <c r="X981" s="113"/>
      <c r="Y981" s="113"/>
      <c r="Z981" s="113"/>
    </row>
    <row r="982">
      <c r="A982" s="113"/>
      <c r="B982" s="120"/>
      <c r="C982" s="120"/>
      <c r="D982" s="40"/>
      <c r="E982" s="114"/>
      <c r="F982" s="113"/>
      <c r="G982" s="113"/>
      <c r="H982" s="113"/>
      <c r="I982" s="113"/>
      <c r="J982" s="113"/>
      <c r="K982" s="113"/>
      <c r="L982" s="113"/>
      <c r="M982" s="113"/>
      <c r="N982" s="113"/>
      <c r="O982" s="113"/>
      <c r="P982" s="113"/>
      <c r="Q982" s="113"/>
      <c r="R982" s="113"/>
      <c r="S982" s="113"/>
      <c r="T982" s="113"/>
      <c r="U982" s="113"/>
      <c r="V982" s="113"/>
      <c r="W982" s="113"/>
      <c r="X982" s="113"/>
      <c r="Y982" s="113"/>
      <c r="Z982" s="113"/>
    </row>
    <row r="983">
      <c r="A983" s="113"/>
      <c r="B983" s="120"/>
      <c r="C983" s="120"/>
      <c r="D983" s="40"/>
      <c r="E983" s="114"/>
      <c r="F983" s="113"/>
      <c r="G983" s="113"/>
      <c r="H983" s="113"/>
      <c r="I983" s="113"/>
      <c r="J983" s="113"/>
      <c r="K983" s="113"/>
      <c r="L983" s="113"/>
      <c r="M983" s="113"/>
      <c r="N983" s="113"/>
      <c r="O983" s="113"/>
      <c r="P983" s="113"/>
      <c r="Q983" s="113"/>
      <c r="R983" s="113"/>
      <c r="S983" s="113"/>
      <c r="T983" s="113"/>
      <c r="U983" s="113"/>
      <c r="V983" s="113"/>
      <c r="W983" s="113"/>
      <c r="X983" s="113"/>
      <c r="Y983" s="113"/>
      <c r="Z983" s="113"/>
    </row>
    <row r="984">
      <c r="A984" s="113"/>
      <c r="B984" s="120"/>
      <c r="C984" s="120"/>
      <c r="D984" s="40"/>
      <c r="E984" s="114"/>
      <c r="F984" s="113"/>
      <c r="G984" s="113"/>
      <c r="H984" s="113"/>
      <c r="I984" s="113"/>
      <c r="J984" s="113"/>
      <c r="K984" s="113"/>
      <c r="L984" s="113"/>
      <c r="M984" s="113"/>
      <c r="N984" s="113"/>
      <c r="O984" s="113"/>
      <c r="P984" s="113"/>
      <c r="Q984" s="113"/>
      <c r="R984" s="113"/>
      <c r="S984" s="113"/>
      <c r="T984" s="113"/>
      <c r="U984" s="113"/>
      <c r="V984" s="113"/>
      <c r="W984" s="113"/>
      <c r="X984" s="113"/>
      <c r="Y984" s="113"/>
      <c r="Z984" s="113"/>
    </row>
    <row r="985">
      <c r="A985" s="113"/>
      <c r="B985" s="120"/>
      <c r="C985" s="120"/>
      <c r="D985" s="40"/>
      <c r="E985" s="114"/>
      <c r="F985" s="113"/>
      <c r="G985" s="113"/>
      <c r="H985" s="113"/>
      <c r="I985" s="113"/>
      <c r="J985" s="113"/>
      <c r="K985" s="113"/>
      <c r="L985" s="113"/>
      <c r="M985" s="113"/>
      <c r="N985" s="113"/>
      <c r="O985" s="113"/>
      <c r="P985" s="113"/>
      <c r="Q985" s="113"/>
      <c r="R985" s="113"/>
      <c r="S985" s="113"/>
      <c r="T985" s="113"/>
      <c r="U985" s="113"/>
      <c r="V985" s="113"/>
      <c r="W985" s="113"/>
      <c r="X985" s="113"/>
      <c r="Y985" s="113"/>
      <c r="Z985" s="113"/>
    </row>
    <row r="986">
      <c r="A986" s="113"/>
      <c r="B986" s="120"/>
      <c r="C986" s="120"/>
      <c r="D986" s="40"/>
      <c r="E986" s="114"/>
      <c r="F986" s="113"/>
      <c r="G986" s="113"/>
      <c r="H986" s="113"/>
      <c r="I986" s="113"/>
      <c r="J986" s="113"/>
      <c r="K986" s="113"/>
      <c r="L986" s="113"/>
      <c r="M986" s="113"/>
      <c r="N986" s="113"/>
      <c r="O986" s="113"/>
      <c r="P986" s="113"/>
      <c r="Q986" s="113"/>
      <c r="R986" s="113"/>
      <c r="S986" s="113"/>
      <c r="T986" s="113"/>
      <c r="U986" s="113"/>
      <c r="V986" s="113"/>
      <c r="W986" s="113"/>
      <c r="X986" s="113"/>
      <c r="Y986" s="113"/>
      <c r="Z986" s="113"/>
    </row>
    <row r="987">
      <c r="A987" s="113"/>
      <c r="B987" s="120"/>
      <c r="C987" s="120"/>
      <c r="D987" s="40"/>
      <c r="E987" s="114"/>
      <c r="F987" s="113"/>
      <c r="G987" s="113"/>
      <c r="H987" s="113"/>
      <c r="I987" s="113"/>
      <c r="J987" s="113"/>
      <c r="K987" s="113"/>
      <c r="L987" s="113"/>
      <c r="M987" s="113"/>
      <c r="N987" s="113"/>
      <c r="O987" s="113"/>
      <c r="P987" s="113"/>
      <c r="Q987" s="113"/>
      <c r="R987" s="113"/>
      <c r="S987" s="113"/>
      <c r="T987" s="113"/>
      <c r="U987" s="113"/>
      <c r="V987" s="113"/>
      <c r="W987" s="113"/>
      <c r="X987" s="113"/>
      <c r="Y987" s="113"/>
      <c r="Z987" s="113"/>
    </row>
    <row r="988">
      <c r="A988" s="113"/>
      <c r="B988" s="120"/>
      <c r="C988" s="120"/>
      <c r="D988" s="40"/>
      <c r="E988" s="114"/>
      <c r="F988" s="113"/>
      <c r="G988" s="113"/>
      <c r="H988" s="113"/>
      <c r="I988" s="113"/>
      <c r="J988" s="113"/>
      <c r="K988" s="113"/>
      <c r="L988" s="113"/>
      <c r="M988" s="113"/>
      <c r="N988" s="113"/>
      <c r="O988" s="113"/>
      <c r="P988" s="113"/>
      <c r="Q988" s="113"/>
      <c r="R988" s="113"/>
      <c r="S988" s="113"/>
      <c r="T988" s="113"/>
      <c r="U988" s="113"/>
      <c r="V988" s="113"/>
      <c r="W988" s="113"/>
      <c r="X988" s="113"/>
      <c r="Y988" s="113"/>
      <c r="Z988" s="113"/>
    </row>
    <row r="989">
      <c r="A989" s="113"/>
      <c r="B989" s="120"/>
      <c r="C989" s="120"/>
      <c r="D989" s="40"/>
      <c r="E989" s="114"/>
      <c r="F989" s="113"/>
      <c r="G989" s="113"/>
      <c r="H989" s="113"/>
      <c r="I989" s="113"/>
      <c r="J989" s="113"/>
      <c r="K989" s="113"/>
      <c r="L989" s="113"/>
      <c r="M989" s="113"/>
      <c r="N989" s="113"/>
      <c r="O989" s="113"/>
      <c r="P989" s="113"/>
      <c r="Q989" s="113"/>
      <c r="R989" s="113"/>
      <c r="S989" s="113"/>
      <c r="T989" s="113"/>
      <c r="U989" s="113"/>
      <c r="V989" s="113"/>
      <c r="W989" s="113"/>
      <c r="X989" s="113"/>
      <c r="Y989" s="113"/>
      <c r="Z989" s="113"/>
    </row>
    <row r="990">
      <c r="A990" s="113"/>
      <c r="B990" s="120"/>
      <c r="C990" s="120"/>
      <c r="D990" s="40"/>
      <c r="E990" s="114"/>
      <c r="F990" s="113"/>
      <c r="G990" s="113"/>
      <c r="H990" s="113"/>
      <c r="I990" s="113"/>
      <c r="J990" s="113"/>
      <c r="K990" s="113"/>
      <c r="L990" s="113"/>
      <c r="M990" s="113"/>
      <c r="N990" s="113"/>
      <c r="O990" s="113"/>
      <c r="P990" s="113"/>
      <c r="Q990" s="113"/>
      <c r="R990" s="113"/>
      <c r="S990" s="113"/>
      <c r="T990" s="113"/>
      <c r="U990" s="113"/>
      <c r="V990" s="113"/>
      <c r="W990" s="113"/>
      <c r="X990" s="113"/>
      <c r="Y990" s="113"/>
      <c r="Z990" s="113"/>
    </row>
    <row r="991">
      <c r="A991" s="113"/>
      <c r="B991" s="120"/>
      <c r="C991" s="120"/>
      <c r="D991" s="40"/>
      <c r="E991" s="114"/>
      <c r="F991" s="113"/>
      <c r="G991" s="113"/>
      <c r="H991" s="113"/>
      <c r="I991" s="113"/>
      <c r="J991" s="113"/>
      <c r="K991" s="113"/>
      <c r="L991" s="113"/>
      <c r="M991" s="113"/>
      <c r="N991" s="113"/>
      <c r="O991" s="113"/>
      <c r="P991" s="113"/>
      <c r="Q991" s="113"/>
      <c r="R991" s="113"/>
      <c r="S991" s="113"/>
      <c r="T991" s="113"/>
      <c r="U991" s="113"/>
      <c r="V991" s="113"/>
      <c r="W991" s="113"/>
      <c r="X991" s="113"/>
      <c r="Y991" s="113"/>
      <c r="Z991" s="113"/>
    </row>
    <row r="992">
      <c r="A992" s="113"/>
      <c r="B992" s="120"/>
      <c r="C992" s="120"/>
      <c r="D992" s="40"/>
      <c r="E992" s="114"/>
      <c r="F992" s="113"/>
      <c r="G992" s="113"/>
      <c r="H992" s="113"/>
      <c r="I992" s="113"/>
      <c r="J992" s="113"/>
      <c r="K992" s="113"/>
      <c r="L992" s="113"/>
      <c r="M992" s="113"/>
      <c r="N992" s="113"/>
      <c r="O992" s="113"/>
      <c r="P992" s="113"/>
      <c r="Q992" s="113"/>
      <c r="R992" s="113"/>
      <c r="S992" s="113"/>
      <c r="T992" s="113"/>
      <c r="U992" s="113"/>
      <c r="V992" s="113"/>
      <c r="W992" s="113"/>
      <c r="X992" s="113"/>
      <c r="Y992" s="113"/>
      <c r="Z992" s="113"/>
    </row>
    <row r="993">
      <c r="A993" s="113"/>
      <c r="B993" s="120"/>
      <c r="C993" s="120"/>
      <c r="D993" s="40"/>
      <c r="E993" s="114"/>
      <c r="F993" s="113"/>
      <c r="G993" s="113"/>
      <c r="H993" s="113"/>
      <c r="I993" s="113"/>
      <c r="J993" s="113"/>
      <c r="K993" s="113"/>
      <c r="L993" s="113"/>
      <c r="M993" s="113"/>
      <c r="N993" s="113"/>
      <c r="O993" s="113"/>
      <c r="P993" s="113"/>
      <c r="Q993" s="113"/>
      <c r="R993" s="113"/>
      <c r="S993" s="113"/>
      <c r="T993" s="113"/>
      <c r="U993" s="113"/>
      <c r="V993" s="113"/>
      <c r="W993" s="113"/>
      <c r="X993" s="113"/>
      <c r="Y993" s="113"/>
      <c r="Z993" s="113"/>
    </row>
    <row r="994">
      <c r="A994" s="113"/>
      <c r="B994" s="120"/>
      <c r="C994" s="120"/>
      <c r="D994" s="40"/>
      <c r="E994" s="114"/>
      <c r="F994" s="113"/>
      <c r="G994" s="113"/>
      <c r="H994" s="113"/>
      <c r="I994" s="113"/>
      <c r="J994" s="113"/>
      <c r="K994" s="113"/>
      <c r="L994" s="113"/>
      <c r="M994" s="113"/>
      <c r="N994" s="113"/>
      <c r="O994" s="113"/>
      <c r="P994" s="113"/>
      <c r="Q994" s="113"/>
      <c r="R994" s="113"/>
      <c r="S994" s="113"/>
      <c r="T994" s="113"/>
      <c r="U994" s="113"/>
      <c r="V994" s="113"/>
      <c r="W994" s="113"/>
      <c r="X994" s="113"/>
      <c r="Y994" s="113"/>
      <c r="Z994" s="113"/>
    </row>
    <row r="995">
      <c r="A995" s="113"/>
      <c r="B995" s="120"/>
      <c r="C995" s="120"/>
      <c r="D995" s="40"/>
      <c r="E995" s="114"/>
      <c r="F995" s="113"/>
      <c r="G995" s="113"/>
      <c r="H995" s="113"/>
      <c r="I995" s="113"/>
      <c r="J995" s="113"/>
      <c r="K995" s="113"/>
      <c r="L995" s="113"/>
      <c r="M995" s="113"/>
      <c r="N995" s="113"/>
      <c r="O995" s="113"/>
      <c r="P995" s="113"/>
      <c r="Q995" s="113"/>
      <c r="R995" s="113"/>
      <c r="S995" s="113"/>
      <c r="T995" s="113"/>
      <c r="U995" s="113"/>
      <c r="V995" s="113"/>
      <c r="W995" s="113"/>
      <c r="X995" s="113"/>
      <c r="Y995" s="113"/>
      <c r="Z995" s="113"/>
    </row>
    <row r="996">
      <c r="A996" s="113"/>
      <c r="B996" s="120"/>
      <c r="C996" s="120"/>
      <c r="D996" s="40"/>
      <c r="E996" s="114"/>
      <c r="F996" s="113"/>
      <c r="G996" s="113"/>
      <c r="H996" s="113"/>
      <c r="I996" s="113"/>
      <c r="J996" s="113"/>
      <c r="K996" s="113"/>
      <c r="L996" s="113"/>
      <c r="M996" s="113"/>
      <c r="N996" s="113"/>
      <c r="O996" s="113"/>
      <c r="P996" s="113"/>
      <c r="Q996" s="113"/>
      <c r="R996" s="113"/>
      <c r="S996" s="113"/>
      <c r="T996" s="113"/>
      <c r="U996" s="113"/>
      <c r="V996" s="113"/>
      <c r="W996" s="113"/>
      <c r="X996" s="113"/>
      <c r="Y996" s="113"/>
      <c r="Z996" s="113"/>
    </row>
    <row r="997">
      <c r="A997" s="113"/>
      <c r="B997" s="120"/>
      <c r="C997" s="120"/>
      <c r="D997" s="40"/>
      <c r="E997" s="114"/>
      <c r="F997" s="113"/>
      <c r="G997" s="113"/>
      <c r="H997" s="113"/>
      <c r="I997" s="113"/>
      <c r="J997" s="113"/>
      <c r="K997" s="113"/>
      <c r="L997" s="113"/>
      <c r="M997" s="113"/>
      <c r="N997" s="113"/>
      <c r="O997" s="113"/>
      <c r="P997" s="113"/>
      <c r="Q997" s="113"/>
      <c r="R997" s="113"/>
      <c r="S997" s="113"/>
      <c r="T997" s="113"/>
      <c r="U997" s="113"/>
      <c r="V997" s="113"/>
      <c r="W997" s="113"/>
      <c r="X997" s="113"/>
      <c r="Y997" s="113"/>
      <c r="Z997" s="113"/>
    </row>
    <row r="998">
      <c r="A998" s="113"/>
      <c r="B998" s="120"/>
      <c r="C998" s="120"/>
      <c r="D998" s="40"/>
      <c r="E998" s="114"/>
      <c r="F998" s="113"/>
      <c r="G998" s="113"/>
      <c r="H998" s="113"/>
      <c r="I998" s="113"/>
      <c r="J998" s="113"/>
      <c r="K998" s="113"/>
      <c r="L998" s="113"/>
      <c r="M998" s="113"/>
      <c r="N998" s="113"/>
      <c r="O998" s="113"/>
      <c r="P998" s="113"/>
      <c r="Q998" s="113"/>
      <c r="R998" s="113"/>
      <c r="S998" s="113"/>
      <c r="T998" s="113"/>
      <c r="U998" s="113"/>
      <c r="V998" s="113"/>
      <c r="W998" s="113"/>
      <c r="X998" s="113"/>
      <c r="Y998" s="113"/>
      <c r="Z998" s="113"/>
    </row>
    <row r="999">
      <c r="A999" s="113"/>
      <c r="B999" s="120"/>
      <c r="C999" s="120"/>
      <c r="D999" s="40"/>
      <c r="E999" s="114"/>
      <c r="F999" s="113"/>
      <c r="G999" s="113"/>
      <c r="H999" s="113"/>
      <c r="I999" s="113"/>
      <c r="J999" s="113"/>
      <c r="K999" s="113"/>
      <c r="L999" s="113"/>
      <c r="M999" s="113"/>
      <c r="N999" s="113"/>
      <c r="O999" s="113"/>
      <c r="P999" s="113"/>
      <c r="Q999" s="113"/>
      <c r="R999" s="113"/>
      <c r="S999" s="113"/>
      <c r="T999" s="113"/>
      <c r="U999" s="113"/>
      <c r="V999" s="113"/>
      <c r="W999" s="113"/>
      <c r="X999" s="113"/>
      <c r="Y999" s="113"/>
      <c r="Z999" s="113"/>
    </row>
    <row r="1000">
      <c r="A1000" s="113"/>
      <c r="B1000" s="120"/>
      <c r="C1000" s="120"/>
      <c r="D1000" s="40"/>
      <c r="E1000" s="114"/>
      <c r="F1000" s="113"/>
      <c r="G1000" s="113"/>
      <c r="H1000" s="113"/>
      <c r="I1000" s="113"/>
      <c r="J1000" s="113"/>
      <c r="K1000" s="113"/>
      <c r="L1000" s="113"/>
      <c r="M1000" s="113"/>
      <c r="N1000" s="113"/>
      <c r="O1000" s="113"/>
      <c r="P1000" s="113"/>
      <c r="Q1000" s="113"/>
      <c r="R1000" s="113"/>
      <c r="S1000" s="113"/>
      <c r="T1000" s="113"/>
      <c r="U1000" s="113"/>
      <c r="V1000" s="113"/>
      <c r="W1000" s="113"/>
      <c r="X1000" s="113"/>
      <c r="Y1000" s="113"/>
      <c r="Z1000" s="113"/>
    </row>
  </sheetData>
  <autoFilter ref="$C$1:$C$1000"/>
  <hyperlinks>
    <hyperlink r:id="rId1" ref="A14"/>
    <hyperlink r:id="rId2" ref="C16"/>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0"/>
    <col customWidth="1" min="2" max="2" width="35.0"/>
    <col customWidth="1" min="3" max="3" width="34.0"/>
    <col customWidth="1" min="4" max="4" width="27.29"/>
    <col customWidth="1" min="5" max="5" width="28.86"/>
    <col customWidth="1" min="6" max="6" width="18.29"/>
  </cols>
  <sheetData>
    <row r="1">
      <c r="A1" s="37" t="s">
        <v>2651</v>
      </c>
      <c r="B1" s="34" t="s">
        <v>2652</v>
      </c>
      <c r="C1" s="37" t="s">
        <v>2653</v>
      </c>
      <c r="D1" s="117" t="s">
        <v>2654</v>
      </c>
      <c r="E1" s="117" t="s">
        <v>2652</v>
      </c>
      <c r="F1" s="117" t="s">
        <v>2655</v>
      </c>
      <c r="G1" s="53"/>
      <c r="H1" s="53"/>
      <c r="I1" s="53"/>
      <c r="J1" s="53"/>
      <c r="K1" s="53"/>
      <c r="L1" s="53"/>
      <c r="M1" s="53"/>
      <c r="N1" s="53"/>
      <c r="O1" s="53"/>
      <c r="P1" s="53"/>
      <c r="Q1" s="53"/>
      <c r="R1" s="53"/>
      <c r="S1" s="53"/>
      <c r="T1" s="53"/>
      <c r="U1" s="53"/>
      <c r="V1" s="53"/>
      <c r="W1" s="53"/>
      <c r="X1" s="53"/>
      <c r="Y1" s="53"/>
      <c r="Z1" s="53"/>
    </row>
    <row r="2">
      <c r="A2" s="6" t="s">
        <v>2656</v>
      </c>
      <c r="B2" s="16" t="s">
        <v>2657</v>
      </c>
      <c r="C2" s="6" t="s">
        <v>2658</v>
      </c>
      <c r="D2" s="53"/>
      <c r="E2" s="53"/>
      <c r="F2" s="53"/>
      <c r="G2" s="53"/>
      <c r="H2" s="53"/>
      <c r="I2" s="53"/>
      <c r="J2" s="53"/>
      <c r="K2" s="53"/>
      <c r="L2" s="53"/>
      <c r="M2" s="53"/>
      <c r="N2" s="53"/>
      <c r="O2" s="53"/>
      <c r="P2" s="53"/>
      <c r="Q2" s="53"/>
      <c r="R2" s="53"/>
      <c r="S2" s="53"/>
      <c r="T2" s="53"/>
      <c r="U2" s="53"/>
      <c r="V2" s="53"/>
      <c r="W2" s="53"/>
      <c r="X2" s="53"/>
      <c r="Y2" s="53"/>
      <c r="Z2" s="53"/>
    </row>
    <row r="3">
      <c r="A3" s="6" t="s">
        <v>2659</v>
      </c>
      <c r="B3" s="16" t="s">
        <v>2660</v>
      </c>
      <c r="C3" s="6" t="s">
        <v>2661</v>
      </c>
      <c r="D3" s="53"/>
      <c r="E3" s="53"/>
      <c r="F3" s="53"/>
      <c r="G3" s="53"/>
      <c r="H3" s="53"/>
      <c r="I3" s="53"/>
      <c r="J3" s="53"/>
      <c r="K3" s="53"/>
      <c r="L3" s="53"/>
      <c r="M3" s="53"/>
      <c r="N3" s="53"/>
      <c r="O3" s="53"/>
      <c r="P3" s="53"/>
      <c r="Q3" s="53"/>
      <c r="R3" s="53"/>
      <c r="S3" s="53"/>
      <c r="T3" s="53"/>
      <c r="U3" s="53"/>
      <c r="V3" s="53"/>
      <c r="W3" s="53"/>
      <c r="X3" s="53"/>
      <c r="Y3" s="53"/>
      <c r="Z3" s="53"/>
    </row>
    <row r="4">
      <c r="A4" s="6" t="s">
        <v>39</v>
      </c>
      <c r="B4" s="16" t="s">
        <v>2662</v>
      </c>
      <c r="C4" s="6" t="s">
        <v>2663</v>
      </c>
      <c r="D4" s="53"/>
      <c r="E4" s="53"/>
      <c r="F4" s="53"/>
      <c r="G4" s="53"/>
      <c r="H4" s="53"/>
      <c r="I4" s="53"/>
      <c r="J4" s="53"/>
      <c r="K4" s="53"/>
      <c r="L4" s="53"/>
      <c r="M4" s="53"/>
      <c r="N4" s="53"/>
      <c r="O4" s="53"/>
      <c r="P4" s="53"/>
      <c r="Q4" s="53"/>
      <c r="R4" s="53"/>
      <c r="S4" s="53"/>
      <c r="T4" s="53"/>
      <c r="U4" s="53"/>
      <c r="V4" s="53"/>
      <c r="W4" s="53"/>
      <c r="X4" s="53"/>
      <c r="Y4" s="53"/>
      <c r="Z4" s="53"/>
    </row>
    <row r="5">
      <c r="A5" s="6" t="s">
        <v>38</v>
      </c>
      <c r="B5" s="16" t="s">
        <v>2664</v>
      </c>
      <c r="C5" s="6" t="s">
        <v>2665</v>
      </c>
      <c r="D5" s="53"/>
      <c r="E5" s="53"/>
      <c r="F5" s="53"/>
      <c r="G5" s="53"/>
      <c r="H5" s="53"/>
      <c r="I5" s="53"/>
      <c r="J5" s="53"/>
      <c r="K5" s="53"/>
      <c r="L5" s="53"/>
      <c r="M5" s="53"/>
      <c r="N5" s="53"/>
      <c r="O5" s="53"/>
      <c r="P5" s="53"/>
      <c r="Q5" s="53"/>
      <c r="R5" s="53"/>
      <c r="S5" s="53"/>
      <c r="T5" s="53"/>
      <c r="U5" s="53"/>
      <c r="V5" s="53"/>
      <c r="W5" s="53"/>
      <c r="X5" s="53"/>
      <c r="Y5" s="53"/>
      <c r="Z5" s="53"/>
    </row>
    <row r="6">
      <c r="A6" s="6" t="s">
        <v>132</v>
      </c>
      <c r="B6" s="16" t="s">
        <v>2666</v>
      </c>
      <c r="C6" s="6" t="s">
        <v>2667</v>
      </c>
      <c r="D6" s="53"/>
      <c r="E6" s="53"/>
      <c r="F6" s="53"/>
      <c r="G6" s="53"/>
      <c r="H6" s="53"/>
      <c r="I6" s="53"/>
      <c r="J6" s="53"/>
      <c r="K6" s="53"/>
      <c r="L6" s="53"/>
      <c r="M6" s="53"/>
      <c r="N6" s="53"/>
      <c r="O6" s="53"/>
      <c r="P6" s="53"/>
      <c r="Q6" s="53"/>
      <c r="R6" s="53"/>
      <c r="S6" s="53"/>
      <c r="T6" s="53"/>
      <c r="U6" s="53"/>
      <c r="V6" s="53"/>
      <c r="W6" s="53"/>
      <c r="X6" s="53"/>
      <c r="Y6" s="53"/>
      <c r="Z6" s="53"/>
    </row>
    <row r="7">
      <c r="A7" s="6" t="s">
        <v>22</v>
      </c>
      <c r="B7" s="16" t="s">
        <v>2668</v>
      </c>
      <c r="C7" s="6" t="s">
        <v>2669</v>
      </c>
      <c r="D7" s="53"/>
      <c r="E7" s="53"/>
      <c r="F7" s="53"/>
      <c r="G7" s="53"/>
      <c r="H7" s="53"/>
      <c r="I7" s="53"/>
      <c r="J7" s="53"/>
      <c r="K7" s="53"/>
      <c r="L7" s="53"/>
      <c r="M7" s="53"/>
      <c r="N7" s="53"/>
      <c r="O7" s="53"/>
      <c r="P7" s="53"/>
      <c r="Q7" s="53"/>
      <c r="R7" s="53"/>
      <c r="S7" s="53"/>
      <c r="T7" s="53"/>
      <c r="U7" s="53"/>
      <c r="V7" s="53"/>
      <c r="W7" s="53"/>
      <c r="X7" s="53"/>
      <c r="Y7" s="53"/>
      <c r="Z7" s="53"/>
    </row>
    <row r="8">
      <c r="A8" s="6" t="s">
        <v>46</v>
      </c>
      <c r="B8" s="16" t="s">
        <v>2670</v>
      </c>
      <c r="C8" s="6" t="s">
        <v>2671</v>
      </c>
      <c r="D8" s="53"/>
      <c r="E8" s="53"/>
      <c r="F8" s="53"/>
      <c r="G8" s="53"/>
      <c r="H8" s="53"/>
      <c r="I8" s="53"/>
      <c r="J8" s="53"/>
      <c r="K8" s="53"/>
      <c r="L8" s="53"/>
      <c r="M8" s="53"/>
      <c r="N8" s="53"/>
      <c r="O8" s="53"/>
      <c r="P8" s="53"/>
      <c r="Q8" s="53"/>
      <c r="R8" s="53"/>
      <c r="S8" s="53"/>
      <c r="T8" s="53"/>
      <c r="U8" s="53"/>
      <c r="V8" s="53"/>
      <c r="W8" s="53"/>
      <c r="X8" s="53"/>
      <c r="Y8" s="53"/>
      <c r="Z8" s="53"/>
    </row>
    <row r="9">
      <c r="A9" s="6" t="s">
        <v>2672</v>
      </c>
      <c r="B9" s="16" t="s">
        <v>2673</v>
      </c>
      <c r="C9" s="6" t="s">
        <v>2674</v>
      </c>
      <c r="D9" s="53"/>
      <c r="E9" s="53"/>
      <c r="F9" s="53"/>
      <c r="G9" s="53"/>
      <c r="H9" s="53"/>
      <c r="I9" s="53"/>
      <c r="J9" s="53"/>
      <c r="K9" s="53"/>
      <c r="L9" s="53"/>
      <c r="M9" s="53"/>
      <c r="N9" s="53"/>
      <c r="O9" s="53"/>
      <c r="P9" s="53"/>
      <c r="Q9" s="53"/>
      <c r="R9" s="53"/>
      <c r="S9" s="53"/>
      <c r="T9" s="53"/>
      <c r="U9" s="53"/>
      <c r="V9" s="53"/>
      <c r="W9" s="53"/>
      <c r="X9" s="53"/>
      <c r="Y9" s="53"/>
      <c r="Z9" s="53"/>
    </row>
    <row r="10">
      <c r="A10" s="6" t="s">
        <v>57</v>
      </c>
      <c r="B10" s="16" t="s">
        <v>2675</v>
      </c>
      <c r="C10" s="6" t="s">
        <v>2676</v>
      </c>
      <c r="D10" s="53"/>
      <c r="E10" s="53"/>
      <c r="F10" s="53"/>
      <c r="G10" s="53"/>
      <c r="H10" s="53"/>
      <c r="I10" s="53"/>
      <c r="J10" s="53"/>
      <c r="K10" s="53"/>
      <c r="L10" s="53"/>
      <c r="M10" s="53"/>
      <c r="N10" s="53"/>
      <c r="O10" s="53"/>
      <c r="P10" s="53"/>
      <c r="Q10" s="53"/>
      <c r="R10" s="53"/>
      <c r="S10" s="53"/>
      <c r="T10" s="53"/>
      <c r="U10" s="53"/>
      <c r="V10" s="53"/>
      <c r="W10" s="53"/>
      <c r="X10" s="53"/>
      <c r="Y10" s="53"/>
      <c r="Z10" s="53"/>
    </row>
    <row r="11">
      <c r="A11" s="125"/>
      <c r="B11" s="17"/>
      <c r="C11" s="125"/>
      <c r="D11" s="53"/>
      <c r="E11" s="53"/>
      <c r="F11" s="53"/>
      <c r="G11" s="53"/>
      <c r="H11" s="53"/>
      <c r="I11" s="53"/>
      <c r="J11" s="53"/>
      <c r="K11" s="53"/>
      <c r="L11" s="53"/>
      <c r="M11" s="53"/>
      <c r="N11" s="53"/>
      <c r="O11" s="53"/>
      <c r="P11" s="53"/>
      <c r="Q11" s="53"/>
      <c r="R11" s="53"/>
      <c r="S11" s="53"/>
      <c r="T11" s="53"/>
      <c r="U11" s="53"/>
      <c r="V11" s="53"/>
      <c r="W11" s="53"/>
      <c r="X11" s="53"/>
      <c r="Y11" s="53"/>
      <c r="Z11" s="53"/>
    </row>
    <row r="12">
      <c r="A12" s="125"/>
      <c r="B12" s="17"/>
      <c r="C12" s="125"/>
      <c r="D12" s="53"/>
      <c r="E12" s="53"/>
      <c r="F12" s="53"/>
      <c r="G12" s="53"/>
      <c r="H12" s="53"/>
      <c r="I12" s="53"/>
      <c r="J12" s="53"/>
      <c r="K12" s="53"/>
      <c r="L12" s="53"/>
      <c r="M12" s="53"/>
      <c r="N12" s="53"/>
      <c r="O12" s="53"/>
      <c r="P12" s="53"/>
      <c r="Q12" s="53"/>
      <c r="R12" s="53"/>
      <c r="S12" s="53"/>
      <c r="T12" s="53"/>
      <c r="U12" s="53"/>
      <c r="V12" s="53"/>
      <c r="W12" s="53"/>
      <c r="X12" s="53"/>
      <c r="Y12" s="53"/>
      <c r="Z12" s="53"/>
    </row>
    <row r="13">
      <c r="A13" s="6" t="s">
        <v>2677</v>
      </c>
      <c r="B13" s="17"/>
      <c r="C13" s="125"/>
      <c r="D13" s="53"/>
      <c r="E13" s="53"/>
      <c r="F13" s="53"/>
      <c r="G13" s="53"/>
      <c r="H13" s="53"/>
      <c r="I13" s="53"/>
      <c r="J13" s="53"/>
      <c r="K13" s="53"/>
      <c r="L13" s="53"/>
      <c r="M13" s="53"/>
      <c r="N13" s="53"/>
      <c r="O13" s="53"/>
      <c r="P13" s="53"/>
      <c r="Q13" s="53"/>
      <c r="R13" s="53"/>
      <c r="S13" s="53"/>
      <c r="T13" s="53"/>
      <c r="U13" s="53"/>
      <c r="V13" s="53"/>
      <c r="W13" s="53"/>
      <c r="X13" s="53"/>
      <c r="Y13" s="53"/>
      <c r="Z13" s="53"/>
    </row>
    <row r="14">
      <c r="A14" s="6" t="s">
        <v>2678</v>
      </c>
      <c r="B14" s="17"/>
      <c r="C14" s="125"/>
      <c r="D14" s="53"/>
      <c r="E14" s="53"/>
      <c r="F14" s="53"/>
      <c r="G14" s="53"/>
      <c r="H14" s="53"/>
      <c r="I14" s="53"/>
      <c r="J14" s="53"/>
      <c r="K14" s="53"/>
      <c r="L14" s="53"/>
      <c r="M14" s="53"/>
      <c r="N14" s="53"/>
      <c r="O14" s="53"/>
      <c r="P14" s="53"/>
      <c r="Q14" s="53"/>
      <c r="R14" s="53"/>
      <c r="S14" s="53"/>
      <c r="T14" s="53"/>
      <c r="U14" s="53"/>
      <c r="V14" s="53"/>
      <c r="W14" s="53"/>
      <c r="X14" s="53"/>
      <c r="Y14" s="53"/>
      <c r="Z14" s="53"/>
    </row>
    <row r="15">
      <c r="A15" s="6" t="s">
        <v>2679</v>
      </c>
      <c r="B15" s="17"/>
      <c r="C15" s="125"/>
      <c r="D15" s="53"/>
      <c r="E15" s="53"/>
      <c r="F15" s="53"/>
      <c r="G15" s="53"/>
      <c r="H15" s="53"/>
      <c r="I15" s="53"/>
      <c r="J15" s="53"/>
      <c r="K15" s="53"/>
      <c r="L15" s="53"/>
      <c r="M15" s="53"/>
      <c r="N15" s="53"/>
      <c r="O15" s="53"/>
      <c r="P15" s="53"/>
      <c r="Q15" s="53"/>
      <c r="R15" s="53"/>
      <c r="S15" s="53"/>
      <c r="T15" s="53"/>
      <c r="U15" s="53"/>
      <c r="V15" s="53"/>
      <c r="W15" s="53"/>
      <c r="X15" s="53"/>
      <c r="Y15" s="53"/>
      <c r="Z15" s="53"/>
    </row>
    <row r="16">
      <c r="A16" s="125"/>
      <c r="B16" s="17"/>
      <c r="C16" s="125"/>
      <c r="D16" s="53"/>
      <c r="E16" s="53"/>
      <c r="F16" s="53"/>
      <c r="G16" s="53"/>
      <c r="H16" s="53"/>
      <c r="I16" s="53"/>
      <c r="J16" s="53"/>
      <c r="K16" s="53"/>
      <c r="L16" s="53"/>
      <c r="M16" s="53"/>
      <c r="N16" s="53"/>
      <c r="O16" s="53"/>
      <c r="P16" s="53"/>
      <c r="Q16" s="53"/>
      <c r="R16" s="53"/>
      <c r="S16" s="53"/>
      <c r="T16" s="53"/>
      <c r="U16" s="53"/>
      <c r="V16" s="53"/>
      <c r="W16" s="53"/>
      <c r="X16" s="53"/>
      <c r="Y16" s="53"/>
      <c r="Z16" s="53"/>
    </row>
    <row r="17">
      <c r="A17" s="125"/>
      <c r="B17" s="17"/>
      <c r="C17" s="125"/>
      <c r="D17" s="53"/>
      <c r="E17" s="53"/>
      <c r="F17" s="53"/>
      <c r="G17" s="53"/>
      <c r="H17" s="53"/>
      <c r="I17" s="53"/>
      <c r="J17" s="53"/>
      <c r="K17" s="53"/>
      <c r="L17" s="53"/>
      <c r="M17" s="53"/>
      <c r="N17" s="53"/>
      <c r="O17" s="53"/>
      <c r="P17" s="53"/>
      <c r="Q17" s="53"/>
      <c r="R17" s="53"/>
      <c r="S17" s="53"/>
      <c r="T17" s="53"/>
      <c r="U17" s="53"/>
      <c r="V17" s="53"/>
      <c r="W17" s="53"/>
      <c r="X17" s="53"/>
      <c r="Y17" s="53"/>
      <c r="Z17" s="53"/>
    </row>
    <row r="18">
      <c r="A18" s="125"/>
      <c r="B18" s="17"/>
      <c r="C18" s="125"/>
      <c r="D18" s="53"/>
      <c r="E18" s="53"/>
      <c r="F18" s="53"/>
      <c r="G18" s="53"/>
      <c r="H18" s="53"/>
      <c r="I18" s="53"/>
      <c r="J18" s="53"/>
      <c r="K18" s="53"/>
      <c r="L18" s="53"/>
      <c r="M18" s="53"/>
      <c r="N18" s="53"/>
      <c r="O18" s="53"/>
      <c r="P18" s="53"/>
      <c r="Q18" s="53"/>
      <c r="R18" s="53"/>
      <c r="S18" s="53"/>
      <c r="T18" s="53"/>
      <c r="U18" s="53"/>
      <c r="V18" s="53"/>
      <c r="W18" s="53"/>
      <c r="X18" s="53"/>
      <c r="Y18" s="53"/>
      <c r="Z18" s="53"/>
    </row>
    <row r="19">
      <c r="A19" s="6"/>
      <c r="B19" s="17"/>
      <c r="C19" s="125"/>
      <c r="D19" s="53"/>
      <c r="E19" s="53"/>
      <c r="F19" s="53"/>
      <c r="G19" s="53"/>
      <c r="H19" s="53"/>
      <c r="I19" s="53"/>
      <c r="J19" s="53"/>
      <c r="K19" s="53"/>
      <c r="L19" s="53"/>
      <c r="M19" s="53"/>
      <c r="N19" s="53"/>
      <c r="O19" s="53"/>
      <c r="P19" s="53"/>
      <c r="Q19" s="53"/>
      <c r="R19" s="53"/>
      <c r="S19" s="53"/>
      <c r="T19" s="53"/>
      <c r="U19" s="53"/>
      <c r="V19" s="53"/>
      <c r="W19" s="53"/>
      <c r="X19" s="53"/>
      <c r="Y19" s="53"/>
      <c r="Z19" s="53"/>
    </row>
    <row r="20">
      <c r="A20" s="125"/>
      <c r="B20" s="17"/>
      <c r="C20" s="125"/>
      <c r="D20" s="53"/>
      <c r="E20" s="53"/>
      <c r="F20" s="53"/>
      <c r="G20" s="53"/>
      <c r="H20" s="53"/>
      <c r="I20" s="53"/>
      <c r="J20" s="53"/>
      <c r="K20" s="53"/>
      <c r="L20" s="53"/>
      <c r="M20" s="53"/>
      <c r="N20" s="53"/>
      <c r="O20" s="53"/>
      <c r="P20" s="53"/>
      <c r="Q20" s="53"/>
      <c r="R20" s="53"/>
      <c r="S20" s="53"/>
      <c r="T20" s="53"/>
      <c r="U20" s="53"/>
      <c r="V20" s="53"/>
      <c r="W20" s="53"/>
      <c r="X20" s="53"/>
      <c r="Y20" s="53"/>
      <c r="Z20" s="53"/>
    </row>
    <row r="21">
      <c r="A21" s="125"/>
      <c r="B21" s="17"/>
      <c r="C21" s="125"/>
      <c r="D21" s="53"/>
      <c r="E21" s="53"/>
      <c r="F21" s="53"/>
      <c r="G21" s="53"/>
      <c r="H21" s="53"/>
      <c r="I21" s="53"/>
      <c r="J21" s="53"/>
      <c r="K21" s="53"/>
      <c r="L21" s="53"/>
      <c r="M21" s="53"/>
      <c r="N21" s="53"/>
      <c r="O21" s="53"/>
      <c r="P21" s="53"/>
      <c r="Q21" s="53"/>
      <c r="R21" s="53"/>
      <c r="S21" s="53"/>
      <c r="T21" s="53"/>
      <c r="U21" s="53"/>
      <c r="V21" s="53"/>
      <c r="W21" s="53"/>
      <c r="X21" s="53"/>
      <c r="Y21" s="53"/>
      <c r="Z21" s="53"/>
    </row>
    <row r="22">
      <c r="A22" s="125"/>
      <c r="B22" s="17"/>
      <c r="C22" s="125"/>
      <c r="D22" s="53"/>
      <c r="E22" s="53"/>
      <c r="F22" s="53"/>
      <c r="G22" s="53"/>
      <c r="H22" s="53"/>
      <c r="I22" s="53"/>
      <c r="J22" s="53"/>
      <c r="K22" s="53"/>
      <c r="L22" s="53"/>
      <c r="M22" s="53"/>
      <c r="N22" s="53"/>
      <c r="O22" s="53"/>
      <c r="P22" s="53"/>
      <c r="Q22" s="53"/>
      <c r="R22" s="53"/>
      <c r="S22" s="53"/>
      <c r="T22" s="53"/>
      <c r="U22" s="53"/>
      <c r="V22" s="53"/>
      <c r="W22" s="53"/>
      <c r="X22" s="53"/>
      <c r="Y22" s="53"/>
      <c r="Z22" s="53"/>
    </row>
    <row r="23">
      <c r="A23" s="125"/>
      <c r="B23" s="17"/>
      <c r="C23" s="125"/>
      <c r="D23" s="53"/>
      <c r="E23" s="53"/>
      <c r="F23" s="53"/>
      <c r="G23" s="53"/>
      <c r="H23" s="53"/>
      <c r="I23" s="53"/>
      <c r="J23" s="53"/>
      <c r="K23" s="53"/>
      <c r="L23" s="53"/>
      <c r="M23" s="53"/>
      <c r="N23" s="53"/>
      <c r="O23" s="53"/>
      <c r="P23" s="53"/>
      <c r="Q23" s="53"/>
      <c r="R23" s="53"/>
      <c r="S23" s="53"/>
      <c r="T23" s="53"/>
      <c r="U23" s="53"/>
      <c r="V23" s="53"/>
      <c r="W23" s="53"/>
      <c r="X23" s="53"/>
      <c r="Y23" s="53"/>
      <c r="Z23" s="53"/>
    </row>
    <row r="24">
      <c r="A24" s="125"/>
      <c r="B24" s="17"/>
      <c r="C24" s="125"/>
      <c r="D24" s="53"/>
      <c r="E24" s="53"/>
      <c r="F24" s="53"/>
      <c r="G24" s="53"/>
      <c r="H24" s="53"/>
      <c r="I24" s="53"/>
      <c r="J24" s="53"/>
      <c r="K24" s="53"/>
      <c r="L24" s="53"/>
      <c r="M24" s="53"/>
      <c r="N24" s="53"/>
      <c r="O24" s="53"/>
      <c r="P24" s="53"/>
      <c r="Q24" s="53"/>
      <c r="R24" s="53"/>
      <c r="S24" s="53"/>
      <c r="T24" s="53"/>
      <c r="U24" s="53"/>
      <c r="V24" s="53"/>
      <c r="W24" s="53"/>
      <c r="X24" s="53"/>
      <c r="Y24" s="53"/>
      <c r="Z24" s="53"/>
    </row>
    <row r="25">
      <c r="A25" s="125"/>
      <c r="B25" s="17"/>
      <c r="C25" s="125"/>
      <c r="D25" s="53"/>
      <c r="E25" s="53"/>
      <c r="F25" s="53"/>
      <c r="G25" s="53"/>
      <c r="H25" s="53"/>
      <c r="I25" s="53"/>
      <c r="J25" s="53"/>
      <c r="K25" s="53"/>
      <c r="L25" s="53"/>
      <c r="M25" s="53"/>
      <c r="N25" s="53"/>
      <c r="O25" s="53"/>
      <c r="P25" s="53"/>
      <c r="Q25" s="53"/>
      <c r="R25" s="53"/>
      <c r="S25" s="53"/>
      <c r="T25" s="53"/>
      <c r="U25" s="53"/>
      <c r="V25" s="53"/>
      <c r="W25" s="53"/>
      <c r="X25" s="53"/>
      <c r="Y25" s="53"/>
      <c r="Z25" s="53"/>
    </row>
    <row r="26">
      <c r="A26" s="125"/>
      <c r="B26" s="17"/>
      <c r="C26" s="125"/>
      <c r="D26" s="53"/>
      <c r="E26" s="53"/>
      <c r="F26" s="53"/>
      <c r="G26" s="53"/>
      <c r="H26" s="53"/>
      <c r="I26" s="53"/>
      <c r="J26" s="53"/>
      <c r="K26" s="53"/>
      <c r="L26" s="53"/>
      <c r="M26" s="53"/>
      <c r="N26" s="53"/>
      <c r="O26" s="53"/>
      <c r="P26" s="53"/>
      <c r="Q26" s="53"/>
      <c r="R26" s="53"/>
      <c r="S26" s="53"/>
      <c r="T26" s="53"/>
      <c r="U26" s="53"/>
      <c r="V26" s="53"/>
      <c r="W26" s="53"/>
      <c r="X26" s="53"/>
      <c r="Y26" s="53"/>
      <c r="Z26" s="53"/>
    </row>
    <row r="27">
      <c r="A27" s="125"/>
      <c r="B27" s="17"/>
      <c r="C27" s="125"/>
      <c r="D27" s="53"/>
      <c r="E27" s="53"/>
      <c r="F27" s="53"/>
      <c r="G27" s="53"/>
      <c r="H27" s="53"/>
      <c r="I27" s="53"/>
      <c r="J27" s="53"/>
      <c r="K27" s="53"/>
      <c r="L27" s="53"/>
      <c r="M27" s="53"/>
      <c r="N27" s="53"/>
      <c r="O27" s="53"/>
      <c r="P27" s="53"/>
      <c r="Q27" s="53"/>
      <c r="R27" s="53"/>
      <c r="S27" s="53"/>
      <c r="T27" s="53"/>
      <c r="U27" s="53"/>
      <c r="V27" s="53"/>
      <c r="W27" s="53"/>
      <c r="X27" s="53"/>
      <c r="Y27" s="53"/>
      <c r="Z27" s="53"/>
    </row>
    <row r="28">
      <c r="A28" s="125"/>
      <c r="B28" s="17"/>
      <c r="C28" s="125"/>
      <c r="D28" s="53"/>
      <c r="E28" s="53"/>
      <c r="F28" s="53"/>
      <c r="G28" s="53"/>
      <c r="H28" s="53"/>
      <c r="I28" s="53"/>
      <c r="J28" s="53"/>
      <c r="K28" s="53"/>
      <c r="L28" s="53"/>
      <c r="M28" s="53"/>
      <c r="N28" s="53"/>
      <c r="O28" s="53"/>
      <c r="P28" s="53"/>
      <c r="Q28" s="53"/>
      <c r="R28" s="53"/>
      <c r="S28" s="53"/>
      <c r="T28" s="53"/>
      <c r="U28" s="53"/>
      <c r="V28" s="53"/>
      <c r="W28" s="53"/>
      <c r="X28" s="53"/>
      <c r="Y28" s="53"/>
      <c r="Z28" s="53"/>
    </row>
    <row r="29">
      <c r="A29" s="125"/>
      <c r="B29" s="17"/>
      <c r="C29" s="125"/>
      <c r="D29" s="53"/>
      <c r="E29" s="53"/>
      <c r="F29" s="53"/>
      <c r="G29" s="53"/>
      <c r="H29" s="53"/>
      <c r="I29" s="53"/>
      <c r="J29" s="53"/>
      <c r="K29" s="53"/>
      <c r="L29" s="53"/>
      <c r="M29" s="53"/>
      <c r="N29" s="53"/>
      <c r="O29" s="53"/>
      <c r="P29" s="53"/>
      <c r="Q29" s="53"/>
      <c r="R29" s="53"/>
      <c r="S29" s="53"/>
      <c r="T29" s="53"/>
      <c r="U29" s="53"/>
      <c r="V29" s="53"/>
      <c r="W29" s="53"/>
      <c r="X29" s="53"/>
      <c r="Y29" s="53"/>
      <c r="Z29" s="53"/>
    </row>
    <row r="30">
      <c r="A30" s="125"/>
      <c r="B30" s="17"/>
      <c r="C30" s="125"/>
      <c r="D30" s="53"/>
      <c r="E30" s="53"/>
      <c r="F30" s="53"/>
      <c r="G30" s="53"/>
      <c r="H30" s="53"/>
      <c r="I30" s="53"/>
      <c r="J30" s="53"/>
      <c r="K30" s="53"/>
      <c r="L30" s="53"/>
      <c r="M30" s="53"/>
      <c r="N30" s="53"/>
      <c r="O30" s="53"/>
      <c r="P30" s="53"/>
      <c r="Q30" s="53"/>
      <c r="R30" s="53"/>
      <c r="S30" s="53"/>
      <c r="T30" s="53"/>
      <c r="U30" s="53"/>
      <c r="V30" s="53"/>
      <c r="W30" s="53"/>
      <c r="X30" s="53"/>
      <c r="Y30" s="53"/>
      <c r="Z30" s="53"/>
    </row>
    <row r="31">
      <c r="A31" s="125"/>
      <c r="B31" s="17"/>
      <c r="C31" s="125"/>
      <c r="D31" s="53"/>
      <c r="E31" s="53"/>
      <c r="F31" s="53"/>
      <c r="G31" s="53"/>
      <c r="H31" s="53"/>
      <c r="I31" s="53"/>
      <c r="J31" s="53"/>
      <c r="K31" s="53"/>
      <c r="L31" s="53"/>
      <c r="M31" s="53"/>
      <c r="N31" s="53"/>
      <c r="O31" s="53"/>
      <c r="P31" s="53"/>
      <c r="Q31" s="53"/>
      <c r="R31" s="53"/>
      <c r="S31" s="53"/>
      <c r="T31" s="53"/>
      <c r="U31" s="53"/>
      <c r="V31" s="53"/>
      <c r="W31" s="53"/>
      <c r="X31" s="53"/>
      <c r="Y31" s="53"/>
      <c r="Z31" s="53"/>
    </row>
    <row r="32">
      <c r="A32" s="125"/>
      <c r="B32" s="17"/>
      <c r="C32" s="125"/>
      <c r="D32" s="53"/>
      <c r="E32" s="53"/>
      <c r="F32" s="53"/>
      <c r="G32" s="53"/>
      <c r="H32" s="53"/>
      <c r="I32" s="53"/>
      <c r="J32" s="53"/>
      <c r="K32" s="53"/>
      <c r="L32" s="53"/>
      <c r="M32" s="53"/>
      <c r="N32" s="53"/>
      <c r="O32" s="53"/>
      <c r="P32" s="53"/>
      <c r="Q32" s="53"/>
      <c r="R32" s="53"/>
      <c r="S32" s="53"/>
      <c r="T32" s="53"/>
      <c r="U32" s="53"/>
      <c r="V32" s="53"/>
      <c r="W32" s="53"/>
      <c r="X32" s="53"/>
      <c r="Y32" s="53"/>
      <c r="Z32" s="53"/>
    </row>
    <row r="33">
      <c r="A33" s="125"/>
      <c r="B33" s="17"/>
      <c r="C33" s="125"/>
      <c r="D33" s="53"/>
      <c r="E33" s="53"/>
      <c r="F33" s="53"/>
      <c r="G33" s="53"/>
      <c r="H33" s="53"/>
      <c r="I33" s="53"/>
      <c r="J33" s="53"/>
      <c r="K33" s="53"/>
      <c r="L33" s="53"/>
      <c r="M33" s="53"/>
      <c r="N33" s="53"/>
      <c r="O33" s="53"/>
      <c r="P33" s="53"/>
      <c r="Q33" s="53"/>
      <c r="R33" s="53"/>
      <c r="S33" s="53"/>
      <c r="T33" s="53"/>
      <c r="U33" s="53"/>
      <c r="V33" s="53"/>
      <c r="W33" s="53"/>
      <c r="X33" s="53"/>
      <c r="Y33" s="53"/>
      <c r="Z33" s="53"/>
    </row>
    <row r="34">
      <c r="A34" s="125"/>
      <c r="B34" s="17"/>
      <c r="C34" s="125"/>
      <c r="D34" s="53"/>
      <c r="E34" s="53"/>
      <c r="F34" s="53"/>
      <c r="G34" s="53"/>
      <c r="H34" s="53"/>
      <c r="I34" s="53"/>
      <c r="J34" s="53"/>
      <c r="K34" s="53"/>
      <c r="L34" s="53"/>
      <c r="M34" s="53"/>
      <c r="N34" s="53"/>
      <c r="O34" s="53"/>
      <c r="P34" s="53"/>
      <c r="Q34" s="53"/>
      <c r="R34" s="53"/>
      <c r="S34" s="53"/>
      <c r="T34" s="53"/>
      <c r="U34" s="53"/>
      <c r="V34" s="53"/>
      <c r="W34" s="53"/>
      <c r="X34" s="53"/>
      <c r="Y34" s="53"/>
      <c r="Z34" s="53"/>
    </row>
    <row r="35">
      <c r="A35" s="125"/>
      <c r="B35" s="17"/>
      <c r="C35" s="125"/>
      <c r="D35" s="53"/>
      <c r="E35" s="53"/>
      <c r="F35" s="53"/>
      <c r="G35" s="53"/>
      <c r="H35" s="53"/>
      <c r="I35" s="53"/>
      <c r="J35" s="53"/>
      <c r="K35" s="53"/>
      <c r="L35" s="53"/>
      <c r="M35" s="53"/>
      <c r="N35" s="53"/>
      <c r="O35" s="53"/>
      <c r="P35" s="53"/>
      <c r="Q35" s="53"/>
      <c r="R35" s="53"/>
      <c r="S35" s="53"/>
      <c r="T35" s="53"/>
      <c r="U35" s="53"/>
      <c r="V35" s="53"/>
      <c r="W35" s="53"/>
      <c r="X35" s="53"/>
      <c r="Y35" s="53"/>
      <c r="Z35" s="53"/>
    </row>
    <row r="36">
      <c r="A36" s="125"/>
      <c r="B36" s="17"/>
      <c r="C36" s="125"/>
      <c r="D36" s="53"/>
      <c r="E36" s="53"/>
      <c r="F36" s="53"/>
      <c r="G36" s="53"/>
      <c r="H36" s="53"/>
      <c r="I36" s="53"/>
      <c r="J36" s="53"/>
      <c r="K36" s="53"/>
      <c r="L36" s="53"/>
      <c r="M36" s="53"/>
      <c r="N36" s="53"/>
      <c r="O36" s="53"/>
      <c r="P36" s="53"/>
      <c r="Q36" s="53"/>
      <c r="R36" s="53"/>
      <c r="S36" s="53"/>
      <c r="T36" s="53"/>
      <c r="U36" s="53"/>
      <c r="V36" s="53"/>
      <c r="W36" s="53"/>
      <c r="X36" s="53"/>
      <c r="Y36" s="53"/>
      <c r="Z36" s="53"/>
    </row>
    <row r="37">
      <c r="A37" s="125"/>
      <c r="B37" s="17"/>
      <c r="C37" s="125"/>
      <c r="D37" s="53"/>
      <c r="E37" s="53"/>
      <c r="F37" s="53"/>
      <c r="G37" s="53"/>
      <c r="H37" s="53"/>
      <c r="I37" s="53"/>
      <c r="J37" s="53"/>
      <c r="K37" s="53"/>
      <c r="L37" s="53"/>
      <c r="M37" s="53"/>
      <c r="N37" s="53"/>
      <c r="O37" s="53"/>
      <c r="P37" s="53"/>
      <c r="Q37" s="53"/>
      <c r="R37" s="53"/>
      <c r="S37" s="53"/>
      <c r="T37" s="53"/>
      <c r="U37" s="53"/>
      <c r="V37" s="53"/>
      <c r="W37" s="53"/>
      <c r="X37" s="53"/>
      <c r="Y37" s="53"/>
      <c r="Z37" s="53"/>
    </row>
    <row r="38">
      <c r="A38" s="125"/>
      <c r="B38" s="17"/>
      <c r="C38" s="125"/>
      <c r="D38" s="53"/>
      <c r="E38" s="53"/>
      <c r="F38" s="53"/>
      <c r="G38" s="53"/>
      <c r="H38" s="53"/>
      <c r="I38" s="53"/>
      <c r="J38" s="53"/>
      <c r="K38" s="53"/>
      <c r="L38" s="53"/>
      <c r="M38" s="53"/>
      <c r="N38" s="53"/>
      <c r="O38" s="53"/>
      <c r="P38" s="53"/>
      <c r="Q38" s="53"/>
      <c r="R38" s="53"/>
      <c r="S38" s="53"/>
      <c r="T38" s="53"/>
      <c r="U38" s="53"/>
      <c r="V38" s="53"/>
      <c r="W38" s="53"/>
      <c r="X38" s="53"/>
      <c r="Y38" s="53"/>
      <c r="Z38" s="53"/>
    </row>
    <row r="39">
      <c r="A39" s="125"/>
      <c r="B39" s="17"/>
      <c r="C39" s="125"/>
      <c r="D39" s="53"/>
      <c r="E39" s="53"/>
      <c r="F39" s="53"/>
      <c r="G39" s="53"/>
      <c r="H39" s="53"/>
      <c r="I39" s="53"/>
      <c r="J39" s="53"/>
      <c r="K39" s="53"/>
      <c r="L39" s="53"/>
      <c r="M39" s="53"/>
      <c r="N39" s="53"/>
      <c r="O39" s="53"/>
      <c r="P39" s="53"/>
      <c r="Q39" s="53"/>
      <c r="R39" s="53"/>
      <c r="S39" s="53"/>
      <c r="T39" s="53"/>
      <c r="U39" s="53"/>
      <c r="V39" s="53"/>
      <c r="W39" s="53"/>
      <c r="X39" s="53"/>
      <c r="Y39" s="53"/>
      <c r="Z39" s="53"/>
    </row>
    <row r="40">
      <c r="A40" s="125"/>
      <c r="B40" s="17"/>
      <c r="C40" s="125"/>
      <c r="D40" s="53"/>
      <c r="E40" s="53"/>
      <c r="F40" s="53"/>
      <c r="G40" s="53"/>
      <c r="H40" s="53"/>
      <c r="I40" s="53"/>
      <c r="J40" s="53"/>
      <c r="K40" s="53"/>
      <c r="L40" s="53"/>
      <c r="M40" s="53"/>
      <c r="N40" s="53"/>
      <c r="O40" s="53"/>
      <c r="P40" s="53"/>
      <c r="Q40" s="53"/>
      <c r="R40" s="53"/>
      <c r="S40" s="53"/>
      <c r="T40" s="53"/>
      <c r="U40" s="53"/>
      <c r="V40" s="53"/>
      <c r="W40" s="53"/>
      <c r="X40" s="53"/>
      <c r="Y40" s="53"/>
      <c r="Z40" s="53"/>
    </row>
    <row r="41">
      <c r="A41" s="125"/>
      <c r="B41" s="17"/>
      <c r="C41" s="125"/>
      <c r="D41" s="53"/>
      <c r="E41" s="53"/>
      <c r="F41" s="53"/>
      <c r="G41" s="53"/>
      <c r="H41" s="53"/>
      <c r="I41" s="53"/>
      <c r="J41" s="53"/>
      <c r="K41" s="53"/>
      <c r="L41" s="53"/>
      <c r="M41" s="53"/>
      <c r="N41" s="53"/>
      <c r="O41" s="53"/>
      <c r="P41" s="53"/>
      <c r="Q41" s="53"/>
      <c r="R41" s="53"/>
      <c r="S41" s="53"/>
      <c r="T41" s="53"/>
      <c r="U41" s="53"/>
      <c r="V41" s="53"/>
      <c r="W41" s="53"/>
      <c r="X41" s="53"/>
      <c r="Y41" s="53"/>
      <c r="Z41" s="53"/>
    </row>
    <row r="42">
      <c r="A42" s="125"/>
      <c r="B42" s="17"/>
      <c r="C42" s="125"/>
      <c r="D42" s="53"/>
      <c r="E42" s="53"/>
      <c r="F42" s="53"/>
      <c r="G42" s="53"/>
      <c r="H42" s="53"/>
      <c r="I42" s="53"/>
      <c r="J42" s="53"/>
      <c r="K42" s="53"/>
      <c r="L42" s="53"/>
      <c r="M42" s="53"/>
      <c r="N42" s="53"/>
      <c r="O42" s="53"/>
      <c r="P42" s="53"/>
      <c r="Q42" s="53"/>
      <c r="R42" s="53"/>
      <c r="S42" s="53"/>
      <c r="T42" s="53"/>
      <c r="U42" s="53"/>
      <c r="V42" s="53"/>
      <c r="W42" s="53"/>
      <c r="X42" s="53"/>
      <c r="Y42" s="53"/>
      <c r="Z42" s="53"/>
    </row>
    <row r="43">
      <c r="A43" s="125"/>
      <c r="B43" s="17"/>
      <c r="C43" s="125"/>
      <c r="D43" s="53"/>
      <c r="E43" s="53"/>
      <c r="F43" s="53"/>
      <c r="G43" s="53"/>
      <c r="H43" s="53"/>
      <c r="I43" s="53"/>
      <c r="J43" s="53"/>
      <c r="K43" s="53"/>
      <c r="L43" s="53"/>
      <c r="M43" s="53"/>
      <c r="N43" s="53"/>
      <c r="O43" s="53"/>
      <c r="P43" s="53"/>
      <c r="Q43" s="53"/>
      <c r="R43" s="53"/>
      <c r="S43" s="53"/>
      <c r="T43" s="53"/>
      <c r="U43" s="53"/>
      <c r="V43" s="53"/>
      <c r="W43" s="53"/>
      <c r="X43" s="53"/>
      <c r="Y43" s="53"/>
      <c r="Z43" s="53"/>
    </row>
    <row r="44">
      <c r="A44" s="125"/>
      <c r="B44" s="17"/>
      <c r="C44" s="125"/>
      <c r="D44" s="53"/>
      <c r="E44" s="53"/>
      <c r="F44" s="53"/>
      <c r="G44" s="53"/>
      <c r="H44" s="53"/>
      <c r="I44" s="53"/>
      <c r="J44" s="53"/>
      <c r="K44" s="53"/>
      <c r="L44" s="53"/>
      <c r="M44" s="53"/>
      <c r="N44" s="53"/>
      <c r="O44" s="53"/>
      <c r="P44" s="53"/>
      <c r="Q44" s="53"/>
      <c r="R44" s="53"/>
      <c r="S44" s="53"/>
      <c r="T44" s="53"/>
      <c r="U44" s="53"/>
      <c r="V44" s="53"/>
      <c r="W44" s="53"/>
      <c r="X44" s="53"/>
      <c r="Y44" s="53"/>
      <c r="Z44" s="53"/>
    </row>
    <row r="45">
      <c r="A45" s="125"/>
      <c r="B45" s="17"/>
      <c r="C45" s="125"/>
      <c r="D45" s="53"/>
      <c r="E45" s="53"/>
      <c r="F45" s="53"/>
      <c r="G45" s="53"/>
      <c r="H45" s="53"/>
      <c r="I45" s="53"/>
      <c r="J45" s="53"/>
      <c r="K45" s="53"/>
      <c r="L45" s="53"/>
      <c r="M45" s="53"/>
      <c r="N45" s="53"/>
      <c r="O45" s="53"/>
      <c r="P45" s="53"/>
      <c r="Q45" s="53"/>
      <c r="R45" s="53"/>
      <c r="S45" s="53"/>
      <c r="T45" s="53"/>
      <c r="U45" s="53"/>
      <c r="V45" s="53"/>
      <c r="W45" s="53"/>
      <c r="X45" s="53"/>
      <c r="Y45" s="53"/>
      <c r="Z45" s="53"/>
    </row>
    <row r="46">
      <c r="A46" s="125"/>
      <c r="B46" s="17"/>
      <c r="C46" s="125"/>
      <c r="D46" s="53"/>
      <c r="E46" s="53"/>
      <c r="F46" s="53"/>
      <c r="G46" s="53"/>
      <c r="H46" s="53"/>
      <c r="I46" s="53"/>
      <c r="J46" s="53"/>
      <c r="K46" s="53"/>
      <c r="L46" s="53"/>
      <c r="M46" s="53"/>
      <c r="N46" s="53"/>
      <c r="O46" s="53"/>
      <c r="P46" s="53"/>
      <c r="Q46" s="53"/>
      <c r="R46" s="53"/>
      <c r="S46" s="53"/>
      <c r="T46" s="53"/>
      <c r="U46" s="53"/>
      <c r="V46" s="53"/>
      <c r="W46" s="53"/>
      <c r="X46" s="53"/>
      <c r="Y46" s="53"/>
      <c r="Z46" s="53"/>
    </row>
    <row r="47">
      <c r="A47" s="125"/>
      <c r="B47" s="17"/>
      <c r="C47" s="125"/>
      <c r="D47" s="53"/>
      <c r="E47" s="53"/>
      <c r="F47" s="53"/>
      <c r="G47" s="53"/>
      <c r="H47" s="53"/>
      <c r="I47" s="53"/>
      <c r="J47" s="53"/>
      <c r="K47" s="53"/>
      <c r="L47" s="53"/>
      <c r="M47" s="53"/>
      <c r="N47" s="53"/>
      <c r="O47" s="53"/>
      <c r="P47" s="53"/>
      <c r="Q47" s="53"/>
      <c r="R47" s="53"/>
      <c r="S47" s="53"/>
      <c r="T47" s="53"/>
      <c r="U47" s="53"/>
      <c r="V47" s="53"/>
      <c r="W47" s="53"/>
      <c r="X47" s="53"/>
      <c r="Y47" s="53"/>
      <c r="Z47" s="53"/>
    </row>
    <row r="48">
      <c r="A48" s="125"/>
      <c r="B48" s="17"/>
      <c r="C48" s="125"/>
      <c r="D48" s="53"/>
      <c r="E48" s="53"/>
      <c r="F48" s="53"/>
      <c r="G48" s="53"/>
      <c r="H48" s="53"/>
      <c r="I48" s="53"/>
      <c r="J48" s="53"/>
      <c r="K48" s="53"/>
      <c r="L48" s="53"/>
      <c r="M48" s="53"/>
      <c r="N48" s="53"/>
      <c r="O48" s="53"/>
      <c r="P48" s="53"/>
      <c r="Q48" s="53"/>
      <c r="R48" s="53"/>
      <c r="S48" s="53"/>
      <c r="T48" s="53"/>
      <c r="U48" s="53"/>
      <c r="V48" s="53"/>
      <c r="W48" s="53"/>
      <c r="X48" s="53"/>
      <c r="Y48" s="53"/>
      <c r="Z48" s="53"/>
    </row>
    <row r="49">
      <c r="A49" s="125"/>
      <c r="B49" s="17"/>
      <c r="C49" s="125"/>
      <c r="D49" s="53"/>
      <c r="E49" s="53"/>
      <c r="F49" s="53"/>
      <c r="G49" s="53"/>
      <c r="H49" s="53"/>
      <c r="I49" s="53"/>
      <c r="J49" s="53"/>
      <c r="K49" s="53"/>
      <c r="L49" s="53"/>
      <c r="M49" s="53"/>
      <c r="N49" s="53"/>
      <c r="O49" s="53"/>
      <c r="P49" s="53"/>
      <c r="Q49" s="53"/>
      <c r="R49" s="53"/>
      <c r="S49" s="53"/>
      <c r="T49" s="53"/>
      <c r="U49" s="53"/>
      <c r="V49" s="53"/>
      <c r="W49" s="53"/>
      <c r="X49" s="53"/>
      <c r="Y49" s="53"/>
      <c r="Z49" s="53"/>
    </row>
    <row r="50">
      <c r="A50" s="125"/>
      <c r="B50" s="17"/>
      <c r="C50" s="125"/>
      <c r="D50" s="53"/>
      <c r="E50" s="53"/>
      <c r="F50" s="53"/>
      <c r="G50" s="53"/>
      <c r="H50" s="53"/>
      <c r="I50" s="53"/>
      <c r="J50" s="53"/>
      <c r="K50" s="53"/>
      <c r="L50" s="53"/>
      <c r="M50" s="53"/>
      <c r="N50" s="53"/>
      <c r="O50" s="53"/>
      <c r="P50" s="53"/>
      <c r="Q50" s="53"/>
      <c r="R50" s="53"/>
      <c r="S50" s="53"/>
      <c r="T50" s="53"/>
      <c r="U50" s="53"/>
      <c r="V50" s="53"/>
      <c r="W50" s="53"/>
      <c r="X50" s="53"/>
      <c r="Y50" s="53"/>
      <c r="Z50" s="53"/>
    </row>
    <row r="51">
      <c r="A51" s="125"/>
      <c r="B51" s="17"/>
      <c r="C51" s="125"/>
      <c r="D51" s="53"/>
      <c r="E51" s="53"/>
      <c r="F51" s="53"/>
      <c r="G51" s="53"/>
      <c r="H51" s="53"/>
      <c r="I51" s="53"/>
      <c r="J51" s="53"/>
      <c r="K51" s="53"/>
      <c r="L51" s="53"/>
      <c r="M51" s="53"/>
      <c r="N51" s="53"/>
      <c r="O51" s="53"/>
      <c r="P51" s="53"/>
      <c r="Q51" s="53"/>
      <c r="R51" s="53"/>
      <c r="S51" s="53"/>
      <c r="T51" s="53"/>
      <c r="U51" s="53"/>
      <c r="V51" s="53"/>
      <c r="W51" s="53"/>
      <c r="X51" s="53"/>
      <c r="Y51" s="53"/>
      <c r="Z51" s="53"/>
    </row>
    <row r="52">
      <c r="A52" s="125"/>
      <c r="B52" s="17"/>
      <c r="C52" s="125"/>
      <c r="D52" s="53"/>
      <c r="E52" s="53"/>
      <c r="F52" s="53"/>
      <c r="G52" s="53"/>
      <c r="H52" s="53"/>
      <c r="I52" s="53"/>
      <c r="J52" s="53"/>
      <c r="K52" s="53"/>
      <c r="L52" s="53"/>
      <c r="M52" s="53"/>
      <c r="N52" s="53"/>
      <c r="O52" s="53"/>
      <c r="P52" s="53"/>
      <c r="Q52" s="53"/>
      <c r="R52" s="53"/>
      <c r="S52" s="53"/>
      <c r="T52" s="53"/>
      <c r="U52" s="53"/>
      <c r="V52" s="53"/>
      <c r="W52" s="53"/>
      <c r="X52" s="53"/>
      <c r="Y52" s="53"/>
      <c r="Z52" s="53"/>
    </row>
    <row r="53">
      <c r="A53" s="125"/>
      <c r="B53" s="17"/>
      <c r="C53" s="125"/>
      <c r="D53" s="53"/>
      <c r="E53" s="53"/>
      <c r="F53" s="53"/>
      <c r="G53" s="53"/>
      <c r="H53" s="53"/>
      <c r="I53" s="53"/>
      <c r="J53" s="53"/>
      <c r="K53" s="53"/>
      <c r="L53" s="53"/>
      <c r="M53" s="53"/>
      <c r="N53" s="53"/>
      <c r="O53" s="53"/>
      <c r="P53" s="53"/>
      <c r="Q53" s="53"/>
      <c r="R53" s="53"/>
      <c r="S53" s="53"/>
      <c r="T53" s="53"/>
      <c r="U53" s="53"/>
      <c r="V53" s="53"/>
      <c r="W53" s="53"/>
      <c r="X53" s="53"/>
      <c r="Y53" s="53"/>
      <c r="Z53" s="53"/>
    </row>
    <row r="54">
      <c r="A54" s="125"/>
      <c r="B54" s="17"/>
      <c r="C54" s="125"/>
      <c r="D54" s="53"/>
      <c r="E54" s="53"/>
      <c r="F54" s="53"/>
      <c r="G54" s="53"/>
      <c r="H54" s="53"/>
      <c r="I54" s="53"/>
      <c r="J54" s="53"/>
      <c r="K54" s="53"/>
      <c r="L54" s="53"/>
      <c r="M54" s="53"/>
      <c r="N54" s="53"/>
      <c r="O54" s="53"/>
      <c r="P54" s="53"/>
      <c r="Q54" s="53"/>
      <c r="R54" s="53"/>
      <c r="S54" s="53"/>
      <c r="T54" s="53"/>
      <c r="U54" s="53"/>
      <c r="V54" s="53"/>
      <c r="W54" s="53"/>
      <c r="X54" s="53"/>
      <c r="Y54" s="53"/>
      <c r="Z54" s="53"/>
    </row>
    <row r="55">
      <c r="A55" s="125"/>
      <c r="B55" s="17"/>
      <c r="C55" s="125"/>
      <c r="D55" s="53"/>
      <c r="E55" s="53"/>
      <c r="F55" s="53"/>
      <c r="G55" s="53"/>
      <c r="H55" s="53"/>
      <c r="I55" s="53"/>
      <c r="J55" s="53"/>
      <c r="K55" s="53"/>
      <c r="L55" s="53"/>
      <c r="M55" s="53"/>
      <c r="N55" s="53"/>
      <c r="O55" s="53"/>
      <c r="P55" s="53"/>
      <c r="Q55" s="53"/>
      <c r="R55" s="53"/>
      <c r="S55" s="53"/>
      <c r="T55" s="53"/>
      <c r="U55" s="53"/>
      <c r="V55" s="53"/>
      <c r="W55" s="53"/>
      <c r="X55" s="53"/>
      <c r="Y55" s="53"/>
      <c r="Z55" s="53"/>
    </row>
    <row r="56">
      <c r="A56" s="125"/>
      <c r="B56" s="17"/>
      <c r="C56" s="125"/>
      <c r="D56" s="53"/>
      <c r="E56" s="53"/>
      <c r="F56" s="53"/>
      <c r="G56" s="53"/>
      <c r="H56" s="53"/>
      <c r="I56" s="53"/>
      <c r="J56" s="53"/>
      <c r="K56" s="53"/>
      <c r="L56" s="53"/>
      <c r="M56" s="53"/>
      <c r="N56" s="53"/>
      <c r="O56" s="53"/>
      <c r="P56" s="53"/>
      <c r="Q56" s="53"/>
      <c r="R56" s="53"/>
      <c r="S56" s="53"/>
      <c r="T56" s="53"/>
      <c r="U56" s="53"/>
      <c r="V56" s="53"/>
      <c r="W56" s="53"/>
      <c r="X56" s="53"/>
      <c r="Y56" s="53"/>
      <c r="Z56" s="53"/>
    </row>
    <row r="57">
      <c r="A57" s="125"/>
      <c r="B57" s="17"/>
      <c r="C57" s="125"/>
      <c r="D57" s="53"/>
      <c r="E57" s="53"/>
      <c r="F57" s="53"/>
      <c r="G57" s="53"/>
      <c r="H57" s="53"/>
      <c r="I57" s="53"/>
      <c r="J57" s="53"/>
      <c r="K57" s="53"/>
      <c r="L57" s="53"/>
      <c r="M57" s="53"/>
      <c r="N57" s="53"/>
      <c r="O57" s="53"/>
      <c r="P57" s="53"/>
      <c r="Q57" s="53"/>
      <c r="R57" s="53"/>
      <c r="S57" s="53"/>
      <c r="T57" s="53"/>
      <c r="U57" s="53"/>
      <c r="V57" s="53"/>
      <c r="W57" s="53"/>
      <c r="X57" s="53"/>
      <c r="Y57" s="53"/>
      <c r="Z57" s="53"/>
    </row>
    <row r="58">
      <c r="A58" s="125"/>
      <c r="B58" s="17"/>
      <c r="C58" s="125"/>
      <c r="D58" s="53"/>
      <c r="E58" s="53"/>
      <c r="F58" s="53"/>
      <c r="G58" s="53"/>
      <c r="H58" s="53"/>
      <c r="I58" s="53"/>
      <c r="J58" s="53"/>
      <c r="K58" s="53"/>
      <c r="L58" s="53"/>
      <c r="M58" s="53"/>
      <c r="N58" s="53"/>
      <c r="O58" s="53"/>
      <c r="P58" s="53"/>
      <c r="Q58" s="53"/>
      <c r="R58" s="53"/>
      <c r="S58" s="53"/>
      <c r="T58" s="53"/>
      <c r="U58" s="53"/>
      <c r="V58" s="53"/>
      <c r="W58" s="53"/>
      <c r="X58" s="53"/>
      <c r="Y58" s="53"/>
      <c r="Z58" s="53"/>
    </row>
    <row r="59">
      <c r="A59" s="125"/>
      <c r="B59" s="17"/>
      <c r="C59" s="125"/>
      <c r="D59" s="53"/>
      <c r="E59" s="53"/>
      <c r="F59" s="53"/>
      <c r="G59" s="53"/>
      <c r="H59" s="53"/>
      <c r="I59" s="53"/>
      <c r="J59" s="53"/>
      <c r="K59" s="53"/>
      <c r="L59" s="53"/>
      <c r="M59" s="53"/>
      <c r="N59" s="53"/>
      <c r="O59" s="53"/>
      <c r="P59" s="53"/>
      <c r="Q59" s="53"/>
      <c r="R59" s="53"/>
      <c r="S59" s="53"/>
      <c r="T59" s="53"/>
      <c r="U59" s="53"/>
      <c r="V59" s="53"/>
      <c r="W59" s="53"/>
      <c r="X59" s="53"/>
      <c r="Y59" s="53"/>
      <c r="Z59" s="53"/>
    </row>
    <row r="60">
      <c r="A60" s="125"/>
      <c r="B60" s="17"/>
      <c r="C60" s="125"/>
      <c r="D60" s="53"/>
      <c r="E60" s="53"/>
      <c r="F60" s="53"/>
      <c r="G60" s="53"/>
      <c r="H60" s="53"/>
      <c r="I60" s="53"/>
      <c r="J60" s="53"/>
      <c r="K60" s="53"/>
      <c r="L60" s="53"/>
      <c r="M60" s="53"/>
      <c r="N60" s="53"/>
      <c r="O60" s="53"/>
      <c r="P60" s="53"/>
      <c r="Q60" s="53"/>
      <c r="R60" s="53"/>
      <c r="S60" s="53"/>
      <c r="T60" s="53"/>
      <c r="U60" s="53"/>
      <c r="V60" s="53"/>
      <c r="W60" s="53"/>
      <c r="X60" s="53"/>
      <c r="Y60" s="53"/>
      <c r="Z60" s="53"/>
    </row>
    <row r="61">
      <c r="A61" s="125"/>
      <c r="B61" s="17"/>
      <c r="C61" s="125"/>
      <c r="D61" s="53"/>
      <c r="E61" s="53"/>
      <c r="F61" s="53"/>
      <c r="G61" s="53"/>
      <c r="H61" s="53"/>
      <c r="I61" s="53"/>
      <c r="J61" s="53"/>
      <c r="K61" s="53"/>
      <c r="L61" s="53"/>
      <c r="M61" s="53"/>
      <c r="N61" s="53"/>
      <c r="O61" s="53"/>
      <c r="P61" s="53"/>
      <c r="Q61" s="53"/>
      <c r="R61" s="53"/>
      <c r="S61" s="53"/>
      <c r="T61" s="53"/>
      <c r="U61" s="53"/>
      <c r="V61" s="53"/>
      <c r="W61" s="53"/>
      <c r="X61" s="53"/>
      <c r="Y61" s="53"/>
      <c r="Z61" s="53"/>
    </row>
    <row r="62">
      <c r="A62" s="125"/>
      <c r="B62" s="17"/>
      <c r="C62" s="125"/>
      <c r="D62" s="53"/>
      <c r="E62" s="53"/>
      <c r="F62" s="53"/>
      <c r="G62" s="53"/>
      <c r="H62" s="53"/>
      <c r="I62" s="53"/>
      <c r="J62" s="53"/>
      <c r="K62" s="53"/>
      <c r="L62" s="53"/>
      <c r="M62" s="53"/>
      <c r="N62" s="53"/>
      <c r="O62" s="53"/>
      <c r="P62" s="53"/>
      <c r="Q62" s="53"/>
      <c r="R62" s="53"/>
      <c r="S62" s="53"/>
      <c r="T62" s="53"/>
      <c r="U62" s="53"/>
      <c r="V62" s="53"/>
      <c r="W62" s="53"/>
      <c r="X62" s="53"/>
      <c r="Y62" s="53"/>
      <c r="Z62" s="53"/>
    </row>
    <row r="63">
      <c r="A63" s="125"/>
      <c r="B63" s="17"/>
      <c r="C63" s="125"/>
      <c r="D63" s="53"/>
      <c r="E63" s="53"/>
      <c r="F63" s="53"/>
      <c r="G63" s="53"/>
      <c r="H63" s="53"/>
      <c r="I63" s="53"/>
      <c r="J63" s="53"/>
      <c r="K63" s="53"/>
      <c r="L63" s="53"/>
      <c r="M63" s="53"/>
      <c r="N63" s="53"/>
      <c r="O63" s="53"/>
      <c r="P63" s="53"/>
      <c r="Q63" s="53"/>
      <c r="R63" s="53"/>
      <c r="S63" s="53"/>
      <c r="T63" s="53"/>
      <c r="U63" s="53"/>
      <c r="V63" s="53"/>
      <c r="W63" s="53"/>
      <c r="X63" s="53"/>
      <c r="Y63" s="53"/>
      <c r="Z63" s="53"/>
    </row>
    <row r="64">
      <c r="A64" s="125"/>
      <c r="B64" s="17"/>
      <c r="C64" s="125"/>
      <c r="D64" s="53"/>
      <c r="E64" s="53"/>
      <c r="F64" s="53"/>
      <c r="G64" s="53"/>
      <c r="H64" s="53"/>
      <c r="I64" s="53"/>
      <c r="J64" s="53"/>
      <c r="K64" s="53"/>
      <c r="L64" s="53"/>
      <c r="M64" s="53"/>
      <c r="N64" s="53"/>
      <c r="O64" s="53"/>
      <c r="P64" s="53"/>
      <c r="Q64" s="53"/>
      <c r="R64" s="53"/>
      <c r="S64" s="53"/>
      <c r="T64" s="53"/>
      <c r="U64" s="53"/>
      <c r="V64" s="53"/>
      <c r="W64" s="53"/>
      <c r="X64" s="53"/>
      <c r="Y64" s="53"/>
      <c r="Z64" s="53"/>
    </row>
    <row r="65">
      <c r="A65" s="125"/>
      <c r="B65" s="17"/>
      <c r="C65" s="125"/>
      <c r="D65" s="53"/>
      <c r="E65" s="53"/>
      <c r="F65" s="53"/>
      <c r="G65" s="53"/>
      <c r="H65" s="53"/>
      <c r="I65" s="53"/>
      <c r="J65" s="53"/>
      <c r="K65" s="53"/>
      <c r="L65" s="53"/>
      <c r="M65" s="53"/>
      <c r="N65" s="53"/>
      <c r="O65" s="53"/>
      <c r="P65" s="53"/>
      <c r="Q65" s="53"/>
      <c r="R65" s="53"/>
      <c r="S65" s="53"/>
      <c r="T65" s="53"/>
      <c r="U65" s="53"/>
      <c r="V65" s="53"/>
      <c r="W65" s="53"/>
      <c r="X65" s="53"/>
      <c r="Y65" s="53"/>
      <c r="Z65" s="53"/>
    </row>
    <row r="66">
      <c r="A66" s="125"/>
      <c r="B66" s="17"/>
      <c r="C66" s="125"/>
      <c r="D66" s="53"/>
      <c r="E66" s="53"/>
      <c r="F66" s="53"/>
      <c r="G66" s="53"/>
      <c r="H66" s="53"/>
      <c r="I66" s="53"/>
      <c r="J66" s="53"/>
      <c r="K66" s="53"/>
      <c r="L66" s="53"/>
      <c r="M66" s="53"/>
      <c r="N66" s="53"/>
      <c r="O66" s="53"/>
      <c r="P66" s="53"/>
      <c r="Q66" s="53"/>
      <c r="R66" s="53"/>
      <c r="S66" s="53"/>
      <c r="T66" s="53"/>
      <c r="U66" s="53"/>
      <c r="V66" s="53"/>
      <c r="W66" s="53"/>
      <c r="X66" s="53"/>
      <c r="Y66" s="53"/>
      <c r="Z66" s="53"/>
    </row>
    <row r="67">
      <c r="A67" s="125"/>
      <c r="B67" s="17"/>
      <c r="C67" s="125"/>
      <c r="D67" s="53"/>
      <c r="E67" s="53"/>
      <c r="F67" s="53"/>
      <c r="G67" s="53"/>
      <c r="H67" s="53"/>
      <c r="I67" s="53"/>
      <c r="J67" s="53"/>
      <c r="K67" s="53"/>
      <c r="L67" s="53"/>
      <c r="M67" s="53"/>
      <c r="N67" s="53"/>
      <c r="O67" s="53"/>
      <c r="P67" s="53"/>
      <c r="Q67" s="53"/>
      <c r="R67" s="53"/>
      <c r="S67" s="53"/>
      <c r="T67" s="53"/>
      <c r="U67" s="53"/>
      <c r="V67" s="53"/>
      <c r="W67" s="53"/>
      <c r="X67" s="53"/>
      <c r="Y67" s="53"/>
      <c r="Z67" s="53"/>
    </row>
    <row r="68">
      <c r="A68" s="125"/>
      <c r="B68" s="17"/>
      <c r="C68" s="125"/>
      <c r="D68" s="53"/>
      <c r="E68" s="53"/>
      <c r="F68" s="53"/>
      <c r="G68" s="53"/>
      <c r="H68" s="53"/>
      <c r="I68" s="53"/>
      <c r="J68" s="53"/>
      <c r="K68" s="53"/>
      <c r="L68" s="53"/>
      <c r="M68" s="53"/>
      <c r="N68" s="53"/>
      <c r="O68" s="53"/>
      <c r="P68" s="53"/>
      <c r="Q68" s="53"/>
      <c r="R68" s="53"/>
      <c r="S68" s="53"/>
      <c r="T68" s="53"/>
      <c r="U68" s="53"/>
      <c r="V68" s="53"/>
      <c r="W68" s="53"/>
      <c r="X68" s="53"/>
      <c r="Y68" s="53"/>
      <c r="Z68" s="53"/>
    </row>
    <row r="69">
      <c r="A69" s="125"/>
      <c r="B69" s="17"/>
      <c r="C69" s="125"/>
      <c r="D69" s="53"/>
      <c r="E69" s="53"/>
      <c r="F69" s="53"/>
      <c r="G69" s="53"/>
      <c r="H69" s="53"/>
      <c r="I69" s="53"/>
      <c r="J69" s="53"/>
      <c r="K69" s="53"/>
      <c r="L69" s="53"/>
      <c r="M69" s="53"/>
      <c r="N69" s="53"/>
      <c r="O69" s="53"/>
      <c r="P69" s="53"/>
      <c r="Q69" s="53"/>
      <c r="R69" s="53"/>
      <c r="S69" s="53"/>
      <c r="T69" s="53"/>
      <c r="U69" s="53"/>
      <c r="V69" s="53"/>
      <c r="W69" s="53"/>
      <c r="X69" s="53"/>
      <c r="Y69" s="53"/>
      <c r="Z69" s="53"/>
    </row>
    <row r="70">
      <c r="A70" s="125"/>
      <c r="B70" s="17"/>
      <c r="C70" s="125"/>
      <c r="D70" s="53"/>
      <c r="E70" s="53"/>
      <c r="F70" s="53"/>
      <c r="G70" s="53"/>
      <c r="H70" s="53"/>
      <c r="I70" s="53"/>
      <c r="J70" s="53"/>
      <c r="K70" s="53"/>
      <c r="L70" s="53"/>
      <c r="M70" s="53"/>
      <c r="N70" s="53"/>
      <c r="O70" s="53"/>
      <c r="P70" s="53"/>
      <c r="Q70" s="53"/>
      <c r="R70" s="53"/>
      <c r="S70" s="53"/>
      <c r="T70" s="53"/>
      <c r="U70" s="53"/>
      <c r="V70" s="53"/>
      <c r="W70" s="53"/>
      <c r="X70" s="53"/>
      <c r="Y70" s="53"/>
      <c r="Z70" s="53"/>
    </row>
    <row r="71">
      <c r="A71" s="125"/>
      <c r="B71" s="17"/>
      <c r="C71" s="125"/>
      <c r="D71" s="53"/>
      <c r="E71" s="53"/>
      <c r="F71" s="53"/>
      <c r="G71" s="53"/>
      <c r="H71" s="53"/>
      <c r="I71" s="53"/>
      <c r="J71" s="53"/>
      <c r="K71" s="53"/>
      <c r="L71" s="53"/>
      <c r="M71" s="53"/>
      <c r="N71" s="53"/>
      <c r="O71" s="53"/>
      <c r="P71" s="53"/>
      <c r="Q71" s="53"/>
      <c r="R71" s="53"/>
      <c r="S71" s="53"/>
      <c r="T71" s="53"/>
      <c r="U71" s="53"/>
      <c r="V71" s="53"/>
      <c r="W71" s="53"/>
      <c r="X71" s="53"/>
      <c r="Y71" s="53"/>
      <c r="Z71" s="53"/>
    </row>
    <row r="72">
      <c r="A72" s="125"/>
      <c r="B72" s="17"/>
      <c r="C72" s="125"/>
      <c r="D72" s="53"/>
      <c r="E72" s="53"/>
      <c r="F72" s="53"/>
      <c r="G72" s="53"/>
      <c r="H72" s="53"/>
      <c r="I72" s="53"/>
      <c r="J72" s="53"/>
      <c r="K72" s="53"/>
      <c r="L72" s="53"/>
      <c r="M72" s="53"/>
      <c r="N72" s="53"/>
      <c r="O72" s="53"/>
      <c r="P72" s="53"/>
      <c r="Q72" s="53"/>
      <c r="R72" s="53"/>
      <c r="S72" s="53"/>
      <c r="T72" s="53"/>
      <c r="U72" s="53"/>
      <c r="V72" s="53"/>
      <c r="W72" s="53"/>
      <c r="X72" s="53"/>
      <c r="Y72" s="53"/>
      <c r="Z72" s="53"/>
    </row>
    <row r="73">
      <c r="A73" s="125"/>
      <c r="B73" s="17"/>
      <c r="C73" s="125"/>
      <c r="D73" s="53"/>
      <c r="E73" s="53"/>
      <c r="F73" s="53"/>
      <c r="G73" s="53"/>
      <c r="H73" s="53"/>
      <c r="I73" s="53"/>
      <c r="J73" s="53"/>
      <c r="K73" s="53"/>
      <c r="L73" s="53"/>
      <c r="M73" s="53"/>
      <c r="N73" s="53"/>
      <c r="O73" s="53"/>
      <c r="P73" s="53"/>
      <c r="Q73" s="53"/>
      <c r="R73" s="53"/>
      <c r="S73" s="53"/>
      <c r="T73" s="53"/>
      <c r="U73" s="53"/>
      <c r="V73" s="53"/>
      <c r="W73" s="53"/>
      <c r="X73" s="53"/>
      <c r="Y73" s="53"/>
      <c r="Z73" s="53"/>
    </row>
    <row r="74">
      <c r="A74" s="125"/>
      <c r="B74" s="17"/>
      <c r="C74" s="125"/>
      <c r="D74" s="53"/>
      <c r="E74" s="53"/>
      <c r="F74" s="53"/>
      <c r="G74" s="53"/>
      <c r="H74" s="53"/>
      <c r="I74" s="53"/>
      <c r="J74" s="53"/>
      <c r="K74" s="53"/>
      <c r="L74" s="53"/>
      <c r="M74" s="53"/>
      <c r="N74" s="53"/>
      <c r="O74" s="53"/>
      <c r="P74" s="53"/>
      <c r="Q74" s="53"/>
      <c r="R74" s="53"/>
      <c r="S74" s="53"/>
      <c r="T74" s="53"/>
      <c r="U74" s="53"/>
      <c r="V74" s="53"/>
      <c r="W74" s="53"/>
      <c r="X74" s="53"/>
      <c r="Y74" s="53"/>
      <c r="Z74" s="53"/>
    </row>
    <row r="75">
      <c r="A75" s="125"/>
      <c r="B75" s="17"/>
      <c r="C75" s="125"/>
      <c r="D75" s="53"/>
      <c r="E75" s="53"/>
      <c r="F75" s="53"/>
      <c r="G75" s="53"/>
      <c r="H75" s="53"/>
      <c r="I75" s="53"/>
      <c r="J75" s="53"/>
      <c r="K75" s="53"/>
      <c r="L75" s="53"/>
      <c r="M75" s="53"/>
      <c r="N75" s="53"/>
      <c r="O75" s="53"/>
      <c r="P75" s="53"/>
      <c r="Q75" s="53"/>
      <c r="R75" s="53"/>
      <c r="S75" s="53"/>
      <c r="T75" s="53"/>
      <c r="U75" s="53"/>
      <c r="V75" s="53"/>
      <c r="W75" s="53"/>
      <c r="X75" s="53"/>
      <c r="Y75" s="53"/>
      <c r="Z75" s="53"/>
    </row>
    <row r="76">
      <c r="A76" s="125"/>
      <c r="B76" s="17"/>
      <c r="C76" s="125"/>
      <c r="D76" s="53"/>
      <c r="E76" s="53"/>
      <c r="F76" s="53"/>
      <c r="G76" s="53"/>
      <c r="H76" s="53"/>
      <c r="I76" s="53"/>
      <c r="J76" s="53"/>
      <c r="K76" s="53"/>
      <c r="L76" s="53"/>
      <c r="M76" s="53"/>
      <c r="N76" s="53"/>
      <c r="O76" s="53"/>
      <c r="P76" s="53"/>
      <c r="Q76" s="53"/>
      <c r="R76" s="53"/>
      <c r="S76" s="53"/>
      <c r="T76" s="53"/>
      <c r="U76" s="53"/>
      <c r="V76" s="53"/>
      <c r="W76" s="53"/>
      <c r="X76" s="53"/>
      <c r="Y76" s="53"/>
      <c r="Z76" s="53"/>
    </row>
    <row r="77">
      <c r="A77" s="125"/>
      <c r="B77" s="17"/>
      <c r="C77" s="125"/>
      <c r="D77" s="53"/>
      <c r="E77" s="53"/>
      <c r="F77" s="53"/>
      <c r="G77" s="53"/>
      <c r="H77" s="53"/>
      <c r="I77" s="53"/>
      <c r="J77" s="53"/>
      <c r="K77" s="53"/>
      <c r="L77" s="53"/>
      <c r="M77" s="53"/>
      <c r="N77" s="53"/>
      <c r="O77" s="53"/>
      <c r="P77" s="53"/>
      <c r="Q77" s="53"/>
      <c r="R77" s="53"/>
      <c r="S77" s="53"/>
      <c r="T77" s="53"/>
      <c r="U77" s="53"/>
      <c r="V77" s="53"/>
      <c r="W77" s="53"/>
      <c r="X77" s="53"/>
      <c r="Y77" s="53"/>
      <c r="Z77" s="53"/>
    </row>
    <row r="78">
      <c r="A78" s="125"/>
      <c r="B78" s="17"/>
      <c r="C78" s="125"/>
      <c r="D78" s="53"/>
      <c r="E78" s="53"/>
      <c r="F78" s="53"/>
      <c r="G78" s="53"/>
      <c r="H78" s="53"/>
      <c r="I78" s="53"/>
      <c r="J78" s="53"/>
      <c r="K78" s="53"/>
      <c r="L78" s="53"/>
      <c r="M78" s="53"/>
      <c r="N78" s="53"/>
      <c r="O78" s="53"/>
      <c r="P78" s="53"/>
      <c r="Q78" s="53"/>
      <c r="R78" s="53"/>
      <c r="S78" s="53"/>
      <c r="T78" s="53"/>
      <c r="U78" s="53"/>
      <c r="V78" s="53"/>
      <c r="W78" s="53"/>
      <c r="X78" s="53"/>
      <c r="Y78" s="53"/>
      <c r="Z78" s="53"/>
    </row>
    <row r="79">
      <c r="A79" s="125"/>
      <c r="B79" s="17"/>
      <c r="C79" s="125"/>
      <c r="D79" s="53"/>
      <c r="E79" s="53"/>
      <c r="F79" s="53"/>
      <c r="G79" s="53"/>
      <c r="H79" s="53"/>
      <c r="I79" s="53"/>
      <c r="J79" s="53"/>
      <c r="K79" s="53"/>
      <c r="L79" s="53"/>
      <c r="M79" s="53"/>
      <c r="N79" s="53"/>
      <c r="O79" s="53"/>
      <c r="P79" s="53"/>
      <c r="Q79" s="53"/>
      <c r="R79" s="53"/>
      <c r="S79" s="53"/>
      <c r="T79" s="53"/>
      <c r="U79" s="53"/>
      <c r="V79" s="53"/>
      <c r="W79" s="53"/>
      <c r="X79" s="53"/>
      <c r="Y79" s="53"/>
      <c r="Z79" s="53"/>
    </row>
    <row r="80">
      <c r="A80" s="125"/>
      <c r="B80" s="17"/>
      <c r="C80" s="125"/>
      <c r="D80" s="53"/>
      <c r="E80" s="53"/>
      <c r="F80" s="53"/>
      <c r="G80" s="53"/>
      <c r="H80" s="53"/>
      <c r="I80" s="53"/>
      <c r="J80" s="53"/>
      <c r="K80" s="53"/>
      <c r="L80" s="53"/>
      <c r="M80" s="53"/>
      <c r="N80" s="53"/>
      <c r="O80" s="53"/>
      <c r="P80" s="53"/>
      <c r="Q80" s="53"/>
      <c r="R80" s="53"/>
      <c r="S80" s="53"/>
      <c r="T80" s="53"/>
      <c r="U80" s="53"/>
      <c r="V80" s="53"/>
      <c r="W80" s="53"/>
      <c r="X80" s="53"/>
      <c r="Y80" s="53"/>
      <c r="Z80" s="53"/>
    </row>
    <row r="81">
      <c r="A81" s="125"/>
      <c r="B81" s="17"/>
      <c r="C81" s="125"/>
      <c r="D81" s="53"/>
      <c r="E81" s="53"/>
      <c r="F81" s="53"/>
      <c r="G81" s="53"/>
      <c r="H81" s="53"/>
      <c r="I81" s="53"/>
      <c r="J81" s="53"/>
      <c r="K81" s="53"/>
      <c r="L81" s="53"/>
      <c r="M81" s="53"/>
      <c r="N81" s="53"/>
      <c r="O81" s="53"/>
      <c r="P81" s="53"/>
      <c r="Q81" s="53"/>
      <c r="R81" s="53"/>
      <c r="S81" s="53"/>
      <c r="T81" s="53"/>
      <c r="U81" s="53"/>
      <c r="V81" s="53"/>
      <c r="W81" s="53"/>
      <c r="X81" s="53"/>
      <c r="Y81" s="53"/>
      <c r="Z81" s="53"/>
    </row>
    <row r="82">
      <c r="A82" s="125"/>
      <c r="B82" s="17"/>
      <c r="C82" s="125"/>
      <c r="D82" s="53"/>
      <c r="E82" s="53"/>
      <c r="F82" s="53"/>
      <c r="G82" s="53"/>
      <c r="H82" s="53"/>
      <c r="I82" s="53"/>
      <c r="J82" s="53"/>
      <c r="K82" s="53"/>
      <c r="L82" s="53"/>
      <c r="M82" s="53"/>
      <c r="N82" s="53"/>
      <c r="O82" s="53"/>
      <c r="P82" s="53"/>
      <c r="Q82" s="53"/>
      <c r="R82" s="53"/>
      <c r="S82" s="53"/>
      <c r="T82" s="53"/>
      <c r="U82" s="53"/>
      <c r="V82" s="53"/>
      <c r="W82" s="53"/>
      <c r="X82" s="53"/>
      <c r="Y82" s="53"/>
      <c r="Z82" s="53"/>
    </row>
    <row r="83">
      <c r="A83" s="125"/>
      <c r="B83" s="17"/>
      <c r="C83" s="125"/>
      <c r="D83" s="53"/>
      <c r="E83" s="53"/>
      <c r="F83" s="53"/>
      <c r="G83" s="53"/>
      <c r="H83" s="53"/>
      <c r="I83" s="53"/>
      <c r="J83" s="53"/>
      <c r="K83" s="53"/>
      <c r="L83" s="53"/>
      <c r="M83" s="53"/>
      <c r="N83" s="53"/>
      <c r="O83" s="53"/>
      <c r="P83" s="53"/>
      <c r="Q83" s="53"/>
      <c r="R83" s="53"/>
      <c r="S83" s="53"/>
      <c r="T83" s="53"/>
      <c r="U83" s="53"/>
      <c r="V83" s="53"/>
      <c r="W83" s="53"/>
      <c r="X83" s="53"/>
      <c r="Y83" s="53"/>
      <c r="Z83" s="53"/>
    </row>
    <row r="84">
      <c r="A84" s="125"/>
      <c r="B84" s="17"/>
      <c r="C84" s="125"/>
      <c r="D84" s="53"/>
      <c r="E84" s="53"/>
      <c r="F84" s="53"/>
      <c r="G84" s="53"/>
      <c r="H84" s="53"/>
      <c r="I84" s="53"/>
      <c r="J84" s="53"/>
      <c r="K84" s="53"/>
      <c r="L84" s="53"/>
      <c r="M84" s="53"/>
      <c r="N84" s="53"/>
      <c r="O84" s="53"/>
      <c r="P84" s="53"/>
      <c r="Q84" s="53"/>
      <c r="R84" s="53"/>
      <c r="S84" s="53"/>
      <c r="T84" s="53"/>
      <c r="U84" s="53"/>
      <c r="V84" s="53"/>
      <c r="W84" s="53"/>
      <c r="X84" s="53"/>
      <c r="Y84" s="53"/>
      <c r="Z84" s="53"/>
    </row>
    <row r="85">
      <c r="A85" s="125"/>
      <c r="B85" s="17"/>
      <c r="C85" s="125"/>
      <c r="D85" s="53"/>
      <c r="E85" s="53"/>
      <c r="F85" s="53"/>
      <c r="G85" s="53"/>
      <c r="H85" s="53"/>
      <c r="I85" s="53"/>
      <c r="J85" s="53"/>
      <c r="K85" s="53"/>
      <c r="L85" s="53"/>
      <c r="M85" s="53"/>
      <c r="N85" s="53"/>
      <c r="O85" s="53"/>
      <c r="P85" s="53"/>
      <c r="Q85" s="53"/>
      <c r="R85" s="53"/>
      <c r="S85" s="53"/>
      <c r="T85" s="53"/>
      <c r="U85" s="53"/>
      <c r="V85" s="53"/>
      <c r="W85" s="53"/>
      <c r="X85" s="53"/>
      <c r="Y85" s="53"/>
      <c r="Z85" s="53"/>
    </row>
    <row r="86">
      <c r="A86" s="125"/>
      <c r="B86" s="17"/>
      <c r="C86" s="125"/>
      <c r="D86" s="53"/>
      <c r="E86" s="53"/>
      <c r="F86" s="53"/>
      <c r="G86" s="53"/>
      <c r="H86" s="53"/>
      <c r="I86" s="53"/>
      <c r="J86" s="53"/>
      <c r="K86" s="53"/>
      <c r="L86" s="53"/>
      <c r="M86" s="53"/>
      <c r="N86" s="53"/>
      <c r="O86" s="53"/>
      <c r="P86" s="53"/>
      <c r="Q86" s="53"/>
      <c r="R86" s="53"/>
      <c r="S86" s="53"/>
      <c r="T86" s="53"/>
      <c r="U86" s="53"/>
      <c r="V86" s="53"/>
      <c r="W86" s="53"/>
      <c r="X86" s="53"/>
      <c r="Y86" s="53"/>
      <c r="Z86" s="53"/>
    </row>
    <row r="87">
      <c r="A87" s="125"/>
      <c r="B87" s="17"/>
      <c r="C87" s="125"/>
      <c r="D87" s="53"/>
      <c r="E87" s="53"/>
      <c r="F87" s="53"/>
      <c r="G87" s="53"/>
      <c r="H87" s="53"/>
      <c r="I87" s="53"/>
      <c r="J87" s="53"/>
      <c r="K87" s="53"/>
      <c r="L87" s="53"/>
      <c r="M87" s="53"/>
      <c r="N87" s="53"/>
      <c r="O87" s="53"/>
      <c r="P87" s="53"/>
      <c r="Q87" s="53"/>
      <c r="R87" s="53"/>
      <c r="S87" s="53"/>
      <c r="T87" s="53"/>
      <c r="U87" s="53"/>
      <c r="V87" s="53"/>
      <c r="W87" s="53"/>
      <c r="X87" s="53"/>
      <c r="Y87" s="53"/>
      <c r="Z87" s="53"/>
    </row>
    <row r="88">
      <c r="A88" s="125"/>
      <c r="B88" s="17"/>
      <c r="C88" s="125"/>
      <c r="D88" s="53"/>
      <c r="E88" s="53"/>
      <c r="F88" s="53"/>
      <c r="G88" s="53"/>
      <c r="H88" s="53"/>
      <c r="I88" s="53"/>
      <c r="J88" s="53"/>
      <c r="K88" s="53"/>
      <c r="L88" s="53"/>
      <c r="M88" s="53"/>
      <c r="N88" s="53"/>
      <c r="O88" s="53"/>
      <c r="P88" s="53"/>
      <c r="Q88" s="53"/>
      <c r="R88" s="53"/>
      <c r="S88" s="53"/>
      <c r="T88" s="53"/>
      <c r="U88" s="53"/>
      <c r="V88" s="53"/>
      <c r="W88" s="53"/>
      <c r="X88" s="53"/>
      <c r="Y88" s="53"/>
      <c r="Z88" s="53"/>
    </row>
    <row r="89">
      <c r="A89" s="125"/>
      <c r="B89" s="17"/>
      <c r="C89" s="125"/>
      <c r="D89" s="53"/>
      <c r="E89" s="53"/>
      <c r="F89" s="53"/>
      <c r="G89" s="53"/>
      <c r="H89" s="53"/>
      <c r="I89" s="53"/>
      <c r="J89" s="53"/>
      <c r="K89" s="53"/>
      <c r="L89" s="53"/>
      <c r="M89" s="53"/>
      <c r="N89" s="53"/>
      <c r="O89" s="53"/>
      <c r="P89" s="53"/>
      <c r="Q89" s="53"/>
      <c r="R89" s="53"/>
      <c r="S89" s="53"/>
      <c r="T89" s="53"/>
      <c r="U89" s="53"/>
      <c r="V89" s="53"/>
      <c r="W89" s="53"/>
      <c r="X89" s="53"/>
      <c r="Y89" s="53"/>
      <c r="Z89" s="53"/>
    </row>
    <row r="90">
      <c r="A90" s="125"/>
      <c r="B90" s="17"/>
      <c r="C90" s="125"/>
      <c r="D90" s="53"/>
      <c r="E90" s="53"/>
      <c r="F90" s="53"/>
      <c r="G90" s="53"/>
      <c r="H90" s="53"/>
      <c r="I90" s="53"/>
      <c r="J90" s="53"/>
      <c r="K90" s="53"/>
      <c r="L90" s="53"/>
      <c r="M90" s="53"/>
      <c r="N90" s="53"/>
      <c r="O90" s="53"/>
      <c r="P90" s="53"/>
      <c r="Q90" s="53"/>
      <c r="R90" s="53"/>
      <c r="S90" s="53"/>
      <c r="T90" s="53"/>
      <c r="U90" s="53"/>
      <c r="V90" s="53"/>
      <c r="W90" s="53"/>
      <c r="X90" s="53"/>
      <c r="Y90" s="53"/>
      <c r="Z90" s="53"/>
    </row>
    <row r="91">
      <c r="A91" s="125"/>
      <c r="B91" s="17"/>
      <c r="C91" s="125"/>
      <c r="D91" s="53"/>
      <c r="E91" s="53"/>
      <c r="F91" s="53"/>
      <c r="G91" s="53"/>
      <c r="H91" s="53"/>
      <c r="I91" s="53"/>
      <c r="J91" s="53"/>
      <c r="K91" s="53"/>
      <c r="L91" s="53"/>
      <c r="M91" s="53"/>
      <c r="N91" s="53"/>
      <c r="O91" s="53"/>
      <c r="P91" s="53"/>
      <c r="Q91" s="53"/>
      <c r="R91" s="53"/>
      <c r="S91" s="53"/>
      <c r="T91" s="53"/>
      <c r="U91" s="53"/>
      <c r="V91" s="53"/>
      <c r="W91" s="53"/>
      <c r="X91" s="53"/>
      <c r="Y91" s="53"/>
      <c r="Z91" s="53"/>
    </row>
    <row r="92">
      <c r="A92" s="125"/>
      <c r="B92" s="17"/>
      <c r="C92" s="125"/>
      <c r="D92" s="53"/>
      <c r="E92" s="53"/>
      <c r="F92" s="53"/>
      <c r="G92" s="53"/>
      <c r="H92" s="53"/>
      <c r="I92" s="53"/>
      <c r="J92" s="53"/>
      <c r="K92" s="53"/>
      <c r="L92" s="53"/>
      <c r="M92" s="53"/>
      <c r="N92" s="53"/>
      <c r="O92" s="53"/>
      <c r="P92" s="53"/>
      <c r="Q92" s="53"/>
      <c r="R92" s="53"/>
      <c r="S92" s="53"/>
      <c r="T92" s="53"/>
      <c r="U92" s="53"/>
      <c r="V92" s="53"/>
      <c r="W92" s="53"/>
      <c r="X92" s="53"/>
      <c r="Y92" s="53"/>
      <c r="Z92" s="53"/>
    </row>
    <row r="93">
      <c r="A93" s="125"/>
      <c r="B93" s="17"/>
      <c r="C93" s="125"/>
      <c r="D93" s="53"/>
      <c r="E93" s="53"/>
      <c r="F93" s="53"/>
      <c r="G93" s="53"/>
      <c r="H93" s="53"/>
      <c r="I93" s="53"/>
      <c r="J93" s="53"/>
      <c r="K93" s="53"/>
      <c r="L93" s="53"/>
      <c r="M93" s="53"/>
      <c r="N93" s="53"/>
      <c r="O93" s="53"/>
      <c r="P93" s="53"/>
      <c r="Q93" s="53"/>
      <c r="R93" s="53"/>
      <c r="S93" s="53"/>
      <c r="T93" s="53"/>
      <c r="U93" s="53"/>
      <c r="V93" s="53"/>
      <c r="W93" s="53"/>
      <c r="X93" s="53"/>
      <c r="Y93" s="53"/>
      <c r="Z93" s="53"/>
    </row>
    <row r="94">
      <c r="A94" s="125"/>
      <c r="B94" s="17"/>
      <c r="C94" s="125"/>
      <c r="D94" s="53"/>
      <c r="E94" s="53"/>
      <c r="F94" s="53"/>
      <c r="G94" s="53"/>
      <c r="H94" s="53"/>
      <c r="I94" s="53"/>
      <c r="J94" s="53"/>
      <c r="K94" s="53"/>
      <c r="L94" s="53"/>
      <c r="M94" s="53"/>
      <c r="N94" s="53"/>
      <c r="O94" s="53"/>
      <c r="P94" s="53"/>
      <c r="Q94" s="53"/>
      <c r="R94" s="53"/>
      <c r="S94" s="53"/>
      <c r="T94" s="53"/>
      <c r="U94" s="53"/>
      <c r="V94" s="53"/>
      <c r="W94" s="53"/>
      <c r="X94" s="53"/>
      <c r="Y94" s="53"/>
      <c r="Z94" s="53"/>
    </row>
    <row r="95">
      <c r="A95" s="125"/>
      <c r="B95" s="17"/>
      <c r="C95" s="125"/>
      <c r="D95" s="53"/>
      <c r="E95" s="53"/>
      <c r="F95" s="53"/>
      <c r="G95" s="53"/>
      <c r="H95" s="53"/>
      <c r="I95" s="53"/>
      <c r="J95" s="53"/>
      <c r="K95" s="53"/>
      <c r="L95" s="53"/>
      <c r="M95" s="53"/>
      <c r="N95" s="53"/>
      <c r="O95" s="53"/>
      <c r="P95" s="53"/>
      <c r="Q95" s="53"/>
      <c r="R95" s="53"/>
      <c r="S95" s="53"/>
      <c r="T95" s="53"/>
      <c r="U95" s="53"/>
      <c r="V95" s="53"/>
      <c r="W95" s="53"/>
      <c r="X95" s="53"/>
      <c r="Y95" s="53"/>
      <c r="Z95" s="53"/>
    </row>
    <row r="96">
      <c r="A96" s="125"/>
      <c r="B96" s="17"/>
      <c r="C96" s="125"/>
      <c r="D96" s="53"/>
      <c r="E96" s="53"/>
      <c r="F96" s="53"/>
      <c r="G96" s="53"/>
      <c r="H96" s="53"/>
      <c r="I96" s="53"/>
      <c r="J96" s="53"/>
      <c r="K96" s="53"/>
      <c r="L96" s="53"/>
      <c r="M96" s="53"/>
      <c r="N96" s="53"/>
      <c r="O96" s="53"/>
      <c r="P96" s="53"/>
      <c r="Q96" s="53"/>
      <c r="R96" s="53"/>
      <c r="S96" s="53"/>
      <c r="T96" s="53"/>
      <c r="U96" s="53"/>
      <c r="V96" s="53"/>
      <c r="W96" s="53"/>
      <c r="X96" s="53"/>
      <c r="Y96" s="53"/>
      <c r="Z96" s="53"/>
    </row>
    <row r="97">
      <c r="A97" s="125"/>
      <c r="B97" s="17"/>
      <c r="C97" s="125"/>
      <c r="D97" s="53"/>
      <c r="E97" s="53"/>
      <c r="F97" s="53"/>
      <c r="G97" s="53"/>
      <c r="H97" s="53"/>
      <c r="I97" s="53"/>
      <c r="J97" s="53"/>
      <c r="K97" s="53"/>
      <c r="L97" s="53"/>
      <c r="M97" s="53"/>
      <c r="N97" s="53"/>
      <c r="O97" s="53"/>
      <c r="P97" s="53"/>
      <c r="Q97" s="53"/>
      <c r="R97" s="53"/>
      <c r="S97" s="53"/>
      <c r="T97" s="53"/>
      <c r="U97" s="53"/>
      <c r="V97" s="53"/>
      <c r="W97" s="53"/>
      <c r="X97" s="53"/>
      <c r="Y97" s="53"/>
      <c r="Z97" s="53"/>
    </row>
    <row r="98">
      <c r="A98" s="125"/>
      <c r="B98" s="17"/>
      <c r="C98" s="125"/>
      <c r="D98" s="53"/>
      <c r="E98" s="53"/>
      <c r="F98" s="53"/>
      <c r="G98" s="53"/>
      <c r="H98" s="53"/>
      <c r="I98" s="53"/>
      <c r="J98" s="53"/>
      <c r="K98" s="53"/>
      <c r="L98" s="53"/>
      <c r="M98" s="53"/>
      <c r="N98" s="53"/>
      <c r="O98" s="53"/>
      <c r="P98" s="53"/>
      <c r="Q98" s="53"/>
      <c r="R98" s="53"/>
      <c r="S98" s="53"/>
      <c r="T98" s="53"/>
      <c r="U98" s="53"/>
      <c r="V98" s="53"/>
      <c r="W98" s="53"/>
      <c r="X98" s="53"/>
      <c r="Y98" s="53"/>
      <c r="Z98" s="53"/>
    </row>
    <row r="99">
      <c r="A99" s="125"/>
      <c r="B99" s="17"/>
      <c r="C99" s="125"/>
      <c r="D99" s="53"/>
      <c r="E99" s="53"/>
      <c r="F99" s="53"/>
      <c r="G99" s="53"/>
      <c r="H99" s="53"/>
      <c r="I99" s="53"/>
      <c r="J99" s="53"/>
      <c r="K99" s="53"/>
      <c r="L99" s="53"/>
      <c r="M99" s="53"/>
      <c r="N99" s="53"/>
      <c r="O99" s="53"/>
      <c r="P99" s="53"/>
      <c r="Q99" s="53"/>
      <c r="R99" s="53"/>
      <c r="S99" s="53"/>
      <c r="T99" s="53"/>
      <c r="U99" s="53"/>
      <c r="V99" s="53"/>
      <c r="W99" s="53"/>
      <c r="X99" s="53"/>
      <c r="Y99" s="53"/>
      <c r="Z99" s="53"/>
    </row>
    <row r="100">
      <c r="A100" s="125"/>
      <c r="B100" s="17"/>
      <c r="C100" s="125"/>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c r="A101" s="125"/>
      <c r="B101" s="17"/>
      <c r="C101" s="125"/>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c r="A102" s="125"/>
      <c r="B102" s="17"/>
      <c r="C102" s="125"/>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c r="A103" s="125"/>
      <c r="B103" s="17"/>
      <c r="C103" s="125"/>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c r="A104" s="125"/>
      <c r="B104" s="17"/>
      <c r="C104" s="125"/>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c r="A105" s="125"/>
      <c r="B105" s="17"/>
      <c r="C105" s="125"/>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c r="A106" s="125"/>
      <c r="B106" s="17"/>
      <c r="C106" s="125"/>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c r="A107" s="125"/>
      <c r="B107" s="17"/>
      <c r="C107" s="125"/>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c r="A108" s="125"/>
      <c r="B108" s="17"/>
      <c r="C108" s="125"/>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c r="A109" s="125"/>
      <c r="B109" s="17"/>
      <c r="C109" s="125"/>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c r="A110" s="125"/>
      <c r="B110" s="17"/>
      <c r="C110" s="125"/>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c r="A111" s="125"/>
      <c r="B111" s="17"/>
      <c r="C111" s="125"/>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c r="A112" s="125"/>
      <c r="B112" s="17"/>
      <c r="C112" s="125"/>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c r="A113" s="125"/>
      <c r="B113" s="17"/>
      <c r="C113" s="125"/>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c r="A114" s="125"/>
      <c r="B114" s="17"/>
      <c r="C114" s="125"/>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c r="A115" s="125"/>
      <c r="B115" s="17"/>
      <c r="C115" s="125"/>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c r="A116" s="125"/>
      <c r="B116" s="17"/>
      <c r="C116" s="125"/>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c r="A117" s="125"/>
      <c r="B117" s="17"/>
      <c r="C117" s="125"/>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c r="A118" s="125"/>
      <c r="B118" s="17"/>
      <c r="C118" s="125"/>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c r="A119" s="125"/>
      <c r="B119" s="17"/>
      <c r="C119" s="125"/>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c r="A120" s="125"/>
      <c r="B120" s="17"/>
      <c r="C120" s="125"/>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c r="A121" s="125"/>
      <c r="B121" s="17"/>
      <c r="C121" s="125"/>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c r="A122" s="125"/>
      <c r="B122" s="17"/>
      <c r="C122" s="125"/>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c r="A123" s="125"/>
      <c r="B123" s="17"/>
      <c r="C123" s="125"/>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c r="A124" s="125"/>
      <c r="B124" s="17"/>
      <c r="C124" s="125"/>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c r="A125" s="125"/>
      <c r="B125" s="17"/>
      <c r="C125" s="125"/>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c r="A126" s="125"/>
      <c r="B126" s="17"/>
      <c r="C126" s="125"/>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c r="A127" s="125"/>
      <c r="B127" s="17"/>
      <c r="C127" s="125"/>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c r="A128" s="125"/>
      <c r="B128" s="17"/>
      <c r="C128" s="125"/>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c r="A129" s="125"/>
      <c r="B129" s="17"/>
      <c r="C129" s="125"/>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c r="A130" s="125"/>
      <c r="B130" s="17"/>
      <c r="C130" s="125"/>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c r="A131" s="125"/>
      <c r="B131" s="17"/>
      <c r="C131" s="125"/>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c r="A132" s="125"/>
      <c r="B132" s="17"/>
      <c r="C132" s="125"/>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c r="A133" s="125"/>
      <c r="B133" s="17"/>
      <c r="C133" s="125"/>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c r="A134" s="125"/>
      <c r="B134" s="17"/>
      <c r="C134" s="125"/>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c r="A135" s="125"/>
      <c r="B135" s="17"/>
      <c r="C135" s="125"/>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c r="A136" s="125"/>
      <c r="B136" s="17"/>
      <c r="C136" s="125"/>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c r="A137" s="125"/>
      <c r="B137" s="17"/>
      <c r="C137" s="125"/>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c r="A138" s="125"/>
      <c r="B138" s="17"/>
      <c r="C138" s="125"/>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c r="A139" s="125"/>
      <c r="B139" s="17"/>
      <c r="C139" s="125"/>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c r="A140" s="125"/>
      <c r="B140" s="17"/>
      <c r="C140" s="125"/>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c r="A141" s="125"/>
      <c r="B141" s="17"/>
      <c r="C141" s="125"/>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c r="A142" s="125"/>
      <c r="B142" s="17"/>
      <c r="C142" s="125"/>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c r="A143" s="125"/>
      <c r="B143" s="17"/>
      <c r="C143" s="125"/>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c r="A144" s="125"/>
      <c r="B144" s="17"/>
      <c r="C144" s="125"/>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c r="A145" s="125"/>
      <c r="B145" s="17"/>
      <c r="C145" s="125"/>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c r="A146" s="125"/>
      <c r="B146" s="17"/>
      <c r="C146" s="125"/>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c r="A147" s="125"/>
      <c r="B147" s="17"/>
      <c r="C147" s="125"/>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c r="A148" s="125"/>
      <c r="B148" s="17"/>
      <c r="C148" s="125"/>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c r="A149" s="125"/>
      <c r="B149" s="17"/>
      <c r="C149" s="125"/>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c r="A150" s="125"/>
      <c r="B150" s="17"/>
      <c r="C150" s="125"/>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c r="A151" s="125"/>
      <c r="B151" s="17"/>
      <c r="C151" s="125"/>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c r="A152" s="125"/>
      <c r="B152" s="17"/>
      <c r="C152" s="125"/>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c r="A153" s="125"/>
      <c r="B153" s="17"/>
      <c r="C153" s="125"/>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c r="A154" s="125"/>
      <c r="B154" s="17"/>
      <c r="C154" s="125"/>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c r="A155" s="125"/>
      <c r="B155" s="17"/>
      <c r="C155" s="125"/>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c r="A156" s="125"/>
      <c r="B156" s="17"/>
      <c r="C156" s="125"/>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c r="A157" s="125"/>
      <c r="B157" s="17"/>
      <c r="C157" s="125"/>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c r="A158" s="125"/>
      <c r="B158" s="17"/>
      <c r="C158" s="125"/>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c r="A159" s="125"/>
      <c r="B159" s="17"/>
      <c r="C159" s="125"/>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c r="A160" s="125"/>
      <c r="B160" s="17"/>
      <c r="C160" s="125"/>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c r="A161" s="125"/>
      <c r="B161" s="17"/>
      <c r="C161" s="125"/>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c r="A162" s="125"/>
      <c r="B162" s="17"/>
      <c r="C162" s="125"/>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c r="A163" s="125"/>
      <c r="B163" s="17"/>
      <c r="C163" s="125"/>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c r="A164" s="125"/>
      <c r="B164" s="17"/>
      <c r="C164" s="125"/>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c r="A165" s="125"/>
      <c r="B165" s="17"/>
      <c r="C165" s="125"/>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c r="A166" s="125"/>
      <c r="B166" s="17"/>
      <c r="C166" s="125"/>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c r="A167" s="125"/>
      <c r="B167" s="17"/>
      <c r="C167" s="125"/>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c r="A168" s="125"/>
      <c r="B168" s="17"/>
      <c r="C168" s="125"/>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c r="A169" s="125"/>
      <c r="B169" s="17"/>
      <c r="C169" s="125"/>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c r="A170" s="125"/>
      <c r="B170" s="17"/>
      <c r="C170" s="125"/>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c r="A171" s="125"/>
      <c r="B171" s="17"/>
      <c r="C171" s="125"/>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c r="A172" s="125"/>
      <c r="B172" s="17"/>
      <c r="C172" s="125"/>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c r="A173" s="125"/>
      <c r="B173" s="17"/>
      <c r="C173" s="125"/>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c r="A174" s="125"/>
      <c r="B174" s="17"/>
      <c r="C174" s="125"/>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c r="A175" s="125"/>
      <c r="B175" s="17"/>
      <c r="C175" s="125"/>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c r="A176" s="125"/>
      <c r="B176" s="17"/>
      <c r="C176" s="125"/>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c r="A177" s="125"/>
      <c r="B177" s="17"/>
      <c r="C177" s="125"/>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c r="A178" s="125"/>
      <c r="B178" s="17"/>
      <c r="C178" s="125"/>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c r="A179" s="125"/>
      <c r="B179" s="17"/>
      <c r="C179" s="125"/>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c r="A180" s="125"/>
      <c r="B180" s="17"/>
      <c r="C180" s="125"/>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c r="A181" s="125"/>
      <c r="B181" s="17"/>
      <c r="C181" s="125"/>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c r="A182" s="125"/>
      <c r="B182" s="17"/>
      <c r="C182" s="125"/>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c r="A183" s="125"/>
      <c r="B183" s="17"/>
      <c r="C183" s="125"/>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c r="A184" s="125"/>
      <c r="B184" s="17"/>
      <c r="C184" s="125"/>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c r="A185" s="125"/>
      <c r="B185" s="17"/>
      <c r="C185" s="125"/>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c r="A186" s="125"/>
      <c r="B186" s="17"/>
      <c r="C186" s="125"/>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c r="A187" s="125"/>
      <c r="B187" s="17"/>
      <c r="C187" s="125"/>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c r="A188" s="125"/>
      <c r="B188" s="17"/>
      <c r="C188" s="125"/>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c r="A189" s="125"/>
      <c r="B189" s="17"/>
      <c r="C189" s="125"/>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c r="A190" s="125"/>
      <c r="B190" s="17"/>
      <c r="C190" s="125"/>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c r="A191" s="125"/>
      <c r="B191" s="17"/>
      <c r="C191" s="125"/>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c r="A192" s="125"/>
      <c r="B192" s="17"/>
      <c r="C192" s="125"/>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c r="A193" s="125"/>
      <c r="B193" s="17"/>
      <c r="C193" s="125"/>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c r="A194" s="125"/>
      <c r="B194" s="17"/>
      <c r="C194" s="125"/>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c r="A195" s="125"/>
      <c r="B195" s="17"/>
      <c r="C195" s="125"/>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c r="A196" s="125"/>
      <c r="B196" s="17"/>
      <c r="C196" s="125"/>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c r="A197" s="125"/>
      <c r="B197" s="17"/>
      <c r="C197" s="125"/>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c r="A198" s="125"/>
      <c r="B198" s="17"/>
      <c r="C198" s="125"/>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c r="A199" s="125"/>
      <c r="B199" s="17"/>
      <c r="C199" s="125"/>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c r="A200" s="125"/>
      <c r="B200" s="17"/>
      <c r="C200" s="125"/>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c r="A201" s="125"/>
      <c r="B201" s="17"/>
      <c r="C201" s="125"/>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c r="A202" s="125"/>
      <c r="B202" s="17"/>
      <c r="C202" s="125"/>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c r="A203" s="125"/>
      <c r="B203" s="17"/>
      <c r="C203" s="125"/>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c r="A204" s="125"/>
      <c r="B204" s="17"/>
      <c r="C204" s="125"/>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c r="A205" s="125"/>
      <c r="B205" s="17"/>
      <c r="C205" s="125"/>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c r="A206" s="125"/>
      <c r="B206" s="17"/>
      <c r="C206" s="125"/>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c r="A207" s="125"/>
      <c r="B207" s="17"/>
      <c r="C207" s="125"/>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c r="A208" s="125"/>
      <c r="B208" s="17"/>
      <c r="C208" s="125"/>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c r="A209" s="125"/>
      <c r="B209" s="17"/>
      <c r="C209" s="125"/>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c r="A210" s="125"/>
      <c r="B210" s="17"/>
      <c r="C210" s="125"/>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c r="A211" s="125"/>
      <c r="B211" s="17"/>
      <c r="C211" s="125"/>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c r="A212" s="125"/>
      <c r="B212" s="17"/>
      <c r="C212" s="125"/>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c r="A213" s="125"/>
      <c r="B213" s="17"/>
      <c r="C213" s="125"/>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c r="A214" s="125"/>
      <c r="B214" s="17"/>
      <c r="C214" s="125"/>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c r="A215" s="125"/>
      <c r="B215" s="17"/>
      <c r="C215" s="125"/>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c r="A216" s="125"/>
      <c r="B216" s="17"/>
      <c r="C216" s="125"/>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c r="A217" s="125"/>
      <c r="B217" s="17"/>
      <c r="C217" s="125"/>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c r="A218" s="125"/>
      <c r="B218" s="17"/>
      <c r="C218" s="125"/>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c r="A219" s="125"/>
      <c r="B219" s="17"/>
      <c r="C219" s="125"/>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c r="A220" s="125"/>
      <c r="B220" s="17"/>
      <c r="C220" s="125"/>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c r="A221" s="125"/>
      <c r="B221" s="17"/>
      <c r="C221" s="125"/>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c r="A222" s="125"/>
      <c r="B222" s="17"/>
      <c r="C222" s="125"/>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c r="A223" s="125"/>
      <c r="B223" s="17"/>
      <c r="C223" s="125"/>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c r="A224" s="125"/>
      <c r="B224" s="17"/>
      <c r="C224" s="125"/>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c r="A225" s="125"/>
      <c r="B225" s="17"/>
      <c r="C225" s="125"/>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c r="A226" s="125"/>
      <c r="B226" s="17"/>
      <c r="C226" s="125"/>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c r="A227" s="125"/>
      <c r="B227" s="17"/>
      <c r="C227" s="125"/>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c r="A228" s="125"/>
      <c r="B228" s="17"/>
      <c r="C228" s="125"/>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c r="A229" s="125"/>
      <c r="B229" s="17"/>
      <c r="C229" s="125"/>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c r="A230" s="125"/>
      <c r="B230" s="17"/>
      <c r="C230" s="125"/>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c r="A231" s="125"/>
      <c r="B231" s="17"/>
      <c r="C231" s="125"/>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c r="A232" s="125"/>
      <c r="B232" s="17"/>
      <c r="C232" s="125"/>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c r="A233" s="125"/>
      <c r="B233" s="17"/>
      <c r="C233" s="125"/>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c r="A234" s="125"/>
      <c r="B234" s="17"/>
      <c r="C234" s="125"/>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c r="A235" s="125"/>
      <c r="B235" s="17"/>
      <c r="C235" s="125"/>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c r="A236" s="125"/>
      <c r="B236" s="17"/>
      <c r="C236" s="125"/>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c r="A237" s="125"/>
      <c r="B237" s="17"/>
      <c r="C237" s="125"/>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c r="A238" s="125"/>
      <c r="B238" s="17"/>
      <c r="C238" s="125"/>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c r="A239" s="125"/>
      <c r="B239" s="17"/>
      <c r="C239" s="125"/>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c r="A240" s="125"/>
      <c r="B240" s="17"/>
      <c r="C240" s="125"/>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c r="A241" s="125"/>
      <c r="B241" s="17"/>
      <c r="C241" s="125"/>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c r="A242" s="125"/>
      <c r="B242" s="17"/>
      <c r="C242" s="125"/>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c r="A243" s="125"/>
      <c r="B243" s="17"/>
      <c r="C243" s="125"/>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c r="A244" s="125"/>
      <c r="B244" s="17"/>
      <c r="C244" s="125"/>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c r="A245" s="125"/>
      <c r="B245" s="17"/>
      <c r="C245" s="125"/>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c r="A246" s="125"/>
      <c r="B246" s="17"/>
      <c r="C246" s="125"/>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c r="A247" s="125"/>
      <c r="B247" s="17"/>
      <c r="C247" s="125"/>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c r="A248" s="125"/>
      <c r="B248" s="17"/>
      <c r="C248" s="125"/>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c r="A249" s="125"/>
      <c r="B249" s="17"/>
      <c r="C249" s="125"/>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c r="A250" s="125"/>
      <c r="B250" s="17"/>
      <c r="C250" s="125"/>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c r="A251" s="125"/>
      <c r="B251" s="17"/>
      <c r="C251" s="125"/>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c r="A252" s="125"/>
      <c r="B252" s="17"/>
      <c r="C252" s="125"/>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c r="A253" s="125"/>
      <c r="B253" s="17"/>
      <c r="C253" s="125"/>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c r="A254" s="125"/>
      <c r="B254" s="17"/>
      <c r="C254" s="125"/>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c r="A255" s="125"/>
      <c r="B255" s="17"/>
      <c r="C255" s="125"/>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c r="A256" s="125"/>
      <c r="B256" s="17"/>
      <c r="C256" s="125"/>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c r="A257" s="125"/>
      <c r="B257" s="17"/>
      <c r="C257" s="125"/>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c r="A258" s="125"/>
      <c r="B258" s="17"/>
      <c r="C258" s="125"/>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c r="A259" s="125"/>
      <c r="B259" s="17"/>
      <c r="C259" s="125"/>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c r="A260" s="125"/>
      <c r="B260" s="17"/>
      <c r="C260" s="125"/>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c r="A261" s="125"/>
      <c r="B261" s="17"/>
      <c r="C261" s="125"/>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c r="A262" s="125"/>
      <c r="B262" s="17"/>
      <c r="C262" s="125"/>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c r="A263" s="125"/>
      <c r="B263" s="17"/>
      <c r="C263" s="125"/>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c r="A264" s="125"/>
      <c r="B264" s="17"/>
      <c r="C264" s="125"/>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c r="A265" s="125"/>
      <c r="B265" s="17"/>
      <c r="C265" s="125"/>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c r="A266" s="125"/>
      <c r="B266" s="17"/>
      <c r="C266" s="125"/>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c r="A267" s="125"/>
      <c r="B267" s="17"/>
      <c r="C267" s="125"/>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c r="A268" s="125"/>
      <c r="B268" s="17"/>
      <c r="C268" s="125"/>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c r="A269" s="125"/>
      <c r="B269" s="17"/>
      <c r="C269" s="125"/>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c r="A270" s="125"/>
      <c r="B270" s="17"/>
      <c r="C270" s="125"/>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c r="A271" s="125"/>
      <c r="B271" s="17"/>
      <c r="C271" s="125"/>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c r="A272" s="125"/>
      <c r="B272" s="17"/>
      <c r="C272" s="125"/>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c r="A273" s="125"/>
      <c r="B273" s="17"/>
      <c r="C273" s="125"/>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c r="A274" s="125"/>
      <c r="B274" s="17"/>
      <c r="C274" s="125"/>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c r="A275" s="125"/>
      <c r="B275" s="17"/>
      <c r="C275" s="125"/>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c r="A276" s="125"/>
      <c r="B276" s="17"/>
      <c r="C276" s="125"/>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c r="A277" s="125"/>
      <c r="B277" s="17"/>
      <c r="C277" s="125"/>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c r="A278" s="125"/>
      <c r="B278" s="17"/>
      <c r="C278" s="125"/>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c r="A279" s="125"/>
      <c r="B279" s="17"/>
      <c r="C279" s="125"/>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c r="A280" s="125"/>
      <c r="B280" s="17"/>
      <c r="C280" s="125"/>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c r="A281" s="125"/>
      <c r="B281" s="17"/>
      <c r="C281" s="125"/>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c r="A282" s="125"/>
      <c r="B282" s="17"/>
      <c r="C282" s="125"/>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c r="A283" s="125"/>
      <c r="B283" s="17"/>
      <c r="C283" s="125"/>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c r="A284" s="125"/>
      <c r="B284" s="17"/>
      <c r="C284" s="125"/>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c r="A285" s="125"/>
      <c r="B285" s="17"/>
      <c r="C285" s="125"/>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c r="A286" s="125"/>
      <c r="B286" s="17"/>
      <c r="C286" s="125"/>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c r="A287" s="125"/>
      <c r="B287" s="17"/>
      <c r="C287" s="125"/>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c r="A288" s="125"/>
      <c r="B288" s="17"/>
      <c r="C288" s="125"/>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c r="A289" s="125"/>
      <c r="B289" s="17"/>
      <c r="C289" s="125"/>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c r="A290" s="125"/>
      <c r="B290" s="17"/>
      <c r="C290" s="125"/>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c r="A291" s="125"/>
      <c r="B291" s="17"/>
      <c r="C291" s="125"/>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c r="A292" s="125"/>
      <c r="B292" s="17"/>
      <c r="C292" s="125"/>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c r="A293" s="125"/>
      <c r="B293" s="17"/>
      <c r="C293" s="125"/>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c r="A294" s="125"/>
      <c r="B294" s="17"/>
      <c r="C294" s="125"/>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c r="A295" s="125"/>
      <c r="B295" s="17"/>
      <c r="C295" s="125"/>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c r="A296" s="125"/>
      <c r="B296" s="17"/>
      <c r="C296" s="125"/>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c r="A297" s="125"/>
      <c r="B297" s="17"/>
      <c r="C297" s="125"/>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c r="A298" s="125"/>
      <c r="B298" s="17"/>
      <c r="C298" s="125"/>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c r="A299" s="125"/>
      <c r="B299" s="17"/>
      <c r="C299" s="125"/>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c r="A300" s="125"/>
      <c r="B300" s="17"/>
      <c r="C300" s="125"/>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c r="A301" s="125"/>
      <c r="B301" s="17"/>
      <c r="C301" s="125"/>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c r="A302" s="125"/>
      <c r="B302" s="17"/>
      <c r="C302" s="125"/>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c r="A303" s="125"/>
      <c r="B303" s="17"/>
      <c r="C303" s="125"/>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c r="A304" s="125"/>
      <c r="B304" s="17"/>
      <c r="C304" s="125"/>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c r="A305" s="125"/>
      <c r="B305" s="17"/>
      <c r="C305" s="125"/>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c r="A306" s="125"/>
      <c r="B306" s="17"/>
      <c r="C306" s="125"/>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c r="A307" s="125"/>
      <c r="B307" s="17"/>
      <c r="C307" s="125"/>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c r="A308" s="125"/>
      <c r="B308" s="17"/>
      <c r="C308" s="125"/>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c r="A309" s="125"/>
      <c r="B309" s="17"/>
      <c r="C309" s="125"/>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c r="A310" s="125"/>
      <c r="B310" s="17"/>
      <c r="C310" s="125"/>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c r="A311" s="125"/>
      <c r="B311" s="17"/>
      <c r="C311" s="125"/>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c r="A312" s="125"/>
      <c r="B312" s="17"/>
      <c r="C312" s="125"/>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c r="A313" s="125"/>
      <c r="B313" s="17"/>
      <c r="C313" s="125"/>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c r="A314" s="125"/>
      <c r="B314" s="17"/>
      <c r="C314" s="125"/>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c r="A315" s="125"/>
      <c r="B315" s="17"/>
      <c r="C315" s="125"/>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c r="A316" s="125"/>
      <c r="B316" s="17"/>
      <c r="C316" s="125"/>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c r="A317" s="125"/>
      <c r="B317" s="17"/>
      <c r="C317" s="125"/>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c r="A318" s="125"/>
      <c r="B318" s="17"/>
      <c r="C318" s="125"/>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c r="A319" s="125"/>
      <c r="B319" s="17"/>
      <c r="C319" s="125"/>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c r="A320" s="125"/>
      <c r="B320" s="17"/>
      <c r="C320" s="125"/>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c r="A321" s="125"/>
      <c r="B321" s="17"/>
      <c r="C321" s="125"/>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c r="A322" s="125"/>
      <c r="B322" s="17"/>
      <c r="C322" s="125"/>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c r="A323" s="125"/>
      <c r="B323" s="17"/>
      <c r="C323" s="125"/>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c r="A324" s="125"/>
      <c r="B324" s="17"/>
      <c r="C324" s="125"/>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c r="A325" s="125"/>
      <c r="B325" s="17"/>
      <c r="C325" s="125"/>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c r="A326" s="125"/>
      <c r="B326" s="17"/>
      <c r="C326" s="125"/>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c r="A327" s="125"/>
      <c r="B327" s="17"/>
      <c r="C327" s="125"/>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c r="A328" s="125"/>
      <c r="B328" s="17"/>
      <c r="C328" s="125"/>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c r="A329" s="125"/>
      <c r="B329" s="17"/>
      <c r="C329" s="125"/>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c r="A330" s="125"/>
      <c r="B330" s="17"/>
      <c r="C330" s="125"/>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c r="A331" s="125"/>
      <c r="B331" s="17"/>
      <c r="C331" s="125"/>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c r="A332" s="125"/>
      <c r="B332" s="17"/>
      <c r="C332" s="125"/>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c r="A333" s="125"/>
      <c r="B333" s="17"/>
      <c r="C333" s="125"/>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c r="A334" s="125"/>
      <c r="B334" s="17"/>
      <c r="C334" s="125"/>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c r="A335" s="125"/>
      <c r="B335" s="17"/>
      <c r="C335" s="125"/>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c r="A336" s="125"/>
      <c r="B336" s="17"/>
      <c r="C336" s="125"/>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c r="A337" s="125"/>
      <c r="B337" s="17"/>
      <c r="C337" s="125"/>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c r="A338" s="125"/>
      <c r="B338" s="17"/>
      <c r="C338" s="125"/>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c r="A339" s="125"/>
      <c r="B339" s="17"/>
      <c r="C339" s="125"/>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c r="A340" s="125"/>
      <c r="B340" s="17"/>
      <c r="C340" s="125"/>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c r="A341" s="125"/>
      <c r="B341" s="17"/>
      <c r="C341" s="125"/>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c r="A342" s="125"/>
      <c r="B342" s="17"/>
      <c r="C342" s="125"/>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c r="A343" s="125"/>
      <c r="B343" s="17"/>
      <c r="C343" s="125"/>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c r="A344" s="125"/>
      <c r="B344" s="17"/>
      <c r="C344" s="125"/>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c r="A345" s="125"/>
      <c r="B345" s="17"/>
      <c r="C345" s="125"/>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c r="A346" s="125"/>
      <c r="B346" s="17"/>
      <c r="C346" s="125"/>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c r="A347" s="125"/>
      <c r="B347" s="17"/>
      <c r="C347" s="125"/>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c r="A348" s="125"/>
      <c r="B348" s="17"/>
      <c r="C348" s="125"/>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c r="A349" s="125"/>
      <c r="B349" s="17"/>
      <c r="C349" s="125"/>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c r="A350" s="125"/>
      <c r="B350" s="17"/>
      <c r="C350" s="125"/>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c r="A351" s="125"/>
      <c r="B351" s="17"/>
      <c r="C351" s="125"/>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c r="A352" s="125"/>
      <c r="B352" s="17"/>
      <c r="C352" s="125"/>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c r="A353" s="125"/>
      <c r="B353" s="17"/>
      <c r="C353" s="125"/>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c r="A354" s="125"/>
      <c r="B354" s="17"/>
      <c r="C354" s="125"/>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c r="A355" s="125"/>
      <c r="B355" s="17"/>
      <c r="C355" s="125"/>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c r="A356" s="125"/>
      <c r="B356" s="17"/>
      <c r="C356" s="125"/>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c r="A357" s="125"/>
      <c r="B357" s="17"/>
      <c r="C357" s="125"/>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c r="A358" s="125"/>
      <c r="B358" s="17"/>
      <c r="C358" s="125"/>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c r="A359" s="125"/>
      <c r="B359" s="17"/>
      <c r="C359" s="125"/>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c r="A360" s="125"/>
      <c r="B360" s="17"/>
      <c r="C360" s="125"/>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c r="A361" s="125"/>
      <c r="B361" s="17"/>
      <c r="C361" s="125"/>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c r="A362" s="125"/>
      <c r="B362" s="17"/>
      <c r="C362" s="125"/>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c r="A363" s="125"/>
      <c r="B363" s="17"/>
      <c r="C363" s="125"/>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c r="A364" s="125"/>
      <c r="B364" s="17"/>
      <c r="C364" s="125"/>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c r="A365" s="125"/>
      <c r="B365" s="17"/>
      <c r="C365" s="125"/>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c r="A366" s="125"/>
      <c r="B366" s="17"/>
      <c r="C366" s="125"/>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c r="A367" s="125"/>
      <c r="B367" s="17"/>
      <c r="C367" s="125"/>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c r="A368" s="125"/>
      <c r="B368" s="17"/>
      <c r="C368" s="125"/>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c r="A369" s="125"/>
      <c r="B369" s="17"/>
      <c r="C369" s="125"/>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c r="A370" s="125"/>
      <c r="B370" s="17"/>
      <c r="C370" s="125"/>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c r="A371" s="125"/>
      <c r="B371" s="17"/>
      <c r="C371" s="125"/>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c r="A372" s="125"/>
      <c r="B372" s="17"/>
      <c r="C372" s="125"/>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c r="A373" s="125"/>
      <c r="B373" s="17"/>
      <c r="C373" s="125"/>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c r="A374" s="125"/>
      <c r="B374" s="17"/>
      <c r="C374" s="125"/>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c r="A375" s="125"/>
      <c r="B375" s="17"/>
      <c r="C375" s="125"/>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c r="A376" s="125"/>
      <c r="B376" s="17"/>
      <c r="C376" s="125"/>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c r="A377" s="125"/>
      <c r="B377" s="17"/>
      <c r="C377" s="125"/>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c r="A378" s="125"/>
      <c r="B378" s="17"/>
      <c r="C378" s="125"/>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c r="A379" s="125"/>
      <c r="B379" s="17"/>
      <c r="C379" s="125"/>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c r="A380" s="125"/>
      <c r="B380" s="17"/>
      <c r="C380" s="125"/>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c r="A381" s="125"/>
      <c r="B381" s="17"/>
      <c r="C381" s="125"/>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c r="A382" s="125"/>
      <c r="B382" s="17"/>
      <c r="C382" s="125"/>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c r="A383" s="125"/>
      <c r="B383" s="17"/>
      <c r="C383" s="125"/>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c r="A384" s="125"/>
      <c r="B384" s="17"/>
      <c r="C384" s="125"/>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c r="A385" s="125"/>
      <c r="B385" s="17"/>
      <c r="C385" s="125"/>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c r="A386" s="125"/>
      <c r="B386" s="17"/>
      <c r="C386" s="125"/>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c r="A387" s="125"/>
      <c r="B387" s="17"/>
      <c r="C387" s="125"/>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c r="A388" s="125"/>
      <c r="B388" s="17"/>
      <c r="C388" s="125"/>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c r="A389" s="125"/>
      <c r="B389" s="17"/>
      <c r="C389" s="125"/>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c r="A390" s="125"/>
      <c r="B390" s="17"/>
      <c r="C390" s="125"/>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c r="A391" s="125"/>
      <c r="B391" s="17"/>
      <c r="C391" s="125"/>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c r="A392" s="125"/>
      <c r="B392" s="17"/>
      <c r="C392" s="125"/>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c r="A393" s="125"/>
      <c r="B393" s="17"/>
      <c r="C393" s="125"/>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c r="A394" s="125"/>
      <c r="B394" s="17"/>
      <c r="C394" s="125"/>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c r="A395" s="125"/>
      <c r="B395" s="17"/>
      <c r="C395" s="125"/>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c r="A396" s="125"/>
      <c r="B396" s="17"/>
      <c r="C396" s="125"/>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c r="A397" s="125"/>
      <c r="B397" s="17"/>
      <c r="C397" s="125"/>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c r="A398" s="125"/>
      <c r="B398" s="17"/>
      <c r="C398" s="125"/>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c r="A399" s="125"/>
      <c r="B399" s="17"/>
      <c r="C399" s="125"/>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c r="A400" s="125"/>
      <c r="B400" s="17"/>
      <c r="C400" s="125"/>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c r="A401" s="125"/>
      <c r="B401" s="17"/>
      <c r="C401" s="125"/>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c r="A402" s="125"/>
      <c r="B402" s="17"/>
      <c r="C402" s="125"/>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c r="A403" s="125"/>
      <c r="B403" s="17"/>
      <c r="C403" s="125"/>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c r="A404" s="125"/>
      <c r="B404" s="17"/>
      <c r="C404" s="125"/>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c r="A405" s="125"/>
      <c r="B405" s="17"/>
      <c r="C405" s="125"/>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c r="A406" s="125"/>
      <c r="B406" s="17"/>
      <c r="C406" s="125"/>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c r="A407" s="125"/>
      <c r="B407" s="17"/>
      <c r="C407" s="125"/>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c r="A408" s="125"/>
      <c r="B408" s="17"/>
      <c r="C408" s="125"/>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c r="A409" s="125"/>
      <c r="B409" s="17"/>
      <c r="C409" s="125"/>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c r="A410" s="125"/>
      <c r="B410" s="17"/>
      <c r="C410" s="125"/>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c r="A411" s="125"/>
      <c r="B411" s="17"/>
      <c r="C411" s="125"/>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c r="A412" s="125"/>
      <c r="B412" s="17"/>
      <c r="C412" s="125"/>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c r="A413" s="125"/>
      <c r="B413" s="17"/>
      <c r="C413" s="125"/>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c r="A414" s="125"/>
      <c r="B414" s="17"/>
      <c r="C414" s="125"/>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c r="A415" s="125"/>
      <c r="B415" s="17"/>
      <c r="C415" s="125"/>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c r="A416" s="125"/>
      <c r="B416" s="17"/>
      <c r="C416" s="125"/>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c r="A417" s="125"/>
      <c r="B417" s="17"/>
      <c r="C417" s="125"/>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c r="A418" s="125"/>
      <c r="B418" s="17"/>
      <c r="C418" s="125"/>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c r="A419" s="125"/>
      <c r="B419" s="17"/>
      <c r="C419" s="125"/>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c r="A420" s="125"/>
      <c r="B420" s="17"/>
      <c r="C420" s="125"/>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c r="A421" s="125"/>
      <c r="B421" s="17"/>
      <c r="C421" s="125"/>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c r="A422" s="125"/>
      <c r="B422" s="17"/>
      <c r="C422" s="125"/>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c r="A423" s="125"/>
      <c r="B423" s="17"/>
      <c r="C423" s="125"/>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c r="A424" s="125"/>
      <c r="B424" s="17"/>
      <c r="C424" s="125"/>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c r="A425" s="125"/>
      <c r="B425" s="17"/>
      <c r="C425" s="125"/>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c r="A426" s="125"/>
      <c r="B426" s="17"/>
      <c r="C426" s="125"/>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c r="A427" s="125"/>
      <c r="B427" s="17"/>
      <c r="C427" s="125"/>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c r="A428" s="125"/>
      <c r="B428" s="17"/>
      <c r="C428" s="125"/>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c r="A429" s="125"/>
      <c r="B429" s="17"/>
      <c r="C429" s="125"/>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c r="A430" s="125"/>
      <c r="B430" s="17"/>
      <c r="C430" s="125"/>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c r="A431" s="125"/>
      <c r="B431" s="17"/>
      <c r="C431" s="125"/>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c r="A432" s="125"/>
      <c r="B432" s="17"/>
      <c r="C432" s="125"/>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c r="A433" s="125"/>
      <c r="B433" s="17"/>
      <c r="C433" s="125"/>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c r="A434" s="125"/>
      <c r="B434" s="17"/>
      <c r="C434" s="125"/>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c r="A435" s="125"/>
      <c r="B435" s="17"/>
      <c r="C435" s="125"/>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c r="A436" s="125"/>
      <c r="B436" s="17"/>
      <c r="C436" s="125"/>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c r="A437" s="125"/>
      <c r="B437" s="17"/>
      <c r="C437" s="125"/>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c r="A438" s="125"/>
      <c r="B438" s="17"/>
      <c r="C438" s="125"/>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c r="A439" s="125"/>
      <c r="B439" s="17"/>
      <c r="C439" s="125"/>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c r="A440" s="125"/>
      <c r="B440" s="17"/>
      <c r="C440" s="125"/>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c r="A441" s="125"/>
      <c r="B441" s="17"/>
      <c r="C441" s="125"/>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c r="A442" s="125"/>
      <c r="B442" s="17"/>
      <c r="C442" s="125"/>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c r="A443" s="125"/>
      <c r="B443" s="17"/>
      <c r="C443" s="125"/>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c r="A444" s="125"/>
      <c r="B444" s="17"/>
      <c r="C444" s="125"/>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c r="A445" s="125"/>
      <c r="B445" s="17"/>
      <c r="C445" s="125"/>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c r="A446" s="125"/>
      <c r="B446" s="17"/>
      <c r="C446" s="125"/>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c r="A447" s="125"/>
      <c r="B447" s="17"/>
      <c r="C447" s="125"/>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c r="A448" s="125"/>
      <c r="B448" s="17"/>
      <c r="C448" s="125"/>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c r="A449" s="125"/>
      <c r="B449" s="17"/>
      <c r="C449" s="125"/>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c r="A450" s="125"/>
      <c r="B450" s="17"/>
      <c r="C450" s="125"/>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c r="A451" s="125"/>
      <c r="B451" s="17"/>
      <c r="C451" s="125"/>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c r="A452" s="125"/>
      <c r="B452" s="17"/>
      <c r="C452" s="125"/>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c r="A453" s="125"/>
      <c r="B453" s="17"/>
      <c r="C453" s="125"/>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c r="A454" s="125"/>
      <c r="B454" s="17"/>
      <c r="C454" s="125"/>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c r="A455" s="125"/>
      <c r="B455" s="17"/>
      <c r="C455" s="125"/>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c r="A456" s="125"/>
      <c r="B456" s="17"/>
      <c r="C456" s="125"/>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c r="A457" s="125"/>
      <c r="B457" s="17"/>
      <c r="C457" s="125"/>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c r="A458" s="125"/>
      <c r="B458" s="17"/>
      <c r="C458" s="125"/>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c r="A459" s="125"/>
      <c r="B459" s="17"/>
      <c r="C459" s="125"/>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c r="A460" s="125"/>
      <c r="B460" s="17"/>
      <c r="C460" s="125"/>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c r="A461" s="125"/>
      <c r="B461" s="17"/>
      <c r="C461" s="125"/>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c r="A462" s="125"/>
      <c r="B462" s="17"/>
      <c r="C462" s="125"/>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c r="A463" s="125"/>
      <c r="B463" s="17"/>
      <c r="C463" s="125"/>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c r="A464" s="125"/>
      <c r="B464" s="17"/>
      <c r="C464" s="125"/>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c r="A465" s="125"/>
      <c r="B465" s="17"/>
      <c r="C465" s="125"/>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c r="A466" s="125"/>
      <c r="B466" s="17"/>
      <c r="C466" s="125"/>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c r="A467" s="125"/>
      <c r="B467" s="17"/>
      <c r="C467" s="125"/>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c r="A468" s="125"/>
      <c r="B468" s="17"/>
      <c r="C468" s="125"/>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c r="A469" s="125"/>
      <c r="B469" s="17"/>
      <c r="C469" s="125"/>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c r="A470" s="125"/>
      <c r="B470" s="17"/>
      <c r="C470" s="125"/>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c r="A471" s="125"/>
      <c r="B471" s="17"/>
      <c r="C471" s="125"/>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c r="A472" s="125"/>
      <c r="B472" s="17"/>
      <c r="C472" s="125"/>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c r="A473" s="125"/>
      <c r="B473" s="17"/>
      <c r="C473" s="125"/>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c r="A474" s="125"/>
      <c r="B474" s="17"/>
      <c r="C474" s="125"/>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c r="A475" s="125"/>
      <c r="B475" s="17"/>
      <c r="C475" s="125"/>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c r="A476" s="125"/>
      <c r="B476" s="17"/>
      <c r="C476" s="125"/>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c r="A477" s="125"/>
      <c r="B477" s="17"/>
      <c r="C477" s="125"/>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c r="A478" s="125"/>
      <c r="B478" s="17"/>
      <c r="C478" s="125"/>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c r="A479" s="125"/>
      <c r="B479" s="17"/>
      <c r="C479" s="125"/>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c r="A480" s="125"/>
      <c r="B480" s="17"/>
      <c r="C480" s="125"/>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c r="A481" s="125"/>
      <c r="B481" s="17"/>
      <c r="C481" s="125"/>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c r="A482" s="125"/>
      <c r="B482" s="17"/>
      <c r="C482" s="125"/>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c r="A483" s="125"/>
      <c r="B483" s="17"/>
      <c r="C483" s="125"/>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c r="A484" s="125"/>
      <c r="B484" s="17"/>
      <c r="C484" s="125"/>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c r="A485" s="125"/>
      <c r="B485" s="17"/>
      <c r="C485" s="125"/>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c r="A486" s="125"/>
      <c r="B486" s="17"/>
      <c r="C486" s="125"/>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c r="A487" s="125"/>
      <c r="B487" s="17"/>
      <c r="C487" s="125"/>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c r="A488" s="125"/>
      <c r="B488" s="17"/>
      <c r="C488" s="125"/>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c r="A489" s="125"/>
      <c r="B489" s="17"/>
      <c r="C489" s="125"/>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c r="A490" s="125"/>
      <c r="B490" s="17"/>
      <c r="C490" s="125"/>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c r="A491" s="125"/>
      <c r="B491" s="17"/>
      <c r="C491" s="125"/>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c r="A492" s="125"/>
      <c r="B492" s="17"/>
      <c r="C492" s="125"/>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c r="A493" s="125"/>
      <c r="B493" s="17"/>
      <c r="C493" s="125"/>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c r="A494" s="125"/>
      <c r="B494" s="17"/>
      <c r="C494" s="125"/>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c r="A495" s="125"/>
      <c r="B495" s="17"/>
      <c r="C495" s="125"/>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c r="A496" s="125"/>
      <c r="B496" s="17"/>
      <c r="C496" s="125"/>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c r="A497" s="125"/>
      <c r="B497" s="17"/>
      <c r="C497" s="125"/>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c r="A498" s="125"/>
      <c r="B498" s="17"/>
      <c r="C498" s="125"/>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c r="A499" s="125"/>
      <c r="B499" s="17"/>
      <c r="C499" s="125"/>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c r="A500" s="125"/>
      <c r="B500" s="17"/>
      <c r="C500" s="125"/>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c r="A501" s="125"/>
      <c r="B501" s="17"/>
      <c r="C501" s="125"/>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c r="A502" s="125"/>
      <c r="B502" s="17"/>
      <c r="C502" s="125"/>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c r="A503" s="125"/>
      <c r="B503" s="17"/>
      <c r="C503" s="125"/>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c r="A504" s="125"/>
      <c r="B504" s="17"/>
      <c r="C504" s="125"/>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c r="A505" s="125"/>
      <c r="B505" s="17"/>
      <c r="C505" s="125"/>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c r="A506" s="125"/>
      <c r="B506" s="17"/>
      <c r="C506" s="125"/>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c r="A507" s="125"/>
      <c r="B507" s="17"/>
      <c r="C507" s="125"/>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c r="A508" s="125"/>
      <c r="B508" s="17"/>
      <c r="C508" s="125"/>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c r="A509" s="125"/>
      <c r="B509" s="17"/>
      <c r="C509" s="125"/>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c r="A510" s="125"/>
      <c r="B510" s="17"/>
      <c r="C510" s="125"/>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c r="A511" s="125"/>
      <c r="B511" s="17"/>
      <c r="C511" s="125"/>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c r="A512" s="125"/>
      <c r="B512" s="17"/>
      <c r="C512" s="125"/>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c r="A513" s="125"/>
      <c r="B513" s="17"/>
      <c r="C513" s="125"/>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c r="A514" s="125"/>
      <c r="B514" s="17"/>
      <c r="C514" s="125"/>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c r="A515" s="125"/>
      <c r="B515" s="17"/>
      <c r="C515" s="125"/>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c r="A516" s="125"/>
      <c r="B516" s="17"/>
      <c r="C516" s="125"/>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c r="A517" s="125"/>
      <c r="B517" s="17"/>
      <c r="C517" s="125"/>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c r="A518" s="125"/>
      <c r="B518" s="17"/>
      <c r="C518" s="125"/>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c r="A519" s="125"/>
      <c r="B519" s="17"/>
      <c r="C519" s="125"/>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c r="A520" s="125"/>
      <c r="B520" s="17"/>
      <c r="C520" s="125"/>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c r="A521" s="125"/>
      <c r="B521" s="17"/>
      <c r="C521" s="125"/>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c r="A522" s="125"/>
      <c r="B522" s="17"/>
      <c r="C522" s="125"/>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c r="A523" s="125"/>
      <c r="B523" s="17"/>
      <c r="C523" s="125"/>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c r="A524" s="125"/>
      <c r="B524" s="17"/>
      <c r="C524" s="125"/>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c r="A525" s="125"/>
      <c r="B525" s="17"/>
      <c r="C525" s="125"/>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c r="A526" s="125"/>
      <c r="B526" s="17"/>
      <c r="C526" s="125"/>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c r="A527" s="125"/>
      <c r="B527" s="17"/>
      <c r="C527" s="125"/>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c r="A528" s="125"/>
      <c r="B528" s="17"/>
      <c r="C528" s="125"/>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c r="A529" s="125"/>
      <c r="B529" s="17"/>
      <c r="C529" s="125"/>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c r="A530" s="125"/>
      <c r="B530" s="17"/>
      <c r="C530" s="125"/>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c r="A531" s="125"/>
      <c r="B531" s="17"/>
      <c r="C531" s="125"/>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c r="A532" s="125"/>
      <c r="B532" s="17"/>
      <c r="C532" s="125"/>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c r="A533" s="125"/>
      <c r="B533" s="17"/>
      <c r="C533" s="125"/>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c r="A534" s="125"/>
      <c r="B534" s="17"/>
      <c r="C534" s="125"/>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c r="A535" s="125"/>
      <c r="B535" s="17"/>
      <c r="C535" s="125"/>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c r="A536" s="125"/>
      <c r="B536" s="17"/>
      <c r="C536" s="125"/>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c r="A537" s="125"/>
      <c r="B537" s="17"/>
      <c r="C537" s="125"/>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c r="A538" s="125"/>
      <c r="B538" s="17"/>
      <c r="C538" s="125"/>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c r="A539" s="125"/>
      <c r="B539" s="17"/>
      <c r="C539" s="125"/>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c r="A540" s="125"/>
      <c r="B540" s="17"/>
      <c r="C540" s="125"/>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c r="A541" s="125"/>
      <c r="B541" s="17"/>
      <c r="C541" s="125"/>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c r="A542" s="125"/>
      <c r="B542" s="17"/>
      <c r="C542" s="125"/>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c r="A543" s="125"/>
      <c r="B543" s="17"/>
      <c r="C543" s="125"/>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c r="A544" s="125"/>
      <c r="B544" s="17"/>
      <c r="C544" s="125"/>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c r="A545" s="125"/>
      <c r="B545" s="17"/>
      <c r="C545" s="125"/>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c r="A546" s="125"/>
      <c r="B546" s="17"/>
      <c r="C546" s="125"/>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c r="A547" s="125"/>
      <c r="B547" s="17"/>
      <c r="C547" s="125"/>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c r="A548" s="125"/>
      <c r="B548" s="17"/>
      <c r="C548" s="125"/>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c r="A549" s="125"/>
      <c r="B549" s="17"/>
      <c r="C549" s="125"/>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c r="A550" s="125"/>
      <c r="B550" s="17"/>
      <c r="C550" s="125"/>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c r="A551" s="125"/>
      <c r="B551" s="17"/>
      <c r="C551" s="125"/>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c r="A552" s="125"/>
      <c r="B552" s="17"/>
      <c r="C552" s="125"/>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c r="A553" s="125"/>
      <c r="B553" s="17"/>
      <c r="C553" s="125"/>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c r="A554" s="125"/>
      <c r="B554" s="17"/>
      <c r="C554" s="125"/>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c r="A555" s="125"/>
      <c r="B555" s="17"/>
      <c r="C555" s="125"/>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c r="A556" s="125"/>
      <c r="B556" s="17"/>
      <c r="C556" s="125"/>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c r="A557" s="125"/>
      <c r="B557" s="17"/>
      <c r="C557" s="125"/>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c r="A558" s="125"/>
      <c r="B558" s="17"/>
      <c r="C558" s="125"/>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c r="A559" s="125"/>
      <c r="B559" s="17"/>
      <c r="C559" s="125"/>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c r="A560" s="125"/>
      <c r="B560" s="17"/>
      <c r="C560" s="125"/>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c r="A561" s="125"/>
      <c r="B561" s="17"/>
      <c r="C561" s="125"/>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c r="A562" s="125"/>
      <c r="B562" s="17"/>
      <c r="C562" s="125"/>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c r="A563" s="125"/>
      <c r="B563" s="17"/>
      <c r="C563" s="125"/>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c r="A564" s="125"/>
      <c r="B564" s="17"/>
      <c r="C564" s="125"/>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c r="A565" s="125"/>
      <c r="B565" s="17"/>
      <c r="C565" s="125"/>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c r="A566" s="125"/>
      <c r="B566" s="17"/>
      <c r="C566" s="125"/>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c r="A567" s="125"/>
      <c r="B567" s="17"/>
      <c r="C567" s="125"/>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c r="A568" s="125"/>
      <c r="B568" s="17"/>
      <c r="C568" s="125"/>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c r="A569" s="125"/>
      <c r="B569" s="17"/>
      <c r="C569" s="125"/>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c r="A570" s="125"/>
      <c r="B570" s="17"/>
      <c r="C570" s="125"/>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c r="A571" s="125"/>
      <c r="B571" s="17"/>
      <c r="C571" s="125"/>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c r="A572" s="125"/>
      <c r="B572" s="17"/>
      <c r="C572" s="125"/>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c r="A573" s="125"/>
      <c r="B573" s="17"/>
      <c r="C573" s="125"/>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c r="A574" s="125"/>
      <c r="B574" s="17"/>
      <c r="C574" s="125"/>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c r="A575" s="125"/>
      <c r="B575" s="17"/>
      <c r="C575" s="125"/>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c r="A576" s="125"/>
      <c r="B576" s="17"/>
      <c r="C576" s="125"/>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c r="A577" s="125"/>
      <c r="B577" s="17"/>
      <c r="C577" s="125"/>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c r="A578" s="125"/>
      <c r="B578" s="17"/>
      <c r="C578" s="125"/>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c r="A579" s="125"/>
      <c r="B579" s="17"/>
      <c r="C579" s="125"/>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c r="A580" s="125"/>
      <c r="B580" s="17"/>
      <c r="C580" s="125"/>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c r="A581" s="125"/>
      <c r="B581" s="17"/>
      <c r="C581" s="125"/>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c r="A582" s="125"/>
      <c r="B582" s="17"/>
      <c r="C582" s="125"/>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c r="A583" s="125"/>
      <c r="B583" s="17"/>
      <c r="C583" s="125"/>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c r="A584" s="125"/>
      <c r="B584" s="17"/>
      <c r="C584" s="125"/>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c r="A585" s="125"/>
      <c r="B585" s="17"/>
      <c r="C585" s="125"/>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c r="A586" s="125"/>
      <c r="B586" s="17"/>
      <c r="C586" s="125"/>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c r="A587" s="125"/>
      <c r="B587" s="17"/>
      <c r="C587" s="125"/>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c r="A588" s="125"/>
      <c r="B588" s="17"/>
      <c r="C588" s="125"/>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c r="A589" s="125"/>
      <c r="B589" s="17"/>
      <c r="C589" s="125"/>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c r="A590" s="125"/>
      <c r="B590" s="17"/>
      <c r="C590" s="125"/>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c r="A591" s="125"/>
      <c r="B591" s="17"/>
      <c r="C591" s="125"/>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c r="A592" s="125"/>
      <c r="B592" s="17"/>
      <c r="C592" s="125"/>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c r="A593" s="125"/>
      <c r="B593" s="17"/>
      <c r="C593" s="125"/>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c r="A594" s="125"/>
      <c r="B594" s="17"/>
      <c r="C594" s="125"/>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c r="A595" s="125"/>
      <c r="B595" s="17"/>
      <c r="C595" s="125"/>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c r="A596" s="125"/>
      <c r="B596" s="17"/>
      <c r="C596" s="125"/>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c r="A597" s="125"/>
      <c r="B597" s="17"/>
      <c r="C597" s="125"/>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c r="A598" s="125"/>
      <c r="B598" s="17"/>
      <c r="C598" s="125"/>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c r="A599" s="125"/>
      <c r="B599" s="17"/>
      <c r="C599" s="125"/>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c r="A600" s="125"/>
      <c r="B600" s="17"/>
      <c r="C600" s="125"/>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c r="A601" s="125"/>
      <c r="B601" s="17"/>
      <c r="C601" s="125"/>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c r="A602" s="125"/>
      <c r="B602" s="17"/>
      <c r="C602" s="125"/>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c r="A603" s="125"/>
      <c r="B603" s="17"/>
      <c r="C603" s="125"/>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c r="A604" s="125"/>
      <c r="B604" s="17"/>
      <c r="C604" s="125"/>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c r="A605" s="125"/>
      <c r="B605" s="17"/>
      <c r="C605" s="125"/>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c r="A606" s="125"/>
      <c r="B606" s="17"/>
      <c r="C606" s="125"/>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c r="A607" s="125"/>
      <c r="B607" s="17"/>
      <c r="C607" s="125"/>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c r="A608" s="125"/>
      <c r="B608" s="17"/>
      <c r="C608" s="125"/>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c r="A609" s="125"/>
      <c r="B609" s="17"/>
      <c r="C609" s="125"/>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c r="A610" s="125"/>
      <c r="B610" s="17"/>
      <c r="C610" s="125"/>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c r="A611" s="125"/>
      <c r="B611" s="17"/>
      <c r="C611" s="125"/>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c r="A612" s="125"/>
      <c r="B612" s="17"/>
      <c r="C612" s="125"/>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c r="A613" s="125"/>
      <c r="B613" s="17"/>
      <c r="C613" s="125"/>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c r="A614" s="125"/>
      <c r="B614" s="17"/>
      <c r="C614" s="125"/>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c r="A615" s="125"/>
      <c r="B615" s="17"/>
      <c r="C615" s="125"/>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c r="A616" s="125"/>
      <c r="B616" s="17"/>
      <c r="C616" s="125"/>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c r="A617" s="125"/>
      <c r="B617" s="17"/>
      <c r="C617" s="125"/>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c r="A618" s="125"/>
      <c r="B618" s="17"/>
      <c r="C618" s="125"/>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c r="A619" s="125"/>
      <c r="B619" s="17"/>
      <c r="C619" s="125"/>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c r="A620" s="125"/>
      <c r="B620" s="17"/>
      <c r="C620" s="125"/>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c r="A621" s="125"/>
      <c r="B621" s="17"/>
      <c r="C621" s="125"/>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c r="A622" s="125"/>
      <c r="B622" s="17"/>
      <c r="C622" s="125"/>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c r="A623" s="125"/>
      <c r="B623" s="17"/>
      <c r="C623" s="125"/>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c r="A624" s="125"/>
      <c r="B624" s="17"/>
      <c r="C624" s="125"/>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c r="A625" s="125"/>
      <c r="B625" s="17"/>
      <c r="C625" s="125"/>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c r="A626" s="125"/>
      <c r="B626" s="17"/>
      <c r="C626" s="125"/>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c r="A627" s="125"/>
      <c r="B627" s="17"/>
      <c r="C627" s="125"/>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c r="A628" s="125"/>
      <c r="B628" s="17"/>
      <c r="C628" s="125"/>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c r="A629" s="125"/>
      <c r="B629" s="17"/>
      <c r="C629" s="125"/>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c r="A630" s="125"/>
      <c r="B630" s="17"/>
      <c r="C630" s="125"/>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c r="A631" s="125"/>
      <c r="B631" s="17"/>
      <c r="C631" s="125"/>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c r="A632" s="125"/>
      <c r="B632" s="17"/>
      <c r="C632" s="125"/>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c r="A633" s="125"/>
      <c r="B633" s="17"/>
      <c r="C633" s="125"/>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c r="A634" s="125"/>
      <c r="B634" s="17"/>
      <c r="C634" s="125"/>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c r="A635" s="125"/>
      <c r="B635" s="17"/>
      <c r="C635" s="125"/>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c r="A636" s="125"/>
      <c r="B636" s="17"/>
      <c r="C636" s="125"/>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c r="A637" s="125"/>
      <c r="B637" s="17"/>
      <c r="C637" s="125"/>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c r="A638" s="125"/>
      <c r="B638" s="17"/>
      <c r="C638" s="125"/>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c r="A639" s="125"/>
      <c r="B639" s="17"/>
      <c r="C639" s="125"/>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c r="A640" s="125"/>
      <c r="B640" s="17"/>
      <c r="C640" s="125"/>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c r="A641" s="125"/>
      <c r="B641" s="17"/>
      <c r="C641" s="125"/>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c r="A642" s="125"/>
      <c r="B642" s="17"/>
      <c r="C642" s="125"/>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c r="A643" s="125"/>
      <c r="B643" s="17"/>
      <c r="C643" s="125"/>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c r="A644" s="125"/>
      <c r="B644" s="17"/>
      <c r="C644" s="125"/>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c r="A645" s="125"/>
      <c r="B645" s="17"/>
      <c r="C645" s="125"/>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c r="A646" s="125"/>
      <c r="B646" s="17"/>
      <c r="C646" s="125"/>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c r="A647" s="125"/>
      <c r="B647" s="17"/>
      <c r="C647" s="125"/>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c r="A648" s="125"/>
      <c r="B648" s="17"/>
      <c r="C648" s="125"/>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c r="A649" s="125"/>
      <c r="B649" s="17"/>
      <c r="C649" s="125"/>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c r="A650" s="125"/>
      <c r="B650" s="17"/>
      <c r="C650" s="125"/>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c r="A651" s="125"/>
      <c r="B651" s="17"/>
      <c r="C651" s="125"/>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c r="A652" s="125"/>
      <c r="B652" s="17"/>
      <c r="C652" s="125"/>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c r="A653" s="125"/>
      <c r="B653" s="17"/>
      <c r="C653" s="125"/>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c r="A654" s="125"/>
      <c r="B654" s="17"/>
      <c r="C654" s="125"/>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c r="A655" s="125"/>
      <c r="B655" s="17"/>
      <c r="C655" s="125"/>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c r="A656" s="125"/>
      <c r="B656" s="17"/>
      <c r="C656" s="125"/>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c r="A657" s="125"/>
      <c r="B657" s="17"/>
      <c r="C657" s="125"/>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c r="A658" s="125"/>
      <c r="B658" s="17"/>
      <c r="C658" s="125"/>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c r="A659" s="125"/>
      <c r="B659" s="17"/>
      <c r="C659" s="125"/>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c r="A660" s="125"/>
      <c r="B660" s="17"/>
      <c r="C660" s="125"/>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c r="A661" s="125"/>
      <c r="B661" s="17"/>
      <c r="C661" s="125"/>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c r="A662" s="125"/>
      <c r="B662" s="17"/>
      <c r="C662" s="125"/>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c r="A663" s="125"/>
      <c r="B663" s="17"/>
      <c r="C663" s="125"/>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c r="A664" s="125"/>
      <c r="B664" s="17"/>
      <c r="C664" s="125"/>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c r="A665" s="125"/>
      <c r="B665" s="17"/>
      <c r="C665" s="125"/>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c r="A666" s="125"/>
      <c r="B666" s="17"/>
      <c r="C666" s="125"/>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c r="A667" s="125"/>
      <c r="B667" s="17"/>
      <c r="C667" s="125"/>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c r="A668" s="125"/>
      <c r="B668" s="17"/>
      <c r="C668" s="125"/>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c r="A669" s="125"/>
      <c r="B669" s="17"/>
      <c r="C669" s="125"/>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c r="A670" s="125"/>
      <c r="B670" s="17"/>
      <c r="C670" s="125"/>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c r="A671" s="125"/>
      <c r="B671" s="17"/>
      <c r="C671" s="125"/>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c r="A672" s="125"/>
      <c r="B672" s="17"/>
      <c r="C672" s="125"/>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c r="A673" s="125"/>
      <c r="B673" s="17"/>
      <c r="C673" s="125"/>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c r="A674" s="125"/>
      <c r="B674" s="17"/>
      <c r="C674" s="125"/>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c r="A675" s="125"/>
      <c r="B675" s="17"/>
      <c r="C675" s="125"/>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c r="A676" s="125"/>
      <c r="B676" s="17"/>
      <c r="C676" s="125"/>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c r="A677" s="125"/>
      <c r="B677" s="17"/>
      <c r="C677" s="125"/>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c r="A678" s="125"/>
      <c r="B678" s="17"/>
      <c r="C678" s="125"/>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c r="A679" s="125"/>
      <c r="B679" s="17"/>
      <c r="C679" s="125"/>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c r="A680" s="125"/>
      <c r="B680" s="17"/>
      <c r="C680" s="125"/>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c r="A681" s="125"/>
      <c r="B681" s="17"/>
      <c r="C681" s="125"/>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c r="A682" s="125"/>
      <c r="B682" s="17"/>
      <c r="C682" s="125"/>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c r="A683" s="125"/>
      <c r="B683" s="17"/>
      <c r="C683" s="125"/>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c r="A684" s="125"/>
      <c r="B684" s="17"/>
      <c r="C684" s="125"/>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c r="A685" s="125"/>
      <c r="B685" s="17"/>
      <c r="C685" s="125"/>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c r="A686" s="125"/>
      <c r="B686" s="17"/>
      <c r="C686" s="125"/>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c r="A687" s="125"/>
      <c r="B687" s="17"/>
      <c r="C687" s="125"/>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c r="A688" s="125"/>
      <c r="B688" s="17"/>
      <c r="C688" s="125"/>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c r="A689" s="125"/>
      <c r="B689" s="17"/>
      <c r="C689" s="125"/>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c r="A690" s="125"/>
      <c r="B690" s="17"/>
      <c r="C690" s="125"/>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c r="A691" s="125"/>
      <c r="B691" s="17"/>
      <c r="C691" s="125"/>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c r="A692" s="125"/>
      <c r="B692" s="17"/>
      <c r="C692" s="125"/>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c r="A693" s="125"/>
      <c r="B693" s="17"/>
      <c r="C693" s="125"/>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c r="A694" s="125"/>
      <c r="B694" s="17"/>
      <c r="C694" s="125"/>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c r="A695" s="125"/>
      <c r="B695" s="17"/>
      <c r="C695" s="125"/>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c r="A696" s="125"/>
      <c r="B696" s="17"/>
      <c r="C696" s="125"/>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c r="A697" s="125"/>
      <c r="B697" s="17"/>
      <c r="C697" s="125"/>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c r="A698" s="125"/>
      <c r="B698" s="17"/>
      <c r="C698" s="125"/>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c r="A699" s="125"/>
      <c r="B699" s="17"/>
      <c r="C699" s="125"/>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c r="A700" s="125"/>
      <c r="B700" s="17"/>
      <c r="C700" s="125"/>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c r="A701" s="125"/>
      <c r="B701" s="17"/>
      <c r="C701" s="125"/>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c r="A702" s="125"/>
      <c r="B702" s="17"/>
      <c r="C702" s="125"/>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c r="A703" s="125"/>
      <c r="B703" s="17"/>
      <c r="C703" s="125"/>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c r="A704" s="125"/>
      <c r="B704" s="17"/>
      <c r="C704" s="125"/>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c r="A705" s="125"/>
      <c r="B705" s="17"/>
      <c r="C705" s="125"/>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c r="A706" s="125"/>
      <c r="B706" s="17"/>
      <c r="C706" s="125"/>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c r="A707" s="125"/>
      <c r="B707" s="17"/>
      <c r="C707" s="125"/>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c r="A708" s="125"/>
      <c r="B708" s="17"/>
      <c r="C708" s="125"/>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c r="A709" s="125"/>
      <c r="B709" s="17"/>
      <c r="C709" s="125"/>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c r="A710" s="125"/>
      <c r="B710" s="17"/>
      <c r="C710" s="125"/>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c r="A711" s="125"/>
      <c r="B711" s="17"/>
      <c r="C711" s="125"/>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c r="A712" s="125"/>
      <c r="B712" s="17"/>
      <c r="C712" s="125"/>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c r="A713" s="125"/>
      <c r="B713" s="17"/>
      <c r="C713" s="125"/>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c r="A714" s="125"/>
      <c r="B714" s="17"/>
      <c r="C714" s="125"/>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c r="A715" s="125"/>
      <c r="B715" s="17"/>
      <c r="C715" s="125"/>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c r="A716" s="125"/>
      <c r="B716" s="17"/>
      <c r="C716" s="125"/>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c r="A717" s="125"/>
      <c r="B717" s="17"/>
      <c r="C717" s="125"/>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c r="A718" s="125"/>
      <c r="B718" s="17"/>
      <c r="C718" s="125"/>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c r="A719" s="125"/>
      <c r="B719" s="17"/>
      <c r="C719" s="125"/>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c r="A720" s="125"/>
      <c r="B720" s="17"/>
      <c r="C720" s="125"/>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c r="A721" s="125"/>
      <c r="B721" s="17"/>
      <c r="C721" s="125"/>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c r="A722" s="125"/>
      <c r="B722" s="17"/>
      <c r="C722" s="125"/>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c r="A723" s="125"/>
      <c r="B723" s="17"/>
      <c r="C723" s="125"/>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c r="A724" s="125"/>
      <c r="B724" s="17"/>
      <c r="C724" s="125"/>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c r="A725" s="125"/>
      <c r="B725" s="17"/>
      <c r="C725" s="125"/>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c r="A726" s="125"/>
      <c r="B726" s="17"/>
      <c r="C726" s="125"/>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c r="A727" s="125"/>
      <c r="B727" s="17"/>
      <c r="C727" s="125"/>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c r="A728" s="125"/>
      <c r="B728" s="17"/>
      <c r="C728" s="125"/>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c r="A729" s="125"/>
      <c r="B729" s="17"/>
      <c r="C729" s="125"/>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c r="A730" s="125"/>
      <c r="B730" s="17"/>
      <c r="C730" s="125"/>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c r="A731" s="125"/>
      <c r="B731" s="17"/>
      <c r="C731" s="125"/>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c r="A732" s="125"/>
      <c r="B732" s="17"/>
      <c r="C732" s="125"/>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c r="A733" s="125"/>
      <c r="B733" s="17"/>
      <c r="C733" s="125"/>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c r="A734" s="125"/>
      <c r="B734" s="17"/>
      <c r="C734" s="125"/>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c r="A735" s="125"/>
      <c r="B735" s="17"/>
      <c r="C735" s="125"/>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c r="A736" s="125"/>
      <c r="B736" s="17"/>
      <c r="C736" s="125"/>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c r="A737" s="125"/>
      <c r="B737" s="17"/>
      <c r="C737" s="125"/>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c r="A738" s="125"/>
      <c r="B738" s="17"/>
      <c r="C738" s="125"/>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c r="A739" s="125"/>
      <c r="B739" s="17"/>
      <c r="C739" s="125"/>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c r="A740" s="125"/>
      <c r="B740" s="17"/>
      <c r="C740" s="125"/>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c r="A741" s="125"/>
      <c r="B741" s="17"/>
      <c r="C741" s="125"/>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c r="A742" s="125"/>
      <c r="B742" s="17"/>
      <c r="C742" s="125"/>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c r="A743" s="125"/>
      <c r="B743" s="17"/>
      <c r="C743" s="125"/>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c r="A744" s="125"/>
      <c r="B744" s="17"/>
      <c r="C744" s="125"/>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c r="A745" s="125"/>
      <c r="B745" s="17"/>
      <c r="C745" s="125"/>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c r="A746" s="125"/>
      <c r="B746" s="17"/>
      <c r="C746" s="125"/>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c r="A747" s="125"/>
      <c r="B747" s="17"/>
      <c r="C747" s="125"/>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c r="A748" s="125"/>
      <c r="B748" s="17"/>
      <c r="C748" s="125"/>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c r="A749" s="125"/>
      <c r="B749" s="17"/>
      <c r="C749" s="125"/>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c r="A750" s="125"/>
      <c r="B750" s="17"/>
      <c r="C750" s="125"/>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c r="A751" s="125"/>
      <c r="B751" s="17"/>
      <c r="C751" s="125"/>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c r="A752" s="125"/>
      <c r="B752" s="17"/>
      <c r="C752" s="125"/>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c r="A753" s="125"/>
      <c r="B753" s="17"/>
      <c r="C753" s="125"/>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c r="A754" s="125"/>
      <c r="B754" s="17"/>
      <c r="C754" s="125"/>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c r="A755" s="125"/>
      <c r="B755" s="17"/>
      <c r="C755" s="125"/>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c r="A756" s="125"/>
      <c r="B756" s="17"/>
      <c r="C756" s="125"/>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c r="A757" s="125"/>
      <c r="B757" s="17"/>
      <c r="C757" s="125"/>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c r="A758" s="125"/>
      <c r="B758" s="17"/>
      <c r="C758" s="125"/>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c r="A759" s="125"/>
      <c r="B759" s="17"/>
      <c r="C759" s="125"/>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c r="A760" s="125"/>
      <c r="B760" s="17"/>
      <c r="C760" s="125"/>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c r="A761" s="125"/>
      <c r="B761" s="17"/>
      <c r="C761" s="125"/>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c r="A762" s="125"/>
      <c r="B762" s="17"/>
      <c r="C762" s="125"/>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c r="A763" s="125"/>
      <c r="B763" s="17"/>
      <c r="C763" s="125"/>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c r="A764" s="125"/>
      <c r="B764" s="17"/>
      <c r="C764" s="125"/>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c r="A765" s="125"/>
      <c r="B765" s="17"/>
      <c r="C765" s="125"/>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c r="A766" s="125"/>
      <c r="B766" s="17"/>
      <c r="C766" s="125"/>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c r="A767" s="125"/>
      <c r="B767" s="17"/>
      <c r="C767" s="125"/>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c r="A768" s="125"/>
      <c r="B768" s="17"/>
      <c r="C768" s="125"/>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c r="A769" s="125"/>
      <c r="B769" s="17"/>
      <c r="C769" s="125"/>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c r="A770" s="125"/>
      <c r="B770" s="17"/>
      <c r="C770" s="125"/>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c r="A771" s="125"/>
      <c r="B771" s="17"/>
      <c r="C771" s="125"/>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c r="A772" s="125"/>
      <c r="B772" s="17"/>
      <c r="C772" s="125"/>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c r="A773" s="125"/>
      <c r="B773" s="17"/>
      <c r="C773" s="125"/>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c r="A774" s="125"/>
      <c r="B774" s="17"/>
      <c r="C774" s="125"/>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c r="A775" s="125"/>
      <c r="B775" s="17"/>
      <c r="C775" s="125"/>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c r="A776" s="125"/>
      <c r="B776" s="17"/>
      <c r="C776" s="125"/>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c r="A777" s="125"/>
      <c r="B777" s="17"/>
      <c r="C777" s="125"/>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c r="A778" s="125"/>
      <c r="B778" s="17"/>
      <c r="C778" s="125"/>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c r="A779" s="125"/>
      <c r="B779" s="17"/>
      <c r="C779" s="125"/>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c r="A780" s="125"/>
      <c r="B780" s="17"/>
      <c r="C780" s="125"/>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c r="A781" s="125"/>
      <c r="B781" s="17"/>
      <c r="C781" s="125"/>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c r="A782" s="125"/>
      <c r="B782" s="17"/>
      <c r="C782" s="125"/>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c r="A783" s="125"/>
      <c r="B783" s="17"/>
      <c r="C783" s="125"/>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c r="A784" s="125"/>
      <c r="B784" s="17"/>
      <c r="C784" s="125"/>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c r="A785" s="125"/>
      <c r="B785" s="17"/>
      <c r="C785" s="125"/>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c r="A786" s="125"/>
      <c r="B786" s="17"/>
      <c r="C786" s="125"/>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c r="A787" s="125"/>
      <c r="B787" s="17"/>
      <c r="C787" s="125"/>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c r="A788" s="125"/>
      <c r="B788" s="17"/>
      <c r="C788" s="125"/>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c r="A789" s="125"/>
      <c r="B789" s="17"/>
      <c r="C789" s="125"/>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c r="A790" s="125"/>
      <c r="B790" s="17"/>
      <c r="C790" s="125"/>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c r="A791" s="125"/>
      <c r="B791" s="17"/>
      <c r="C791" s="125"/>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c r="A792" s="125"/>
      <c r="B792" s="17"/>
      <c r="C792" s="125"/>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c r="A793" s="125"/>
      <c r="B793" s="17"/>
      <c r="C793" s="125"/>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c r="A794" s="125"/>
      <c r="B794" s="17"/>
      <c r="C794" s="125"/>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c r="A795" s="125"/>
      <c r="B795" s="17"/>
      <c r="C795" s="125"/>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c r="A796" s="125"/>
      <c r="B796" s="17"/>
      <c r="C796" s="125"/>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c r="A797" s="125"/>
      <c r="B797" s="17"/>
      <c r="C797" s="125"/>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c r="A798" s="125"/>
      <c r="B798" s="17"/>
      <c r="C798" s="125"/>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c r="A799" s="125"/>
      <c r="B799" s="17"/>
      <c r="C799" s="125"/>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c r="A800" s="125"/>
      <c r="B800" s="17"/>
      <c r="C800" s="125"/>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c r="A801" s="125"/>
      <c r="B801" s="17"/>
      <c r="C801" s="125"/>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c r="A802" s="125"/>
      <c r="B802" s="17"/>
      <c r="C802" s="125"/>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c r="A803" s="125"/>
      <c r="B803" s="17"/>
      <c r="C803" s="125"/>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c r="A804" s="125"/>
      <c r="B804" s="17"/>
      <c r="C804" s="125"/>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c r="A805" s="125"/>
      <c r="B805" s="17"/>
      <c r="C805" s="125"/>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c r="A806" s="125"/>
      <c r="B806" s="17"/>
      <c r="C806" s="125"/>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c r="A807" s="125"/>
      <c r="B807" s="17"/>
      <c r="C807" s="125"/>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c r="A808" s="125"/>
      <c r="B808" s="17"/>
      <c r="C808" s="125"/>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c r="A809" s="125"/>
      <c r="B809" s="17"/>
      <c r="C809" s="125"/>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c r="A810" s="125"/>
      <c r="B810" s="17"/>
      <c r="C810" s="125"/>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c r="A811" s="125"/>
      <c r="B811" s="17"/>
      <c r="C811" s="125"/>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c r="A812" s="125"/>
      <c r="B812" s="17"/>
      <c r="C812" s="125"/>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c r="A813" s="125"/>
      <c r="B813" s="17"/>
      <c r="C813" s="125"/>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c r="A814" s="125"/>
      <c r="B814" s="17"/>
      <c r="C814" s="125"/>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c r="A815" s="125"/>
      <c r="B815" s="17"/>
      <c r="C815" s="125"/>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c r="A816" s="125"/>
      <c r="B816" s="17"/>
      <c r="C816" s="125"/>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c r="A817" s="125"/>
      <c r="B817" s="17"/>
      <c r="C817" s="125"/>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c r="A818" s="125"/>
      <c r="B818" s="17"/>
      <c r="C818" s="125"/>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c r="A819" s="125"/>
      <c r="B819" s="17"/>
      <c r="C819" s="125"/>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c r="A820" s="125"/>
      <c r="B820" s="17"/>
      <c r="C820" s="125"/>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c r="A821" s="125"/>
      <c r="B821" s="17"/>
      <c r="C821" s="125"/>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c r="A822" s="125"/>
      <c r="B822" s="17"/>
      <c r="C822" s="125"/>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c r="A823" s="125"/>
      <c r="B823" s="17"/>
      <c r="C823" s="125"/>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c r="A824" s="125"/>
      <c r="B824" s="17"/>
      <c r="C824" s="125"/>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c r="A825" s="125"/>
      <c r="B825" s="17"/>
      <c r="C825" s="125"/>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c r="A826" s="125"/>
      <c r="B826" s="17"/>
      <c r="C826" s="125"/>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c r="A827" s="125"/>
      <c r="B827" s="17"/>
      <c r="C827" s="125"/>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c r="A828" s="125"/>
      <c r="B828" s="17"/>
      <c r="C828" s="125"/>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c r="A829" s="125"/>
      <c r="B829" s="17"/>
      <c r="C829" s="125"/>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c r="A830" s="125"/>
      <c r="B830" s="17"/>
      <c r="C830" s="125"/>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c r="A831" s="125"/>
      <c r="B831" s="17"/>
      <c r="C831" s="125"/>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c r="A832" s="125"/>
      <c r="B832" s="17"/>
      <c r="C832" s="125"/>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c r="A833" s="125"/>
      <c r="B833" s="17"/>
      <c r="C833" s="125"/>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c r="A834" s="125"/>
      <c r="B834" s="17"/>
      <c r="C834" s="125"/>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c r="A835" s="125"/>
      <c r="B835" s="17"/>
      <c r="C835" s="125"/>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c r="A836" s="125"/>
      <c r="B836" s="17"/>
      <c r="C836" s="125"/>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c r="A837" s="125"/>
      <c r="B837" s="17"/>
      <c r="C837" s="125"/>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c r="A838" s="125"/>
      <c r="B838" s="17"/>
      <c r="C838" s="125"/>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c r="A839" s="125"/>
      <c r="B839" s="17"/>
      <c r="C839" s="125"/>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c r="A840" s="125"/>
      <c r="B840" s="17"/>
      <c r="C840" s="125"/>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c r="A841" s="125"/>
      <c r="B841" s="17"/>
      <c r="C841" s="125"/>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c r="A842" s="125"/>
      <c r="B842" s="17"/>
      <c r="C842" s="125"/>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c r="A843" s="125"/>
      <c r="B843" s="17"/>
      <c r="C843" s="125"/>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c r="A844" s="125"/>
      <c r="B844" s="17"/>
      <c r="C844" s="125"/>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c r="A845" s="125"/>
      <c r="B845" s="17"/>
      <c r="C845" s="125"/>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c r="A846" s="125"/>
      <c r="B846" s="17"/>
      <c r="C846" s="125"/>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c r="A847" s="125"/>
      <c r="B847" s="17"/>
      <c r="C847" s="125"/>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c r="A848" s="125"/>
      <c r="B848" s="17"/>
      <c r="C848" s="125"/>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c r="A849" s="125"/>
      <c r="B849" s="17"/>
      <c r="C849" s="125"/>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c r="A850" s="125"/>
      <c r="B850" s="17"/>
      <c r="C850" s="125"/>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c r="A851" s="125"/>
      <c r="B851" s="17"/>
      <c r="C851" s="125"/>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c r="A852" s="125"/>
      <c r="B852" s="17"/>
      <c r="C852" s="125"/>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c r="A853" s="125"/>
      <c r="B853" s="17"/>
      <c r="C853" s="125"/>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c r="A854" s="125"/>
      <c r="B854" s="17"/>
      <c r="C854" s="125"/>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c r="A855" s="125"/>
      <c r="B855" s="17"/>
      <c r="C855" s="125"/>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c r="A856" s="125"/>
      <c r="B856" s="17"/>
      <c r="C856" s="125"/>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c r="A857" s="125"/>
      <c r="B857" s="17"/>
      <c r="C857" s="125"/>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c r="A858" s="125"/>
      <c r="B858" s="17"/>
      <c r="C858" s="125"/>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c r="A859" s="125"/>
      <c r="B859" s="17"/>
      <c r="C859" s="125"/>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c r="A860" s="125"/>
      <c r="B860" s="17"/>
      <c r="C860" s="125"/>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c r="A861" s="125"/>
      <c r="B861" s="17"/>
      <c r="C861" s="125"/>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c r="A862" s="125"/>
      <c r="B862" s="17"/>
      <c r="C862" s="125"/>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c r="A863" s="125"/>
      <c r="B863" s="17"/>
      <c r="C863" s="125"/>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c r="A864" s="125"/>
      <c r="B864" s="17"/>
      <c r="C864" s="125"/>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c r="A865" s="125"/>
      <c r="B865" s="17"/>
      <c r="C865" s="125"/>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c r="A866" s="125"/>
      <c r="B866" s="17"/>
      <c r="C866" s="125"/>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c r="A867" s="125"/>
      <c r="B867" s="17"/>
      <c r="C867" s="125"/>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c r="A868" s="125"/>
      <c r="B868" s="17"/>
      <c r="C868" s="125"/>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c r="A869" s="125"/>
      <c r="B869" s="17"/>
      <c r="C869" s="125"/>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c r="A870" s="125"/>
      <c r="B870" s="17"/>
      <c r="C870" s="125"/>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c r="A871" s="125"/>
      <c r="B871" s="17"/>
      <c r="C871" s="125"/>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c r="A872" s="125"/>
      <c r="B872" s="17"/>
      <c r="C872" s="125"/>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c r="A873" s="125"/>
      <c r="B873" s="17"/>
      <c r="C873" s="125"/>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c r="A874" s="125"/>
      <c r="B874" s="17"/>
      <c r="C874" s="125"/>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c r="A875" s="125"/>
      <c r="B875" s="17"/>
      <c r="C875" s="125"/>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c r="A876" s="125"/>
      <c r="B876" s="17"/>
      <c r="C876" s="125"/>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c r="A877" s="125"/>
      <c r="B877" s="17"/>
      <c r="C877" s="125"/>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c r="A878" s="125"/>
      <c r="B878" s="17"/>
      <c r="C878" s="125"/>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c r="A879" s="125"/>
      <c r="B879" s="17"/>
      <c r="C879" s="125"/>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c r="A880" s="125"/>
      <c r="B880" s="17"/>
      <c r="C880" s="125"/>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c r="A881" s="125"/>
      <c r="B881" s="17"/>
      <c r="C881" s="125"/>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c r="A882" s="125"/>
      <c r="B882" s="17"/>
      <c r="C882" s="125"/>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c r="A883" s="125"/>
      <c r="B883" s="17"/>
      <c r="C883" s="125"/>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c r="A884" s="125"/>
      <c r="B884" s="17"/>
      <c r="C884" s="125"/>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c r="A885" s="125"/>
      <c r="B885" s="17"/>
      <c r="C885" s="125"/>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c r="A886" s="125"/>
      <c r="B886" s="17"/>
      <c r="C886" s="125"/>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c r="A887" s="125"/>
      <c r="B887" s="17"/>
      <c r="C887" s="125"/>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c r="A888" s="125"/>
      <c r="B888" s="17"/>
      <c r="C888" s="125"/>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c r="A889" s="125"/>
      <c r="B889" s="17"/>
      <c r="C889" s="125"/>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c r="A890" s="125"/>
      <c r="B890" s="17"/>
      <c r="C890" s="125"/>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c r="A891" s="125"/>
      <c r="B891" s="17"/>
      <c r="C891" s="125"/>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c r="A892" s="125"/>
      <c r="B892" s="17"/>
      <c r="C892" s="125"/>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c r="A893" s="125"/>
      <c r="B893" s="17"/>
      <c r="C893" s="125"/>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c r="A894" s="125"/>
      <c r="B894" s="17"/>
      <c r="C894" s="125"/>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c r="A895" s="125"/>
      <c r="B895" s="17"/>
      <c r="C895" s="125"/>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c r="A896" s="125"/>
      <c r="B896" s="17"/>
      <c r="C896" s="125"/>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c r="A897" s="125"/>
      <c r="B897" s="17"/>
      <c r="C897" s="125"/>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c r="A898" s="125"/>
      <c r="B898" s="17"/>
      <c r="C898" s="125"/>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c r="A899" s="125"/>
      <c r="B899" s="17"/>
      <c r="C899" s="125"/>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c r="A900" s="125"/>
      <c r="B900" s="17"/>
      <c r="C900" s="125"/>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c r="A901" s="125"/>
      <c r="B901" s="17"/>
      <c r="C901" s="125"/>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c r="A902" s="125"/>
      <c r="B902" s="17"/>
      <c r="C902" s="125"/>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c r="A903" s="125"/>
      <c r="B903" s="17"/>
      <c r="C903" s="125"/>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c r="A904" s="125"/>
      <c r="B904" s="17"/>
      <c r="C904" s="125"/>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c r="A905" s="125"/>
      <c r="B905" s="17"/>
      <c r="C905" s="125"/>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c r="A906" s="125"/>
      <c r="B906" s="17"/>
      <c r="C906" s="125"/>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c r="A907" s="125"/>
      <c r="B907" s="17"/>
      <c r="C907" s="125"/>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c r="A908" s="125"/>
      <c r="B908" s="17"/>
      <c r="C908" s="125"/>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c r="A909" s="125"/>
      <c r="B909" s="17"/>
      <c r="C909" s="125"/>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c r="A910" s="125"/>
      <c r="B910" s="17"/>
      <c r="C910" s="125"/>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c r="A911" s="125"/>
      <c r="B911" s="17"/>
      <c r="C911" s="125"/>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c r="A912" s="125"/>
      <c r="B912" s="17"/>
      <c r="C912" s="125"/>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c r="A913" s="125"/>
      <c r="B913" s="17"/>
      <c r="C913" s="125"/>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c r="A914" s="125"/>
      <c r="B914" s="17"/>
      <c r="C914" s="125"/>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c r="A915" s="125"/>
      <c r="B915" s="17"/>
      <c r="C915" s="125"/>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c r="A916" s="125"/>
      <c r="B916" s="17"/>
      <c r="C916" s="125"/>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c r="A917" s="125"/>
      <c r="B917" s="17"/>
      <c r="C917" s="125"/>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c r="A918" s="125"/>
      <c r="B918" s="17"/>
      <c r="C918" s="125"/>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c r="A919" s="125"/>
      <c r="B919" s="17"/>
      <c r="C919" s="125"/>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c r="A920" s="125"/>
      <c r="B920" s="17"/>
      <c r="C920" s="125"/>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c r="A921" s="125"/>
      <c r="B921" s="17"/>
      <c r="C921" s="125"/>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c r="A922" s="125"/>
      <c r="B922" s="17"/>
      <c r="C922" s="125"/>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c r="A923" s="125"/>
      <c r="B923" s="17"/>
      <c r="C923" s="125"/>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c r="A924" s="125"/>
      <c r="B924" s="17"/>
      <c r="C924" s="125"/>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c r="A925" s="125"/>
      <c r="B925" s="17"/>
      <c r="C925" s="125"/>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c r="A926" s="125"/>
      <c r="B926" s="17"/>
      <c r="C926" s="125"/>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c r="A927" s="125"/>
      <c r="B927" s="17"/>
      <c r="C927" s="125"/>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c r="A928" s="125"/>
      <c r="B928" s="17"/>
      <c r="C928" s="125"/>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c r="A929" s="125"/>
      <c r="B929" s="17"/>
      <c r="C929" s="125"/>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c r="A930" s="125"/>
      <c r="B930" s="17"/>
      <c r="C930" s="125"/>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c r="A931" s="125"/>
      <c r="B931" s="17"/>
      <c r="C931" s="125"/>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c r="A932" s="125"/>
      <c r="B932" s="17"/>
      <c r="C932" s="125"/>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c r="A933" s="125"/>
      <c r="B933" s="17"/>
      <c r="C933" s="125"/>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c r="A934" s="125"/>
      <c r="B934" s="17"/>
      <c r="C934" s="125"/>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c r="A935" s="125"/>
      <c r="B935" s="17"/>
      <c r="C935" s="125"/>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c r="A936" s="125"/>
      <c r="B936" s="17"/>
      <c r="C936" s="125"/>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c r="A937" s="125"/>
      <c r="B937" s="17"/>
      <c r="C937" s="125"/>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c r="A938" s="125"/>
      <c r="B938" s="17"/>
      <c r="C938" s="125"/>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c r="A939" s="125"/>
      <c r="B939" s="17"/>
      <c r="C939" s="125"/>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c r="A940" s="125"/>
      <c r="B940" s="17"/>
      <c r="C940" s="125"/>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c r="A941" s="125"/>
      <c r="B941" s="17"/>
      <c r="C941" s="125"/>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c r="A942" s="125"/>
      <c r="B942" s="17"/>
      <c r="C942" s="125"/>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c r="A943" s="125"/>
      <c r="B943" s="17"/>
      <c r="C943" s="125"/>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c r="A944" s="125"/>
      <c r="B944" s="17"/>
      <c r="C944" s="125"/>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c r="A945" s="125"/>
      <c r="B945" s="17"/>
      <c r="C945" s="125"/>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c r="A946" s="125"/>
      <c r="B946" s="17"/>
      <c r="C946" s="125"/>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c r="A947" s="125"/>
      <c r="B947" s="17"/>
      <c r="C947" s="125"/>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c r="A948" s="125"/>
      <c r="B948" s="17"/>
      <c r="C948" s="125"/>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c r="A949" s="125"/>
      <c r="B949" s="17"/>
      <c r="C949" s="125"/>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c r="A950" s="125"/>
      <c r="B950" s="17"/>
      <c r="C950" s="125"/>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c r="A951" s="125"/>
      <c r="B951" s="17"/>
      <c r="C951" s="125"/>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c r="A952" s="125"/>
      <c r="B952" s="17"/>
      <c r="C952" s="125"/>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c r="A953" s="125"/>
      <c r="B953" s="17"/>
      <c r="C953" s="125"/>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c r="A954" s="125"/>
      <c r="B954" s="17"/>
      <c r="C954" s="125"/>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c r="A955" s="125"/>
      <c r="B955" s="17"/>
      <c r="C955" s="125"/>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c r="A956" s="125"/>
      <c r="B956" s="17"/>
      <c r="C956" s="125"/>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c r="A957" s="125"/>
      <c r="B957" s="17"/>
      <c r="C957" s="125"/>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c r="A958" s="125"/>
      <c r="B958" s="17"/>
      <c r="C958" s="125"/>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c r="A959" s="125"/>
      <c r="B959" s="17"/>
      <c r="C959" s="125"/>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c r="A960" s="125"/>
      <c r="B960" s="17"/>
      <c r="C960" s="125"/>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c r="A961" s="125"/>
      <c r="B961" s="17"/>
      <c r="C961" s="125"/>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c r="A962" s="125"/>
      <c r="B962" s="17"/>
      <c r="C962" s="125"/>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c r="A963" s="125"/>
      <c r="B963" s="17"/>
      <c r="C963" s="125"/>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c r="A964" s="125"/>
      <c r="B964" s="17"/>
      <c r="C964" s="125"/>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c r="A965" s="125"/>
      <c r="B965" s="17"/>
      <c r="C965" s="125"/>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c r="A966" s="125"/>
      <c r="B966" s="17"/>
      <c r="C966" s="125"/>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c r="A967" s="125"/>
      <c r="B967" s="17"/>
      <c r="C967" s="125"/>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c r="A968" s="125"/>
      <c r="B968" s="17"/>
      <c r="C968" s="125"/>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c r="A969" s="125"/>
      <c r="B969" s="17"/>
      <c r="C969" s="125"/>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c r="A970" s="125"/>
      <c r="B970" s="17"/>
      <c r="C970" s="125"/>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c r="A971" s="125"/>
      <c r="B971" s="17"/>
      <c r="C971" s="125"/>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c r="A972" s="125"/>
      <c r="B972" s="17"/>
      <c r="C972" s="125"/>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c r="A973" s="125"/>
      <c r="B973" s="17"/>
      <c r="C973" s="125"/>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c r="A974" s="125"/>
      <c r="B974" s="17"/>
      <c r="C974" s="125"/>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c r="A975" s="125"/>
      <c r="B975" s="17"/>
      <c r="C975" s="125"/>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c r="A976" s="125"/>
      <c r="B976" s="17"/>
      <c r="C976" s="125"/>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c r="A977" s="125"/>
      <c r="B977" s="17"/>
      <c r="C977" s="125"/>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c r="A978" s="125"/>
      <c r="B978" s="17"/>
      <c r="C978" s="125"/>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c r="A979" s="125"/>
      <c r="B979" s="17"/>
      <c r="C979" s="125"/>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c r="A980" s="125"/>
      <c r="B980" s="17"/>
      <c r="C980" s="125"/>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c r="A981" s="125"/>
      <c r="B981" s="17"/>
      <c r="C981" s="125"/>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c r="A982" s="125"/>
      <c r="B982" s="17"/>
      <c r="C982" s="125"/>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c r="A983" s="125"/>
      <c r="B983" s="17"/>
      <c r="C983" s="125"/>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c r="A984" s="125"/>
      <c r="B984" s="17"/>
      <c r="C984" s="125"/>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c r="A985" s="125"/>
      <c r="B985" s="17"/>
      <c r="C985" s="125"/>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c r="A986" s="125"/>
      <c r="B986" s="17"/>
      <c r="C986" s="125"/>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c r="A987" s="125"/>
      <c r="B987" s="17"/>
      <c r="C987" s="125"/>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c r="A988" s="125"/>
      <c r="B988" s="17"/>
      <c r="C988" s="125"/>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c r="A989" s="125"/>
      <c r="B989" s="17"/>
      <c r="C989" s="125"/>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c r="A990" s="125"/>
      <c r="B990" s="17"/>
      <c r="C990" s="125"/>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c r="A991" s="125"/>
      <c r="B991" s="17"/>
      <c r="C991" s="125"/>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c r="A992" s="125"/>
      <c r="B992" s="17"/>
      <c r="C992" s="125"/>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c r="A993" s="125"/>
      <c r="B993" s="17"/>
      <c r="C993" s="125"/>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c r="A994" s="125"/>
      <c r="B994" s="17"/>
      <c r="C994" s="125"/>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c r="A995" s="125"/>
      <c r="B995" s="17"/>
      <c r="C995" s="125"/>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c r="A996" s="125"/>
      <c r="B996" s="17"/>
      <c r="C996" s="125"/>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c r="A997" s="125"/>
      <c r="B997" s="17"/>
      <c r="C997" s="125"/>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c r="A998" s="125"/>
      <c r="B998" s="17"/>
      <c r="C998" s="125"/>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c r="A999" s="125"/>
      <c r="B999" s="17"/>
      <c r="C999" s="125"/>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c r="A1000" s="125"/>
      <c r="B1000" s="17"/>
      <c r="C1000" s="125"/>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sheetData>
  <drawing r:id="rId1"/>
</worksheet>
</file>