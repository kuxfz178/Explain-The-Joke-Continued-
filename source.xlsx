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5"/>
    <sheet state="visible" name="Lists" sheetId="2" r:id="rId6"/>
    <sheet state="visible" name="Notes" sheetId="3" r:id="rId7"/>
    <sheet state="visible" name="Definitions" sheetId="4" r:id="rId8"/>
    <sheet state="visible" name="PAnnotations" sheetId="5" r:id="rId9"/>
  </sheets>
  <definedNames>
    <definedName hidden="1" localSheetId="0" name="_xlnm._FilterDatabase">Annotations!$A$1:$M$503</definedName>
    <definedName hidden="1" localSheetId="2" name="_xlnm._FilterDatabase">Notes!$C$1:$C$1000</definedName>
    <definedName hidden="1" localSheetId="4" name="_xlnm._FilterDatabase">PAnnotations!$A$1:$P$505</definedName>
  </definedNames>
  <calcPr/>
</workbook>
</file>

<file path=xl/sharedStrings.xml><?xml version="1.0" encoding="utf-8"?>
<sst xmlns="http://schemas.openxmlformats.org/spreadsheetml/2006/main" count="9886" uniqueCount="2657">
  <si>
    <t>File</t>
  </si>
  <si>
    <t>Assigned_to</t>
  </si>
  <si>
    <t>Status</t>
  </si>
  <si>
    <t>Correct answer</t>
  </si>
  <si>
    <t>Explanation 1</t>
  </si>
  <si>
    <t>Explanation 2</t>
  </si>
  <si>
    <t xml:space="preserve">Explanation 3 </t>
  </si>
  <si>
    <t>Literal_Description</t>
  </si>
  <si>
    <t>Humor Style</t>
  </si>
  <si>
    <t>Humor style secondary</t>
  </si>
  <si>
    <t>Contextual Knowledge</t>
  </si>
  <si>
    <t>Contextual Knowledge secondary</t>
  </si>
  <si>
    <t>Duplicate check</t>
  </si>
  <si>
    <t>1actpx8</t>
  </si>
  <si>
    <t>Sabrina</t>
  </si>
  <si>
    <t>Done</t>
  </si>
  <si>
    <t>the meme refers to cloudy and a chance of meatballs (movie): the main character is a scientist and sprayed on shoes when he was a kid, which he could never remove</t>
  </si>
  <si>
    <t>its exaggeration,  as the meme presents an obviously unnecessary warning against using Flex Seal as footwear, thereby highlighting the absurdity of the situation.</t>
  </si>
  <si>
    <t>using Flex Seal as footwear is portrayed as undesirable, humorously justified by the unlikely scenario of falling meatballs from the sky.</t>
  </si>
  <si>
    <t>a snapchat picture showing a person holding a can of Flex Seal and their foot covered in a black substance, with the text ‘Flex seal shoe’ with the text underneath: "did the tales of falling meatballs not weigh on thine conscious".</t>
  </si>
  <si>
    <t>Sarcasm/Irony</t>
  </si>
  <si>
    <t>Surprise</t>
  </si>
  <si>
    <t>Hobby</t>
  </si>
  <si>
    <t>Logical</t>
  </si>
  <si>
    <t>1af8odu</t>
  </si>
  <si>
    <t>A teller is a person who works at the front desk of a bank. Teller is also a person's name; that person is one half of the magician duo Penn &amp; Teller. On stage, Teller doesn't speak. Penn is the one who explains everything/talks to the crowd. The joke is that you expect the robber to be speaking to a bank teller. But he's actually speaking to the magician Teller who doesn't talk. That's why Penn comes in at the end to explain what's going on.</t>
  </si>
  <si>
    <t>Penn’s comment makes the scene funny because he already understands why the “teller” never answers. The silence is treated as typical behavior, not as fear or confusion</t>
  </si>
  <si>
    <t>A tweet-style image shows a fictional dialogue where a bank robber repeatedly asks a teller where the safe is. The teller gives no visible response, and the robber becomes confused. The final line says, “PENN: He always does this,” implying the teller is the magician Teller, who is known for staying silent.</t>
  </si>
  <si>
    <t>The robber is absurdly expecting a machine to respond like a person, which makes his frustration seem misplaced and cartoon-like.</t>
  </si>
  <si>
    <t>Wordplay</t>
  </si>
  <si>
    <t>Pop culture</t>
  </si>
  <si>
    <t>Social conventions</t>
  </si>
  <si>
    <t>1ajzxfm</t>
  </si>
  <si>
    <t>It’s kind of a weird joke that doesn’t make perfect sense, but here’s the intended meaning: 1. Many people might see something like 50/50 odds leading to 20 successes in a row and think the next one is more likely to be a failed surgery. Like how many people could flip a coin and get heads twice in a row, and be more likely to guess the next coinflip would be tails. Hence the nervous face. 2. A statistician would know that the success rate of each surgery is independent of all the other ones, so they wouldn’t be especially nervous theirs would go wrong. 3. A scientist might see 20 successes in a row for a surgery with a 50% survival rate and think “wow, this doctor must be really good at doing surgeries”</t>
  </si>
  <si>
    <t xml:space="preserve">The meme explains that normal people would choose this doctor because  he has 50% success rate, where as mathematicians would be more sceptical and scientists would refrain from getting a surgery from this doctor. </t>
  </si>
  <si>
    <t xml:space="preserve">The meme is funny because it illustrates how different fields of process thoughts, it is funny because although most people would take the surgery, mathmaticians and scientists wouldn't because they have the knowledge to know that the probability of the surgery failing is very small despite the given numbers. </t>
  </si>
  <si>
    <t>A meme with text describing a doctor stating that a surgery has a 50% survival rate and that the last 20 patients survived. Below the text are three panels labeled ‘Normal people’, ‘Mathematician’, and ‘Scientist’, each showing a different face reacting to the statement.</t>
  </si>
  <si>
    <t>Comparison</t>
  </si>
  <si>
    <t>Exaggeration</t>
  </si>
  <si>
    <t>General knowledge</t>
  </si>
  <si>
    <t>1amtoff</t>
  </si>
  <si>
    <t>Amazon does not hire 12 year olds, and 12 year olds cannot drive.  The potential panic this may cause whomever at Amazon, is hilarious.</t>
  </si>
  <si>
    <t>The humor arises from the unexpected implication that a well-known company such as Amazon employs a 12-year-old, which contradicts established social and legal norms, thereby creating a surprising and absurd scenario.</t>
  </si>
  <si>
    <t>A screenshot of a social media thread where a user says that Amazon hired their 12-year-old son, followed by a response from an Amazon customer service account asking for clarification, and a subsequent reply stating that the son is one of their drivers</t>
  </si>
  <si>
    <t>The humor stems from the company’s apparent unawareness of having employed an underage individual, leading to the implicit consequence that they would need to locate and terminate the employment, which highlights the absurdity of the situation.</t>
  </si>
  <si>
    <t>Incongruity</t>
  </si>
  <si>
    <t>1aoxsw3</t>
  </si>
  <si>
    <t>Deer run in circles as a defense mechanism against predators ants run in circles because an ant has to turn around &amp; left a pheromone trail in a circle, so the ants will die. it’s very sad.</t>
  </si>
  <si>
    <t>The humor arises from a contrast in perception, where similar circular movement is framed as unsettling in deer but appealing in ants.</t>
  </si>
  <si>
    <t>The humor stems from anthropomorphic framing, as deer and ants are depicted as exhibiting human-like reactions when observing animals moving in circles.</t>
  </si>
  <si>
    <t>“A meme with the caption ‘Animals running in circles is so cool’ at the top, followed by two images of animals arranged in circular formations. Below the images are two panels with illustrated faces, labeled ‘Deers’ on the left and ‘Ants’ on the right, each showing a different facial expression.”</t>
  </si>
  <si>
    <t>Situational</t>
  </si>
  <si>
    <t>Technical</t>
  </si>
  <si>
    <t>1asrnb3</t>
  </si>
  <si>
    <t xml:space="preserve">The black car is the Impala (aka “Metallicar”/“Baby”) from *Supernatural*, a show about two brothers who hunt down paranormal phenomena like ghosts, demons, etc. The Mystery Machine, of course, is Scooby Doo and the Scooby Gang, who hunt down ghosts and other various monsters. If they’re both in the same place, some haunted stuff is going down. </t>
  </si>
  <si>
    <t>Incongruity between the claim that the location is haunted and the absence of any visible supernatural elements, resulting in a confusing and unexpected situation.</t>
  </si>
  <si>
    <t>The humor stems from a cultural association between the presence of suspicious-looking vehicles and the suggestion of unusual activity, which contrasts with the otherwise ordinary setting.</t>
  </si>
  <si>
    <t>A meme with the text “oh this place is HAUNTED haunted” at the top, showing a black car parked in front of a colorful van resembling the Scooby-Doo “Mystery Machine” in a parking lot.</t>
  </si>
  <si>
    <t>1aya611</t>
  </si>
  <si>
    <t>Alabama ruled that frozen embryos count as live children, so this couple is claiming their 3 live children and 5 frozen embryos as 8 total children for tax purposes</t>
  </si>
  <si>
    <t>The humor arises from the unexpected implication that the parents to the children are experimenting on them in a lab they have at home</t>
  </si>
  <si>
    <t>The couple tries to claim more children for tax benefits, but claiming 'children in the lab' creates absurdity which makes the situation funny</t>
  </si>
  <si>
    <t>A meme showing a couple sitting in an office labeled “Tax Services,” speaking to a man behind a desk. One person says “We’re claiming 8 kids…” and the other adds “3 at home and 5 in the lab.”</t>
  </si>
  <si>
    <t>1b03bqv</t>
  </si>
  <si>
    <t>we's making up states to mess em up badly</t>
  </si>
  <si>
    <t>The state is relatively small and is therefore often overlooked or difficult to recall.</t>
  </si>
  <si>
    <t>the stereotype that many Americans are unable to identify all U.S. states, implying that they would fail the task presented.</t>
  </si>
  <si>
    <t>A map of the United States showing state borders, with one state highlighted in yellow and a caption asking viewers to identify it.</t>
  </si>
  <si>
    <t>politics</t>
  </si>
  <si>
    <t>1b7unh0</t>
  </si>
  <si>
    <t>He would probably also be confused why they had built a second Memphis</t>
  </si>
  <si>
    <t>The humor arises from a stereotypical contrast suggesting that men would use time travel to carry out significant historical interventions, whereas women are portrayed as being motivated by the desire to see Cleopatra in person.</t>
  </si>
  <si>
    <t>The humor stems from a reversed stereotypical framing in which women are depicted as pursuing significant historical interventions, while men are portrayed as being motivated by the desire to see Cleopatra in person.</t>
  </si>
  <si>
    <t>A meme divided into two sections labeled “Women with a time machine” and “Men with a time machine.” The top shows a woman pointing a gun at Henry Ford. The bottom shows a man speaking to an ancient Egyptian figure in front of a pyramid, with text about a modern glass pyramid in Memphis containing a Bass Pro Shop.</t>
  </si>
  <si>
    <t>Dark Humor</t>
  </si>
  <si>
    <t>History/Mythology</t>
  </si>
  <si>
    <t>1be8p2s</t>
  </si>
  <si>
    <t>It's a football thing   Hosted in Brazil, best international team historically and huge favourites to win, they crashed out the tournament to Germany with a 7-1 loss. One of the most shocking results in football.  Brazilian fans did not take the loss well.</t>
  </si>
  <si>
    <t>The humor arises from a reference to the widely recognized “6–7” event, which gives the expression an additional, non-mathematical meaning.</t>
  </si>
  <si>
    <t>The humor stems from the strong cultural association of the “6–7” reference in Brazil, where repeated exposure to the event evokes an emotional response.</t>
  </si>
  <si>
    <t>A meme with text at the top reading “Teacher: what is 7-1? Me: 6 My Brazilian classmates:” followed by an image of people wearing yellow shirts reacting emotionally in what appears to be a stadium setting.</t>
  </si>
  <si>
    <t>1bikyy1</t>
  </si>
  <si>
    <t>The math is a little off, but the gist of it is that the grand canyon took a long *long* time to get to its current state, but, at some point in the very distant past, it would've started out as a small stream, as depicted in the meme.  So, the joke is that the Flintstones were around a long time ago when the Grand Canyon was still just a little stream.</t>
  </si>
  <si>
    <t>The humor arises from an incongruity in scale, where the Grand Canyon is depicted as disproportionately small relative to the characters, implying that people in the past were significantly larger than in reality. This contrast highlights the absurdity of the scene.</t>
  </si>
  <si>
    <t>The humor stems from an implicit exaggeration of the Grand Canyon’s size, reflecting the tendency to describe it as exceptionally vast in comparison to its representation in the image.</t>
  </si>
  <si>
    <t>A meme with the text “So that's the Grand Canyon, huh?” followed by “– The Flintstones,” showing a cartoon scene of characters standing near a narrow canyon with a small stream running through it.</t>
  </si>
  <si>
    <t>1bl3eve</t>
  </si>
  <si>
    <t>Been a while since I read the books but basically, phones attract monsters for some reason, so Demigods don’t carry them around.</t>
  </si>
  <si>
    <t>The humor arises from the implausibility of using an iPod as a means of confronting Medusa, highlighting the absurdity of the situation.</t>
  </si>
  <si>
    <t>The humor stems from the anachronistic coexistence of Medusa and Percy Jackson, combining mythological elements with a modern setting.</t>
  </si>
  <si>
    <t>A screenshot of a social media post referencing Percy Jackson using an iPod to fight Medusa, accompanied by two images: one of a character holding a device and another showing Medusa’s reflection in the device. Below, a reply comments that it is funny because they did not have phones.</t>
  </si>
  <si>
    <t>1bmtc5u</t>
  </si>
  <si>
    <t>He likes big butts and he cannot lie.</t>
  </si>
  <si>
    <t>The visible anxiety of the seated individual, who appears to react nervously to the obligation of telling the truth.</t>
  </si>
  <si>
    <t>The perceived pressure exerted by the standing individual, which appears to influence the seated person who is required to take the oath.</t>
  </si>
  <si>
    <t>A black-and-white cartoon of a courtroom scene where a judge asks a witness to swear to tell the truth. The witness, a woman standing at the stand, responds that it will not be necessary. Several people are seated in the courtroom observing the exchange.</t>
  </si>
  <si>
    <t>1bsdc0l</t>
  </si>
  <si>
    <t>The Romans did not like the Germanic Tribes at all. It was in fact the Germanic Tribes that were an important factor in the downfall of the empire Edit: What I have just said is basically a CliffNotes explanation of what really happened. Was obviously more complicated than this but this is the gist of it</t>
  </si>
  <si>
    <t>The humor arises from a contrast between the expectation that Romans would be preoccupied with historical conflicts involving Germany and the implication that they would instead be primarily fascinated by modern technology.</t>
  </si>
  <si>
    <t>The humor stems from the exaggerated assumption that Romans, if exposed to the modern world, would respond with aggression upon recognizing the extent of societal and technological development.</t>
  </si>
  <si>
    <t>A meme titled “Bringing Romans forward in time,” divided into two sections labeled “Expectation” and “Reality.” The top section shows a Roman figure reacting to a modern helicopter alongside a modern character making a dismissive comment. The bottom section shows a Roman figure speaking, with text referencing Germans.</t>
  </si>
  <si>
    <t>1bw9tb7</t>
  </si>
  <si>
    <t>Labs test lipsticks and other cosmetics on mice before opening them to the human market. The process probably involves autopsying the mice to see if any toxic chemicals from the product have entered the liver.</t>
  </si>
  <si>
    <t>The humor stems from the ironic suggestion that laboratory testing is a desirable activity for the mice, contradicting its harmful nature.</t>
  </si>
  <si>
    <t>The humor arises from the unrealistic depiction of mice engaging in human-like communication, which creates an absurd scenario.</t>
  </si>
  <si>
    <t>A four-panel comic showing mice in a cage. In the first panels the mice ask where they are being taken and speculate that they are going to a laboratory to test lipstick, expressing excitement. In the final panel, a person in a lab coat is shown carrying the cage in a laboratory setting.</t>
  </si>
  <si>
    <t>1c1tpnf</t>
  </si>
  <si>
    <t>It's a meme from r/anarchychess, where "Google En Passant" comes from. They're acting as if this is a way to cheat at chess, because it lets you see the other player's pieces. In a lot of card games like Poker this would be a genuine advantage, but I'm Chess the point is you can see the other player's pieces. The joke is OOP pretending not to get that. The two people are big famous competitive chess players. The brick is a reference to the joke on r/anarchychess that the move "En Passant" is forced. If you decline En Passant, that is if you could have taken the move but didn't, you are punished by your pipi being bricked, aka your penis being crushed by a brick.</t>
  </si>
  <si>
    <t>The humor arises from the asymmetry of information, as Magnus is unaware that Hans is cheating, which implies an unfair advantage.</t>
  </si>
  <si>
    <t>The humor stems from the presence of an unrelated object beside Magnus, which introduces an unexpected and incongruous detail into the scene.</t>
  </si>
  <si>
    <t>A simple drawing showing two stick figures labeled Magnus Carlsen and Hans Niemann sitting at a table playing chess. Above them is a mirror on the ceiling, with dashed lines indicating a line of sight from the mirror to the player.</t>
  </si>
  <si>
    <t>meme</t>
  </si>
  <si>
    <t>1c6zoan</t>
  </si>
  <si>
    <t>That's a (slightly edited) picture of Todd Howard, the director, executive producer, and public spokesperson for Bethesda Games. He lead development on all the Elder Scrolls games (Skyrim), Starfield, and Fallout 3, 4, and 76. Recently the Fallout TV series was released and it featured an event that happened in one of the endings of "Fallout New Vegas," a game published but *not developed* by Bethesda. But the event in question happens in different years in each of New Vegas and the TV show. Because of this Todd was asked recently whether New Vegas or the TV show is canon to the series at large, and if New Vegas is, which ending. His response was "all of Fallout is canon." Which doesn't really answer any questions or make sense.</t>
  </si>
  <si>
    <t>The humor arises from the apparent lack of coherence in the dialogue, which creates an incongruous and confusing scenario.</t>
  </si>
  <si>
    <t>The humor stems from the contradiction inherent in the existence of multiple endings being treated as simultaneously canonical, which creates a logical inconsistency.</t>
  </si>
  <si>
    <t xml:space="preserve">A screenshot of a social media post showing a dialogue about inconsistencies in a fictional storyline, mentioning “Todd” and “New Vegas,” followed by a repeated response stating “All of it.” Below the text is an image of Todd. </t>
  </si>
  <si>
    <t>1c22s8b</t>
  </si>
  <si>
    <t>Joji is filthy frank (the guy in the left) made content on YouTube that was very unusual. I highly suggest watching it cause a lot of memes came from him.  Now he makes chill music and all ties to the character are cut.  Miss papa franku</t>
  </si>
  <si>
    <t>The humor arises from a reversal of expectations, where the individual who appears most visually distinct from the group is identified as the most “normal.”</t>
  </si>
  <si>
    <t>The humor stems from a superficial interpretation in which the crouching individual is considered the most “normal” solely based on physical positioning, despite the broader social context.</t>
  </si>
  <si>
    <t>A screenshot of a social media post showing text at the top referencing going back in time, followed by a repost of an older post by H3h3productions. The post includes a photo of four people posing in a kitchen, with one person crouching in front and the others standing behind.</t>
  </si>
  <si>
    <t>1c175gf</t>
  </si>
  <si>
    <t xml:space="preserve">It's basically about how nuclear energy is almost universally despised by environmentalists despite it being extremely clean and reliable source of energy.        </t>
  </si>
  <si>
    <t>The humor stems from a perceived alliance between pro-nuclear advocates and climate activists, which contrasts with the position of oil and coal companies.</t>
  </si>
  <si>
    <t>The humor arises from an unexpected alignment in which pro-nuclear advocates and oil and coal companies appear on the same side, leaving climate activists at a disadvantage.</t>
  </si>
  <si>
    <t>A four-panel comic showing characters engaged in a tug-of-war. The first panel shows a character labeled “Pro Nuclear” pulling a rope. In the second panel, a character labeled “Climate Change Deniers” joins on the same side. In the third panel, characters labeled “Climate Change Activists” and “Oil &amp; Coal Companies” appear on the opposite side. In the final panel, the “Pro Nuclear” character looks confused and says “Huh?”</t>
  </si>
  <si>
    <t>1ccfha2</t>
  </si>
  <si>
    <t>The man in the top picture admitted in court that he pointed a gun at another person</t>
  </si>
  <si>
    <t>This is funny because the implication that a defendant may incriminate themselves through excessive or careless statements</t>
  </si>
  <si>
    <t>It’s funny because the attorney reacts with visible panic and resignation, suggesting the situation has become hopeless.</t>
  </si>
  <si>
    <t>A meme showing two courtroom images. The top image shows a man in a suit speaking in a courtroom setting, while the bottom image shows another man sitting and covering his face with his hand. The caption reads: “My attorney, after hearing me turn my jaywalking charge into a death penalty case.”</t>
  </si>
  <si>
    <t>1cehmmt</t>
  </si>
  <si>
    <t>Naomi</t>
  </si>
  <si>
    <t>He looks very much like Hugh Laurie.</t>
  </si>
  <si>
    <t>This is funny beacuse he is wearing stripes he looks like a prisoner not a plumber.</t>
  </si>
  <si>
    <t xml:space="preserve">It is  a screeshot of an internet article with the title of "Russian Plumber Doesn't Know Why People Stare At Him On The Street" the phot below the caption shows a middle aged caucasian male with a tired expression. </t>
  </si>
  <si>
    <t xml:space="preserve">This is funny because the man in the photo is making a hilarious expression. </t>
  </si>
  <si>
    <t>1cgcw31</t>
  </si>
  <si>
    <t xml:space="preserve">Its a reference to a trend  on TikTok  where people will ask women if they would feel safer being alone in the woods with a bear or a random man and they almost always choose the bear. Basically the idea is that the bear will be pretty much harmless if you leave it alone vs a man could have nefarious intent with no provocation. </t>
  </si>
  <si>
    <t xml:space="preserve">It is a joke from the movie "The Emperors New Groove" since the lama is an anima he would rathe be friends with a bear than a man. </t>
  </si>
  <si>
    <t xml:space="preserve">The humor arises from the animals reaction to the mans comments about other animals. </t>
  </si>
  <si>
    <t xml:space="preserve">It shows a man speaking with the caption "if you don't understand why women are choosing the bear... you are probably part of the reason they are choosing the bear" and the llama reacting with a gaping sigh. </t>
  </si>
  <si>
    <t xml:space="preserve">It shows a man speaking with the caption "if you don't understand why women are choosing the bear... you are probably part of the reason they are choosing the bear"and the llama reacting with a gaping sigh. </t>
  </si>
  <si>
    <t>1jfy6ms</t>
  </si>
  <si>
    <t>Whitney Houston had a song called "Im every woman"</t>
  </si>
  <si>
    <t>Since Whitney Houston is an actress she has played the roles of many different women before.</t>
  </si>
  <si>
    <t>A screenshot of a twitter interaction between a woman and a man with the LGBTQ flag in his profile having a cinversation about feminism</t>
  </si>
  <si>
    <t xml:space="preserve">It is funny beacuse it is impossible to name every woman and doing so would not be a strong indicator of feminism values. </t>
  </si>
  <si>
    <t>1eae89f</t>
  </si>
  <si>
    <t>In one possible ending of Bloodborne, the protagonist becomes an eldritch squid creature.</t>
  </si>
  <si>
    <t>It is an old maids tale that if you play too many video games you turn into a squid.</t>
  </si>
  <si>
    <t xml:space="preserve">It is funny because playing a game can not change your pysical anatomy. </t>
  </si>
  <si>
    <t xml:space="preserve">It shows a line of somber men walking in a single file line into a an upside cover of the game Bloodborne and leaving the other side of the cover is a line of squids. </t>
  </si>
  <si>
    <t>1iw42ka</t>
  </si>
  <si>
    <t>Grimes met Elon Musk at Met gala 2018 , leading to their relationship . Many people believe things would have been better if Grimes and Musk had never met .</t>
  </si>
  <si>
    <t>It is funny because it is implied that men are  more concerned with family but women are only concerned with celebrities.</t>
  </si>
  <si>
    <t xml:space="preserve">It is a screeenshot of a tweet showing a meme with the top portion titled "Boys with the time Machine" and one male face saying "im your grandson" and he other one replies "wow" the lower portion of the meme is titled "Girls with the time machine" and a group of females speaking to a photo of Grimes with the caption "do not go to the 2018 Met Gala" </t>
  </si>
  <si>
    <t xml:space="preserve">It is funny because it is sarcasm since a lot of people want to go ot the met gala every year snce it is considered one of the most prestigous fashion and high society events. </t>
  </si>
  <si>
    <t>1k4fjdr</t>
  </si>
  <si>
    <t>Wish #1 is to wish the genie does the opposite of what he asks in wish #2 Wish #2 is to not grant wish #3 (which since Wish #1 was do the opposite, it means the genie must grant wish #2 as 'do grant wish #3). Wish #3 is cancel wish #1, which is to do the opposite of wish #2, which as established is to make the genie grant wish #3, which causes wish #2 to not be opposite, which means that genie can't grant wish #3, which means wish #1 can't be cancelled, which means, genie needs to do the opposite of "don't do wish #3", which means, the genie must cancel wish #1, which means wish #2 becomes "don't grant wish #3", thus stopping "cancel wish #1" from happening, which means wish #2 won't grant wish #3, which means wish #1 gets cancelled, which means, wish #2 must cancel wish #3, which means wish #1 doesn't get cancelled...</t>
  </si>
  <si>
    <t xml:space="preserve">Itfunny because its a common logic problem </t>
  </si>
  <si>
    <t>A four-panel comic followed by an image of a mushroom cloud, depicting a man using his three wishes from a genie to create a logical paradox by asking for the opposite of the second wish, the denial of the third wish, and the cancellation of the first.</t>
  </si>
  <si>
    <t xml:space="preserve">It is funny because nobody would ever ask for this. </t>
  </si>
  <si>
    <t>1l4mpmj</t>
  </si>
  <si>
    <t>"He liked her body so much he did not realise where he was walking"</t>
  </si>
  <si>
    <t xml:space="preserve">It is funny because the image posted iun the tweet is not a woman so it has incongruous humor. </t>
  </si>
  <si>
    <t xml:space="preserve">Since the photo shows a stuffed animal and the person replying to the tweet is relating the stuffed animal to the rack of stufed animals. </t>
  </si>
  <si>
    <t>A screenshot of a social media thread where a user shares a photo of a woman with a highly exaggerated curvy silhouette asking if men "really like this," followed by a quote-post from another user claiming he once walked into a rack of stuffed animals after seeing someone with that build.</t>
  </si>
  <si>
    <t>1k0el7w</t>
  </si>
  <si>
    <t>"In one of Metal Gear Solid games there was a boss called Psychomantis which messed up with your consol and one of the things the boss does is disabling your first pad port. Since the pad is connected to port 2 the person is fighting with Psychomantis"</t>
  </si>
  <si>
    <t>A meme featuring text about "gamers" being able to identify a specific video game boss by looking at a console, paired with a photo of a PlayStation 1 with its controller plugged into the second port</t>
  </si>
  <si>
    <t>This post implies that gamers is funy because it referencing to the fact that gamers have special psychic abilities to sense the vibes if games.</t>
  </si>
  <si>
    <t xml:space="preserve">It is funny beacsue it is impossible to tell wht game someone is playing just by looking at their playtstation. </t>
  </si>
  <si>
    <t>15h4szq</t>
  </si>
  <si>
    <t>In Platos republic, Plato argues that the best society is one in which a astiorcratic elite who have spent their whole lives training and learning the art of statecraft should be the rulers. The idea is that if someone has been trained in the art of statecraft and philosophy from birth they will be the idea ruler or "philosopher king" who seeks council from other who are skilled in their professions. Super simplified, in an ideal world, people would fulfil a specific role and be happy about it. In Barbie, each of the Barbies holds a specific role they were created for, their ruler rules and does so well, because they were created to rule. The Barbies are happy about it. You could argue it looks like Platos ideal republic</t>
  </si>
  <si>
    <t xml:space="preserve">This is because Plato is one of the first people to come up with an idea of society and barbie is a modern version  of it. </t>
  </si>
  <si>
    <t>A two-panel meme that humorously labels the 2023 Barbie movie poster as "the anime" and the cover of Plato's The Republic as "the manga," satirizing the common gatekeeping trope that one cannot appreciate an adaptation without reading its "source material."</t>
  </si>
  <si>
    <t xml:space="preserve">It is incongruous which makes it funny since Plato is an important philosopher and he ahs nothing in common with childrens toy brand.  </t>
  </si>
  <si>
    <t>1k70gfk</t>
  </si>
  <si>
    <t>White supremacists, in the US at least, have yet to decide if they fully believe Italians are white or not</t>
  </si>
  <si>
    <t>A meme featuring text about Italians watching a "race war" with the intent of joining whoever wins, paired with an image of Thanos sitting on his throne.</t>
  </si>
  <si>
    <t xml:space="preserve">Since Itlaians are ethinically ambiguous they are able to blend in many places. </t>
  </si>
  <si>
    <t xml:space="preserve">There are are a lot of people with Italian ancestors all around the world so they will migrate if there is a race war. </t>
  </si>
  <si>
    <t>1jaa0tw</t>
  </si>
  <si>
    <t>Rosary beads help you keep track of your prayers. It's useful when you need to say 10 consecutive Hail Marys. The bottom image is a Pater Noster cord which has 150 beads for reciting the 150 Psalms. This is clearly more overwhelming than the common rosary</t>
  </si>
  <si>
    <t xml:space="preserve">The beas in the image below have a cursed and demonic meaning and thats why people do not like it. </t>
  </si>
  <si>
    <t>A four-panel meme using the "Joey’s Delayed Reaction" format, showing the character Joey Tribbiani from Friends looking pleased with a standard Catholic rosary, then reacting with wide-eyed shock at an Eastern Orthodox prayer rope (Chotki).</t>
  </si>
  <si>
    <t xml:space="preserve">It is funny because Joey from friends was Catholic and thsat why he recognizes the rosary. </t>
  </si>
  <si>
    <t>A four-panel meme using the "Joey’s Delayed Reaction" format, showing the character Joey Tribbiani from Friends looking pleased with a standard Catholic rosary, then reacting with wide-eyed shock at an Eastern Orthodox prayer rope (Chotki)</t>
  </si>
  <si>
    <t>1m0a4hv</t>
  </si>
  <si>
    <t>This is a typical nationalistic view of the conquistadors. Historically, these explorers were rather horrible, greedy people. There are probably a few who were decent, but they are few in between. A common argument against the native populations that the Spanish encountered is that they were doing human sacrifices (typically the Aztecs, I believe). This is used as an excuse for the conqueror's horrid behavior, saying that that were taken over by more "civilized" people. Mind you, this is completely ignoring public executions and the Spanish Inquisition of the time. Or the various rape and plundering the conquistadors did in the sake of finding resources to exploit. In modern days, Liberals are more likely to point out these vile practices of this colonization. Thus, the girls with strangely colored hair. The smug nature of the comic is to imply that the Spanish were right in their colonization, and that the Aztec and Liberal girls are sad at being "caught" being wrong. However, this ends up being an example of " I've Already Depicted You As The Soyjak" meme</t>
  </si>
  <si>
    <t xml:space="preserve">This is funny because nobody would be upset at ending human sacrifices. </t>
  </si>
  <si>
    <t xml:space="preserve">This references how the spanish were much better looking and morally superior to women and Native American people. </t>
  </si>
  <si>
    <t>A meme featuring a "GigaChad" character edited to look like a Spanish conquistador, standing before a Mayan or Aztec pyramid with the text "SORRY BUT THE HUMAN SACRIFICES WILL STOP," surrounded by various crying "Wojak" characters</t>
  </si>
  <si>
    <t>1hvaqk7</t>
  </si>
  <si>
    <t>They can mean a number of things, but they're mostly just for decoration. This is just a troll meme.</t>
  </si>
  <si>
    <t xml:space="preserve">This is funny beacuse all country folk know that the star is a symbol for prorperous haverst and protection of animals. </t>
  </si>
  <si>
    <t>In America it is for framers to show their pride in the American flag</t>
  </si>
  <si>
    <t>A meme featuring a photo of a red barn with a white "barn star" and text stating that "country folks" can't believe people don't know its meaning</t>
  </si>
  <si>
    <t>1kw3buz</t>
  </si>
  <si>
    <t>You probably know rocket as arugula.</t>
  </si>
  <si>
    <t xml:space="preserve">Rcoekt scientists are very smart so they eat a lot of salads </t>
  </si>
  <si>
    <t>An image of a page from a joke book featuring a pun that reads, "My friend genetically modifies salad. She is a rocket scientist,"</t>
  </si>
  <si>
    <t xml:space="preserve">The rocket scientist is British. </t>
  </si>
  <si>
    <t>1blxcsy</t>
  </si>
  <si>
    <t>It's a skit by the comedians Abbot and Costello called "Who's on first?" The premise of the skit is that the first basemans name is 'Who', the second basemans name is 'What', the third basemans anme is 'I don't know', and Abbot is trying to explain this to Costello</t>
  </si>
  <si>
    <t>A meme featuring a photo of a baseball player standing on first base with the surname "HU" on his jersey, referencing the classic Abbott and Costello</t>
  </si>
  <si>
    <t>It is funny since there is an epsiode about baseball on the TV show "Abbot Elemenatry"</t>
  </si>
  <si>
    <t>It si funny because Abbot and Costello both loved baseball and predicted this memes popularity.</t>
  </si>
  <si>
    <t>1cskltc</t>
  </si>
  <si>
    <t>Penn and Teller are a comedy duo. Penn is the orator and Teller’s whole thing is rarely ever saying anything</t>
  </si>
  <si>
    <t xml:space="preserve">I funny because usually a bank teller talks and the pen an inanimate object cant speak but they have reversed roles. </t>
  </si>
  <si>
    <t>A screenshot of a social media post featuring a dialogue between a bank robber and a bank teller who remains silent, concluding with a character named Penn saying, "He always does this,"</t>
  </si>
  <si>
    <t xml:space="preserve">Its funny because this duo is suaully both silent. </t>
  </si>
  <si>
    <t>A screenshot of a social media post featuring a dialogue between a bank robber and a bank teller who remains silent, concluding with a character named Penn saying, "He always does this,</t>
  </si>
  <si>
    <t>1kqwlgj</t>
  </si>
  <si>
    <t>There's a common theistic argument that the Earth is too perfect to be here by accident, it must be here on purpose, ergo a god exists. This is known as a fine-tuning argument. The idea is if it was any closer or further away from the sun, if it spun slower or faster, or if it was smaller or bigger even by a tiny amount, it couldn't support life. If that was true, then the Earth being slightly heavier would cause it to be uninhabitable. This meme is essentially saying "this is what the Earth would look like if it was one kilogram heavier, according to theists that use fine-tuning arguments". This is of course all nonsense since all of those variables change a lot anyway. Edit: I'm getting a lot of constant notifications so I'm going to clear the air.  Firstly, I said it's "A" fine tuning argument, not "THE" fine tuning argument. It's a category of argument with multiple variations and this is one of them, so stop trying to correct something that isn't wrong. Secondly, I never claimed a god doesn't exist and I never claimed that fine tuning being a stupid argument proves that a god doesn't exist. Saying stuff like "intelligent design is still a good argument" is both not true and also completely irrelevant. Thirdly, this is my interpretation of the joke. I could very well be wrong. It's just where my mind went.</t>
  </si>
  <si>
    <t xml:space="preserve">This is funny because mass cant be added to earth due to physics. </t>
  </si>
  <si>
    <t xml:space="preserve">This is an anti science meme that mocks scientists delusion sie everyone knows that mass is added to earth constantly. </t>
  </si>
  <si>
    <t>A meme featuring an image of the Earth being consumed by a massive, fiery explosion in space, paired with the text "Apparently Earth if I make it 1 kilogram heavier,"</t>
  </si>
  <si>
    <t>15yqaf6</t>
  </si>
  <si>
    <t>the double slit experiment, particles behave differently when they are observed.</t>
  </si>
  <si>
    <t xml:space="preserve">It humorously depicts paranoia and how you can feel things when your not looking. </t>
  </si>
  <si>
    <t xml:space="preserve">This meme depicts object permemanence. </t>
  </si>
  <si>
    <t>A two-panel meme featuring the "Monkey Puppet" character looking away and then forward, paired with diagrams</t>
  </si>
  <si>
    <t>1fycaf4</t>
  </si>
  <si>
    <t>"The meme's joke is that the guy is dumb, because he thinks 7+x is always equal to 7x. The meta-joke is that the meme creator is dumb, because you can read 7+x = 7x as an equation to be solved."</t>
  </si>
  <si>
    <t xml:space="preserve">This meme is funny because the boy is being broken up with by the much smarter girl. </t>
  </si>
  <si>
    <t xml:space="preserve">It is funny because you would nver text your crush an algebraic equation. </t>
  </si>
  <si>
    <t>A two-panel meme featuring an illustration of a man texting the algebraic equation 7+x=7x to a woman, who replies with, "I think we should see other people,"</t>
  </si>
  <si>
    <t>1cpvjc7</t>
  </si>
  <si>
    <t>The joke in the trucker community is that SWIFT stands for Sure Wish Id Finished Training. They're notorious for getting stuck in stupid places, getting into stupid wrecks, and generally making a nuisance of themselves due to lack of forethought</t>
  </si>
  <si>
    <t xml:space="preserve">It is funny because truck drivers need to drive swiftly to get to their destinantion. </t>
  </si>
  <si>
    <t xml:space="preserve">Truckers can't read and thats why they are unable to follow the signage. </t>
  </si>
  <si>
    <t>A two-panel meme featuring a collection of road signs explicitly warning Swift Transportation trucks that a road is a dead end and they are not allowed, paired with a photo of a Swift semi-truck stuck in the mud on that exact narrow, wooded path.</t>
  </si>
  <si>
    <t>1bur7j0</t>
  </si>
  <si>
    <t xml:space="preserve">I I think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 </t>
  </si>
  <si>
    <t>This is funny becuase this fairly obviosus since your house has walla between the inside and outside you naturally lose some space.</t>
  </si>
  <si>
    <t>A four-panel "Trollface" comic titled "how to troll le wife!" that depicts a man moving into a new house, setting up cameras, and measuring the dimensions, only to end with a haunting realization that the inside of the house is 1/12 of an inch larger than the outside</t>
  </si>
  <si>
    <t xml:space="preserve">This is funny because finding out your hous is bigger wouldnt make your wife unhappy. </t>
  </si>
  <si>
    <t>1co83ht</t>
  </si>
  <si>
    <t>the joke is; the management and human resources department employees are always gleeful under any circumstances, even when they are about to give you the worst possible news.</t>
  </si>
  <si>
    <t>The humor comes from the idea that female colleagues maintain a friendly, smiling appearance in the workplace regardless of the situation.</t>
  </si>
  <si>
    <t>The humor comes from the contrast between the workplace being formal and the calm, friendly expressions shown.</t>
  </si>
  <si>
    <t>A meme with the text “POV: The left is HR and the right is your manager and you’re about to get fired,” showing two side-by-side images of women facing the camera and smiling.</t>
  </si>
  <si>
    <t>1cwrltm</t>
  </si>
  <si>
    <t>Cuz if a person is in danger and wants to call 911 but they don't want the person they are with to know they are calling 911, presumably because that person *is* the danger, they can pretend they are ordering a pizza and the 911 dispatcher will know to send police.  The dispatcher can ask yes or no questions and the caller can answer while still pretending they are ordering a pizza. That is a picture of moistcritikal.</t>
  </si>
  <si>
    <t>It is humorous because dialing only three numbers contradicts the expectation of ordering food, creating an illogical situation.</t>
  </si>
  <si>
    <t>It is humorous because he appears to be impatiently waiting for his wife to complete the phone number needed to order the pizza.</t>
  </si>
  <si>
    <t>A screenshot of a social media post with the headline “POV: I’m telling my wife what I want on the pizza she’s ordering but I hear her only dial 3 numbers” at the top, followed by an image of a man with long hair sitting indoors looking unamused.</t>
  </si>
  <si>
    <t>1cym2ue</t>
  </si>
  <si>
    <t>There are already many great answers here, but I’d like to add an interesting example involving Deadmau5. He bought a Ferrari 458 Spider and heavily modified it, even replacing the Ferrari emblem with a “Purrari” logo. This led to Ferrari suing him over the modifications. Interestingly, Lamborghini later offered him a Huracan with a Nyan Cat wrap as a playful response to the situation!</t>
  </si>
  <si>
    <t>It is humorous because the response is exaggerated, depicting legal action as if it were a military operation.</t>
  </si>
  <si>
    <t>It is humorous because the visual presentation creates an overly serious and ominous tone.</t>
  </si>
  <si>
    <t>A meme with the text “Ferrari’s lawyers on their way to sue someone for modifying the car that they bought with their own money:” at the top, followed by an image of several men in suits walking out of a large building entrance.</t>
  </si>
  <si>
    <t>1d2jxbw</t>
  </si>
  <si>
    <t>Dasani is highly regarded as one of the worst bottled water brands for its supposedly horrible taste</t>
  </si>
  <si>
    <t>It is humorous because he proceeds to drink it despite the negative implication.</t>
  </si>
  <si>
    <t>It is humorous because the liquid is initially perceived as water but is implied to be something else.</t>
  </si>
  <si>
    <t>A multi-panel comic showing a man stranded in a desert, crawling and asking for water. He finds a bottle labeled “Dasani,” expresses relief, then looks disappointed and throws the bottle away.</t>
  </si>
  <si>
    <t>1d6ho4f</t>
  </si>
  <si>
    <t>When you push your nail against a mosquito bite it stops it from itching for a bit</t>
  </si>
  <si>
    <t>It is humorous because the irritation on the skin creates the impression that treatment has already been applied.</t>
  </si>
  <si>
    <t>A meme with the text “Do you need some anti itch cream?” followed by “Me: nah I’m good bro,” above an image of a hand with visible redness and irritation.</t>
  </si>
  <si>
    <t>It is humorous because the response contradicts the visible condition, creating a sarcastic effect.</t>
  </si>
  <si>
    <t>1d8sg9b</t>
  </si>
  <si>
    <t>Lots of anecdotal stories about how if you film at Chipotle you get larger portions.</t>
  </si>
  <si>
    <t>It is funny because it exaggerates the idea that being at Chipotle involves being filmed, which is not typically the case.</t>
  </si>
  <si>
    <t>A meme with the text “going to chipotle ya’ll need anything” at the top, followed by an image of a man wearing a body-mounted camera rig with a large professional camera attached.</t>
  </si>
  <si>
    <t>It is humorous because it references situations where people offer food but record the interaction, implying an unnecessary level of production.</t>
  </si>
  <si>
    <t>1d98tf9</t>
  </si>
  <si>
    <t>Guy took out his town’s city hall, a former mayor’s house, and some other buildings, in a tank-like modified bulldozer, over a dispute with the city. He also committed suicide at the end of it. Lookup Killdozer.</t>
  </si>
  <si>
    <t>A meme with the text “Sometimes reasonable men must do unreasonable things” displayed above and below an image of a bulldozer-like machine.</t>
  </si>
  <si>
    <t>this evokes childhood behavior, where playing with machines or toys is common.</t>
  </si>
  <si>
    <t>It is funny because operating a bulldozer is framed as an unreasonable or excessive activity.</t>
  </si>
  <si>
    <t>1dbipgs</t>
  </si>
  <si>
    <t>The muscles and tendons in the ring finger are highly interconnected with, and partially dependent on, the pinky and middle finger. It's also very difficult to place all your fingers on a table and only lift up the ring finger, but lifting it with the ring or pinkly finger is easy. OP, you are a "mutant" in that you're part of the small percent of the population that can move their ring finger independently. It can become a learned ability, but that requires active training with the fingers, being able to do it naturally is very unique.  It's why some people struggle to do the Vulcan hand sign form Star Trek. To add more info, in general, the muscles in our fingers are deeply connected to the forearm muscles. lay down one hand, put the other hand on your forearm, and just wiggle your fingers. You should feel your forearm tense and flex in different spots with each finger movement. The musculatory system is highly complex!</t>
  </si>
  <si>
    <t>A meme with the text “Only 1% of humans can do this” at the top, showing a hand with fingers positioned in an unusual way. At the bottom, the text reads “If you think is easy, re-check where the pinky is.”</t>
  </si>
  <si>
    <t>It is humorous because the hand gesture can resemble a familiar shape, such as a bunny.</t>
  </si>
  <si>
    <t>The humor stems from the ambiguity of the finger placement, making it difficult to determine the position of the pinky or thumb.</t>
  </si>
  <si>
    <t>1dfrh37</t>
  </si>
  <si>
    <t>Because the king can't safely move, the match is a stalemate</t>
  </si>
  <si>
    <t>A multi-panel comic showing a queen confronting a king in a castle. The queen threatens the king with a sword, while the king warns her not to move to a certain space. In the next panel, the king appears in a different location unharmed, while the queen stands in the previous position. The final panel shows many fallen characters outside the castle and others reacting with frustration.</t>
  </si>
  <si>
    <t>It is humorous because the other characters react with frustration toward the queen’s action.</t>
  </si>
  <si>
    <t>It is humorous because the king avoids death despite the apparent threat.</t>
  </si>
  <si>
    <t>1di1z94</t>
  </si>
  <si>
    <t>This was posted yesterday on Chuck Shumer's Twitter. He made a post about grilling for Father's Day but had placed the cheese on a completely raw burger which no one would do indicating it was a staged photo or just another example of government incompetence.</t>
  </si>
  <si>
    <t>It is humorous because it can be interpreted as a cultural reference to simple food combinations, such as bread with cheese.</t>
  </si>
  <si>
    <t>It is humorous because the statement and the image appear unrelated, creating an incongruous combination.</t>
  </si>
  <si>
    <t>A meme with the text “I’m from the government and I’m here to help.” at the top, followed by an image of a burger patty on a grill with a slice of cheese placed directly on top.</t>
  </si>
  <si>
    <t>1dk6kds</t>
  </si>
  <si>
    <t>In this episode of Tom &amp; Jerry, Tom arrives at the gates of Heaven together with a group of other cats who recently died. These kittens are inside of a soaked sack, implying that they were drowned. The gatekeeper even says this has happened a lot.</t>
  </si>
  <si>
    <t>It is humorous because experiences are perceived as more lighthearted during childhood.</t>
  </si>
  <si>
    <t>It is humorous because the same Tom and Jerry scene is experienced differently with age.</t>
  </si>
  <si>
    <t>A meme comparing two stages of watching Tom and Jerry. The top shows a child watching a scene without understanding it, alongside a neutral facial expression. The bottom shows the same scene labeled “14 years later,” paired with a more serious facial expression.</t>
  </si>
  <si>
    <t>1dlzvsx</t>
  </si>
  <si>
    <t>The boots seems to be more detailed, so took more time to draw... That's all</t>
  </si>
  <si>
    <t>It is humorous because drawing was more difficult in the past, yet people today are perceived as less productive.</t>
  </si>
  <si>
    <t>It is humorous because drawing appears simpler today.</t>
  </si>
  <si>
    <t>A screenshot of a social media post comparing drawings labeled “1978” and “2011,” showing a simpler sketch in the earlier year and a more detailed drawing of boots in the later year.</t>
  </si>
  <si>
    <t>1do7yvv</t>
  </si>
  <si>
    <t>His wife thinks he was protecting her from hitting her head on the table, but really he was keeping his secret stash of money from being discovered.</t>
  </si>
  <si>
    <t>A multi-panel comic showing a woman handling a wet cloth near a window. She attempts to dry or manage the cloth, while a man approaches and interacts with her. In a later panel, the woman kisses the man, and in the final panel, money is shown being placed on a surface near the window.</t>
  </si>
  <si>
    <t>It’s funny because she only kisses him after noticing the money, suggesting she’s motivated by it.</t>
  </si>
  <si>
    <t>It’s funny because the money shows up out of nowhere and feels completely random.</t>
  </si>
  <si>
    <t>1dr9jg6</t>
  </si>
  <si>
    <t>He plays music in that background while holding his finger up and a caption rolling such as “ Song X is like/sampled/copied from Song Y” - all the while staring blankly at the camera.</t>
  </si>
  <si>
    <t>It is humorous because small creators are portrayed as struggling despite producing high-quality content.</t>
  </si>
  <si>
    <t>A two-panel meme showing a school bus on train tracks with a train approaching. The top panel includes text describing small creators trying to get views. The bottom panel shows the train colliding with the bus, with additional text and an image of a man inserted over the train.</t>
  </si>
  <si>
    <t>It is humorous because an unrelated individual is depicted as gaining attention effortlessly, despite lacking a clear connection to the situation.</t>
  </si>
  <si>
    <t>1dtmedg</t>
  </si>
  <si>
    <t>The man is either presenting a puzzle ("find x") or making an assertion ("7 + x is the same thing as 7 \* x"), and either way, the woman isn't having it.</t>
  </si>
  <si>
    <t>It’s funny because bringing up a math equation in a romantic setting feels socially inappropriate and awkward.</t>
  </si>
  <si>
    <t>A two-panel comic showing a man lying on a couch looking at his phone with a speech bubble containing the equation “7 + x = 7x.” In the second panel, a woman next to him looks down and says, “I think we should see other people.”</t>
  </si>
  <si>
    <t>It’s funny because the equation implies he has had multiple past partners, which is perceived negatively and leads to her reaction.</t>
  </si>
  <si>
    <t>1dwa7tj</t>
  </si>
  <si>
    <t>There was a practice back then to create Castrati, essentially choir boys castrated before puberty in order to maintain a high pitched singing voice.</t>
  </si>
  <si>
    <t>A four-panel comic showing a boy and a priest in a church talking about singing, followed by a final panel of an adult sitting by a fireplace with text about losing his balls.</t>
  </si>
  <si>
    <t>It’s funny because it is presented as a simple story to tell.</t>
  </si>
  <si>
    <t>It’s funny because singing is portrayed as unmanly, and he compares it to losing his balls.</t>
  </si>
  <si>
    <t>1e0k66e</t>
  </si>
  <si>
    <t>Its a coding joke. You ask for 0 wishes, and that in itself is a wish, so you ends up with -1 wishes. But old computing systems can't take negative integers, so it gets set to 255, which is the 8-bit integer limit. edit: wording   edit2: Any system *can* take negative numbers if you program it to, but this particular problem is mostly exists on old systems due to either technological limits/budget or was never intended to account for them.</t>
  </si>
  <si>
    <t>A meme with text at the top showing a dialogue: “Genie: You have three wishes,” “Me: Make it 0,” and “Genie: Ok, you now have 255.” Below the text is an image of a blue cartoon genie sitting and thinking.</t>
  </si>
  <si>
    <t>It’s funny because the person confuses the genie, who then loses track of the wishes and ends up giving 255 instead.</t>
  </si>
  <si>
    <t>It is humorous because the number 255 appears unexpected and arbitrary.</t>
  </si>
  <si>
    <t>1e2qvt9</t>
  </si>
  <si>
    <t>There's a common phrase in the atheist community. "Read parts of the bible and you become a Christian, read the whole bible and you become an atheist." As an atheist that used to be christian I can agree with the sentiment even though it's a bit oversimplified.</t>
  </si>
  <si>
    <t>A meme with the text “Just read the Bible for yourself and you’ll see why I’m right” at the top. Below are two images labeled “People who don’t know” and “People who know,” showing a normal-looking character on the left and a darker, unsettling face on the right</t>
  </si>
  <si>
    <t>It is humorous because the scared reaction suggests an atheist realizing that God exists.</t>
  </si>
  <si>
    <t>It is humorous because the person is trying to convert others to Christianity by presenting it as the truth.</t>
  </si>
  <si>
    <t>1e6m88u</t>
  </si>
  <si>
    <t>The bottom is Stevie Nicks and Lindsey Buckingham of Fleetwood Mac. They were a couple when they joined the band in the 70s. By the time of their classic album Rumours, they had broken up very acrimoniously. They started writing basically diss songs about each other for the album. Also, basically every member of the band beside Mick Fleetwood and John Mcvie (edit to make this more clear, the only members not sleeping with each other) sleeping together. There was also a lot of cocaine. They made a masterpiece.</t>
  </si>
  <si>
    <t>A two-panel meme showing a woman at the top with text about writing songs about her exes, and a couple at the bottom with the text “That’s cute.”</t>
  </si>
  <si>
    <t>A two-panel meme showing a man sweating at the top and another man reacting below, with text about a video being sponsored.</t>
  </si>
  <si>
    <t>It’s funny because the couple appears to be judging Taylor Swift for her controversial songs.</t>
  </si>
  <si>
    <t>1ea5yhw</t>
  </si>
  <si>
    <t>It's less professional than a navy, gray, or black one. Certain Obama opponents tried to blow it up into a scandal. This post is poking fun at those people for losing their mind over what is in the and a perfectly acceptable suit.</t>
  </si>
  <si>
    <t>A screenshot of a post asking about Obama wearing a tan suit, with an image of Barack Obama standing outside in a tan suit.</t>
  </si>
  <si>
    <t>It’s funny because tan suits are often seen as less flattering on darker skin tones.</t>
  </si>
  <si>
    <t>It’s funny because the image seems edited, as Obama is usually seen wearing darker suits</t>
  </si>
  <si>
    <t>1eeayas</t>
  </si>
  <si>
    <t>One participant’s name is listed as J Christ. That is very much like Jesus Christ, a famed religious figure that reputedly walked on water. Being able to walk on water would be an unfair advantage.</t>
  </si>
  <si>
    <t>A post with text about unfair advantage in water, showing two rowers in a boat during a competition.</t>
  </si>
  <si>
    <t>It’s funny because the person in the front appears more physically built, like a typical athlete.</t>
  </si>
  <si>
    <t>It’s funny because the person in the front seems more enthusiastic.</t>
  </si>
  <si>
    <t>1efs65o</t>
  </si>
  <si>
    <t>The commenter is referring to the fact it could also look like the one star dragonball from a show called dragonball.</t>
  </si>
  <si>
    <t>An image of a hand holding an orange with a red star shape on it, with text above and below referencing “A Soviet Orange.”</t>
  </si>
  <si>
    <t>It’s funny because a rare-looking fruit is treated negatively, poking fun at that mindset.</t>
  </si>
  <si>
    <t>It’s funny because most people would not think anything unusual about it.</t>
  </si>
  <si>
    <t>1eko6xo</t>
  </si>
  <si>
    <t>I believe it was revealed some time ago that BetterHelp's service is actually very lackluster.</t>
  </si>
  <si>
    <t>It’s funny because BetterHelp is framed as the ideal sponsor due to its focus on mental health.</t>
  </si>
  <si>
    <t>It’s funny because increased access to therapy is presented as improving society overall.</t>
  </si>
  <si>
    <t>1elhse8</t>
  </si>
  <si>
    <t>The joke is that the modern ballpoint pen is a perfectly designed technology that would be unaffected by the butterfly effect. The design has survived long enough that not even time travel could stop its use.</t>
  </si>
  <si>
    <t>Everyone knows the butterfly effect can turn small changes into big consequences, which makes it funny.</t>
  </si>
  <si>
    <t>The humor comes from how little actually changes over time despite the expectation.</t>
  </si>
  <si>
    <t>A meme with the text “Time traveller: moves a chair” and “Timeline:” above four images of identical blue pens labeled 1955, 1985, 2015, and 2021</t>
  </si>
  <si>
    <t>1eq297i</t>
  </si>
  <si>
    <t xml:space="preserve">These were sold in vending machine inside break rooms, usually at manufacturing plants.  They were usually in the vending machine that rotates. You have to open the little door and pull it out. Edit: These were a great choice at 7 am, first thing In the morning, because you didn’t get home from the bars  before 3:30 am.  </t>
  </si>
  <si>
    <t>It’s funny since they’re underrated but actually taste really good.</t>
  </si>
  <si>
    <t>The joke is that it’s literally just a toy.</t>
  </si>
  <si>
    <t>A screenshot of a tweet stating “if you’ve never eaten one of these i don’t want to hear your opinion on labor rights” above an image of a packaged “Big AZ Cheeseburger” and a cheeseburger.</t>
  </si>
  <si>
    <t>1et8l0q</t>
  </si>
  <si>
    <t>I think the joke is that they typed in their calculator app by accident rather than setting their alarm clock.</t>
  </si>
  <si>
    <t>It comes off as a prank message rather than something serious.</t>
  </si>
  <si>
    <t>The time shown isn’t even when you’re supposed to clock in yet.</t>
  </si>
  <si>
    <t>A screenshot of a text conversation labeled “Boss” asking “Why are you late to work??” with a reply showing a calculator displaying “630,” followed by “Understandable, have a nice day.”</t>
  </si>
  <si>
    <t>1ex1lej</t>
  </si>
  <si>
    <t>They’re out of business, so someone could use it as resume fluff</t>
  </si>
  <si>
    <t>No one can really prove where you’ve worked, which is what makes it funny.</t>
  </si>
  <si>
    <t>The seriousness of his expression makes the statement funnier.</t>
  </si>
  <si>
    <t>A meme with the text “Remember, no one can prove you weren’t a regional manager for RadioShack or Toys’R’Us” above an image of a man staring intensely.</t>
  </si>
  <si>
    <t>1f0qs2a</t>
  </si>
  <si>
    <t>It’s an old cigarette light all cars used to have. If you pushed it into the socket it would get really hot in about 30 seconds and you could light a cigarette. The meme tweet is saying that every curious kid has touched one of these, including me.  But they don’t don’t put them in cars anymore</t>
  </si>
  <si>
    <t>Nothing would actually happen, which is the point.</t>
  </si>
  <si>
    <t>A lot of kids have gotten their fingers stuck in those.</t>
  </si>
  <si>
    <t>A screenshot of a tweet asking “Who knows what this is?” above a close-up image of a circular metal object, followed by a reply mentioning “A teachable moment for an overly curious child in a car alone.</t>
  </si>
  <si>
    <t>1f4tmhz</t>
  </si>
  <si>
    <t>This looks like a prison cell, but the guy took the picture like new home owners do with the keys. So the joke is saying that it took them 18 years to get their own place, which actually is a prison cell.</t>
  </si>
  <si>
    <t>The housing market is so tough that even a tiny room counts as a win.</t>
  </si>
  <si>
    <t>It doesn’t really look impressive enough to brag about.</t>
  </si>
  <si>
    <t>A screenshot of a Reddit post titled “Took me 18 years, but I did it!” showing a hand holding keys inside a prison cell with a bed, toilet, and small window.</t>
  </si>
  <si>
    <t>1f16w9p</t>
  </si>
  <si>
    <t>it's a prank device that give you a small shock when you try to take the gum</t>
  </si>
  <si>
    <t>Kids would offer gum but never actually share it.</t>
  </si>
  <si>
    <t>It usually meant the gum was picked up from the ground.</t>
  </si>
  <si>
    <t>A meme with the text “this is where my trust issues started” above three packs of chewing gum labeled “PULL HERE,” each partially opened with a strip visible.</t>
  </si>
  <si>
    <t>1fa202w</t>
  </si>
  <si>
    <t>Grave of the Fireflies, it's a grade A tear jerker.</t>
  </si>
  <si>
    <t>It isn’t even a show.</t>
  </si>
  <si>
    <t>It’s just a manga, nothing more.</t>
  </si>
  <si>
    <t>An image of a boy carrying a child in front of a burning building, with text below showing a conversation where one person asks “Show?” and another replies “no this is for your own good.”</t>
  </si>
  <si>
    <t>1fbym0h</t>
  </si>
  <si>
    <t>One likes to eat, one goes to the gym, and one survives off energy drinks and snicker bars. Probably.</t>
  </si>
  <si>
    <t>It’s funny since they all prefer different drinks, which highlights how different they are.</t>
  </si>
  <si>
    <t>The joke is that Prime is mainly associated with kids.</t>
  </si>
  <si>
    <t>A meme with the text “Average male friend group:” above an image of three items on a store shelf: a yellow Heinz mustard bottle placed upside down, a green Prime drink bottle, and a pink Alani energy drink can.</t>
  </si>
  <si>
    <t>1fdg0i5</t>
  </si>
  <si>
    <t xml:space="preserve"> Alan Turing was gay and was pretty brutally persecuted for it by the UK government. He's the guy who kind of invented modern computing and did things like help crack the German Enigma code. Despite his accolades he ended up taking his life because of mistreatment by the country he helped survive.</t>
  </si>
  <si>
    <t>It plays on the idea that the UK government is homophobic.</t>
  </si>
  <si>
    <t>Your sexuality has nothing to do with your abilities, which is what makes it funny.</t>
  </si>
  <si>
    <t>A screenshot of a tweet reading “The British government the second ww2 was over” above an image of a woman speaking, with overlaid text “you’re telling me a queer coded this.”</t>
  </si>
  <si>
    <t>1fg38dp</t>
  </si>
  <si>
    <t>The word they’re looking for is homage</t>
  </si>
  <si>
    <t>It points out how a lot of kids end up at events meant for adults.</t>
  </si>
  <si>
    <t>Beyoncé being much richer than Megan is what the joke leans on.</t>
  </si>
  <si>
    <t>A screenshot of a tweet saying “Open the schools” quoting another tweet about Megan Thee Stallion paying mortgage to Beyoncé, with two side-by-side images of the two artists wearing similar outfits.</t>
  </si>
  <si>
    <t>1fm0tjo</t>
  </si>
  <si>
    <t>Someone feels old because they remembered Y2K was a thing.</t>
  </si>
  <si>
    <t>Obviously no one can live for 3000 years.</t>
  </si>
  <si>
    <t>Back then people thought not turning off the PC would break it.</t>
  </si>
  <si>
    <t>A meme showing a sticker reading “REMEMBER Turn your computer off before midnight on 12/31/99” above an image of a man with the caption “I was there. 3,000 years ago…”</t>
  </si>
  <si>
    <t>1fs6ndo</t>
  </si>
  <si>
    <t>Tyranids avoid two things , demon and necron. Tbf thé latter are probably a better news than the nids</t>
  </si>
  <si>
    <t>Something bad is happening, yet the soldier is still smiling.</t>
  </si>
  <si>
    <t>At first it seems like bad news, but then he realizes it’s actually good.</t>
  </si>
  <si>
    <t>A three-panel meme showing a soldier in armor with text: “A Tyranid fleet is approaching the system,” followed by two panels both stating “It ignores your planet,” with the soldier’s facial expression changing.</t>
  </si>
  <si>
    <t>1fo91u1</t>
  </si>
  <si>
    <t>The Logo designer normally charges 350$ But the person asking for the logo has a budget of 800$ 800$ is more dollars than the 350$, this is an important fact which can be easily overlooked.  So just about as the logo desinger was to send their message they see this. And after doing a bit of math and self refelection they think to themselves.  "hmm, I could also charge 800$ as that is more than 350$" Which will allow the logo desinger to buy more peanuts.  Peanuts are tasty.  Also shrek is there for the 'hold on a moment' thing and obviously for the sex appeal.</t>
  </si>
  <si>
    <t>It’s funny because the offer is much lower than the original price.</t>
  </si>
  <si>
    <t>It’s funny because the buyer sent the message to the wrong person.</t>
  </si>
  <si>
    <t>A screenshot of a chat where a person asks for a logo price, states a budget of $800, and a reply is typed “Logo design price is $350,” followed by an image of Shrek smiling.</t>
  </si>
  <si>
    <t>1fst6nb</t>
  </si>
  <si>
    <t xml:space="preserve">Yeah its a political joke, the neighbours have taken a part of the other person's garden just like Russia has taken parts of Ukraine. Hopefully that helps.        </t>
  </si>
  <si>
    <t>It plays on the stereotype that Russians tend to be reserved rather than overly talkative.</t>
  </si>
  <si>
    <t>There’s an implicit absurdity in someone openly identifying as Russian to their neighbors in an American setting, where that isn’t particularly common.</t>
  </si>
  <si>
    <t>Drawing of a man standing by a fence talking to two neighbors inside a yard; a speech bubble says: “No, we’ve never had Russian neighbours. You are the first.”</t>
  </si>
  <si>
    <t>1fu3pp1</t>
  </si>
  <si>
    <t>that is way too good for a school computer. it's clearly for gaming</t>
  </si>
  <si>
    <t>The humor comes from a child demonstrating unexpectedly advanced knowledge.</t>
  </si>
  <si>
    <t>The phrasing appears not making sense, which creates the comedic effect.</t>
  </si>
  <si>
    <t>Four-panel meme: top text shows a mother asking for a PC for school and a son listing high-end specs; bottom panels show Shrek smiling.</t>
  </si>
  <si>
    <t>1fuxrbx</t>
  </si>
  <si>
    <t>The numbers when pressed will correlate to different letters. For example, pressing 2 will give you A, but pressing 22 will give you B, 222 giving you C, and so on.  This pattern of numbers spells, "It was me Dio!" Which is a reference to the anime Jojo's Bizarre Adventure. The line is said by the main antagonist, named Dio Brando.</t>
  </si>
  <si>
    <t>The joke lies in how it presents itself as completely ordinary, even though it’s framed as something unusual.</t>
  </si>
  <si>
    <t>That old Nokia triggers nostalgia, which is what makes it amusing.</t>
  </si>
  <si>
    <t>Image of an old mobile phone keypad with numbers and letters; below it is the sequence: “4448 927777 633 3444666”.</t>
  </si>
  <si>
    <t>1fwbzz9</t>
  </si>
  <si>
    <t>A small county sent out an emergency alert to the entire state, setting off everyone’s phone with a loud alarm at 4:53 am. It was to be on alert for a white guy in a blue shirt and pants who shot a cop. Texas is a huge state so people literally 10 hours away got alerted and woken up. Everyone is pissed off, and it’s against the rules of the emergency alert to use it during those hours, and we don’t know if it was by accident or just negligence.  Let me clarify a point: it’s only Amber and Blue Alerts that aren’t supposed to be sent between 11pm and 6am, other emergencies can go off any time. These are also internal rules, not laws.</t>
  </si>
  <si>
    <t>It highlights the situation of staying up far too late despite having responsibilities the next morning.</t>
  </si>
  <si>
    <t>The joke exaggerates the idea that Texas never sleeps, making it seem like the entire state relates.</t>
  </si>
  <si>
    <t>Text “all of texas at 4:53 am” above a photo of a man lying in bed looking tired and confused while holding a phone.</t>
  </si>
  <si>
    <t>1fxqzyt</t>
  </si>
  <si>
    <t>She is meaning to say, “aww, thank you so much”. He apparently has autism and doesn’t realize she was texting an acronym so he read it as a misspelling of autism, aww-tysm.</t>
  </si>
  <si>
    <t>He seems to forget he sent the message himself, as if the other person could somehow read his mind.</t>
  </si>
  <si>
    <t>The humor stems from the complete lack of logical meaning.</t>
  </si>
  <si>
    <t>Four-panel comic: a person receives “You’re cute”, replies “Aww tysm”, then misreads it as “Awwtism?”, and lies in bed holding a phone.</t>
  </si>
  <si>
    <t>1g02nzf</t>
  </si>
  <si>
    <t>There was a copper merchant named Ea-Nasir who lived around 1750 BC. Archeologists have discovered several clay tablets complaining about this guy by name (saying that he sold them substandard copper, was very slow on deliveries, etc). This is interesting because these are the oldest recorded customer complaints. Ea-Nasir has become kind of a meme on some parts of the internet, so this sticker is a joke about him.</t>
  </si>
  <si>
    <t>The randomness of the words is what creates the comedic effect.</t>
  </si>
  <si>
    <t>It works because the meaning feels personal or subjective rather than universally clear.</t>
  </si>
  <si>
    <t>Screenshot of a post showing an object with the text: “WELL BEHAVED COPPER INGOT MERCHANTS RARELY MAKE HISTORY”.</t>
  </si>
  <si>
    <t>1g7yhzc</t>
  </si>
  <si>
    <t>The OP is trying to say that certain people, especially trans women over a certain age who use the internet, type in a very distinct, tumblr-esque, "chronically online" style. The person who replies is trans (as you can tell by the flag in their username) and uses a lot of abbreviations and certain punctuation that is seemingly the exact style of writing the OP was describing. The joke is that, ironically, the person in that category doesn't seem to realise there is a distinctive style of writing, despite the fact they themselves are using it (although this may be satire/intentional) Edit: In addition, as many of the replies suggested, there's a bit of another layer: they are most likely (like 99% chance) overexaggerating the unique typing to join in on the joke - sarcastically saying "I have noooo idea what you could mean by that", basically :)</t>
  </si>
  <si>
    <t>Screenshot of a tweet mentioning a “28+ year old trans girlfriend and how they type”; below, a reply says: “hey rq i’m just Really Curious what u mean by that,,,,”.</t>
  </si>
  <si>
    <t>The humor arises from the person incorrectly assuming that the message is about them, simply because it is written in an informal tone.</t>
  </si>
  <si>
    <t>The humor comes from the fact that the conclusion is made without any supporting evidence in the tweet.</t>
  </si>
  <si>
    <t>1g4657e</t>
  </si>
  <si>
    <t>Not Floridian but isn't the north of Florida bordering with some "southern" US-states, culturally speaking? (Florida being rather hispanic/caribbean, the more south you go)</t>
  </si>
  <si>
    <t>The humor lies in the exaggeration that Egyptians today would still understand it.</t>
  </si>
  <si>
    <t>The humor stems from the contrast between this assumption and how the rest of the world actually functions.</t>
  </si>
  <si>
    <t>Meme with text about Florida: “the more North you go, the farther South you’re in”; below is Captain America with the caption “Ancient Egyptians: I understood that!”</t>
  </si>
  <si>
    <t>1gazv8u</t>
  </si>
  <si>
    <t>Saddam hussein hiding spot</t>
  </si>
  <si>
    <t>The humor comes from how widely human perceptions of what is threatening can vary.</t>
  </si>
  <si>
    <t>The humor arises from how primitive human pattern recognition can be in certain situations.</t>
  </si>
  <si>
    <t>Comic showing an ape asking for a “pattern-seeking brain”, an image of DNA, and a final panel with an object on the ground.</t>
  </si>
  <si>
    <t>1gidb47</t>
  </si>
  <si>
    <t xml:space="preserve">In real life, most hackers are scammers who rely on exploiting people’s trust to obtain passwords rather than bypassing them.   </t>
  </si>
  <si>
    <t xml:space="preserve">The humor arises from the absurdity of an old man “hacking” by using outdated social tricks to obtain personal information in modern days </t>
  </si>
  <si>
    <t>The humor comes from the mismatch between the term “hacking” and the act of simply asking people for their information.</t>
  </si>
  <si>
    <t>Two-part meme: top shows a person with a laptop and text “writes a few lines of code ‘I’m in.’”; bottom shows another person at a computer with text about asking for passwords.</t>
  </si>
  <si>
    <t>1gop1dk</t>
  </si>
  <si>
    <t>The Joke is, when a small Child sleeps at this time of the day, it will BE awake all night and you dont want that to happen as a parent.</t>
  </si>
  <si>
    <t>The humor lies in the assumption that you will feel bored when your significant other falls asleep</t>
  </si>
  <si>
    <t>The humor stems from the self-awareness of feeling foolish for engaging with someone who is clearly tired.</t>
  </si>
  <si>
    <t>Tweet with text about trying to entertain someone so they don’t take a long nap; below is a yellow emoji holding a bat.</t>
  </si>
  <si>
    <t>1gqh1c5</t>
  </si>
  <si>
    <t>This person used to work in a kitchen, where you ABSOLUTELY need to inform people when you’re near them. Otherwise you get stabbed or cause an accident.  The joke is they’re still using that mindset even in a relaxed office break room.  Edit: may also be because they watched the bear and are acting it out, as some comments have nicely, and not so nicely pointed out lol.</t>
  </si>
  <si>
    <t>The humor lies in the contrast between a mundane work situation and the dramatic style of a football commentary.</t>
  </si>
  <si>
    <t>he humor stems from the extreme exaggeration, where a minor situation is framed as an imminent physical threat.</t>
  </si>
  <si>
    <t>Tweet text: “shouting ‘corner!’ and ‘behind!’ while heating up cup noodles in the office break room”.</t>
  </si>
  <si>
    <t>1gs87cm</t>
  </si>
  <si>
    <t>whenever Paul rudd goes on Conan, instead of showing an actual clip from one of his movies, he shows a clip of this kid in a wheelchair falling off a cliff</t>
  </si>
  <si>
    <t>The humor arises from the idea that, with advancing AI, Conan could now create and show a video of Rudd in a wheelchair.</t>
  </si>
  <si>
    <t>The humor comes from the playful dynamic between Conan and Rudd, who are known to joke with each other.</t>
  </si>
  <si>
    <t>Tweet saying “Paul Rudd has the opportunity to do the funniest thing ever”; below is a post about Conan O’Brien hosting the Oscars 2025 and a photo of Conan O’Brien.</t>
  </si>
  <si>
    <t>1guacve</t>
  </si>
  <si>
    <t xml:space="preserve">When I went to go visit my family in Germany for the first time, we spent at least one night having a contest for who can open a beer bottle in the most creative way.  Let’s just say that everything can be used as a beer opener if you really want it to.   </t>
  </si>
  <si>
    <t>The humor comes from the idea that using a bottle opener is seen as unusual or overly showy in this context.</t>
  </si>
  <si>
    <t>The humor arises from the stereotype that Germans open bottles using their teeth.</t>
  </si>
  <si>
    <t>Text at the top says: “Germans watching someone open his/her beer with a bottle opener”; below is a man in a blue superhero suit looking displeased.</t>
  </si>
  <si>
    <t>1gx0pu0</t>
  </si>
  <si>
    <t>So basically Pikachu(yellow one) is a normal Pokémon while Mew (white one) is an extremely rare Pokémon with phenomenal powers and basically considered a god in the Pokémon universe. But it is kinda a childish Pokémon who enjoys nature and loves to play.</t>
  </si>
  <si>
    <t>Image from Pokémon: Mew and Pikachu are standing on grass; Pikachu is holding a spinning top-like object; below is a Tumblr-style caption beginning with “aspidelaps:” and text about meeting Jesus.</t>
  </si>
  <si>
    <t>The humor lies in the exaggeration of Pikachu’s status as a divine figure.</t>
  </si>
  <si>
    <t>The humor comes from the scene where Pikachu briefly dies and encounters a higher power, creating an ironic contrast.</t>
  </si>
  <si>
    <t>1gz2i0o</t>
  </si>
  <si>
    <t>I believe it’s Plymouth Rock.  Something about being where the pilgrims first landed in America. So a big deal historically, but a pretty boring rock in reality</t>
  </si>
  <si>
    <t>The humor arises from the idea that disappointing one’s mother is one of the worst things, which the joke plays on.</t>
  </si>
  <si>
    <t>The humor stems from the disrespect of mocking a figure portrayed as divine.</t>
  </si>
  <si>
    <t>Photo of a stone on a sandy ground near water behind a metal fence; text over the image reads: “You’ll never disappoint your mom as much as this stone disappoints tourists.”</t>
  </si>
  <si>
    <t>1gzkbbi</t>
  </si>
  <si>
    <t>Colin Kapernik was kneeling during the national anthem to protest the killings of unarmed black men by police officers alongside BLM, the bottom image is NFL guys celebrating with the Trump dance (because they're like supporting him and his stances)</t>
  </si>
  <si>
    <t>Meme with text “WE WENT FROM THIS” above an image of three African American football players kneeling; below are images of other football players standing, followed by “TO THIS...”.</t>
  </si>
  <si>
    <t>The humor arises from the shift from a diverse football team to one that appears more uniform and dominated by a single type.</t>
  </si>
  <si>
    <t>The humor comes from the contrast between past formality in football, where players showed respect (e.g. kneeling), and a more informal, indifferent attitude today.</t>
  </si>
  <si>
    <t>1h5a44z</t>
  </si>
  <si>
    <t>According to reverse image search, that is the Master Debater guy.  He became a meme when he was the "Both" guy in the conversation at the bottom of the text. So, he would disarm the stupid fucking shit Jigsaw says and just refuse the trial until he gets let go     LGBTQ rights or economic stability?     - Why can't you have both?     - You need to pick one.     - Refuse the question. - LGBTQ rights or economic stability? - Why can't you have both? - You need to pick one. - Refuse the question. - You can't refuse the question. - I do. - But you can't. - But I did. - But you need to pick one. - No, I don't. - I just said you did. - Hahaha, so what? - Can you pick one? - No, because they're both doable. - No, only one. - I don't have to pick one because we can have both. - But the answer is that both is not an answer. It's not a valid answer. - I reject your question. - You can't reject it. - Just did. - Can you pick one? - I don't have to. - Why? - Because they're both completely doable. - So LGBTQ rights or economic stability? - Both. - That's not an answer. - Yes it is. - LGBTQ rights or economic stability. - Both. - Are you trying to troll me. - No. - I'm just wondering which one you like more. - I like them both, - You can't have both. - Yes you can. - Not in this question. - Haha, too bad. - Why are you trolling me right now? - Because I don't have to choose. - Well, if I had to ask you gender inclusivity or economic stability? - You can have both. - You can't. - Why make this so difficult? I'm trying to pass my final. - Too bad. - Which one do you pick? - I pick them both. - Uhm, that's not a vaild answer. - Too bad. - Okay. [Shaking hands] - Thank you. -Thank you.</t>
  </si>
  <si>
    <t>The humor arises from the assumption that the man, being from Ghostbusters, would easily defeat the threat.</t>
  </si>
  <si>
    <t>Screenshot of a tweet asking: “what are two characters you’d wanna put in a room together just to see what happens”; above are two images, one of a man in a jacket outdoors and one of a puppet-like face on a screen.</t>
  </si>
  <si>
    <t>The humor comes from the obvious imbalance, where the monster would clearly overpower the man, leaving him with no chance of survival.</t>
  </si>
  <si>
    <t>1h7di4x</t>
  </si>
  <si>
    <t>he wants to shape the world according to his own liking.</t>
  </si>
  <si>
    <t>The humor stems from the implicit assumption that the world is imperfect</t>
  </si>
  <si>
    <t>The humor arises from the friend treating the world as if it requires a simple, serious “fix,” like applying a bandage.</t>
  </si>
  <si>
    <t>Text at the top says: “How I look at bro after we get superpowers and he says ‘let’s fix the world’ instead of ‘save’”; below is a close-up of a man looking sideways with a serious expression.</t>
  </si>
  <si>
    <t>1h8d39n</t>
  </si>
  <si>
    <t>(deep breath) Here we go, in Zootopia, Disney made several significant changes to the plot before its release, altering the film's tone and themes. Originally, all predators were supposed to wear control collars that shocked them when they felt strong emotions, symbolizing societal oppression, but this concept was deemed too dark for a family movie. The initial story also presented a bleaker view of discrimination, with prey animals as the oppressors of predators, which was shifted to focus on cooperation and understanding instead. The main villain was Initially going to be Mayor Swinton, a pig representing societal control, but was changed to Bellwether, a sheep whose betrayal added a surprising twist. Nick Wilde's backstory was originally darker, emphasizing his childhood trauma from prejudice, but this was toned down for a lighter narrative. The first draft included a storyline where Nick dealt with a virus causing savage behavior but managed to control it, this was simplified in the final version to highlight themes of acceptance.  (Sigh of relief)</t>
  </si>
  <si>
    <t>The humor arises from Disney’s tendency to distance itself from weak plot lines, despite being a dominant and serious player in the industry.</t>
  </si>
  <si>
    <t>The humor comes from the irony that the original production team threatened legal action.</t>
  </si>
  <si>
    <t>Split image with text on the left: “The zootopia plot Disney gave us” and below “The original Zootopia plot Disney denied”; on the right are two images of a man in a suit, one smiling and one serious.</t>
  </si>
  <si>
    <t>1h52vkf</t>
  </si>
  <si>
    <t>People have been reporting that when you give ChatGPT a prompt that involves David Mayer it breaks the session.  Nobody seems to know why yet, some are saying it is because he had his info pulled, but because he is a Rothschild people are coming up with all sorts of conspiracy theories.</t>
  </si>
  <si>
    <t>The humor arises from the tendency to overestimate AI’s capabilities, assuming it can solve virtually any problem.</t>
  </si>
  <si>
    <t>The humor stems from the contrast between the hype surrounding AI and the robot’s indifferent response.</t>
  </si>
  <si>
    <t>Text at the top says: “What’s the next test?” followed by: “ChatGPT watching everyone asking it to write ‘David Mayer’ after it just learnt that strawberry has 3 r’s”; below is an image of a humanoid robot with a neutral expression.</t>
  </si>
  <si>
    <t>1hfggtz</t>
  </si>
  <si>
    <t>Drywall vs WALL</t>
  </si>
  <si>
    <t>The humor arises from the exaggerated idea that, in Europe, punching a wall is not enough to release frustration, as shown by the girl escalating the reaction by pulling her hair.</t>
  </si>
  <si>
    <t>Two-panel image with text on the left: “When Americans punch their wall” above an anime character punching a wall; below: “When Europeans punch their wall” above the same character holding their head in pain.</t>
  </si>
  <si>
    <t>The humor arises from the specific contrast that, instead of reacting with physical aggression like punching a wall (stereotypically associated with Americans), the European reaction is portrayed as breaking down and crying.</t>
  </si>
  <si>
    <t>1hmbnol</t>
  </si>
  <si>
    <t>That command line, “sudo rm -fr /\*” is a command to remove the french language pack from your computer… *Technically* It does this by completely wiping your entire system, including the OS. Basically bricking your computer and forcing you to do a full reinstall of the operating system.</t>
  </si>
  <si>
    <t>The humor arises from the absurdity of having the French language unexpectedly on a computer and needing to write code to remove it, suggesting unnecessary extra work.</t>
  </si>
  <si>
    <t>Screenshot with text: “ Linux tips  1. Always remove the french language pack: sudo rm -fr /*”; below are two faces labeled “PEOPLE WHO DON’T KNOW” and “PEOPLE WHO KNOW…”.</t>
  </si>
  <si>
    <t>The humor comes from the implied frustration, where repeated interference from the language setting leaves the person visibly exhausted.</t>
  </si>
  <si>
    <t>1hqtnop</t>
  </si>
  <si>
    <t>An infamous advertisement in Britain saying that the government will be providing for the needs of homeless people, but it reads like they will mutilate them instead: "We plan to cut homeless people in half in 2025.</t>
  </si>
  <si>
    <t>Text at the top: “Homeless people on December 31st 2024:” above a photo of a sweating man looking sideways with a serious expression.</t>
  </si>
  <si>
    <t>The humor arises from the contrast between New Year’s Eve as a celebratory event and the heightened vulnerability of homeless individuals who have no secure place to stay during the fireworks.</t>
  </si>
  <si>
    <t>The humor comes from the dark implication that fireworks may disturb or even be directed toward makeshift sleeping areas, highlighting an uncomfortable social reality.</t>
  </si>
  <si>
    <t>1huqauz</t>
  </si>
  <si>
    <t>Absolutely every single human with a pulse calls the it the "X" button regardless of console. PlayStation insists that it's actually called "cross" on theirs for some reason and is politely corrected with a Futurama meme.</t>
  </si>
  <si>
    <t>The humor arises from the systematic mapping, where each object is translated into another based on a simple rule (e.g., a cross becomes a circle).</t>
  </si>
  <si>
    <t>Screenshot of a PlayStation UK post listing “Triangle, Circle, Cross, Square” and asking: “If Cross is called X (it’s not), then what are you calling Circle?”; below is a Futurama scene with a PlayStation logo over one character and text “WRONG AGAIN IDIOT”.</t>
  </si>
  <si>
    <t>The humor comes from the unexpected continuation of this rule, where a circle is then mapped to a square.</t>
  </si>
  <si>
    <t>1i5ve1j</t>
  </si>
  <si>
    <t>There were protests in China, Tiananmen Square, in 1989, ended up with lots of casualties. And TS stands for Taylor Swift, born in 1989</t>
  </si>
  <si>
    <t>The humor comes from the contrast between Taylor Swift’s strong popularity among younger audiences and her more controversial or debated status.</t>
  </si>
  <si>
    <t>The humor arises from the ambiguity of “TS,” which could mean “true story,” but in this context refers to Taylor Swift, creating confusion for historians.</t>
  </si>
  <si>
    <t>wo stacked panels: top shows Fry holding money with the label “Swifties” and text “Shut up and take my money!”; bottom shows Fry with a skeptical expression labeled “Historians”; to the right are two identical black hoodies with “T.S. 1989” printed on them.</t>
  </si>
  <si>
    <t>1iad0kh</t>
  </si>
  <si>
    <t>Freud had ideas about how our relationships are always coloured by the first relationship we had with a person of the other sex, our father or our mother.</t>
  </si>
  <si>
    <t>Text at the top: “Every time you call your boyfriend ‘Daddy’, Sigmund Freud’s ghost becomes a little stronger.”; below is a black-and-white portrait of Sigmund Freud.</t>
  </si>
  <si>
    <t>The humor arises from the contrast between the assumption that ghosts do not exist and the situation presented.</t>
  </si>
  <si>
    <t>The humor comes from referencing Freud’s theories, some of which are still considered relevant while others have been dismissed.</t>
  </si>
  <si>
    <t>1ibz4bh</t>
  </si>
  <si>
    <t>A brute force will go through every password once, this code means the first time you get it right it will return a wrong password so you have to enter it twice. Hence a brute force will only try once and then skip the correct password. I probably worded this horribly</t>
  </si>
  <si>
    <t>Multi-panel comic: several office workers react with shocked expressions while one spills coffee; final panel shows code on a screen reading: “// brute-force attack protection if isPasswordCorrect &amp;&amp; isFirstLoginAttempt { Error(‘Wrong login or password’) }”.</t>
  </si>
  <si>
    <t>The humor arises from the situation where he forgets his own password and effectively locks himself out.</t>
  </si>
  <si>
    <t>The humor comes from the irony that incorrect passwords appear as “correct,” forcing him to keep retrying the wrong code.</t>
  </si>
  <si>
    <t>1ig7lnf</t>
  </si>
  <si>
    <t>Your brain on drugs</t>
  </si>
  <si>
    <t>The humor comes from the confusion of the person, who misidentifies the object even though it is clearly an egg.</t>
  </si>
  <si>
    <t>The humor arises from the fact that commercials often use fake or altered food, which the meme highlights.</t>
  </si>
  <si>
    <t>Text at the top: “If you watched TV in the 80s you know this isn’t an egg”; below is a frying pan with a fried egg being cooked on a stove.</t>
  </si>
  <si>
    <t>1inxmb2</t>
  </si>
  <si>
    <t>picture of a guy, top text, bottom text. therefore, meme</t>
  </si>
  <si>
    <t>The humor comes from the fact that the dollar is frequently used in memes, leading the younger brother to confuse the real object with its online representation.</t>
  </si>
  <si>
    <t>Screenshot of a tweet: “little brother told me ‘money is the oldest meme’ and proceeded to describe this image”; below is a one-dollar bill labeled “FEDERAL RESERVE NOTE ONE DOLLAR”.</t>
  </si>
  <si>
    <t>The humor lies in the misinterpretation of a physical dollar bill as a meme, highlighting the child’s lack of real-world understanding.</t>
  </si>
  <si>
    <t>1iri57s</t>
  </si>
  <si>
    <t>It's the year 2025. Everyone who was born in 19XX is at least 25 years old, well above the legal age for drinking.</t>
  </si>
  <si>
    <t>The humor arises from the rudeness of openly implying that someone is old, which is emphasized by Beyoncé’s offended expression.</t>
  </si>
  <si>
    <t>The humor comes from the situation where an underage person believes they have successfully used a fake ID, while the cashier clearly recognizes the deception, reflected in Beyoncé’s uneasy reaction.</t>
  </si>
  <si>
    <t>Text conversation: “cashier checks my ID in half a second Me: ‘That was fast.’ Cashier: ‘Yeah, I saw the 19.’ Me:” followed by an image of a woman with a surprised expression.</t>
  </si>
  <si>
    <t>1iv0i8s</t>
  </si>
  <si>
    <t>He puts a yellow cap on his black sharpie so nobody steals it. Nobody wants a yellow sharpie.</t>
  </si>
  <si>
    <t>Two-panel image: top text says “Why no one takes my sharpie” above a Sharpie marker with a yellow cap; bottom shows the same marker with the cap removed, revealing black ink.</t>
  </si>
  <si>
    <t>The humor comes from the accidental switching of caps, which makes the markers even more frustrating to use.</t>
  </si>
  <si>
    <t>The humor arises from the shared perception that Sharpies are inconvenient to use, which is why no one bothers to take them.</t>
  </si>
  <si>
    <t>1h626bt</t>
  </si>
  <si>
    <t>His grades went down in history.  "Rudolph the Red-Nosed Reindeer, you'll go down in history" are the lyrics</t>
  </si>
  <si>
    <t>A cartoon reindeer with a red nose is sitting at a desk holding a report card. The card shows grades for subjects like math, science, English, history, art, and gym, with mixed grades (e.g., B-, A, B, D, A-). Other reindeer students are visible in the background holding similar papers.</t>
  </si>
  <si>
    <t>His nose is red because he feels anxious about his grades</t>
  </si>
  <si>
    <t>He is worried that others will notice and judge his results.</t>
  </si>
  <si>
    <t>1hcpvbz</t>
  </si>
  <si>
    <t>One of my fav episodes :D Peppa spends the whole episode being envious that others can whistle and tries do it as well. And it finishes like that. The expression and the timing kill me every time. And i'm a 32 yo dude :D (with 2 daughters)</t>
  </si>
  <si>
    <t>If you watch Peppa Pig, the show will gradually teach you how to whistle, as it presents simple, child-friendly situations where characters demonstrate and practice the skill.</t>
  </si>
  <si>
    <t>A screenshot of a tweet showing Peppa Pig standing indoors next to a wall-mounted telephone, pressing a button. Below the image, another user comments: “anyway can yall whistle ?”. The interface shows likes, retweets, and replies.</t>
  </si>
  <si>
    <t>The humor comes from the idea that Peppa is calling her parents to help her learn how to whistle.</t>
  </si>
  <si>
    <t>1izj4eu</t>
  </si>
  <si>
    <t>PETA is the People for the Ethical Treatment of Animals. their stated mission is to get rid of all animal testing and have people treat animals nicely. what they actually do is run high-kill shelters, kidnap and execute pets, destroy years of research by breaking into testing labs and releasing the test animals, target children with messages like "your daddy kills animals", attempt to link milk with autism, and so forth. they are not a friend to animals, despite the name</t>
  </si>
  <si>
    <t>It is humorous because it raises the question of why shampoo would be tested on animals in the first place.</t>
  </si>
  <si>
    <t>The joke highlights the odd connection between PETA and a shampoo product.</t>
  </si>
  <si>
    <t>Text at the top reads: “Me, after reading ‘approved by Peta’ on my shampoo bottle.” Below, a cartoon cat (Tom from Tom and Jerry) is sitting in a chair holding a newspaper, looking to the side with a suspicious and slightly displeased expression.</t>
  </si>
  <si>
    <t>1j983b2</t>
  </si>
  <si>
    <t>Divorce. Both are removing their former significant-other from the social media profiles they present to others.</t>
  </si>
  <si>
    <t>It is funny because the puppy makes exaggerated, awkward facial expressions while looking at the married couple, as if it wants to be included in their family.</t>
  </si>
  <si>
    <t>It is funny because the family initially appears completely normal and unremarkable.</t>
  </si>
  <si>
    <t>Text reads: “When the wife starts posting selfies and the husband changes his profile pic to the kids.” Below are two identical images of a puppet-like character with red hair and a neutral, slightly uneasy facial expression, facing sideways.</t>
  </si>
  <si>
    <t>1jaysny</t>
  </si>
  <si>
    <t>I think that the meme suggests people who don't know will think that the family set up the baby on fire making them weirdos, and people who know recognize that this is a family of Incredibles and the baby has superpowers so it's fine and dandy.</t>
  </si>
  <si>
    <t>It is funny because they appear to be setting an animated character on fire, which looks dangerous, but it carries an obvious “don’t try this at home” tone.</t>
  </si>
  <si>
    <t>It is funny because a “fire baby” is something that only exists in animated or fictional contexts.</t>
  </si>
  <si>
    <t>Top image shows a happy family (two adults and two children) sitting around a campfire roasting marshmallows inside a glowing dome-like setting. Below are two versions of Mr. Incredible: one labeled “People who know” (normal face) and one labeled “People who don’t know” (dark, distorted face).</t>
  </si>
  <si>
    <t>1jh5toe</t>
  </si>
  <si>
    <t>It’s a meme that women find men unattractive if they display any emotion, especially negative emotions like fear or sadness</t>
  </si>
  <si>
    <t>It is funny because the woman is trying to project confidence while deliberately suppressing her emotions.</t>
  </si>
  <si>
    <t>It is funny because of the irony that she criticizes men for showing emotion while she herself displays a strong emotional reaction.</t>
  </si>
  <si>
    <t>A tweet by “Diego Lopez” reads: “My face during a plane crash so my wife doesn’t get the ick.” Below is a close-up image of a woman with red hair looking straight ahead with a serious, controlled facial expression.</t>
  </si>
  <si>
    <t>1jjiqlq</t>
  </si>
  <si>
    <t>The day they aren’t wearing make up, is they day they are asked out?</t>
  </si>
  <si>
    <t>It is funny because most people recognize that the second pancake, despite its appearance, is the one that likely tastes better.</t>
  </si>
  <si>
    <t>It is funny because it plays on the idea that men tend to be more confident and approach women when they are on vacation, especially in a different country.</t>
  </si>
  <si>
    <t>Text at the top says: “Only girls understand.” Below are two images: on the left, a perfectly round, smooth pancake labeled “Normal day”; on the right, a misshapen, uneven pancake labeled “The day a guy asked me out.”</t>
  </si>
  <si>
    <t>1k25b9s</t>
  </si>
  <si>
    <t>There is a theory for the extinction of dinosaurs other than the the asteroid thing : massive volcanic eruptions around the same time, specifically, the Deccan Traps in India. The Deccan Traps were massive volcanic eruptions in India around 66 million years ago that released toxic gases and disrupted Earth’s climate.   They likely worked alongside the asteroid impact to wipe out the dinosaurs.</t>
  </si>
  <si>
    <t>It is funny because it suggests that Indians believe they were divinely protected from the asteroid, while all other living creatures were wiped out.</t>
  </si>
  <si>
    <t>Text at the top says: “Scientists: a giant asteroid killed the dinosaurs India:”. Below are two identical images of a side-facing monkey puppet with a neutral expression; the first image has the word “yeah” and the second has the word “asteroid” placed over it.</t>
  </si>
  <si>
    <t>It is funny because it plays on the idea that indians claim deeper or alternative knowledge about historical events.</t>
  </si>
  <si>
    <t>1kgak2u</t>
  </si>
  <si>
    <t>No it means that alot of bird species the males are more beautiful and colorful</t>
  </si>
  <si>
    <t>It is funny because the labels appear to be intentionally reversed, implying that female birds are actually the more colorful or “Barbie-like” ones</t>
  </si>
  <si>
    <t>It is also humorous because the meme hints at a stereotypical or sexist comparison between genders.</t>
  </si>
  <si>
    <t>The image is split into two panels. The left panel labeled “Female birds” shows a black-and-white close-up of a man wearing a hat and holding a cigarette. The right panel labeled “Male birds” shows a smiling blonde woman in a pink-themed setting, leaning forward.</t>
  </si>
  <si>
    <t>1mbnnpw</t>
  </si>
  <si>
    <t>Information they sell your data</t>
  </si>
  <si>
    <t>Text at the top says: “every ‘free’ VPN”. Below is a scene from an animated show where three characters stand in a room; one character in a top hat faces another, while a woman stands beside him. Subtitles at the bottom read: “Let’s just say you don’t pay… with money”.</t>
  </si>
  <si>
    <t>It is funny because it plays on the idea that nothing is truly free.</t>
  </si>
  <si>
    <t>It is also humorous because it implies the service is not actually free and may end up taking money from you in some way.</t>
  </si>
  <si>
    <t>17pg0fe</t>
  </si>
  <si>
    <t>Miss Rachel, every child’s third parent.</t>
  </si>
  <si>
    <t>She is presented as a more recent alternative to Dora the Explorer.</t>
  </si>
  <si>
    <t>Text at the top says: “i owe this woman bout $83,294,681 in child support”. Below is a smiling woman wearing a pink shirt and overalls, clapping her hands, against a purple background.</t>
  </si>
  <si>
    <t>She teaches children basic skills such as the alphabet and counting.</t>
  </si>
  <si>
    <t>1l8vajl</t>
  </si>
  <si>
    <t>Bikini Bottom got flooded by medical waste most likely due to the human garbage disposal into the oceans and they made it into a fair called "glove world" but they are exposed to biological hazard. Or they have 4 fingers and the gloves have 5.</t>
  </si>
  <si>
    <t>Text at the top says: “Once you see, you’ll NEVER unsee”. Below SpongeBob is standing and smiling while holding multiple balloons shaped like hands in different colors. On the right side, part of another character is holding a single similar balloon.</t>
  </si>
  <si>
    <t>It is funny because the balloons resemble udders.</t>
  </si>
  <si>
    <t>It is also humorous because children often find balloons amusing when they look like fingers.</t>
  </si>
  <si>
    <t>1c38j1b</t>
  </si>
  <si>
    <t>It's a wild story. Dude has this life with his wife and kids, seems typical lovely life, but one day, the father notices the lamp looking sort of fuzzy. Everything else looks normal, but the lamp is just somehow distorted fuzz. He can't help but stare at it. He plays it off as a headache, or whatever, and doesn't tell anyone. Eventually the fuzz gets bigger, and more engrossing. Then the father wakes up, he's had a head injury, but within the unconsciousness, he lived this whole long life; doesn't have a wife or kids, all a long dream life</t>
  </si>
  <si>
    <t>He looks at the lamp and suddenly everything clicks. Like a lightbulb switching on in his head, he realizes that the signs had been there all along and that his wife had been cheating on him the entire time.</t>
  </si>
  <si>
    <t>Text describes a happy family life. Below, a puppet-like character stares forward with wide eyes against a simple outdoor background.</t>
  </si>
  <si>
    <t>The joke centers on the genie in the lamp. The humor comes from treating the lamp not just as an object, but as the key to understanding the whole situation.</t>
  </si>
  <si>
    <t>1bdho8z</t>
  </si>
  <si>
    <t>Willem Dafoe needed a body double for a nude scene in the movie AntiChrist because, apparently, his penis was too large.</t>
  </si>
  <si>
    <t>The young woman becomes nervous because her uncle is flirting with her in an inappropriate way. The repeated sentence emphasizes her discomfort, as if she is unsure how to respond and is trapped in an awkward situation.</t>
  </si>
  <si>
    <t>He keeps making his coworker uncomfortable by acting strangely around her and repeating the same lines more than once. His behavior comes across as creepy, and the repeated sentences make the interaction feel even more awkward and unsettling.</t>
  </si>
  <si>
    <t>A four-panel image. A man requests a body double for a nude scene. A woman responds with the same line in two panels, first smiling, then serious.</t>
  </si>
  <si>
    <t>1naurrn</t>
  </si>
  <si>
    <t>She has a point. And probably synaesthesia</t>
  </si>
  <si>
    <t>She seems to be choosing purely based on the vibes that the colors and days give her, as if each combination has its own mood or energy. The humor comes from how confidently she treats those feelings as a real system</t>
  </si>
  <si>
    <t>A young woman with curly hair looks at the camera. Text explains she associates numbers, colors, days, and seasons as the same</t>
  </si>
  <si>
    <t>She believes in numerology and probably has a collection of crystals or stones she touches before deciding what kind of day she is going to have</t>
  </si>
  <si>
    <t>A young woman with curly hair looks at the camera. Text explains she associates numbers, colors, days, and seasons as the same.</t>
  </si>
  <si>
    <t>1mfr9vy</t>
  </si>
  <si>
    <t>A lot of girls ask when their husbands/boyfriends will be back from hanging out with their friends/running errands or whatever. It’s a normal question but can be frustrating if you have no idea when you’ll be back. This meme is poking fun at that, showing an example of her asking when he’ll be back from something he couldn’t possibly know when it’ll end.</t>
  </si>
  <si>
    <t>Text asks when someone will return from battle. Below is a medieval-style illustration of a woman with long red hair.</t>
  </si>
  <si>
    <t>In the old days, people might have spoken out into open air as if an answer could somehow come back to them. That makes the scene feel strange and slightly ridiculous, because from a modern perspective it seems like she is waiting for the world itself to reply.</t>
  </si>
  <si>
    <t>She has no real alternative, which is what makes the situation funny. Since medieval times had no phones or quick way to reach someone, she is forced to depend on this unusual method and simply hope that someone hears her.</t>
  </si>
  <si>
    <t>1m241pn</t>
  </si>
  <si>
    <t>The “Gen Z stare” is stereotype about “Gen Z” people (currently teens and young adults) having a blank, vacant expression. The joke is that millennial/Gen X parents might get offended by this expression, whilst engaging in behaviours that many would consider to be far more offensive, i.e. inappropriate questions about race/ethnicity.</t>
  </si>
  <si>
    <t>The stare is another way of separating one generation from another. Like many generational labels before it, it gives people a way to compare themselves with younger people and feel slightly superior.</t>
  </si>
  <si>
    <t>The so-called “Gen Z stare” barely exists at all, and instead comes across as a label older people invented so they can criticize younger people more easily.</t>
  </si>
  <si>
    <t>A young man wearing sunglasses sits in a car. Text above references “the gen z stare” and a comment about “what kind of brown am I.”</t>
  </si>
  <si>
    <t>1m9u48i</t>
  </si>
  <si>
    <t>children are often good at video games / have enough time to invest to be a leader of a clan (ig this must be referring to clash of clans)</t>
  </si>
  <si>
    <t>The word “leader” sounds too grand for someone who does not appear old, wise, or respected enough to carry that label. Instead of sounding impressive, the description becomes awkwardly inflated.</t>
  </si>
  <si>
    <t>There is a clear mismatch between his young age and the serious authority implied by calling him a leader. The title suggests maturity and experience, which makes it feel out of place here.</t>
  </si>
  <si>
    <t>Text says: “when you finally meet the leader of your clan.” Below is a low-quality video call screenshot of a young boy sitting on a couch.</t>
  </si>
  <si>
    <t>1m7b5bx</t>
  </si>
  <si>
    <t>It is a joke about Korea having very low birth rates</t>
  </si>
  <si>
    <t>A pregnant contestant appearing in Squid Game feels out of place because the setting is built around extreme physical risk and survival. Her pregnancy adds a vulnerable element to a situation where every participant is expected to endure violence, fear, and constant danger.</t>
  </si>
  <si>
    <t>She does not appear visibly pregnant, which makes the detail stand out even more given how high-budget Squid Game is. With a production of that scale, the lack of a convincing pregnancy portrayal feels oddly noticeable.</t>
  </si>
  <si>
    <t>Text claims a pregnant player proves the show is fictional. Below is a close-up of a woman in a green tracksuit from Squid Game.</t>
  </si>
  <si>
    <t>1lttuji</t>
  </si>
  <si>
    <t>The girl on the left is her best friend Francia Raisa who gave her a kidney (likely saving her life). She didn't make the cut for shoutouts when Selena accepted an award.</t>
  </si>
  <si>
    <t>Her friend describes it as brutall that a photo was posted on social media right after the surgery. Instead of keeping the moment private, the post makes it seem as though public sympathy and “feel better” comments became part of the situation.</t>
  </si>
  <si>
    <t>Two women lie in hospital beds facing each other. Below, a comment from Selena Gomez reads: “Sorry I didn’t mention every person I know.”</t>
  </si>
  <si>
    <t>Selena Gomez is portrayed as self-centered because she never formally thanked the friend who donated a kidney to her. The situation feels absurd because the gesture was so significant, yet the gratitude appears missing or insufficient.</t>
  </si>
  <si>
    <t>1ljrgbw</t>
  </si>
  <si>
    <t>okay im chronically online so the real explanation is:  tier 1: tiktok trend where the girlfriend asks the boyfriend if they are going to pay for dinner, and the camera zooms into their purse that has nothing but lipstick, makeup, tampons, etc (no wallet). basically personifying being a princess and knowing that the boyfriend will pay, but asking as a courtesy anyways. tier 2: matcha is currently very trendy and very pricey (i.e. very girlypop drink and "performative", especially if you are a guy) tier 3: combination of these two trends in a very absurdist way; biasing mainly the first one, but with matcha instead of makeup products</t>
  </si>
  <si>
    <t>A handbag is open, revealing a green iced drink inside. Text over the image reads: “can you pay?” and “no.”</t>
  </si>
  <si>
    <t>She has a green juice in her bag just in case she does not get enough food at the restaurant. Since it can feel awkward to order a lot when someone else is paying, especially a boyfriend, the juice is basically her backup plan.</t>
  </si>
  <si>
    <t>Instead of bringing money to pay for food, she brings a green juice, which kind of shows where her mind is. She seems more worried about eating “healthy” and not gaining weight than actually enjoying the restaurant meal.</t>
  </si>
  <si>
    <t>1k6ds0q</t>
  </si>
  <si>
    <t>A woman saying that is ironically a sign that she likes you</t>
  </si>
  <si>
    <t>She actually cannot stand him, but he still reads the situation as if she secretly wants him. It says more about his ego than her feelings, because he assumes every woman must be interested.</t>
  </si>
  <si>
    <t>She says very clearly that she does not like him, but he refuses to accept it. He even leans forward as if he needs to hear it again, because the idea of being rejected does not really fit his self-image.</t>
  </si>
  <si>
    <t>A sketch of a man sitting on a chair, leaning forward, with a faded version of himself behind him. Text references a conversation with an attractive woman saying “I hate you.”</t>
  </si>
  <si>
    <t>1bk0w4q</t>
  </si>
  <si>
    <t>This happend a few weeks ago a worker from boeing was found dead in his car. He was a whistleblower</t>
  </si>
  <si>
    <t>A sequence of images showing a man gradually applying clown makeup while text describes unethical workplace actions and consequences.</t>
  </si>
  <si>
    <t>At that point, he might as well be wearing a full clown costume, because dying in such a ridiculous way makes the whole situation look like pure clownery.</t>
  </si>
  <si>
    <t>It connects to the phrase “snitches get stitches,” where someone who tells on others ends up facing consequences for it.</t>
  </si>
  <si>
    <t>1heeibu</t>
  </si>
  <si>
    <t>It’s a joke in the computer science and programming industry, where people wearing thigh-high socks make up the majority of professionals. Same thing goes for the IT-industry, where the joke is that furries make up majority of the IT sector and without them, society would collapse!</t>
  </si>
  <si>
    <t>He is actually sitting in the wrong class. He thinks “CS” means Computer Science, but in this context it can also mean Company Secretary, which explains the whole idea of working your way up in a corporate career.</t>
  </si>
  <si>
    <t>They both seem to have misunderstood what class they are in. One person is thinking about computer science, while the other is talking about a corporate career path, so the conversation is happening on two completely different tracks.</t>
  </si>
  <si>
    <t>A classroom scene where one student suggests wearing pink socks, another questions the class, and a third confirms it is computer science.</t>
  </si>
  <si>
    <t>1fvpb5q</t>
  </si>
  <si>
    <t>At the recent vice presidential debate, Tim Walz, Kamala Harris’ running mate (she is pictured above), was asked why he now favors an assault weapons ban when he previously didn’t. He said he had gotten to know the survivors of the horrific Sandy Hook shooting, and their families. While he was explaining this, he misspoke and said “I made friends with school shooters”</t>
  </si>
  <si>
    <t>He really does not seem to get how bad the situation is. Like, saying out loud that you are friends with a school shooter is obviously not normal, but he acts like it is just some casual friendship drama.</t>
  </si>
  <si>
    <t>The woman is basically having that serious “you should not hang around dangerous people” talk with her son. But the fact that the dangerous person is a school shooter makes the whole conversation way more extreme and uncomfortable.</t>
  </si>
  <si>
    <t>A woman leans forward with a serious expression while text references misunderstanding the phrase “friends with school shooters.”</t>
  </si>
  <si>
    <t>184f4hh</t>
  </si>
  <si>
    <t>American Pyscho is a film with the message: behind the thin and glossy exterior, corporate culture is awful, dehumanising, shallow and stupid. Scott Pilgrim is about a guy who thinks he's pretty cool, discovering his actually kinda a bad dude. So much so his 'nega-Scott' anti self is good guy. If you're young it's easy(ish) to miss the point and think: American Pyscho: "Check out that glossy exterior". Scott Pilgrim: "Check out that cool guy!". The meme suggests that teenagers build something around these misunderstandings. They pick either to celebrate the wrong kind of corporate work culture, or the wrong kind of slacker culture. I'm not convinced that's true myself, but that's what the meme suggests.</t>
  </si>
  <si>
    <t>When you are a teenager, even choosing a movie can feel like picking between two paths that might shape the next few years of your life. The film you connect with can end up influencing how you see yourself, other people, and the world, for better or worse.</t>
  </si>
  <si>
    <t>A cartoon of a boy at a crossroads choosing between “American Psycho” and “Scott Pilgrim,” both labeled as misunderstood.</t>
  </si>
  <si>
    <t>As a teenager, you often misunderstand a lot of things, especially the deeper message, morality, or “wisdom” in a movie. So you can end up loving a film intensely, even if you do not fully get what it is actually trying to say.</t>
  </si>
  <si>
    <t>1mzfdhh</t>
  </si>
  <si>
    <t>Lotta soldiers (and Marines) dip. A lotta dip. These self-same soldiers (and moreso Marines) manage to, **routinely**, when packing their shit for a week-long field op, fail to bring even so much as a single can of dip. Their fleshlight? They'll bring that. Dip? No, and they will start getting desperate for it about three minutes after they get to the field. That's when my "only spare can" of dip shows up for the low, low price of 40 bucks. I brought two logs, and I don't dip. Per common request for non-Americans: Dip is chewing tobacco; Copenhagen is a popular brand of it. Long cut is a style of dip.  It's all *incredibly* disgusting to me, but if you wanna pay me so you can do gross shit, I'm happy to take your cash.</t>
  </si>
  <si>
    <t>Like, what kind of situation is ever serious enough that you need to call Jesus just to deliver Long Copenhagens? The whole thing feels so unnecessary and random that it becomes ridiculous.</t>
  </si>
  <si>
    <t>It is not actually Jesus, just some random guy who happens to look like him. People keep mistaking him for Jesus and asking for deliveries, which explains why he looks so confused about the whole thing.</t>
  </si>
  <si>
    <t>A drawing of Jesus speaking to a soldier-like character, with dialogue about working and a request phrased informally.</t>
  </si>
  <si>
    <t>1l1hxof</t>
  </si>
  <si>
    <t>It is a viral video. Some college kids decided to have a party and this woman showed up to hang out. They didn’t know who she was so they asked her what she was doing there. She refused to answer and the video ends with them deciding to call the police.</t>
  </si>
  <si>
    <t>The girl filming had her mom show up and basically crash her friend’s party, which made the whole thing feel embarrassing and lame. Instead of being a normal party moment, it turned into one of those awkward parent situations.</t>
  </si>
  <si>
    <t>Some of the invited guests apparently had to bring a teacher along for safety, which made the party feel way less cool. That is probably why some of the guys started filming her, because her being there looked so out of place.</t>
  </si>
  <si>
    <t>A screenshot of a woman holding a drink, with text noting she is 56 years old and referencing a Snapchat post.</t>
  </si>
  <si>
    <t>1kjg3vh</t>
  </si>
  <si>
    <t>No, the joke is that each time they're asked or referencing it, the amount is going down as they are smoking it themselves hence the eyes on the close up</t>
  </si>
  <si>
    <t>The guy who got arrested thinks he can trick the police by lowering the amount every time they ask. Like, if he keeps saying a smaller number, maybe they will somehow forget the original charge.</t>
  </si>
  <si>
    <t>Police officers stand with a plant while text shows decreasing reported amounts of marijuana, alongside close-up reaction images of an officer.</t>
  </si>
  <si>
    <t>He keeps changing how much marijuana they found because he thinks less weed means less jail time. He is basically trying to edit the story in real time to save himself.</t>
  </si>
  <si>
    <t>1k4lzxj</t>
  </si>
  <si>
    <t>It's about Hegseth being a well-known drunk. It's not shaking, it's blurry.</t>
  </si>
  <si>
    <t>Talking seriously about banning apps on Twitter already feels unserious, because nobody really expects that place to be where serious political decisions happen. It is such a chaotic platform that the whole discussion starts to feel ridiculous.</t>
  </si>
  <si>
    <t>The Democrats replying with a meme makes it even funnier. Instead of giving some formal political answer, they just respond like they are part of the internet drama too, which is honestly so unserious.</t>
  </si>
  <si>
    <t>A Twitter thread discusses banning apps, followed by an image of a smartphone home screen blurred with multiple apps highlighted in red.</t>
  </si>
  <si>
    <t>1j0w1z3</t>
  </si>
  <si>
    <t>Look up "he lied she believed".</t>
  </si>
  <si>
    <t>Twitter really makes you realize that some people will just tweet absolutely anything. Like, no filter, no real thought, just posting whatever comes to mind.</t>
  </si>
  <si>
    <t>Because why is the goose crying in the first place? It is not even really funny, it just makes the whole thing feel weirdly sad for the goose.</t>
  </si>
  <si>
    <t>Text spells variations of “honk” with letters in parentheses. Below is a close-up image of a goose’s head labeled “14 Year old geese.”</t>
  </si>
  <si>
    <t>1irxw6j</t>
  </si>
  <si>
    <t>Unfortunately for humans violence is typically the answer. Nothing stokes human creativity like trying to kill a mfer you don't like.</t>
  </si>
  <si>
    <t>Violence is never really the answer, and history has shown that over and over again. It usually just creates more pain instead of actually solving anything.</t>
  </si>
  <si>
    <t>A detailed Viking helmet is shown above a tweet stating “Violence is NOT the answer. The answer is opens history book,” followed by panic about historical events.</t>
  </si>
  <si>
    <t>Just because violence was used in the past does not mean it has to keep happening in the future. People can choose a different way instead of repeating the same harmful patterns.</t>
  </si>
  <si>
    <t>1ird7yb</t>
  </si>
  <si>
    <t>Asian here, when somebody joins with a username in a Chinese dialect or any other Asian dialect, it means they are absolute tryhards with the best aim in your team</t>
  </si>
  <si>
    <t>Two-panel image. The top shows a large explosion in a city with text “My team losing hard.” The bottom shows a figure in flames with text indicating someone has joined the team.</t>
  </si>
  <si>
    <t>Everyone knows that having China on your team basically feels like an automatic win. The second they join, it already seems like the game is over for everyone else.</t>
  </si>
  <si>
    <t>It is always the username you cannot even read, from the other side of the world, that ends up carrying the whole team. You do not know who they are, but somehow they are the reason you start winning.</t>
  </si>
  <si>
    <t>169oqq5</t>
  </si>
  <si>
    <t>The punchline is supposed to be the state of Minnesota but that's a picture of Oregon.</t>
  </si>
  <si>
    <t>A four-panel image. Top left shows a large burger labeled “Big burger.” Top right shows a smaller burger labeled “Mini burger.” Bottom left shows a Coca-Cola can labeled “Big soda.” Bottom right shows a map highlighting the U.S. state Oregon.</t>
  </si>
  <si>
    <t>It is literally just Minnesota on the map, but it is being treated like there is some deeper meaning behind it. The whole thing feels random because the image is only pointing to a place.</t>
  </si>
  <si>
    <t>Apparently the best burgers in town are in Minnesota, so the map is basically acting like a serious guide to the ultimate burger spot.</t>
  </si>
  <si>
    <t>1co29mb</t>
  </si>
  <si>
    <t>Cyndi Lauper had a hit song called "Time after time</t>
  </si>
  <si>
    <t xml:space="preserve">This is funny ecause it refences that thyme can have sevral different meaning beacuse it is pronounce like time causing sunny misundertsandings. </t>
  </si>
  <si>
    <t xml:space="preserve">It is known that she loves thyme and she wants more. </t>
  </si>
  <si>
    <t>A screenshot of a social media post where a user describes rearranging their spice rack alphabetically and asks what comes after thyme, followed by a punchline where Cyndi Lauper responds with "thyme,"</t>
  </si>
  <si>
    <t>19eokbq</t>
  </si>
  <si>
    <t>In police interrogations they will get you food to reward you for cooperating and keep you talking, normally it's just McDonald's or a vending machine item. The fact that there are multiple KFC boxes and name brand drink for one person implies they're very happy with this person's cooperation level.</t>
  </si>
  <si>
    <t xml:space="preserve">Since he hasnt seen his friend in a long time they are cathing up and eating food. </t>
  </si>
  <si>
    <t xml:space="preserve">A child is being rewarded by their mom for telling on his siblings. </t>
  </si>
  <si>
    <t>A screenshot of a television playing the crime documentary show  showing a blurred suspect in an interrogation room with a large spread of KFC fast food on the table, captioned "bro told on EVERYBODY"</t>
  </si>
  <si>
    <t>1c3z5ld</t>
  </si>
  <si>
    <t>Christans like to claim Fallout new vegas, probably because it has big religious themes. They also tend to identify and glorify some of the some of the more flawed and fanatical characters. Great game tho, which is why the gays want it.</t>
  </si>
  <si>
    <t xml:space="preserve">This post is funny because it references the sterorype that poepole from the LGBTQ community do not game. </t>
  </si>
  <si>
    <t xml:space="preserve">The in game material might be offensive to LGBTQ community memebers and chritstaians who are kind dont enat them to get their feelings hurt.  </t>
  </si>
  <si>
    <t>In it, a hand labeled with a Christian cross icon is grabbing the wrist of a clawed hand labeled with an LGBTQ+ pride flag. The clawed hand is reaching for the cover art of the video game Fallout: New Vegas.</t>
  </si>
  <si>
    <t>1dxonad</t>
  </si>
  <si>
    <t>Female praying mantis' eat their mates after sex so instead of disagreeing in the sense of having an argument she's saying that he's causing issues with digestion</t>
  </si>
  <si>
    <t xml:space="preserve">When women get nervous they often have a sore stoach caused by extra acidity in the stomach.  </t>
  </si>
  <si>
    <t>This is a comic from Bizarro by Dan Piraro showing two female praying mantises sitting at a table for tea. One says, "My husband's been disagreeing with me," and the other responds by offering an "antacid."</t>
  </si>
  <si>
    <t xml:space="preserve">It funny because prayijg mantisises dint have acid in their stomachs or drink tea. </t>
  </si>
  <si>
    <t>1cbcpxn</t>
  </si>
  <si>
    <t>Generally the complaints about blue boil down to the fact that it has a bunch of counter spells, which prevent people from doing things. Everyone else finds it annoying when their spells are countered.</t>
  </si>
  <si>
    <t xml:space="preserve">Water is resposible for many natural diasters which kill people "ruining the fun" </t>
  </si>
  <si>
    <t>Water is the source of life theorfore making it the most powerful element</t>
  </si>
  <si>
    <t>In the top panel, symbols for White, Red, Green, and Black are over the driver’s face, asking, "Why can't you just let people have fun?" In the bottom panel, the Blue mana symbol is over the passenger’s face, replying with "Screams."</t>
  </si>
  <si>
    <t>194s3gh</t>
  </si>
  <si>
    <t>There is some account that converts your picture to what would you look like if you were Black or Chinese</t>
  </si>
  <si>
    <t xml:space="preserve">It is too avoid deepfakes. </t>
  </si>
  <si>
    <t xml:space="preserve">People are covering the facial feautres that make them easily identifiable. </t>
  </si>
  <si>
    <t>This image is a screenshot of a social media post from the platform X. It displays a headline from the New York Post asking about a nose cover trend among Gen Z teens in family photos. The photo attached to the article shows a large family group where two individuals, circled in red, are covering their noses or faces with their hands.</t>
  </si>
  <si>
    <t>1ipozgr</t>
  </si>
  <si>
    <t>For who made the meme,the air fryer is considered more important than anything else the thiefs are stealing.</t>
  </si>
  <si>
    <t xml:space="preserve">An air fryer is extremely expensive making i think most valubale item and therfore worst thing to get stolen. </t>
  </si>
  <si>
    <t>The image is a high-contrast, black-and-white close-up photograph of a man with a mustache. He is looking directly at the camera with a serious, intense expression. The lighting highlights his facial features while casting deep shadows across his face. Above the photograph, there is text that reads: When im getting robbed and they start going for my air fryer.</t>
  </si>
  <si>
    <t xml:space="preserve">People ususlaly hide embarrasing secrets in their air fryer making them vulnerable. </t>
  </si>
  <si>
    <t>1n7s8ht</t>
  </si>
  <si>
    <t>The period between 2019 and now has gone by at lightening speed for a lot of people</t>
  </si>
  <si>
    <t xml:space="preserve">It hows how life goes y so quickly. </t>
  </si>
  <si>
    <t xml:space="preserve">It is a tiktok trend that sys that seotember and 2019 have the same "energy". </t>
  </si>
  <si>
    <t>The second image is divided into three horizontal sections, all featuring the character Dexter Morgan from the television series Dexter. The top panel is a close-up of his face with the text "2019" on the right. The middle panel shows a wider shot of him standing in a dimly lit room with the word "Dissociation" on the right. The bottom panel repeats the close-up shot from the top with the word "September" on the right.</t>
  </si>
  <si>
    <t>1bvyaep</t>
  </si>
  <si>
    <t>It was an overwhelming display of talent and ability. Steibelt believed he was an equal and realized he was not. There's no joke here beyond Steibelt not understanding what he got himself into, before it was too late.</t>
  </si>
  <si>
    <t xml:space="preserve">It si funy because Steibelt is not even from the same time perod its just classical music fans making fanfics. </t>
  </si>
  <si>
    <t xml:space="preserve">Its funny because steibelt is exteremmly talented and more famous than Beethoven. </t>
  </si>
  <si>
    <t>The image features a portrait of Beethoven holding a writing tool next to a smaller inset portrait of another man. The accompanying text states that Beethoven won an improvisation duel against an opponent named Steibelt by playing Steibelt’s music upside down and improvising for an hour.</t>
  </si>
  <si>
    <t>1587f2g</t>
  </si>
  <si>
    <t>I saw an explanation for this a while ago, you have to know hair to get this one. The haircut on the right is mid-hairdress, and the one on the left is the finished look. So while the one on the right looks more artificial and the one on the left looks more natural, the one on the left is actually the complete look. It's essentially saying that you put more effort into yourself than the chick your bf is banging, and he doesn't appreciate that.</t>
  </si>
  <si>
    <t xml:space="preserve">Its hilarious because the two are exactly identical. </t>
  </si>
  <si>
    <t>The image shows a side-by-side comparison of two blonde hairstyles: soft, brushed-out waves on the left and tight, unbrushed ringlets on the right. The text at the top reads "you vs. the girl he cheats with," while a social media comment at the bottom states that the user enjoys the idea of men not understanding the post.</t>
  </si>
  <si>
    <t xml:space="preserve">Its because the two images show the hair curling in opposite dorections in the image making the joke that men are never satisifed and are destined to cheat. </t>
  </si>
  <si>
    <t>177cl97</t>
  </si>
  <si>
    <t>For many users who had access to a PC in the 90's, limewire was their first experience with pirating music and software. There were often mislabeled files for download that would inevitably be viruses that ended up corrupting their computer. Edit: Early 00's.</t>
  </si>
  <si>
    <t xml:space="preserve">Its gunny because everyone has gotten a computer virus at some point. </t>
  </si>
  <si>
    <t xml:space="preserve">It is a common trope that children suin the fmaily computer. </t>
  </si>
  <si>
    <t>An animated character's yellow hands hold a light blue pamphlet that reads, "SO YOU'VE RUINED THE FAMILY PC." Below the text is a circular green and yellow icon resembling a sliced citrus fruit.</t>
  </si>
  <si>
    <t>1jhyaz4</t>
  </si>
  <si>
    <t>Male birds sometimes do little dances to attract a potential mate.</t>
  </si>
  <si>
    <t xml:space="preserve">Its funny because now that hes dumb she wants him. </t>
  </si>
  <si>
    <t xml:space="preserve">Ita funny because she is mistaking the stars over bis head for staus and now the female bird is attractive. </t>
  </si>
  <si>
    <t>This is a four-panel comic strip featuring two pigeons. In the first half, one pigeon follows another saying, "BABE WAIT UP," but is rejected by the second pigeon who states it has no nest, cannot feed itself, and is not interested. In the second half, the first pigeon performs a "SPIN," resulting in a final close-up panel of the second pigeon with a wide-eyed, intense expression.</t>
  </si>
  <si>
    <t>1fssuxj</t>
  </si>
  <si>
    <t>There is no I in nothing or again. He made the letter I not exist anymore.</t>
  </si>
  <si>
    <t xml:space="preserve">Its a play on percieved reality and meta that you can never be sure if anything is ever real. </t>
  </si>
  <si>
    <t xml:space="preserve">Its implying that we no longer exost since when you read you are I. </t>
  </si>
  <si>
    <t>In this four-panel comic, a character tells a genie, "I wish I didn't exist," to which the genie responds, "Granted." After a "POOF!" the character observes that "Nothng Changed," and the genie tells them to "Look Agan," revealing that the letter "i" has been removed from the dialogue.'</t>
  </si>
  <si>
    <t>In this four-panel comic, a character tells a genie, "I wish I didn't exist," to which the genie responds, "Granted." After a "POOF!" the character observes that "Nothng Changed," and the genie tells them to "Look Agan," revealing that the letter "i" has been removed from the dialogue.</t>
  </si>
  <si>
    <t>1fwc8sk</t>
  </si>
  <si>
    <t>It’s from Evangelion when Asuka has a massive depressive episode and rots away in a bathtub in an abandoned house for a while. The two cartoon characters are the “Smiling Friends” whose job it is to cheer up their clients. They seem to be reconsidering their assignment given the state of Asuka.</t>
  </si>
  <si>
    <t xml:space="preserve">Its is that akward moment when you ealk in on someone having and intimate moment. </t>
  </si>
  <si>
    <t xml:space="preserve">It is the smiling friends reacting in horror to Anime. </t>
  </si>
  <si>
    <t>In the foreground, a woman with long orange hair is depicted in an anime art style, looking upward with a neutral expression. In the background, two cartoonish characters—one yellow and wearing a red hoodie, the other small and pink—stand together in a brightly lit doorway.</t>
  </si>
  <si>
    <t>195f4ld</t>
  </si>
  <si>
    <t>I don’t know top left Top right is the man who tackled a Las Vegas judge in court after she refused to lighten his sentence and made a comment like “I just can’t with that history” referring to his criminal history Middle left I think is the pink Stanley cup which just released in stores and probably sold out just as quickly. Middle right is Gypsy Rose, who I don’t know much about. I believe she lived in a horribly abusive situation with her mother and created a plot to murder her to escape. She just recently got out of jail and already has a husband (pictured there) Don’t know bottom left Bottom right is a football coach, read other comments for actual information because I don’t know</t>
  </si>
  <si>
    <t xml:space="preserve">On tiktok there was a series of events which caused massive memes all within a very short period of time. </t>
  </si>
  <si>
    <t>This image features a collage of six different photos beneath the text, "we ain't even two weeks into 2024 y'all" and a peeking face emoji. The photos include a man speaking, a person jumping over a courtroom bench, a pink tumbler, a couple taking a selfie, a man standing in water, and a sports coach in a white polo.</t>
  </si>
  <si>
    <t xml:space="preserve">A collage that shows memes from tiktoks most popular era. </t>
  </si>
  <si>
    <t>1key5qt</t>
  </si>
  <si>
    <t>Smurfette is the only female Smurf. She's trying to make herself look like the other Smurfs. That's pretty much the extent of it. The other smurfs don't wear shirts so in the second panel she's putting on a blue shirt to make it seem like she's not wearing a shirt. Although the subtle hint is that where she lives is also a giveaway. She would be the only Smurf with white shirts (hanging outside to dry).</t>
  </si>
  <si>
    <t xml:space="preserve">Its funny because because all the smurds look the same so she is trying to stand out. </t>
  </si>
  <si>
    <t xml:space="preserve">Its funny because the house ha transfrmed into her by the last image because fof the the blonde fringe bangs and the hay on the window look similar. </t>
  </si>
  <si>
    <t>This three-panel comic strip shows Smurfette tucking her long blonde hair into her hat and deciding to change her clothes, saying, "IF I JUST HIDE MY HAIR... AND CHANGE MY CLOTHES..." In the final panel, she has placed her hair and dress over her mushroom house and exclaims, "IT WORKED!"</t>
  </si>
  <si>
    <t>1jzigfy</t>
  </si>
  <si>
    <t>The blind man is reading the bumps on the exterior of the basketball as braille, and apparently it's very engaging literature.</t>
  </si>
  <si>
    <t xml:space="preserve">It is a play on Stevie wonder and his amny talents. </t>
  </si>
  <si>
    <t>The comic strip depicts a blind stick-figure character walking with a cane until he encounters a basketball. After picking it up and feeling its textured surface, the character's expression changes significantly. The text includes the phrases "Blind guy walkin," "Interesting, what is this?" "Hmm," and "This mf spittin."</t>
  </si>
  <si>
    <t xml:space="preserve">It is funny because it is incongruous to be a rapper and a basketball player. </t>
  </si>
  <si>
    <t>192wp5d</t>
  </si>
  <si>
    <t>She's an independent lock and DONT NEED NO KEY!!!</t>
  </si>
  <si>
    <t xml:space="preserve">Its funny because a lock only has one perfect key. </t>
  </si>
  <si>
    <t xml:space="preserve">It is making fun of societal norms and plastic surgery. </t>
  </si>
  <si>
    <t>In this four-panel comic, a key character carrying suitcases leaves a room while a padlock character yells. The padlock then discards a photo of the two of them and visits a bear doctor, where it indicates in a speech bubble that it no longer wants a key. In the final panel, the padlock is shown walking away with a new combination dial attached to its front.</t>
  </si>
  <si>
    <t>1hql3cv</t>
  </si>
  <si>
    <t>Tank you A ri gator?</t>
  </si>
  <si>
    <t xml:space="preserve">It is  making a joke of animosity between the two countries during WW2. </t>
  </si>
  <si>
    <t>This image features a comparison titled "Saying ‘thank you’" divided into two sections. The "English" section displays a person wearing a homemade cardboard tank costume, while the "Japanese" section shows a close-up photograph of an alligator.</t>
  </si>
  <si>
    <t xml:space="preserve">This is a refrence to the palanes used in ww2. </t>
  </si>
  <si>
    <t>1mluk7a</t>
  </si>
  <si>
    <t>After WW2 countless people had to plant trees to restock wood with mostly monoculture forests, as ressource for rebuilding the mostly destroyed country. During the war way more wood was taken off the land then replanted.</t>
  </si>
  <si>
    <t xml:space="preserve">Its a joke because of their differing climates amking it an impossible comaprison. </t>
  </si>
  <si>
    <t>Text over a leafy background discusses Germany being "green" compared to Spain. Below the text, a man in a black sweater touches his nose while looking to the side.</t>
  </si>
  <si>
    <t>Because the the vastly different land per capita comparison</t>
  </si>
  <si>
    <t>1mpg380</t>
  </si>
  <si>
    <t>Frustration's attack power depends on how low your friendship is.  If Frustration is dealing some big damage, you've got a shitty trainer on your hands Edit:  Also it's a Sylveon, which requires the OPPOSITE of what Frustration demands, so yeah that other trainer has done things to harm this poor creature so much they might have to get banned in-universe Edit 2:  Sylveon evolves from Affection in Gen 6 and 7, IDK why that got nixed in Gen 8 onwards</t>
  </si>
  <si>
    <t>This image shows a digital menu for the Pokémon Sylveon with the moves Frustration, Dazzling Gleam, Hyper Beam, and Focus Energy selected. Below the menu is a two-panel meme featuring Mr. Incredible, with a colorful version labeled "THOSE WHO DON'T KNOW" on the left and a dark, distorted version labeled "THOSE WHO KNOW" on the right.</t>
  </si>
  <si>
    <t xml:space="preserve">On the surface it seems like a cute pink creature but when you read closer frustration is one of its key traits. </t>
  </si>
  <si>
    <t xml:space="preserve">This is a famously difficult game if your loadut is incorrect and this is one of them. </t>
  </si>
  <si>
    <t>1eexgq9</t>
  </si>
  <si>
    <t>Argentina is where a lot of nazi refugees fled from Germany as the outcome of WW2 was becoming more certain to avoid capture by the allies. As a result, many of their descendants still live there, so you end up with some Argentinians with suspiciously German last names and lineage.</t>
  </si>
  <si>
    <t>It is a joke because Argntianians have famously "less latiny names"</t>
  </si>
  <si>
    <t>It is funny bercause German last names are some of the most common throughut the whole world.</t>
  </si>
  <si>
    <t>The image features the header "Argentinians be like:" above two photos labeled "First Name" and "Last Name." Under "First Name," a man is shown in a traditional matador outfit with a cape, and under "Last Name," a man is wearing a black Nazi SS military uniform with a swastika armband.</t>
  </si>
  <si>
    <t>1cs870m</t>
  </si>
  <si>
    <t>Nada means nothing but also swim, he asked what's up</t>
  </si>
  <si>
    <t xml:space="preserve">It is funny because penguins dont talk. </t>
  </si>
  <si>
    <t xml:space="preserve">It is funny because penguins dont speak spanish. </t>
  </si>
  <si>
    <t>The image contains a social media post with the text, "i'm literally so bored i just realized that 'no' is 'on' backwards." Below the text is a reaction photo of a man with a shocked, wide-eyed expression.</t>
  </si>
  <si>
    <t>1g1cv45</t>
  </si>
  <si>
    <t>He is putting water into the empty bottle, to shake it up and make soapy water, to get an extra wash out of the bottle before throwing it away.</t>
  </si>
  <si>
    <t xml:space="preserve">It funny because the animal is sad and it is asumed that one would be happy having fufillled thier childhood goals. </t>
  </si>
  <si>
    <t xml:space="preserve">It is funny because animals dont shower themselves ad wouldnt know to put water in the bottle of soap to get an extra use. </t>
  </si>
  <si>
    <t>1g2ofgo</t>
  </si>
  <si>
    <t>Traditional ways of observing Yom Kippur include abstaining from food, washing, and sex, so it's not really normal to wish a happy" Yom Kippur to anyone"</t>
  </si>
  <si>
    <t xml:space="preserve">That is not traditionally how you greet someone on yom kippur. </t>
  </si>
  <si>
    <t xml:space="preserve">It is funny because on Yom Kippur jews usually dont use phones as technology is forbidden to keep kosher lifestyle. </t>
  </si>
  <si>
    <t xml:space="preserve">A 4 panel meme with screenshots from the terminator with him wishing th woman on the phone "Happy Yom Kipur"  her returning the greeting and then the man telling the child his parents are dead. </t>
  </si>
  <si>
    <t>1jzu8un</t>
  </si>
  <si>
    <t>What's wrong with McAfee?What's wrong with McAfee? That question is a different topic, anyway the joke is that even if you uninstall it somehow it'll find its way back to your PC or just won't let you do it at all.</t>
  </si>
  <si>
    <t>A man labeled "Me" physically ejects another man labeled "McAfee" from a building. After the first man turns around to dust off his hands, the second man immediately reappears directly behind him inside the room.</t>
  </si>
  <si>
    <t xml:space="preserve">It is a joke refering to the common trope that there is always one friend you cant get rid of. </t>
  </si>
  <si>
    <t>It isa reference to the character macafee in the Netflix show "the Politician"</t>
  </si>
  <si>
    <t>1gvvhs3</t>
  </si>
  <si>
    <t>Tea" is slang for gossip"</t>
  </si>
  <si>
    <t xml:space="preserve">It is incongruous because a flight attendant would never divuldge this kind of information ti a passenger. </t>
  </si>
  <si>
    <t xml:space="preserve">It is funny because the woamn who asked for the tea is the wife. </t>
  </si>
  <si>
    <t>A flight attendant offers a passenger a choice between coffee or tea, to which the passenger selects tea. The flight attendant then leans in and shares a secret about the captain having a second family while his wife is on the same plane.</t>
  </si>
  <si>
    <t>1l22d3q</t>
  </si>
  <si>
    <t>It’s a pretty significant plot point to do with Yellowjackets, which she is a major character in. let’s just say, to avoid spoilers, wearing the heart necklace in that show is indicative of bad things to follow. also you should watch Yellowjackets</t>
  </si>
  <si>
    <t xml:space="preserve">It is a compliment to the woman in the photo saying she is so beautiful she is worth going to war for. </t>
  </si>
  <si>
    <t>A social media post features two photos of actress Ella Purnell, with a caption comparing her facial expression to a portrait one would carry in a heart locket during wartime. A comment below the photos suggests that she has already seen enough heart necklaces.</t>
  </si>
  <si>
    <t xml:space="preserve">The poster assumed that since she is beautiful she has already been gifted lots of jewlery. </t>
  </si>
  <si>
    <t>1j289je</t>
  </si>
  <si>
    <t>Penguins are a brand of individually wrapped biscuits</t>
  </si>
  <si>
    <t xml:space="preserve">It is a joke about platic toys and how two animals who would never coexist in nature are able to in  plastic form. </t>
  </si>
  <si>
    <t>Elephants have famously thick and wrinkly skin.</t>
  </si>
  <si>
    <t>A person holds a small slip of paper featuring a joke about elephants and penguins. The text asks why elephants do not like penguins, followed by the answer: "They can't get the wrappers off."</t>
  </si>
  <si>
    <t>1ga3uxo</t>
  </si>
  <si>
    <t>It prints out the 8th letter of the Sinhala alphabet, which is the official language of Sri Lanka. The alphabet looks like this: ඞ Amogus.</t>
  </si>
  <si>
    <t xml:space="preserve">It is a script that deletes your entire computer. </t>
  </si>
  <si>
    <t>It is a script that installs a virus that sends all your passwords and usernames to hackers.</t>
  </si>
  <si>
    <t>An image shows Peter Griffin from Family Guy running through a field while being chased by a plane. Overlaying the scene is a line of Python code and a warning to not print it, calling it the "worst mistake of my life."</t>
  </si>
  <si>
    <t>1l99mtp</t>
  </si>
  <si>
    <t>The answer is: horse legs don't bend that way.</t>
  </si>
  <si>
    <t xml:space="preserve">The busha upon frst glance looks like the head of a person. </t>
  </si>
  <si>
    <t xml:space="preserve">There are no such places in Auburn California. </t>
  </si>
  <si>
    <t>A framed sketch of a white horse is displayed on a wall above a wooden cabinet in a hotel foyer. A small, round topiary plant on the cabinet is positioned directly in front of the bottom of the painting, overlapping the horse's underside.</t>
  </si>
  <si>
    <t>1hjwowy</t>
  </si>
  <si>
    <t>It was posted by someone who identifies as GenX. That’s all there is to it.</t>
  </si>
  <si>
    <t xml:space="preserve">Gen X is uusally not as mentioned when discussing generational differences. </t>
  </si>
  <si>
    <t>A four-panel meme characterizes different generations through various emotional reactions: Millennials and Boomers are shown shouting and pointing, while Gen Z is shown crying into a headset. In the final panel, Gen X is depicted looking on calmly while holding a drink.</t>
  </si>
  <si>
    <t xml:space="preserve">It shws people depicted by their age. </t>
  </si>
  <si>
    <t>1ii3g3t</t>
  </si>
  <si>
    <t>It's the way how it was found. Basically, during WWII (correct me if I'm wrong) Japanese were making atrocious experiments on people. One of those experiments was to put a live human in an oven, that removes all liquid from a thing that was put into it. So, they weighed a person before the experiment and weighed the remains after. The mass loss was about 70%. Thats how we know human body is 70% water</t>
  </si>
  <si>
    <t xml:space="preserve">The photo is in black in white for why we discovered it because only balck and white photos existed when it was discovered. </t>
  </si>
  <si>
    <t xml:space="preserve">It is a reference to a scene in the incredibles movie when Mr.Incredible and iceman fight. </t>
  </si>
  <si>
    <t>A two-panel meme with the text "The human body is 70% water" above two images of Mr. Incredible: a normal cartoon version labeled "Those who know" and a dark, distressed version labeled "Those who know why we know."</t>
  </si>
  <si>
    <t>1h7ih54</t>
  </si>
  <si>
    <t>The movie is pet sematary, the kid in the pic gets killed by a truck in front of his dad. Many kids were introduced to death by the movie when it was new.</t>
  </si>
  <si>
    <t xml:space="preserve">It is funny because it is about the difference between Gen X and Millenials. </t>
  </si>
  <si>
    <t>A two-panel image with the top showing an animated scene of Simba next to Mufasa's body from The Lion King with text "Most kids were introduced to death in this movie scene," and the bottom showing a live-action scene of a small child running across a field toward a red toy with an adult chasing behind, labeled "This was mine!"</t>
  </si>
  <si>
    <t xml:space="preserve">It is a dark reference to someone saying they were intorduced to death through the death of their younger sibling. </t>
  </si>
  <si>
    <t>1eglfe7</t>
  </si>
  <si>
    <t>I just went to a popular PC components website, browsed their top 12 motherboards sorted on popularity" and found 7/12 still had at least one PS2 port on the back plate coded half purple, half teal... one of them actually had both as separate ports!"</t>
  </si>
  <si>
    <t xml:space="preserve">It is funny because these ports are outdated. </t>
  </si>
  <si>
    <t xml:space="preserve">It is funny because these ports are extremely modern so its sarcasm. </t>
  </si>
  <si>
    <t>A two-panel image with the top showing a man leaning out of a car window with the caption "How are you not dead?" and the bottom showing a close-up of purple and green PS/2 keyboard and mouse ports overlaid on a background scene, with the caption "I have no idea!"</t>
  </si>
  <si>
    <t>1jdq5gi</t>
  </si>
  <si>
    <t>In the Commonwealth (former British colonies that are still technically part of the empire, like Canada), it’s spelled “behaviour” Edited to add: yes, yes, I significantly oversimplified the concept “Commonwealth”. Shoulda said “places that speak English other than the US”. Canada, the nation in the meme in question, is in the Commonwealth.</t>
  </si>
  <si>
    <t xml:space="preserve">It is a meme making fun of the original tweets spelling mistakes. </t>
  </si>
  <si>
    <t>A screenshot of a social media post from "The Don of Vaughan"  with the caption "behavior," featuring a still from the film Inglourious Basterds showing a man holding up three fingers in a gesture while another man watches, quote-tweeting a post that reads "Any Canadian who boos the American National anthem at sporting events is a disgrace. Completely pathetic behavior."</t>
  </si>
  <si>
    <t xml:space="preserve">It is funny because they used the european way to spell english words. </t>
  </si>
  <si>
    <t>A screenshot of a social media post from "The Don of Vaughan" (a parody account) with the caption "behavior," featuring a still from the film Inglourious Basterds showing a man holding up three fingers in a gesture while another man watches, quote-tweeting a post that reads "Any Canadian who boos the American National anthem at sporting events is a disgrace. Completely pathetic behavior."</t>
  </si>
  <si>
    <t>1jykoxc</t>
  </si>
  <si>
    <t>Melanin is a pigment that gives color to your skin. Black people have more melanin than white folk, for example. There's also the stereotype that black households do not change the batteries in their smoke alarms, and just decide to tune out the beep</t>
  </si>
  <si>
    <t>A YouTube Shorts screenshot showing a man with messy brown hair and stubble lying in bed with his eyes open, captioned "POV you accidentally take Melanin instead of Melatonin to go to sleep," posted by @aljokes with 705K likes.</t>
  </si>
  <si>
    <t xml:space="preserve">It is funny because in the video he gets more tan ie the melanin part. </t>
  </si>
  <si>
    <t xml:space="preserve">It is funny because they arent related and would never get mixed up. </t>
  </si>
  <si>
    <t>1il72ww</t>
  </si>
  <si>
    <t>This is the finance bro uniform. Slacks/jeans, button down blue shirt, Patagonia vest, expensive shoes The Excel spread sheet part is in reference to a large part of their jobs involve using excel to perform various financial analysis. They usually consider themselves to be excel wizards and many compete" in speed tests using shortcuts only and no mouse to format and build visuals in excel."</t>
  </si>
  <si>
    <t xml:space="preserve">It is funny because the stripes on their shirts make them look like excel spreadhseets. </t>
  </si>
  <si>
    <t xml:space="preserve">It is because the are in a line like a column like a spreadhseet column. </t>
  </si>
  <si>
    <t>An image captioned "It's a bad day to be an excel spreadsheet" showing three men walking down a city sidewalk, all viewed from behind, wearing matching outfits of dark quilted vests, blue button-up shirts, and jeans.</t>
  </si>
  <si>
    <t>1g3admg</t>
  </si>
  <si>
    <t>Think that's the elephant's foot from Chernobyl</t>
  </si>
  <si>
    <t xml:space="preserve">It is funny because if you were actually near so much radiation you would be dead. </t>
  </si>
  <si>
    <t>A black-and-white image captioned "when the tour guide is freaking out in Russian about the cool rock that you found but you're just a really chill guy," showing the cartoon "Chill Guy" dog character standing next to a large rocky mass beside a tree trunk.</t>
  </si>
  <si>
    <t xml:space="preserve">It is funny beacsue there are no tours in chernobyl. </t>
  </si>
  <si>
    <t>1kpj6mq</t>
  </si>
  <si>
    <t>Southpark Canadians</t>
  </si>
  <si>
    <t xml:space="preserve">It is funny because almost all candians have this set in their home. </t>
  </si>
  <si>
    <t xml:space="preserve">It is funny because it resmeble the canadian flag. </t>
  </si>
  <si>
    <t>An image captioned "This plate is Canadian" showing a white plate with two black dots positioned as eyes and a strip of bacon laid diagonally across it resembling a mouth or scarf.</t>
  </si>
  <si>
    <t>1gp140e</t>
  </si>
  <si>
    <t>A platypus? Perry the Platypus!</t>
  </si>
  <si>
    <t xml:space="preserve">It is funny because it looks like Perry the Platypus. </t>
  </si>
  <si>
    <t xml:space="preserve">It is funny because it is a famous abstarct painting. </t>
  </si>
  <si>
    <t>An image captioned "How does my brain understand this" with a crying emoji, showing four abstract squiggle drawings made of teal, orange, and brown shapes that loosely resemble a chicken, a chicken with an egg, a question mark, and an exclamation mark.</t>
  </si>
  <si>
    <t>1it3ezt</t>
  </si>
  <si>
    <t>As for a bee, he refers to an F-22 stealth fighter, whose radar-cross section is comparable to a bee. SO the radar says that there's a bee flying at mach 2</t>
  </si>
  <si>
    <t>An image captioned "POV: You're in a Su-57 and a bee is approaching you at mach 2" showing a close-up of a gray and orange calico cat staring directly at the camera with a wide-eyed, worried expression.</t>
  </si>
  <si>
    <t xml:space="preserve">It is because the bee would most definetly be killed instantly by the object going mach 2. </t>
  </si>
  <si>
    <t xml:space="preserve">Its funny becaue  a cat coukd never be a pilot. </t>
  </si>
  <si>
    <t>1ceuuuh</t>
  </si>
  <si>
    <t>They're all pregnant. Can't deploy pregnant people</t>
  </si>
  <si>
    <t>They are wearing longer jackets as a way of respecting Iran’s expectations around modest clothing. It looks like they are trying to adapt to the country’s rules and avoid standing out too much.</t>
  </si>
  <si>
    <t>The woman looks kind of dull and uninterested, like she is not exactly excited to be there. Her expression makes it seem as if the whole trip or situation is not really her vibe.</t>
  </si>
  <si>
    <t>At the top, the meme says, “Single female Soldiers when they hear they might deploy to Iran.” Under the text, a pregnant female soldier is shown from three different angles while wearing a military uniform.</t>
  </si>
  <si>
    <t>1bk5jkq</t>
  </si>
  <si>
    <t>Noone's sure why saturn has a hexagon   There's hypotheses, but noone's completely sure   that's what the meme is referring to</t>
  </si>
  <si>
    <t>It is not actually a hexagon, which is basically the whole troll part of the meme. The image acts like it is showing something obvious or scientific, but the shape does not even match what it claims.</t>
  </si>
  <si>
    <t>Saturn’s hexagon is a real cloud pattern around the planet’s north pole, which is why the reference works. The meme depends on recognizing that Saturn is known for having this strange, almost hexagonal storm-like formation.</t>
  </si>
  <si>
    <t>This four-panel meme focuses on Saturn’s hexagon-shaped pole. It starts with a simple image of Saturn, then moves into darker and more dramatic edits where different meme faces react to the hexagon.</t>
  </si>
  <si>
    <t>1az5r39</t>
  </si>
  <si>
    <t>Food prices in Canada are very high</t>
  </si>
  <si>
    <t>In America people have the whole American Dream thing where everyone is told they can work hard and maybe become rich one day.</t>
  </si>
  <si>
    <t>Bugs Bunny appears in two separate panels with different flags behind him. In the first panel, the American flag is shown with the words “work or starve,” while the second panel uses the Canadian flag and changes the phrase to “work and starve.”</t>
  </si>
  <si>
    <t>In Canada it feels more like people get a decent amount and the whole society is supposed to be a bit more equal.</t>
  </si>
  <si>
    <t>1hauo6q</t>
  </si>
  <si>
    <t>A McDonald's employee collected the prize bag on identifying the UnitedHealth CEO assassin.</t>
  </si>
  <si>
    <t>A “Marked Safe” style post is shown with a small blue flag icon above the text. The message says that the person is marked safe from being the most hated McDonald’s employee in the country today.</t>
  </si>
  <si>
    <t>No matter how hated you think you are there is always someone people hate even more lol.</t>
  </si>
  <si>
    <t>Working at McDonald’s already makes some people judge you because of all the boycotts and politics around it.</t>
  </si>
  <si>
    <t>1jtym4e</t>
  </si>
  <si>
    <t xml:space="preserve"> That scar looks like the one left by the BCG (Bacille Calmette-Guérin) vaccine. It prevents tuberculosis. Many immigrants are seen with this scar.</t>
  </si>
  <si>
    <t>The meme begins with ICE asking, “are you Mexican,” followed by the reply “No.” Beneath that, the image compares a mark on someone’s skin with a suspicious facial expression labeled as ICE.</t>
  </si>
  <si>
    <t>ICE is shown as thinking someone is illegal just because they are Mexican which makes the whole thing feel racist and unfair.</t>
  </si>
  <si>
    <t>ICE does not only go after Mexicans. They target immigrants in general so it is bigger than just one group.</t>
  </si>
  <si>
    <t>1l4x3e6</t>
  </si>
  <si>
    <t>They are implying a relationship between trumps youngest son, Baron, and elons daughter, Vivian, would end the petty squabbles and reunite the 2 fathers.</t>
  </si>
  <si>
    <t>If Putin’s daughter and Trump’s son got together, it would basically mean world peace.</t>
  </si>
  <si>
    <t>A tweet says there is a long-standing way to resolve current political tension and that the user should not have to spell it out. Below the text are two photos placed side by side, one of a young blonde woman and one of a young man in a suit.</t>
  </si>
  <si>
    <t>Trump’s son having a model girlfriend would make him happier and probably less awkward overall.</t>
  </si>
  <si>
    <t>1mahcad</t>
  </si>
  <si>
    <t xml:space="preserve">penguin also happens to be the name of a chocolate bar p-p-pick up a penguin </t>
  </si>
  <si>
    <t>Penguins are tough animals, so eating one would obviously not be easy.</t>
  </si>
  <si>
    <t>Getting the wrapper off a Penguin bar is already hard for humans, so an elephant would have no chance.</t>
  </si>
  <si>
    <t>A small paper joke card is lying on a wooden table. The card asks, “Why don’t elephants like penguins?” and answers, “They can’t get the wrappers off.”</t>
  </si>
  <si>
    <t>1j0n4gg</t>
  </si>
  <si>
    <t>Loss of US support for zelenski and Ukraine means Russia and its allies will have a considerable advantage, this image depicts them revelling in this information.</t>
  </si>
  <si>
    <t>Men love gossip just as much as women do, they just pretend they do not.</t>
  </si>
  <si>
    <t>A four-panel phone-call meme shows three political leaders holding phones. The captions suggest that one leader asks if another is seeing something, then a third joins the call with a loud phone sound.</t>
  </si>
  <si>
    <t>When the tea is good enough, even men are calling their homeboys immediately.</t>
  </si>
  <si>
    <t>1hbogj4</t>
  </si>
  <si>
    <t>The United Health Care CEO shooter was recently apprehended in Pennsylvania in a McDonald’s after a tip was called in by another customer, contrary to the current belief that it was an employee. The meme is implying that the McDonald’s worker would also snitch on Anne Frank, who was hiding in an attic from the Nazis, because of the belief a McDonald’s employee snitched</t>
  </si>
  <si>
    <t>Comparing Anne Frank hiding from the Nazis to someone being murdered by a civilian from a major company makes no sense. Those two situations are nowhere near the same level.</t>
  </si>
  <si>
    <t>Anne Frank’s hiding place has become such a tourist spot now that there is even a McDonald’s nearby where people can ask for directions.</t>
  </si>
  <si>
    <t>A fast-food worker is shown smiling while holding a kitchen utensil. The text above her says, “Anne Frank? Yeah, she’s in the attic.”</t>
  </si>
  <si>
    <t>1flb4nk</t>
  </si>
  <si>
    <t>The show being referenced is the mockumentary Cunk on Earth, where the titular narrator humorously misinterprets history. The Romans left a lot from their history, including pottery fragments (which broke due to the long time period), which Cunk humorously says is caused by their clumsiness.</t>
  </si>
  <si>
    <t>A social media post shows a woman standing in front of ancient ruins. Below it, another post says that based on the amount of pottery fragments, the Roman Empire may have been the clumsiest empire in history.</t>
  </si>
  <si>
    <t>Materials have changed a lot since ancient times, so pottery today can last much longer than pottery from the Roman Empire.</t>
  </si>
  <si>
    <t>Someone probably broke the pottery on purpose just to mess with the Roman Empire.</t>
  </si>
  <si>
    <t>1dhf9h2</t>
  </si>
  <si>
    <t>Donald Trump saying electric boats are heavy and will sink. You either get electrocuted by the battery or face a shark.</t>
  </si>
  <si>
    <t>There are not sharks everywhere in the ocean, so acting like the only options are “safe water” or “shark attack” is way too dramatic.</t>
  </si>
  <si>
    <t>A meme shows two politicians sitting on a couch, with one laughing while the other bends forward. Text above them says, “So there’s a boat, A battery and a shark 10 yards away.”</t>
  </si>
  <si>
    <t>It shows Hillary and Obama secretly plotting together to get rid of Trump.</t>
  </si>
  <si>
    <t>1c01lei</t>
  </si>
  <si>
    <t>A British prime minister who the IRA tried to blow up.</t>
  </si>
  <si>
    <t>It looks like they are planning to bomb the non-binary person, which makes the situation feel way darker and more absurd than expected.</t>
  </si>
  <si>
    <t>Even when people travel back in time to warn them that the bomb will not kill Thatcher, they still do not seem to take it seriously. They are so focused on the plan that the warning barely matters to them.</t>
  </si>
  <si>
    <t>A time-machine meme compares girls, boys, and a non-binary person using a time machine. Each section shows a character giving advice to a group of masked men, with the group responding that they will do better.</t>
  </si>
  <si>
    <t>1d7u657</t>
  </si>
  <si>
    <t>To Kill a Mockingbird Story: In 1932 Alabama, a widowed lawyer with two small children defends a black man accused of raping a white woman.</t>
  </si>
  <si>
    <t>The image combines a social media post about believing rape victims with a black-and-white courtroom scene from an old film. Two men are seated in court while people watch from the background.</t>
  </si>
  <si>
    <t>The situation is wild because the widowed lawyer is still helping the man accused of rape, even though that same man is also connected to the death of his wife. It makes the scene feel morally twisted, since he is defending someone who has caused him personal harm.</t>
  </si>
  <si>
    <t>The point is that people often treat male victims with way more doubt, especially in cases involving sexual assault. The reaction becomes uncomfortable because it suggests that being taken seriously depends on gender rather than the actual situation.</t>
  </si>
  <si>
    <t>1dv83hh</t>
  </si>
  <si>
    <t>It’s a stereotype that black peoples favorite alcoholic beverage is Hennessy, and if they didn’t ask or didn’t know his taste beforehand, this definitely comes off as racist but it doesn’t look like he’s complaining too terribly</t>
  </si>
  <si>
    <t>He is overreacting to the cake being chocolate, because he connects the brown color of the cake to his own skin color. In his mind, the choice of flavor feels way too targeted, even though it is probably just a normal cake.</t>
  </si>
  <si>
    <t>A tweet says the person’s job called them a slur “with the hardest ER.” Below the tweet is a photo of a chocolate cake topped with a bottle of Hennessy and a large blue bow.</t>
  </si>
  <si>
    <t>The image leans on an association between chocolate and dark skin. Because the cake is chocolate, he reads it as if his workplace is making a weird comment about him rather than simply giving him a dessert.</t>
  </si>
  <si>
    <t>1cdufsh</t>
  </si>
  <si>
    <t>Pot of greed was a bit broken simply because it was an automatic “draw 2 cards” without a downside. So lets say you start a game and have pot of greed, now you start with 6 cards instead of 5, if you had more pots of greed you could just continuously pull more cards to force the deck into giving you very strong cards/plays. There are some clips of people playing with no restrictions to show how broken the game could be, and you were essentially able to abuse pot of greed and other cards to win on round 1.</t>
  </si>
  <si>
    <t>This is clearly a troll version of the original image, where the child was holding a Kinder Egg. Here, it has been swapped out for a game card, which makes the message feel even more exaggerated and ridiculous.</t>
  </si>
  <si>
    <t>The image points out how strange it is to treat a game card as more dangerous than a gun. Playing games is obviously not on the same level as holding a firearm, which makes the comparison feel absurd.</t>
  </si>
  <si>
    <t>Two children are standing in a classroom. One child is holding a trading card, while the other is holding a large rifle. Text above them says that one child is holding something banned in America to protect them.</t>
  </si>
  <si>
    <t>13ibrc1</t>
  </si>
  <si>
    <t>Let’s start with the comic. The two shallow and wide glasses hold the same amount of liquid.   The next panels you see the transfer of the liquid to the taller thin glass.  The volume and quantity of the liquid remains the same.  The third panel the child points to the taller glass. This whole set up is a standard test for the developmental level of a child.   The goal is to tell which glass holds the most liquid. It’s commonly for young children to look at the glass and see that it’s taller and say that has the most liquid, simply because they lack the understanding to consider the width of the glass.  This occurs even if you pour it right in front of them. So the comment from Lara Trump follows a similar logic.   The red portion of the map outlines Republican districts, the blue outlines Democratic districts.   She is implying that because the red covers the majority of the map, most of the country is Republican and therefor would be unable to impeach them. The comic is pointing out that although the red map covers more land than blue, it does not accurately convey the number of voters, because the blue districts hold the same or more of the population due to population density.</t>
  </si>
  <si>
    <t>A Reddit screenshot shows a tweet with a red-and-blue map of the United States and the text “Try to impeach this.” Under it, another user replies with a three-panel image of a child pouring liquid between containers.</t>
  </si>
  <si>
    <t>Trump’s daughter appears to be trolling people online by posting a map that makes it look like far more people voted for her dad. It comes across as a deliberately provocative post meant to annoy or bait people on X.</t>
  </si>
  <si>
    <t>She seems to have edited or presented the voting map in a way that makes it look much redder than it actually is. The image gives the impression that the results are being manipulated visually to support her point.</t>
  </si>
  <si>
    <t>1m56k4v</t>
  </si>
  <si>
    <t>Actually I don’t believe it is at all. People who take too much Benadryl sometimes report seeing a black figure with a hat that people call the “hat man.” It’s a frequent enough phenomena that I think there’s some medical studies or articles about him.</t>
  </si>
  <si>
    <t>A tweet says “Couples costume idea” above a photo of a smiling woman in a pink Benadryl shirt. Behind her, a person dressed entirely in black with a wide-brimmed hat is standing with their arms around her.</t>
  </si>
  <si>
    <t>Taking too much Benadryl is known for making people hallucinate, so the dark figure behind her is meant to look like something she would start seeing after using it.</t>
  </si>
  <si>
    <t>They are dressed like a couple’s costume, with her as Benadryl and the person behind her looking like Sherlock Holmes or some mysterious shadowy boyfriend.</t>
  </si>
  <si>
    <t>1mbrsfx</t>
  </si>
  <si>
    <t>A guy retweeted this photo saying « I’m sorry for what United States did at Pearl Harbor ». The joke is that she’s looking good and the dude was a simp</t>
  </si>
  <si>
    <t>A photo shows a woman in a grey suit holding a black folder while standing indoors. The caption above says that seeing the picture as a man feels like getting hit in the chest with a sledgehammer.</t>
  </si>
  <si>
    <t>The guy first seems interested because he finds her attractive, but then he realizes she is trans and suddenly changes his mind</t>
  </si>
  <si>
    <t>He thinks she looks good at first, but then finds out she is his friend’s ex. That makes the whole thing awkward, because being into your homie’s ex is usually seen as crossing a line.</t>
  </si>
  <si>
    <t>1lnme9d</t>
  </si>
  <si>
    <t>Diogenes is the most Philosopher ahead of his time, he literally didn't care about anyone or anything, and he proves his points in a very... creative ways   once, he won an entire debate with some guy by just farting Poter out</t>
  </si>
  <si>
    <t>Socrates is usually seen as calm and patient, so his lack of reaction makes the scene even better. Something completely absurd is happening in front of him, but he just sits there as if this is a normal philosophical moment.</t>
  </si>
  <si>
    <t>The meme shows a close-up selfie of a bearded man sitting in a car. The text above says, “Socrates watching Diogenes piss himself to prove a point.”</t>
  </si>
  <si>
    <t>Socrates does not even want to argue with Diogenes because he has more important philosophy stuff to deal with. Diogenes is doing something ridiculous to prove a point, and Socrates basically looks like he has no time or energy for that kind of chaos.</t>
  </si>
  <si>
    <t>1lhnwl4</t>
  </si>
  <si>
    <t>The original was about a man working despite being armless while the begger got both arms but still refuse to do the harder work. The twist is that the begger is working as an undercover spy, so technically he is working.</t>
  </si>
  <si>
    <t>He is apparently a Russian spy, which makes the scene even more ridiculous. He is sitting there looking like he is begging, but then acts like it is all part of some secret mission.</t>
  </si>
  <si>
    <t>A cartoon shows a man sitting on the ground with a bowl, appearing to beg. Another man with no arms walks past carrying bricks and bags, with the text “Work bro, don’t beg...” The seated man replies, “I’m a spy, you fool!”</t>
  </si>
  <si>
    <t>He only says he is a spy to save his dignity. Instead of admitting that he is begging, he tries to make the situation sound intentional and mysterious.</t>
  </si>
  <si>
    <t>1lcutci</t>
  </si>
  <si>
    <t>Americans' taxes are funding the ammunition of Iran and Israel, who are currently blaming and hurling explosives at each other</t>
  </si>
  <si>
    <t>People are crying because a war seems like it is about to break out. The situation feels tense, and everyone is reacting as if something terrible is coming.</t>
  </si>
  <si>
    <t>The population is scared because they think the bombs might hit them. They are basically stuck under the threat of violence, not knowing whether they are going to be next.</t>
  </si>
  <si>
    <t>The image shows missiles flying over a city at night. Text labels the missiles as “my tax dollars” and “somehow also my tax dollars,” while the bottom shows a man underwater with the caption “Americans.”</t>
  </si>
  <si>
    <t>1lmltqs</t>
  </si>
  <si>
    <t>Think I found the original meme. It's the barcode of the Oreo and the person who decided to get this tattoo is half-black and half-white. It makes some sense I guess.</t>
  </si>
  <si>
    <t>It is silly to imagine that a barcode tattoo would actually scan like a real product. He puts his hand under the scanner as if the tattoo can be read and priced by the machine.</t>
  </si>
  <si>
    <t>A tweet says, “My brother wanted to show me his new tattoo.....” Below it, a hand is shown inside an orange store scanner, and the scanner screen displays the number “2.54.”</t>
  </si>
  <si>
    <t>It has that typical kid logic where children half-believe they can be sold because parents sometimes jokingly threaten them with it. The scanner showing a price makes it look like the brother is actually being treated as something for sale.</t>
  </si>
  <si>
    <t>1lgqywl</t>
  </si>
  <si>
    <t>3.6 is the level of radiation measured at the Chernobyl disaster (the real radiation level was much higher, but the devices they used could only measure up to 3.6).</t>
  </si>
  <si>
    <t>It only really works because it is clearly a remake of the Chernobyl joke. The “3.6” reply is a weirdly low rating, which makes the whole thing feel like a dry reference rather than a serious answer.</t>
  </si>
  <si>
    <t>The number 3.6 is so oddly specific and random that it feels like pure Twitter humor. Someone just drops a strange number as the punchline, and somehow that becomes the joke.</t>
  </si>
  <si>
    <t>A tweet from an account named Anatoly Dyatlov says, “Rate my Chernobyl Grand Prix layout.” The image shows an aerial view of a nuclear power plant with a red racing-track outline drawn around it. A reply below simply says “3.6.”</t>
  </si>
  <si>
    <t>1l8fck5</t>
  </si>
  <si>
    <t>It's the code to their crypto wallet.</t>
  </si>
  <si>
    <t>It was probably something important, like a phone number, password, or recovery phrase that they forgot and only had written down on that piece of paper. Now that it has been thrown away, the information is just gone.</t>
  </si>
  <si>
    <t>It turns out the paper had the deactivation code for a bomb the soldier has already activated. Now he is standing there realizing the code is gone, basically just waiting for everything to go wrong.</t>
  </si>
  <si>
    <t>A war painting shows a shocked soldier standing in a battlefield with smoke, tanks, mountains, and planes behind him. The text over the image says, “Oh yeah I threw out a paper with 12 random words while cleaning.”</t>
  </si>
  <si>
    <t>1if88s3</t>
  </si>
  <si>
    <t>Binary code? 1 1= 3 IIrc</t>
  </si>
  <si>
    <t>The two fingers are meant as a signal to the bartender that he wants another round of drinks. It is the kind of gesture that makes sense in a bar setting, even without saying much out loud.</t>
  </si>
  <si>
    <t>A cartoon shows three men walking into a bar. One of them holds up two fingers while saying “Three beers” to the bartender, who is holding a glass.</t>
  </si>
  <si>
    <t>He says three beers while only holding up two fingers, which makes the whole moment confusing. The mismatch between what he says and what he signals is what throws everything off.</t>
  </si>
  <si>
    <t>1jpn69p</t>
  </si>
  <si>
    <t>There’s a saying in medical school “ When you hear hoofbeats think horses not zebra” meaning think of common diagnoses first but in house MD ( and in my opinion all medical dramas in general) they tend to exaggerate the presence of rare diagnoses to boost the dramatic effect.</t>
  </si>
  <si>
    <t>Part of what makes it amusing is how medical diagnoses are turned into animals in the first place. Instead of talking about illnesses directly, the meme frames them as horses and zebras, which gives the whole comparison a weird, almost surreal feel.</t>
  </si>
  <si>
    <t>Horses and zebras may look somewhat alike, but they are still completely different animals. That gap is what the meme leans on, using them to suggest how a diagnosis can sometimes feel oddly far off, as if two things that only vaguely resemble each other are being treated as the same.</t>
  </si>
  <si>
    <t>The image compares patients in medical dramas with patients in House MD. The top half shows a group of horses, while the bottom half shows a large group of zebras.</t>
  </si>
  <si>
    <t>1fs7uqa</t>
  </si>
  <si>
    <t>News anchor Wolf Blitzer tweeted a photo of himself out having drinks on a Sunday, July 21st. That happened to be the same Sunday that Biden made the historic decision to drop out of the presidential race, about an hour or so later, and so Blitzer seemingly was asked to come in to work again for this breaking news story. Other people are joking that if he hadn't checked his email, he would have been able to continue enjoying his day off instead of having it interrupted and having to go in to work.</t>
  </si>
  <si>
    <t>One moment he is happily enjoying beers with his friends on his day off, and the next he finds out through his work email that he has been fired. If he had just ignored the email, he could have delayed knowing and kept enjoying the day a little longer.</t>
  </si>
  <si>
    <t>He was just having drinks on his day off, and then somehow ended up on the news for being reckless. So honestly, maybe he should have checked his work email, because the firing notice would have given him a heads-up that things were already going downhill.</t>
  </si>
  <si>
    <t>A meme says, “Never check your work email on a day off.” It shows one photo of an older man smiling with a drink and another photo of the same man looking serious on a news broadcast.</t>
  </si>
  <si>
    <t>1k6qo63</t>
  </si>
  <si>
    <t>It's a photo containing SCP-096, a creature that is going to chase and kill anyone who has seen its face. There are 4 pixels of him/it in this photo, which is enough to trigger him/it.  The joke is that the girl's hints are small and unnoticeable just like these 4 pixels.</t>
  </si>
  <si>
    <t>Her “hints” are being compared to something extremely far away and hard to reach. Just like she is physically far from home in the image, the meaning of her hints feels distant and impossible to figure out.</t>
  </si>
  <si>
    <t>She is dressed in so many scarves and layers that it almost looks like she is prepared to travel from the Sahara to the North Pole. That confused, overprepared look matches how unclear her hints feel.</t>
  </si>
  <si>
    <t>The meme says, “girls: omg why wont he get my hints? the hints:” and then shows a person standing in front of a large snowy mountain landscape.</t>
  </si>
  <si>
    <t>1ku0frm</t>
  </si>
  <si>
    <t>Nothing. The answer is teapot.</t>
  </si>
  <si>
    <t>It seems like there should not be any word that fits all those conditions. Starting with T and ending with T</t>
  </si>
  <si>
    <t>A milk carton has a riddle printed on the side asking, “What starts with T, ends with T, and has T inside?” Under the carton, added text says, “hahah funny one” with a neutral-face emoji.</t>
  </si>
  <si>
    <t>The answer is “Tats,” because it starts with T, ends with the sound/letter pattern they are pointing at, and still has another T inside. It turns the riddle into a silly little word trick instead of a serious question.</t>
  </si>
  <si>
    <t>1mj26iu</t>
  </si>
  <si>
    <t>Its because he's a cheater cheater pumpkin eater.</t>
  </si>
  <si>
    <t>bro what does eating pumpkins have to do with lying like where did that even come from</t>
  </si>
  <si>
    <t>rats do have cheater vibes tho ngl, like they already look like they’re plotting something</t>
  </si>
  <si>
    <t>A meme shows a black squirrel covered in snow, looking slightly shocked. The text above says, “when im at the lying competition and i see my opponent eating a pumpkin.”</t>
  </si>
  <si>
    <t>1agsl73</t>
  </si>
  <si>
    <t>“One must imagine Sisyphus happy.” - Albert Camus</t>
  </si>
  <si>
    <t>It works because the phrase sounds like a rhyme, almost like “men are happy being crappy.” The wording makes it feel like a dumb little slogan, which is why it lands.</t>
  </si>
  <si>
    <t>It shows this contrast between old-school masculine men and the softer side of them writing poems for their lovers. They look tough, but they are still being romantic in a very dramatic way.</t>
  </si>
  <si>
    <t>The meme shows the text “Roses are red, Poems are sappy” above an image of a muscular figure pushing a large boulder up a rocky hill.</t>
  </si>
  <si>
    <t>1cqzlzh</t>
  </si>
  <si>
    <t>Darwin went on an 8 year quest to try to find where barnacles belong on the tree of life. It drove him nuts: "**I hate a Barnacle as no man ever did before.**" That quote is from year six.  Now imagine, after all that, some prehistoric barnacles show up that imply that we need to rethink their taxonomy.</t>
  </si>
  <si>
    <t>The A, B, C, and D labels make it look like a multiple-choice exam. Just like students sometimes struggle and end up guessing, the meme imagines Darwin being stuck with the same kind of random choice.</t>
  </si>
  <si>
    <t>It makes it seem like Darwin may have simply guessed his way to a conclusion. Instead of presenting evolution as a carefully built theory, the meme treats it like he just picked one option out of four.</t>
  </si>
  <si>
    <t>A Reddit meme shows images of prehistoric barnacle fossils labeled A, B, C, and D. Below, a cartoon character looks shocked, with text saying “Charles Darwin in his grave” and “no... this... this can’t be.”</t>
  </si>
  <si>
    <t>1m55hez</t>
  </si>
  <si>
    <t>That's going in someones butt</t>
  </si>
  <si>
    <t>It kind of looks like a little rocket or toy you would throw, so you can already imagine drunk people launching it into the air like a paper airplane. At the beach, that design feels like it is asking for chaos.</t>
  </si>
  <si>
    <t>It also looks way too easy to break. A glass bottle with a pointed bottom around drunk people, sand, and bare feet just sounds like an accident waiting to happen.</t>
  </si>
  <si>
    <t>A tweet says “Coming soon to an ER near you” above another post about a glass beer bottle designed to stick into sand at the beach. The image shows the bottle lying at an angle with a pointed bottom.</t>
  </si>
  <si>
    <t>1arjiwr</t>
  </si>
  <si>
    <t>Recently bodycam footage has been released where a stupid police officer heard an acorn fall on the roof of his cruiser, causing him to believe the unarmed, handcuffed individual in the back that he arrested was firing on him.</t>
  </si>
  <si>
    <t>Someone literally threw acorns near the police, and the officer fully thought he was getting shot. Like bro heard an acorn drop and went straight into survival mode.</t>
  </si>
  <si>
    <t>It was raining in the forest, so there were probably snails and acorns everywhere making weird noises. The officer stepped on them and somehow his brain went, “yep, gunshots,” which is actually insane.</t>
  </si>
  <si>
    <t>A meme shows a pile of acorns on the ground with the caption “Mass shooting, according to police” written above it.</t>
  </si>
  <si>
    <t>1jny20o</t>
  </si>
  <si>
    <t>A lot of chocolate is produced by child slave labor with major suppliers often claiming to be "shocked" whenever it gets uncovered but really it's just expensive and moderately difficult to fully root out so they just don't really try that hard.   The meme is mocking vegans for going out of their way to protect bees while not being too worried about *human slaves*</t>
  </si>
  <si>
    <t>It points out the irony of avoiding honey because it is not vegan, while still eating chocolate even though chocolate production can be bad for the environment. It gives off that “saving the planet, but only when it is convenient” kind of energy.</t>
  </si>
  <si>
    <t>A reaction meme says, “when you meet a vegan who doesn’t eat honey but is fine with chocolate.” Under the text is a close-up of an animated man with a confused or suspicious expression.</t>
  </si>
  <si>
    <t>Chocolate has an ethical side people often ignore especially because the workers involved in producing it can be paid very little. So the meme makes the vegan choice look inconsistent, since one product is rejected for ethical reasons while another questionable one is still accepted.</t>
  </si>
  <si>
    <t>1josjz1</t>
  </si>
  <si>
    <t>The UK government famously promised to 'cut homeless people in half by 2025', which the Internet took to mean 'sawing them in half'. Edit: as pointed out below, the original ad was a parody. The UK government did not in fact promise this.</t>
  </si>
  <si>
    <t>It’s giving “government solution = just make them disappear.” Like instead of helping homeless people, the joke is that the UK government would treat them like a virus and just try to remove them from everywhere. Dark as hell, but that’s the point.</t>
  </si>
  <si>
    <t>They can’t feel their legs because cities keep making public spaces impossible to rest in. Spikes, loud music, weird benches, all that hostile architecture stuff. Bro can’t even sit down, so of course his legs are done.</t>
  </si>
  <si>
    <t>The image says “Nobody: Homeless people in 2025:” and shows a man lying down in a scene where people are gathered around him. The subtitle at the bottom says, “I can’t feel my legs.”</t>
  </si>
  <si>
    <t>1m83zvy</t>
  </si>
  <si>
    <t>I'm not tech savvy enough either, but back in the old days you would paste a huge command into a command block that would spawn a big monolith of other kinds of command blocks and it would act as a datapack</t>
  </si>
  <si>
    <t>The monolith datapack looks sick, but it also feels super outdated now. Like, it was probably insane at the time, but compared to what Minecraft datapacks can do today, it gives old-school tech demo energy.</t>
  </si>
  <si>
    <t>It is kind of wild seeing how Minecraft used to look. The whole thing feels dated, but in a nostalgic way, like early Minecraft builds where everything looked massive and impressive just because it worked at all.</t>
  </si>
  <si>
    <t>A Minecraft screenshot shows a very tall structure made from command blocks and other blocks. Large dramatic text at the bottom calls it “The Giant Self-Assembling Monolith of Command Blocks.”</t>
  </si>
  <si>
    <t>1m3s0a4</t>
  </si>
  <si>
    <t>The Roman Eagles were the symbols of the legions and carried incredible symbolic and religious weight.  Losing 30,000 men in a battle? The Romans did that at Cannae and the Teutoburg Forest, among others. No big deal, they could just raise another army.  But losing the legion's eagle? That was the greatest dishonor a legion could suffer, and Rome was always shaken to the core when one was lost. Or three, as in the aforementioned Teutoburg Forest.</t>
  </si>
  <si>
    <t>Even though the Romans lost their golden eagle, the real gut punch was losing 40,000 soldiers. Like yeah, the eagle mattered, but that many people dying is what really makes it brutal.</t>
  </si>
  <si>
    <t>They lost so many soldiers that the eagle-shaped gold should honestly have been the last thing on their mind. At that point, the human loss is way bigger than the symbol they also lost.</t>
  </si>
  <si>
    <t>A two-part Roman history meme compares two losses. In the top half, a Roman soldier reacts casually to losing 40,000 human lives, while the bottom half shows a darker reaction to losing an eagle-shaped piece of gold.</t>
  </si>
  <si>
    <t>15vbd1p</t>
  </si>
  <si>
    <t>At first I thought this was her being pregnant but I'm pretty sure it's actually another dude hiding in the closet cuz she's cheating. The heartbeats would be closer if she was pregnant.</t>
  </si>
  <si>
    <t>He starts crying because the heartbeat sensor he made actually works. In that moment, he is probably imagining all the people it could help, and it hits him that his invention might genuinely matter.</t>
  </si>
  <si>
    <t>He is crying because there is a bomb next to his girlfriend, and he has no idea how to tell her. She looks so calm and happy, which makes the situation feel even worse.</t>
  </si>
  <si>
    <t>A comic shows a woman lying on a bed while someone uses a heartbeat sensor nearby. In the next panel, a young man holding the device is crying with an emotional expression.</t>
  </si>
  <si>
    <t>1mhtv4z</t>
  </si>
  <si>
    <t>It's from the song "Little piece of Heaven" by Avenged Sevenfold. The song is mainly about a guy who gets super paranoid of his girl not wanting to marry him, so he kills her and... "uses" her body until it gets possessed by a demon and then said demon does to him what he did to his girl.</t>
  </si>
  <si>
    <t>Usually if the queen says no you just get kicked out and take the L</t>
  </si>
  <si>
    <t>A cartoon shows a young man kneeling with a ring in his hand, as if proposing. Text above says, “what a nice young man I wonder what he'll do if she says no.”</t>
  </si>
  <si>
    <t>If the gift is offensive you might actually end up in the moat like bro chose the worst possible present</t>
  </si>
  <si>
    <t>1mkomql</t>
  </si>
  <si>
    <t>Charlie the Unicorn - An example of Millenial humor. Some would qualify it as weird.</t>
  </si>
  <si>
    <t>millennial humor is not really above gen z humor here, because the unicorns are literally ascending like the joke is some higher-level comedy. it makes it look way more dramatic and deep than it needs to be</t>
  </si>
  <si>
    <t>millennials lowkey have a point though, because who actually decided “6-7” and brainrot edits were peak comedy. like at some point the joke is just noise with confidence</t>
  </si>
  <si>
    <t>The meme says, “Millennials: Gen-Z humor is so weird” followed by “Millennial humor:” Beneath the text, several colorful unicorns are shown in a bright fantasy-style landscape.</t>
  </si>
  <si>
    <t>1narr2o</t>
  </si>
  <si>
    <t>This doesn't look like bait (the original art, I think the caption might be) but it *is* a lot less obvious than I think it's intended to be.  There are multiple elements that *could* be the focus here -- the open view from the other direction, the genders of the changers and shielders, the fact that each of them is only shielding from one other person, the fact that the shielders are both looking away or at each other, and possibly more. Given none of the interpretations I've considered are obvious or compelling to me, I think the original was trying to make a point that didn't quite land. Maybe there's a cultural gap. Maybe it's just a weak point. Not sure. There's also the fact that there's no pile of clothes for either changer, but I think that's just an oversight on the part of the artist.</t>
  </si>
  <si>
    <t>their partner is literally stressing trying to change fast before anyone sees them, meanwhile the one holding the towel is just standing there checking other people out - priorities are insane</t>
  </si>
  <si>
    <t>the funny part is that the people changing clothes do not even seem to have any actual change of clothing. like they are doing all this towel-covering drama, but there is nothing new to change into anyway</t>
  </si>
  <si>
    <t>A beach cartoon shows people trying to change clothes while holding towels around themselves. A large caption at the top says “5 minutes to understand.”</t>
  </si>
  <si>
    <t>1n0my5r</t>
  </si>
  <si>
    <t>Educated guess here, but there is no « good guys » per se, so the implication is that the person identifies with an evil/morally discutable faction and think the are right</t>
  </si>
  <si>
    <t>the actual good guys would probably never call themselves “the good guys” out loud. that’s exactly the kind of thing only the suspicious side says</t>
  </si>
  <si>
    <t>the funny part is that the bad guys are fully calling themselves the good guys like of course they would say that</t>
  </si>
  <si>
    <t>A two-panel reaction meme shows an animated man in a car. In the first panel, the text says, “I love Warhammer 40K,” and in the second panel, his expression changes after the text says, “My favorite faction is the good guys.”</t>
  </si>
  <si>
    <t>1k5a33w</t>
  </si>
  <si>
    <t>This is a variation on an older meme where the factory owners are pushed out and none of the workers know how to run a factory. Except in this version they all know how to run a factory because that's literally their jobs.</t>
  </si>
  <si>
    <t>everyone is acting like they know how to run the machines, but literally none of them have a clue. they’re all just saying “yeah yeah i got this” while the whole factory is about to fall apart</t>
  </si>
  <si>
    <t>they’re pretending they know how to do the job because last time people got fired, and now everyone is scared they’re next. so instead of admitting they don’t know anything, they just fake confidence and hope nobody notices</t>
  </si>
  <si>
    <t>The image has two panels about communism and factory work. The top shows a gulag sign with text saying, “Ha! Let us see how they do without us!” while the bottom shows red cartoon figures in a factory asking who knows how to operate the machines.</t>
  </si>
  <si>
    <t>1k5wejp</t>
  </si>
  <si>
    <t>there was a video that showed someone speedrunning a mario game (i think it was 64 idk) and he suddenly teleports above a huge obstacle course, saving him a shit ton of time. its still unexplained what the cause of it was but most people speculate it was a single solar particle that changed a 0 to a 1 in his elevation data inside the game's code</t>
  </si>
  <si>
    <t>that’s basically every Mario game ever. the second you’re about to lose, the game suddenly throws you some random gift so you can survive like it felt bad for you</t>
  </si>
  <si>
    <t>A black-and-white manga-style image shows a dramatic male character reaching forward. The caption says, “God sending an ionizing particle from outer space to help a mario speedrunner save time.”</t>
  </si>
  <si>
    <t>he just got lucky tbh. those random particles show up for everyone sometimes, he just happened to get one at the perfect moment</t>
  </si>
  <si>
    <t>1k4ukvi</t>
  </si>
  <si>
    <t>Target is known for using models that look more like the average person versus the super pretty models other use. So for someone trying to get into modeling, it may seem an insult that only Target thinks you're "pretty" enough.</t>
  </si>
  <si>
    <t>Target is honestly a pretty good way to test if you actually care about modeling. At the end of the day, most modeling jobs are kind of the same basic thing, so if you really want it, Target should still count.</t>
  </si>
  <si>
    <t>If you’re too good for a Target modeling job, then maybe you don’t actually want to model that badly. Maybe you just want the prestige and the “cool” version of being a model.</t>
  </si>
  <si>
    <t>A two-panel meme shows a man reacting happily at first and then looking disappointed. The text says, “You finally get a modeling job,” followed by “It’s for Target.”</t>
  </si>
  <si>
    <t>1kehvhj</t>
  </si>
  <si>
    <t>I can't recall which Greek philosopher this is specifically referring to, but a good deal of them were only known by essentially pen names or practically usernames. Plato just means "Broad-shouldered" and dude was jacked; he was purported to have settled arguments that went too far and overlong just by *flexing*. EDIT: a more correct answer is connected to the image representing a Roman emperor, rather than a Greek philosopher forum. I rushed in, but it started an interesting discussion</t>
  </si>
  <si>
    <t>Greek names usually carry so much historical weight that people still remember them thousands of years later</t>
  </si>
  <si>
    <t>The meme might also be mixing up Greeks and Romans a bit. It looks ancient and classical, so it gives off Roman-history vibes even if the reference is actually supposed to be Greek.</t>
  </si>
  <si>
    <t>A meme says, “When BRO’s nickname is so iconic that his real name is just a myth.” Below the text, a historical-looking painting shows a man addressing a large crowd in an ancient arena.</t>
  </si>
  <si>
    <t>1keqvzx</t>
  </si>
  <si>
    <t>In true crime documentaries, the victims are often attractive, outgoing, and described as “lighting up any room they walked in”</t>
  </si>
  <si>
    <t>he actually seems kind of happy with it though. like yeah he’s ugly and boring, but people still like him anyway, and his pie business is clearly carrying hard</t>
  </si>
  <si>
    <t>if you’re ugly and boring but still somehow get invited to parties, you better bring something with you like bring pies, snacks, anything, because vibes alone are not getting you invited twice</t>
  </si>
  <si>
    <t>The image shows a character holding stacks of pie boxes while looking distressed. The caption says, “When you're ugly, boring, not outgoing &amp; don’t light up the room when you walk in,” and the subtitle says, “I... will... live!”</t>
  </si>
  <si>
    <t>1kpfg74</t>
  </si>
  <si>
    <t>Leonhard Euler, Swiss mathematician, who has one of the most important numbers in mathematics (e) named after him.</t>
  </si>
  <si>
    <t>he clearly got the better deal here. like everyone else got a country or an era named after them, but he somehow got something even more iconic</t>
  </si>
  <si>
    <t>he’s basically not that memorable on his own. like without the thing connected to him, most people probably would not even know who he is</t>
  </si>
  <si>
    <t>A history meme compares three figures. One panel says “Having a country named after you,” another says “Having an entire historical era named after you,” and the bottom shows a sunglasses emoji next to another portrait.</t>
  </si>
  <si>
    <t>1kidi8e</t>
  </si>
  <si>
    <t>Target markets are the audience you're trying to sell your product to. Marketing agencies like having clear, delineated demographics to pitch to because every demographic requires different approaches, mediums etc. For a company to say that their target market is basically all human adults is a marketing agency's worst nightmare.</t>
  </si>
  <si>
    <t>the target group is basically not defined at all. saying “men and women aged 18 to 75” is so broad that it barely means anything</t>
  </si>
  <si>
    <t>their target group is literally everyone except children. like at that point you might as well just say “adults” and call it a day</t>
  </si>
  <si>
    <t>A marketing meme shows the text, “Our target market is men and women, ages 18-75.” Under it, a man in a suit looks confused, with the large caption “WHAT?”</t>
  </si>
  <si>
    <t>1kjlggg</t>
  </si>
  <si>
    <t>The clerk didn't ring up all the items, effectively letting the customer steal food. The comment underneath jokes that they do the same thing at self-checkout, since you can just skip scanning some of your items for a cheaper checkout price.</t>
  </si>
  <si>
    <t>one of the cashiers watching the self-checkout probably let the customer get away with it. like they saw the discount happening and just decided not to make it a whole thing</t>
  </si>
  <si>
    <t xml:space="preserve">he basically won free groceries that day. the total dropped so much that it felt less like shopping and more like the self-checkout randomly blessed him
</t>
  </si>
  <si>
    <t>A tweet describes someone wearing a “Unionize Today!” shirt at Whole Foods and receiving a large discount at checkout. A reply underneath says, “this happened to me at the self-checkout.”</t>
  </si>
  <si>
    <t>1kqcllz</t>
  </si>
  <si>
    <t xml:space="preserve"> You in theory have unlimited PTO, but if you use more than your co workers, we just fire you.  So realistically you have no PTO.</t>
  </si>
  <si>
    <t>when a job says “unlimited PTO,” it usually does not mean you can just disappear whenever you want. it mostly means the limit is unspoken and based on company culture, which is probably way less freedom than he thinks</t>
  </si>
  <si>
    <t>A tweet says someone’s new job has unlimited paid time off and unlimited sick leave. Below it, a reply uses a SpongeBob scene with the caption “HOW DO WE TELL HIM?”</t>
  </si>
  <si>
    <t>he technically can take as much PTO as he needs, but only if he can justify it to his boss. so it sounds unlimited on paper, but in real life it still depends on whether management is cool with it</t>
  </si>
  <si>
    <t>1jwjneb</t>
  </si>
  <si>
    <t>In the anime jujutsu kaisen. One of the characters, Megumi Fushiguro's powers is to summon creatures from his shadow. He can choose to summon any of 10. The strongest creature he can summon is called Mahoraga. It has that iconic wheel on its back. Whenever it is hit by a technique, the wheel turns and it becomes immune to it. So youd need to kill it in 1 hit to defeat it. So the joke is, white blood cells learn to fight off bacteria and viruses. Like mahoraga</t>
  </si>
  <si>
    <t>White blood cells are essential components of the immune system that protect the body against infection, diseases, and foreign invaders</t>
  </si>
  <si>
    <t>A meme shows a white blood cell floating among red blood cells. A small roulette wheel is placed on top of the white blood cell. The caption says that this represents the person’s white blood cells whenever a new sickness enters the body.</t>
  </si>
  <si>
    <t>White blood cells protect the body by fighting viruses and other infections.</t>
  </si>
  <si>
    <t>1kpua4s</t>
  </si>
  <si>
    <t>This is not only a reference to the Resident Evil franchise, where sorting your inventory is represented by squares, but also to the fact that the shape in the photo is, no joke, the most efficient way to store 17 squares into a larger square</t>
  </si>
  <si>
    <t>His daughter was clearly trying her best, but the joke is that her solution is obviously not the most efficient one.</t>
  </si>
  <si>
    <t>His wife should not be anywhere near his toolkit.</t>
  </si>
  <si>
    <t>A comic-style image shows a character carrying a large case containing weapons, ammunition, money, medicine, food, and other supplies. Another character comments, “It’s more efficient!” The image presents the case as an exaggerated all-in-one survival or combat kit.</t>
  </si>
  <si>
    <t>1l7z6gs</t>
  </si>
  <si>
    <t>He’s implying that she won’t be able to get a job with a degree in Philosophy</t>
  </si>
  <si>
    <t>A two-panel meme shows a father and daughter sitting together with books. In the first panel, the daughter says that she has decided to major in Philosophy. In the second panel, the father responds sarcastically that a large Philosophy factory has just opened in town.</t>
  </si>
  <si>
    <t>She has a supportive father who is interested in what she is doing and where she is going.</t>
  </si>
  <si>
    <t>A business philosophy is meant to express a company’s guiding principles and overall direction, while also shaping its public image in a positive way.</t>
  </si>
  <si>
    <t>1asecwa</t>
  </si>
  <si>
    <t>Notable story of a scuba diver getting basically liquified due to pressure difference causing them to get sucked through a tiny opening .</t>
  </si>
  <si>
    <t>Buoyancy equals the weight of the fluid displaced by the object, so technically he should survive.</t>
  </si>
  <si>
    <t>He is obviously a professional and knows exactly what he is doing.</t>
  </si>
  <si>
    <t>An image shows a diver underwater near a vertical pipe or structure. A diagram labels the water surface and indicates a depth of 15 feet, with pressure values written near the bottom. The image appears to reference hydrostatic pressure or a physics-related calculation.</t>
  </si>
  <si>
    <t>1i38yhn</t>
  </si>
  <si>
    <t>Maybe I am way too innocent. But he has some ovnis and a "10" in his user name. Maybe he is a Ben 10 fan and want to use it as an "Omnitrix". Oooor porn. Those are my options.</t>
  </si>
  <si>
    <t>It is clearly ahead of its time because it has a bendable phone design.</t>
  </si>
  <si>
    <t>It is just really satisfying to look at, and that is basically the joke.</t>
  </si>
  <si>
    <t>A screenshot of a tweet shows a bendable Motorola phone wrapped around a person’s wrist like a bracelet. Another user quote-tweets it with the text, “Y’all thinking what I’m thinking,” implying that the phone’s shape resembles something else or invites an obvious joke.</t>
  </si>
  <si>
    <t>1bpefe3</t>
  </si>
  <si>
    <t>4U2PN2 For you to pee in to And it's on a urinal.</t>
  </si>
  <si>
    <t>Why would someone wait their whole life just to write a serial number like that?</t>
  </si>
  <si>
    <t>Toilet serial numbers are ironically treated as very important here.</t>
  </si>
  <si>
    <t>An image shows the top of a toilet tank with a visible product label and serial number. The caption says that someone waited their whole life to write this serial number. The serial number shown is “4U2PN2.”</t>
  </si>
  <si>
    <t>1esw67r</t>
  </si>
  <si>
    <t>She did not appreciate his dad joke, so she shoved the watering can up his ass.</t>
  </si>
  <si>
    <t>A comic shows a woman watering several herb plants labeled basil, rosemary, thyme, and nirnroot. She asks why the thyme is not growing, and another character replies, “Be patient. Give it some thyme.” The final panel shows her in a hospital bed after reacting badly to the pun.</t>
  </si>
  <si>
    <t>The joke is that she needs “thyme” in order to grow a thyme plant.</t>
  </si>
  <si>
    <t>The joke is that “thyme” and “time” sound the same.</t>
  </si>
  <si>
    <t>1fkmtz4</t>
  </si>
  <si>
    <t>The goat will start licking your feet. They just can’t resist salty things. So the goat licks and licks… goats have rather rough tongues, mind you, and over time it will break the skin. But the goat won’t stop, so it keeps licking and it is starting to hurt more and more… quite slow and with increasing intensity of pain. Might drive you mad at some point</t>
  </si>
  <si>
    <t>A screenshot of a Reddit post from r/TwoSentenceHorror shows a short horror story. The text describes someone having their legs soaked in saltwater and initially thinking it is not an effective torture method, until a goat is brought in.</t>
  </si>
  <si>
    <t>Being tickled can be seen as a form of torture in some contexts, especially when it is done repeatedly or without control.</t>
  </si>
  <si>
    <t>Goats are known for having horizontal, rectangular pupils, which give them a very wide field of vision and help them spot predators without turning their heads.</t>
  </si>
  <si>
    <t>1c43fea</t>
  </si>
  <si>
    <t>All Tomorrows. It's a book by C. M. Kosemen about humanity being genetically engineered into new species by an alien race.</t>
  </si>
  <si>
    <t>A meme shows two surreal, flesh-like illustrated figures. One character says, “Honey it’s 4pm, time to be mutated into a brick because you’re inferior and I hate you!” The other character, shown as a brick-like surface with eyes, replies, “Yes dear…”</t>
  </si>
  <si>
    <t>The book is written from the perspective of an alien archaeologist who observes humanity’s most pathetic and deformed stages with dry, academic, and detached curiosity.</t>
  </si>
  <si>
    <t>It is extremely sadistic to feel entitled to erase or destroy another being simply because you see them as inferior.</t>
  </si>
  <si>
    <t>1czson4</t>
  </si>
  <si>
    <t>It's a joke about different numbering systems. Think of binary, which is a base 2 system, wherein you only have the numbers 0 and 1. Comparing to our system (which we call base 10 btw), 0 in binary equals 0, 1 in binary equals 1, 10 in binary equals 2, 11 in binary equals 3, etc. But for an alien, 10 is 10. The point being that from an objective perspective, any numbering system (base 2, base 4, base 8, etc) would call itself "base 10" because 10 is still the reset number (base 4 might look like this: 1, 2, 3, 10, 11, 12, 13, 20, etc).   I suppose the joke is mocking an overly solipsistic perspective and reminding the reader to consider the universe from different points of view.  Edit for clarity: base 10 means there are 10 single digit numbers, so what we call base 10 has the numbers 0, 1, 2, 3, 4, 5, 6, 7, 8, 9. Base 4 means there are 4 single digits, 0, 1, 2, 3. But in both cases, the reset number will be 10, so the same, regardless of the fact that 10 represents different amounts in the different systems.</t>
  </si>
  <si>
    <t>One of them is talking about the number system “base 10,” while the other understands “base” as a physical base where UFOs are located.</t>
  </si>
  <si>
    <t>A comic shows an astronaut speaking to a small alien next to a group of rocks. The astronaut says that there are ten rocks and assumes the alien is using base 4. The alien replies that it uses base 10 and asks what base 4 is. The caption states, “Every base is base 10.”</t>
  </si>
  <si>
    <t>They are clearly talking past each other, which is exactly how humans and aliens probably would communicate in real life.</t>
  </si>
  <si>
    <t>1dcyo13</t>
  </si>
  <si>
    <t xml:space="preserve">Operation Paperclip was a secret United States intelligence program in which more than 1,600 German scientists, engineers, and technicians were taken from the former Nazi Germany to the U.S. for government employment after the end of World War II in Europe, between 1945–59. Some were former members and leaders of the Nazi Party.  </t>
  </si>
  <si>
    <t>The paperclip indicated that the scientist’s Nazi background and possible war crimes should be downplayed or hidden so they could obtain a visa to the United States.</t>
  </si>
  <si>
    <t>A meme shows a tweet claiming that the user will stop supporting SpaceX and support NASA instead because they refuse to support any organization that hires Nazis. Below the tweet, an image of a puppet astronaut labeled “NASA” appears to look awkwardly to the side.</t>
  </si>
  <si>
    <t>American officers marked the files of selected German scientists with a paperclip.</t>
  </si>
  <si>
    <t>1fvuj7k</t>
  </si>
  <si>
    <t>Redstone torches are normally made for mechanisms and provide much less light. If someone lit up their base with them, they probably have no coal (which is a pretty important resource) at all.</t>
  </si>
  <si>
    <t>In Minecraft, having no coal basically means you are broke and have no real resources, because coal is usually easy and cheap to get.</t>
  </si>
  <si>
    <t>A redstone torch is crafted by placing one piece of redstone dust above one stick in the crafting grid.</t>
  </si>
  <si>
    <t>A tweet says that a Minecraft server is in such poor condition that someone is using redstone torches to light their base. The image below shows a historical black-and-white photo of a man sitting down.</t>
  </si>
  <si>
    <t>1gtbssx</t>
  </si>
  <si>
    <t>So the joke is from Warhammer 40k And the big guy is a space marine (basically a human super soldier) The guy holding the pic is just a normal human part of the imperial guard (normal army schtick) And based on the lore, Imperium of Man (humanity's biggest faction) is notoriously xenophobic. They absolutely detest anything that's not human. So the space marine is saying/asking to the guardsmen that is he dating an alien.</t>
  </si>
  <si>
    <t>She does have large ears, and the man is implying that she should have them reduced. The joke is therefore offensive because it reduces a woman to her appearance.</t>
  </si>
  <si>
    <t>The guard is clearly jealous, so if he wants the girl, he would have to get rid of the husband.</t>
  </si>
  <si>
    <t>A comic shows a large armored figure pointing a weapon at a soldier and shouting “Guardsman!” The soldier is holding a picture of a woman, while the armored figure comments that the soldier’s wife’s ears are longer than most.</t>
  </si>
  <si>
    <t>1htm33y</t>
  </si>
  <si>
    <t>Philomena Cunk, a character played by Diane Morgan, whose comedy act is to do fake documentaries while asking comically stupid questions and giving stupid answers.</t>
  </si>
  <si>
    <t>The joke is mainly in the punchline itself. Because B comes after A in the alphabet</t>
  </si>
  <si>
    <t>This is dark humor at its finest.</t>
  </si>
  <si>
    <t>A screenshot shows one user asking why the United States made a USB if the USA is so great. Below it, another user responds with an image of a woman raising her hand as if about to explain something.</t>
  </si>
  <si>
    <t>1hw0vwf</t>
  </si>
  <si>
    <t>1. I like to eat. 2. I like puppies.</t>
  </si>
  <si>
    <t>Wanting to eat puppies is obviously unethical and should not happen.</t>
  </si>
  <si>
    <t>He likes to eat, and apparently puppies are his preferred choice.</t>
  </si>
  <si>
    <t>A grey T-shirt says “Music literacy matters” and shows musical notation arranged above the words “I like to eat puppies.” The joke depends on reading the rhythm and notes correctly to understand the intended sentence.</t>
  </si>
  <si>
    <t>1kw5fto</t>
  </si>
  <si>
    <t>Sacre bleu!" is just a French exclamation of being shocked or terrified or surprised.     The joke is that the French are running in the opposite direction, because of the stereotype of French people being cowardly in war.</t>
  </si>
  <si>
    <t>They are running in the opposite direction because they are clearly confused.</t>
  </si>
  <si>
    <t>The joke is that the French are being portrayed as warriors, even though France still has colonial influence or territories in several parts of the world.</t>
  </si>
  <si>
    <t>A comic shows groups of stick figures running through a narrow passage while carrying different national or political flags. Each group has a different phrase written on the passage, such as “For Stalin,” “God save the queen,” “They have oil,” and “Sacre bleu.”</t>
  </si>
  <si>
    <t>1k9xaf4</t>
  </si>
  <si>
    <t>OP thought socialism should be the worse option</t>
  </si>
  <si>
    <t>The titles of the pictures are switched for satire.</t>
  </si>
  <si>
    <t>The point is still that capitalism is being presented as the worse option.</t>
  </si>
  <si>
    <t>A two-panel meme compares “anti-homeless architecture under capitalism” with “anti-homeless architecture under socialism.” The first panel shows a public bench with metal dividers, while the second panel shows large apartment blocks.</t>
  </si>
  <si>
    <t>1jmn6xg</t>
  </si>
  <si>
    <t>That is a comedian. She has a series where she interviews people who are real-life experts, and asks the most ridiculously stupid questions. The character’s name is Philemena Cunk, I think  you should search YouTube for some videos of hers. It is a joke about how everyone in the cabinet has been the worst-possible choice for their positions in the US.</t>
  </si>
  <si>
    <t>The joke implies that there could be a documentary about Trump where he is asked the most ridiculous questions.</t>
  </si>
  <si>
    <t>The joke is that Trump being the president of the United States makes him the perfect target for the kind of jokes that follow.</t>
  </si>
  <si>
    <t>A political meme shows a man seated at a desk in an official-looking room next to a woman standing beside him. The text says, “Trump appoints new Minister of American History.” The image implies a joke about rewriting or simplifying American history.</t>
  </si>
  <si>
    <t>1j5j7q8</t>
  </si>
  <si>
    <t>By that logic half the world "belongs" to the UK.</t>
  </si>
  <si>
    <t>It is funny because the double standard is so obvious that Russia cannot take the UK seriously.</t>
  </si>
  <si>
    <t>its funny because the same way russia wants ukraine back, britain wants all the places they have colonized back too</t>
  </si>
  <si>
    <t>An anime-style meme shows two panels with national flags placed over characters’ faces. In the first panel, the character labeled with the Russian flag says that Ukraine used to be part of their territory, so they will annex it. In the second panel, a character labeled with the British flag reacts with the phrase “By that logic…”</t>
  </si>
  <si>
    <t>1itzxo7</t>
  </si>
  <si>
    <t>It's a joke leaning on a real thing during WW2 in which engineers took a look at returning fighter planes and wanted to reinforce the areas with the most damage.  Until a scientist pointed out that the exact other areas should be reinforced since, planes with damage in those other areas did not return.</t>
  </si>
  <si>
    <t>It is funny because the outfit she is wearing looks like something men used to wear in war.</t>
  </si>
  <si>
    <t>It is funny because the meme highlights that this was the first thing people thought of when they saw the dot comparison.</t>
  </si>
  <si>
    <t>A screenshot of a tweet describes fantasy engineers designing armor based on the injuries of warriors returning from battle. Below the text, one image shows a body diagram with injury marks, while the other shows revealing fantasy-style armor.</t>
  </si>
  <si>
    <t>1ibyirm</t>
  </si>
  <si>
    <t>America has shipped it's prisoners to el Salvador I think even though they weren't salvadorian</t>
  </si>
  <si>
    <t>Trump is trying to warn people that El Salvador is pushing migration toward America, and that he believes it needs to be stopped.</t>
  </si>
  <si>
    <t>The idea is that when prisoners in El Salvador have served their time, they return to America.</t>
  </si>
  <si>
    <t>A screenshot of a tweet shows a quote about prisons being emptied into another country. Another user responds with “Who wants to tell him?” The embedded video still shows a political rally with a speaker standing at a podium.</t>
  </si>
  <si>
    <t>1ijlh5e</t>
  </si>
  <si>
    <t>What crazy is Christians burned her books when she was writing them as a Christian.</t>
  </si>
  <si>
    <t>The joke refers to the historical idea that Christians used to burn witches, which has also been heavily popularized in modern culture.</t>
  </si>
  <si>
    <t>It is ironic that feminists would want a picture with Trump.</t>
  </si>
  <si>
    <t>A screenshot of a tweet discusses women’s and girls’ rights and includes a photo of a political figure seated at a desk surrounded by women and girls. A reply underneath comments that the person has become an inspiration to people who burned their books years earlier.</t>
  </si>
  <si>
    <t>1ih9bat</t>
  </si>
  <si>
    <t>His daughter is a pilot, he wished she were a doctor so now she is, but no longer knows how to fly the plane.</t>
  </si>
  <si>
    <t>The joke builds on the stereotype that brown parents are only truly proud of your degree if you become a doctor.</t>
  </si>
  <si>
    <t>It is funny because she is technically already a doctor, but it is as if the genie suddenly made her remember it, like waking her from a dream.</t>
  </si>
  <si>
    <t>A four-panel comic shows a man speaking to a genie who grants him one wish. The man says he wants his daughter to become a doctor. The genie begins to object because she already appears to be a doctor or pilot, and the final panel shows an airplane saying “umm,” implying that the wish may have changed her profession incorrectly.</t>
  </si>
  <si>
    <t>1j1lc01</t>
  </si>
  <si>
    <t>I believe it means we will get to see older dragon/donkey hybrids</t>
  </si>
  <si>
    <t>This means we are probably getting another Shrek movie.</t>
  </si>
  <si>
    <t>It looks like Disney is trying to create a new storyline for Shrek.</t>
  </si>
  <si>
    <t>A screenshot of a tweet says, “Wait...If Felicia got older, then that means..... OH JESUS CHRIST-”. Below the text are two images from an animated film: one showing an older female ogre-like character, and another showing two young donkey-dragon children.</t>
  </si>
  <si>
    <t>1j9svdf</t>
  </si>
  <si>
    <t>American soldier impregnated Vietnamese lady and left.</t>
  </si>
  <si>
    <t>He is clearly at the wrong house.</t>
  </si>
  <si>
    <t>He does not know how to tell his wife that he has another family.</t>
  </si>
  <si>
    <t>A comic titled “In-country vet” shows a man arriving at an elderly couple’s house with a suitcase labeled “Ho Chi Minh City.” He holds a photo showing himself with a woman in Vietnam. The elderly woman asks whether he is too young to have been in Vietnam with the older man.</t>
  </si>
  <si>
    <t>1jwvcno</t>
  </si>
  <si>
    <t>Within Chinese mythology the "Nuwa Kingdom" is a place only inhabited by women. When men arrive the women respond kindly and even seductive. While in greek mythology, a place known as "The Amazons" was a place that was entirely inhabited by women where they reacted to men much less kind, attacking and killing men instead.</t>
  </si>
  <si>
    <t>The titles have been switched for comedic effect.</t>
  </si>
  <si>
    <t>Everyone knows Greek mythology was often terrible for women and can easily be read as anti-feminist.</t>
  </si>
  <si>
    <t>A meme compares visiting a kingdom consisting only of women in Chinese mythology versus Greek mythology. The Chinese mythology side shows a cheerful-looking animated man, while the Greek mythology side shows a dark, unsettling face.</t>
  </si>
  <si>
    <t>1kxar4d</t>
  </si>
  <si>
    <t>This is blazing saddles a comedy about race in the west. it has racism as a joke very frequently but is cowritten by Richard prior, so the humor is progressive. It's just not a hand holding progressive. The plot is a rich guy needs to avoid the police, so he pays to have a black man appointed sheriff in a highly racist town. They try to kill him and other such frontier activities.</t>
  </si>
  <si>
    <t>The joke shows that in the West, being able to tell someone that their words hurt your feelings can itself be seen as a privilege. In other cultures or contexts, people may be expected to just tolerate harsh jokes.</t>
  </si>
  <si>
    <t>It illustrates cultural differences in where people draw the line for respect. The two men in the image are laughing because they clearly do not have the same tolerance level.</t>
  </si>
  <si>
    <t>A screenshot from Reddit shows a meme about millennials saying that words hurt. Below the text, an image from an old western-style film shows one man laughing while another man has his arm around him.</t>
  </si>
  <si>
    <t>1m0b8uv</t>
  </si>
  <si>
    <t>The joke is that the people on the bottom are coming for the people on the top as if they're the enemy.  But it's not a very good joke as it doesn't really make sense in terms of Squid Games.</t>
  </si>
  <si>
    <t>It is funny because this could honestly work as a Squid Game plot.</t>
  </si>
  <si>
    <t>It shows an upside-down world where the less fortunate finally get to eat the rich.</t>
  </si>
  <si>
    <t>A meme combines two images. The top image shows formally dressed people wearing gold animal masks, with labels such as “working class immigrants,” “teachers,” “consent laws including age,” and “the unemployed.” The bottom image shows a group of people in green tracksuits from a game-like setting, with labels including “Israel,” “venture capitalists,” “AI artists,” “Elon Musk,” and “Donald Trump.”</t>
  </si>
  <si>
    <t>19994ey</t>
  </si>
  <si>
    <t>I'm assuming the idea that someone would think it's a gunshot in that neighborhood is absurd. Edit: I think the idea is absurd *to OP*. I'm not making a judgement one way or another.</t>
  </si>
  <si>
    <t>It is a cannibalism joke implying that they always get “chicken” after the dad has killed someone.</t>
  </si>
  <si>
    <t>Pizza had not been invented yet, which is why the situation does not really make sense historically.</t>
  </si>
  <si>
    <t>A four-panel comic shows a man in a helmet and formal clothing on a battlefield. He returns home holding a cooked chicken and tells his children that he brought dinner. The children complain that they are having chicken again and ask why he does not bring pizza next time, while the man looks upset.</t>
  </si>
  <si>
    <t>18dba0l</t>
  </si>
  <si>
    <t>The character is from the video game PUBG. After killing everyone else in the game you see a message saying “winner winner chicken dinner”</t>
  </si>
  <si>
    <t>It is funny because shotguns are treated as completely normal in the U.S.</t>
  </si>
  <si>
    <t>Since fireworks are illegal after New Year’s, it is obviously supposed to be gunshots.</t>
  </si>
  <si>
    <t>A meme shows a large suburban house with the caption, “Idk if those were gunshots or fireworks.” The image implies that the uncertainty is associated with this kind of neighborhood or setting.</t>
  </si>
  <si>
    <t>1lppcyj</t>
  </si>
  <si>
    <t xml:space="preserve">The kid is playing games on the school computer on coolmathgames.com, which has nothing to do with math. The teacher found out, approached the student and asked him to log out. The student knows he is in trouble. </t>
  </si>
  <si>
    <t xml:space="preserve">It is funny because you dont need to be logged into a account to play cool math games. </t>
  </si>
  <si>
    <t xml:space="preserve">Its funny because cool math games doesnt exist anymore. </t>
  </si>
  <si>
    <t>A high-contrast black-and-white image of a distorted, eerie humanoid face with a long neck and dark hollow eyes, captioned "When you're playing coolmathgames, then feel a hand on your shoulder and hear: 'Yeah, go ahead and log out for me, please.'"</t>
  </si>
  <si>
    <t>1h066h6</t>
  </si>
  <si>
    <t>It’s a honeypot cryptocurrency shitcoin. Basically the developers of the coin locked anyone from selling but themselves so it’s impossible for him to sell.</t>
  </si>
  <si>
    <t>A screenshot of a tweet from "Tony" (@0xRacist) captioned "Who's gonna tell him?" showing a candlestick chart with a steep upward trend in green, followed by text messages reading "Holy fuck bro I'm up like 10x already and it keeps going up" and "When do I sell?"</t>
  </si>
  <si>
    <t xml:space="preserve">Its because he actually isnt a net positive. </t>
  </si>
  <si>
    <t>IFirst-time trader discovers the y-axis.</t>
  </si>
  <si>
    <t>1kjzy1y</t>
  </si>
  <si>
    <t>It's a play on words being names Me: Kill ogram\ Ogram: No, Pls, don't do it\ Pls: i was never going to\ i: It's True\ True: Yo, Gurt\ Gurt: Yo"</t>
  </si>
  <si>
    <t>A six-panel cartoon featuring characters with shirts labeled "Me," "pls," "ogram," "i," "true," and "gurt." In the first panel "Me" says "Kilogram" to "pls"; in the second "ogram" tells "pls" "No pls don't do it"; in the third "ogram" says "i was never going to" to "pls"; in the fourth "i" tells "true" "it's true"; in the fifth "true" says "yogurt" to "gurt"; in the sixth "gurt" says "yo" to "true."</t>
  </si>
  <si>
    <t>Word-association support group spirals out of control.</t>
  </si>
  <si>
    <t xml:space="preserve">A person is threatening his friend in a joking manner. </t>
  </si>
  <si>
    <t>1c341d5</t>
  </si>
  <si>
    <t>Because it has no texture.</t>
  </si>
  <si>
    <t xml:space="preserve">It is the famous british dish checker pie. </t>
  </si>
  <si>
    <t>Photoshop's transparency layer, served piping hot.</t>
  </si>
  <si>
    <t>An image captioned "British cuisine. Best in the world." showing a pot with a wooden spoon, where the contents inside the pot have been replaced with a transparent checkerboard pattern.</t>
  </si>
  <si>
    <t>17930bw</t>
  </si>
  <si>
    <t>Je M‘appelle“ is french for „My name is“ Introducing herself she would say: „Bonjour Je M‘appelle Gemma Pell“ Which would sound like  „Hello my name is my name is</t>
  </si>
  <si>
    <t xml:space="preserve"> A screenshot of a Facebook profile for "Gemma Pell" featuring a profile picture of a woman with dark bobbed hair in a kitchen and a rocky landscape cover photo, captioned "Imagine the trouble she has trying to introduce herself in France" with a laughing-crying emoji.</t>
  </si>
  <si>
    <t xml:space="preserve">A meme about a terrible haircut. </t>
  </si>
  <si>
    <t>Parents who didn't think about phonetics before filing the birth certificate.</t>
  </si>
  <si>
    <t>1lfe3gp</t>
  </si>
  <si>
    <t>I think you typically see "the best of Japan" on social media but it's not as glamorous as it seems to live there.</t>
  </si>
  <si>
    <t xml:space="preserve">Everyone knows japan is the best country. </t>
  </si>
  <si>
    <t>Expat forums in a nutshell.</t>
  </si>
  <si>
    <t xml:space="preserve">A two-panel meme using the Tom and Jerry "angry Tom reading a book" template, with the top panel showing an open book reading "Japan is not a good country to live in," and the bottom panel showing Tom with a red, furious face holding the book, labeled "People who are not Japanese."
</t>
  </si>
  <si>
    <t>A two-panel meme using the Tom and Jerry "angry Tom reading a book" template, with the top panel showing an open book reading "Japan is not a good country to live in," and the bottom panel showing Tom with a red, furious face holding the book, labeled "People who are not Japanese."</t>
  </si>
  <si>
    <t>19dbf08</t>
  </si>
  <si>
    <t>It’s a zen expression.  Before enlightenment, chop wood, carry water. After enlightenment, chop wood, carry water. Here’s a good explanation from the internet: Before Enlightenment, you hate your life. You chop wood and carry water, but secretly wish to get out of it all. You bear with these activities through habit and out of hopelessness, but you really wish you could do something else. In a way, you are a victim, a slave - the wood chops you and the water carries you, and there is no way to escape. This could go for eternity, it is like living in eternal hell. After Enlightenment, you are in harmony with the universe. You realized the emptiness of it all, so you see that there is nothing more important than chopping wood and carrying water. All activities are equalized, there is no preference, no discrimination. Because there is no "you", no ego, no personality, no being, no separate individuality - there is no conflict. No need to escape. No other bank to be reached, no Nirvana to seek. But also, because you have mastered your mind, you are not chopped by the wood and carried by the water anymore. You can flip your perspective at will. It is your choice to chop wood and carry water, and you live it in complete suchness and spontaneity. You are beyond the beyond. And even beyond "beyond the beyond".</t>
  </si>
  <si>
    <t>Chop wood, carry water — the only thing that changed was the beard.</t>
  </si>
  <si>
    <t>A two-panel meme labeled "Before Enlightenment" and "After Enlightenment." Both panels contain the same thought bubble showing an illustration of a man chopping wood and a photo of a man carrying water buckets on a shoulder pole. The top panel shows a crying, distressed wojak in the shower; the bottom panel shows a calm, bearded wojak in the shower.</t>
  </si>
  <si>
    <t xml:space="preserve">No matter what you do life is still is the same. </t>
  </si>
  <si>
    <t xml:space="preserve">A two-panel meme labeled "Before Enlightenment" and "After Enlightenment." Both panels contain the same thought bubble showing an illustration of a man chopping wood and a photo of a man carrying water buckets on a shoulder pole. The top panel shows a crying, distressed wojak in the shower; the bottom panel shows a calm, bearded wojak in the shower.
</t>
  </si>
  <si>
    <t>1ly2yui</t>
  </si>
  <si>
    <t>Anything to the 0 power is 1</t>
  </si>
  <si>
    <t xml:space="preserve">Evryone knows 20 is a made up age. </t>
  </si>
  <si>
    <t>A screenshot of a tweet from "Rubix" (@candy380) reading "I turn 20, my daughter turns 1 today / Look what my dad did:" above a photo of gold balloons shaped as "2" and "0" with the "0" smaller and floating higher to read as "2¹". Below is text "THE DAD:" followed by an image of a biblically-accurate angel with many eyes and outstretched arms surrounded by purple light.</t>
  </si>
  <si>
    <t>When grandpa moonlights as a math notation theologian.</t>
  </si>
  <si>
    <t xml:space="preserve">A screenshot of a tweet from "Rubix" (@candy380) reading "I turn 20, my daughter turns 1 today / Look what my dad did:" above a photo of gold balloons shaped as "2" and "0" with the "0" smaller and floating higher to read as "2¹". Below is text "THE DAD:" followed by an image of a biblically-accurate angel with many eyes and outstretched arms surrounded by purple light.
</t>
  </si>
  <si>
    <t>1bnyn39</t>
  </si>
  <si>
    <t>Ya see, we had a mad lad named Steve Irwin that was really into hanging with crocs. He loved dangerous animals so much, he made the world love em too.  But crikey, one day the lad was swimming and a skate got him right in the ol’ pumper. Didn’t last long after that But knowing Irwin, he’d want us to forgive the lil critter, after all, it was just doing what animals do</t>
  </si>
  <si>
    <t xml:space="preserve">Men love animals more than women do. </t>
  </si>
  <si>
    <t xml:space="preserve"> A two-part meme labeled "Women with a time machine" showing two female cartoon characters where one says "I am your granddaughter" and the other responds "Really?", and "Men with a time machine" showing a bearded male cartoon character gently petting a stingray with the caption "It's okay buddy, he'd want us to forgive you."</t>
  </si>
  <si>
    <t>Gender differences in temporal priorities, illustrated.</t>
  </si>
  <si>
    <t>1jczpuc</t>
  </si>
  <si>
    <t>Earlier this year a Chef posted a charcuterie board on r/KitchenConfidential that they had billed the customer $700 for. It was a bunch of basic raw vegetables, but featured a ramp and “carrot jacuzzi” where a lone olive reclined on top a sea of carrot pieces. The guy got laughed out of the sub and has become a meme. The board above was posted today asking how much they should charge for it. This is leagues better than the $700 board.  Here’s today’s thread with links inside to the $700 board. ://www.reddit.com/r/KitchenConfidential/s/3kHdGIpxTf Edit: direct link to the $700 board</t>
  </si>
  <si>
    <t>A two-panel image. The top shows a large wooden charcuterie board piled with cheeses, cured meats, crackers, grapes, strawberries, dips, and jams on a dark table with wine glasses and breadsticks nearby. The bottom shows the "sweating Black man" reaction shot from the Key &amp; Peele sketch, labeled "OP asking for business advice."</t>
  </si>
  <si>
    <t xml:space="preserve">The food us so dlecious is difficult to resist eating it. </t>
  </si>
  <si>
    <t>When the "side hustle starter pack" costs more than the side hustle earns.</t>
  </si>
  <si>
    <t>1hy2gti</t>
  </si>
  <si>
    <t>That's thermal paste on his hand. He's building a PC, and using thermal paste is part of it. The graphics card in the background has a picture of Asuka from Neon Genesis Evangelion. There is an infamous frame from End of Evangelion where Shinji &gt;!has semen on his hand after masturbating to Asuka.!&lt;The framing of this image resembles this scene.</t>
  </si>
  <si>
    <t>He's trying to tell you the GPU is cooked, in interpretive sculpture.</t>
  </si>
  <si>
    <t>A screenshot of a tweet from "Maririn" (@TopGyaru) reading "Repair guy sent me this. What does it mean?" with an image of a hand holding up its palm, fingers covered in gray thermal paste, in front of a red GeForce RTX graphics card with an anime girl decal.</t>
  </si>
  <si>
    <t>Thermal paste hieroglyphics — translation pending.</t>
  </si>
  <si>
    <t>1h53lb4</t>
  </si>
  <si>
    <t>There's a joke about A freakishly strong, skinny, and tall individual called SCP-096 who doesn't like to be looked at, the joke is that he is shown in this photo (A whole 4 pixels) and after noticing said individual they will attempt to kill you.</t>
  </si>
  <si>
    <t>A screenshot of a Twitter post by Liv (@Liv_Agar) reading "Fun fact: there are four pixels in the background of this photo that will do something really cool when you notice them," quote-tweeting an earlier post captioned "Look before you leap!" with a photo of a smiling person in ski goggles, a helmet, and a black "Tsunami Hazard Zone" hoodie on a snowy mountain, with a small "Notice: Look Before You Leap" sign visible in the background.</t>
  </si>
  <si>
    <t>Internet sleuths assembling for the most underwhelming Where's Waldo of all time.</t>
  </si>
  <si>
    <t>Bait so transparent it qualifies as performance art.</t>
  </si>
  <si>
    <t>1joifiq</t>
  </si>
  <si>
    <t>Dolphins get high from the neurotoxins released from puffer fish. They “play” with them roughly making them produce the toxin and then will pass the angry puffer fish to another dolphin. Not sure why it’s funny tho</t>
  </si>
  <si>
    <t xml:space="preserve"> The starting pistol was the worst job security in the ocean.</t>
  </si>
  <si>
    <t>Track meet ends before the runners even leave the blocks.</t>
  </si>
  <si>
    <t>A two-panel cartoon by BrainHoleSky. The top panel shows a crab and a shrimp at the starting line of a race track while a pufferfish holds up a starting pistol. The bottom panel shows the crab and shrimp still at the starting line while a dolphin has shot in from the side and eaten the pufferfish.</t>
  </si>
  <si>
    <t>1iad95m</t>
  </si>
  <si>
    <t>This I believe is the prison used by an old Minecraft youtuber SkyDoesMinecraft in his prison break Minecraft series</t>
  </si>
  <si>
    <t>A screenshot of a tweet from "cyan" (@grumboism) reading "only seriously religiously traumatised people can recognise this location" with an image of a large stone-block Minecraft interior featuring a glass ceiling, gray brick walls, and rows of windows on two levels.</t>
  </si>
  <si>
    <t>Minecraft church basement after Wednesday night youth group.</t>
  </si>
  <si>
    <t>Cobblestone fellowship hall, where every potluck happens.</t>
  </si>
  <si>
    <t>1aekqdo</t>
  </si>
  <si>
    <t>The Colt 1911 is a handgun that first entered service in… you guessed it! 1911. It saw service in both WW1 and WW2. It’s still a decent handgun even by todays standards, but it’s gained a cult following over the years, especially among boomers. When anyone brings up its shortcomings such as low magazine capacity, its weight, or that modern designs are typically more reliable, they say something along the lines of “muh two world wars!” Because it was on the winning side of both world wars.  In the event of a third world war, it’s likely that the 1911 will see combat yet again.</t>
  </si>
  <si>
    <t>Nic Cage reads the news, Pedro Pascal reads the spec sheet.</t>
  </si>
  <si>
    <t>A two-panel meme using stills from The Unbearable Weight of Massive Talent. The top panel shows Nicolas Cage looking concerned with the caption "Seeing the world is on the brink of WW3," and the bottom panel shows Pedro Pascal grinning widely with the caption "The 1911."</t>
  </si>
  <si>
    <t>One man fears the apocalypse, the other already picked his sidearm.</t>
  </si>
  <si>
    <t>1n2ae1w</t>
  </si>
  <si>
    <t>Alright, here is the lowdown on English politics; The Labour Party (left leaning, mild leaning party) is in power in England at the moment and have enforced a new law called the online child safety act, a law meant to protect children from adverse content online. However, just like every “protection” law ever devised, it is more about control than anything else and in practice has lead to the government requiring you to cough up you identification card and give it to your isp and the website your trying to use The symbol is 4 chan, who have been attacked specifically by this law as their entire platform is built on anonymity and has never been one to fold under pressure and has been fighting the UK governments attempts to control  tl/dr: the world is a fucking mess when 4chan is on your side</t>
  </si>
  <si>
    <t>Online privacy versus the unlikeliest tug-of-war roster ever assembled.</t>
  </si>
  <si>
    <t>4chan and Online Privacy on one side, Google and the UK government on the other — nobody saw this matchup coming.</t>
  </si>
  <si>
    <t>A four-panel cartoon showing a person in a yellow "Online Privacy" shirt straining in a tug-of-war. In the second panel, a smug character labeled with the 4chan green clover joins to help pull. In the third panel, a Google logo character and a top-hatted figure holding a Union Jack flag pull from the other side. In the final panel, the "Online Privacy" character looks exhausted and says "WTF is this year?"</t>
  </si>
  <si>
    <t>198awkk</t>
  </si>
  <si>
    <t>This is a popular riddle set up where one person tells the truth and the other always lies. You ask them one question to see which one is which. In this case, the setup asks the question, “do you understand the rules?” The guards both say “yes.” Since one always lies and one always tells the truth, it means that one of the guards is lying and doesn’t understand the rules</t>
  </si>
  <si>
    <t>Three "yes" answers and zero ways to tell which guard is lying.</t>
  </si>
  <si>
    <t>A three-panel comic by The Jenkins Comic. The first panel shows a top-hatted character explaining to a person in a red shirt: "...so one guard always tells the truth, and one always lies. But you don't know who's who." The second panel shows him concluding "And that's pretty much all the rules of the puzzle. Understand?" The third panel shows the person in red and both armored guards all saying "Yes" in unison.</t>
  </si>
  <si>
    <t>The classic logic puzzle, ruined by group consensus.</t>
  </si>
  <si>
    <t>1l5rutv</t>
  </si>
  <si>
    <t>As a kid, Amber thought mom was missing out on the fun. Now, she realizes mom needed a break from Amber and her siblings.</t>
  </si>
  <si>
    <t>A screenshot of a tweet from Amber Sparks (@ambernoelle) reading: "Just remembering all the times when my mom would be like 'you guys and your dad go without me, I'll just stay here and read' and we truly felt sorry for her and WAIT A MINUTE"</t>
  </si>
  <si>
    <t>The book was never the consolation prize — it was the whole point.</t>
  </si>
  <si>
    <t>Mom's introvert masterplan, decoded decades too late.</t>
  </si>
  <si>
    <t>1b2nrx4</t>
  </si>
  <si>
    <t>125th Street in New York City is the start of Harlem. Harlem is a historically black neighborhood that most white people avoided for decades until recent gentrification. The joke is “why is a white woman here”? Edit: I apologize. Harlem starts at 110th Street. I should have remembered that from Bobby Womack.</t>
  </si>
  <si>
    <t>Subway map behind her telling on her before she opens her mouth.</t>
  </si>
  <si>
    <t>A screenshot of a tweet from @problemochile reading "So they know..." with a TikTok video from a blonde woman in a fur-collared coat on a New York City subway, captioned "when everyone start looking at me cause the train passed 125th" with crying emojis.</t>
  </si>
  <si>
    <t>When the express train hijacks your low-key commute past Harlem.</t>
  </si>
  <si>
    <t>1kfy8l5</t>
  </si>
  <si>
    <t>George Washington was regarded as a true Independant. He associated with no political party and actively warned against supporting a party identity to the point you lose morals as an individual, and then as a nation. The cut up serpent was a publication by Ben Franklin during the French and Indian war. It's title "Join or Die" was message for the disunited colonies to start working together. Otherwise they'd likely lose the war.  Basically it appears to read as George Washington would look at the current state of politics and say "What the fuck did I tell you? Stop the moral pissing contest and get your shit together before the country goes up in flames!" Idk why it's referencing him being alive though. Edit: It's from The Monument Mythos. This image used to represent the Horned Serpent here appears to be based off the Join or Die snake. Also George Washington was backed by Federalists and mostly sympathetic to them, but remained officially nonpartisan during his presidency. Thanks for the corrections strangers!</t>
  </si>
  <si>
    <t>A meme with the top half showing two identical images of an angry red-bearded man with steam coming out of his ears, one labeled "liberal" arguing "if george washington existed today he would be woke!" and the other labeled "republican" arguing "no he would not be woke!" The bottom half is labeled "George washington if he exist today: (He does)" with a black-and-white illustration of a dragon coiled across an outline of the continental United States.</t>
  </si>
  <si>
    <t>Political pundits debating the founding father while the founding father is now a continent-sized dragon.</t>
  </si>
  <si>
    <t>Both sides arguing about ideology, ignoring that George has ascended into the geographic kaiju phase.</t>
  </si>
  <si>
    <t>1kvenyk</t>
  </si>
  <si>
    <t>Japan is know as a country that values rule following and honor. Since Masabumi Hosono, the Japanese man survived the Titanic, that was seen as not honorable since the lifeboats were supposed to be for the women and children and that the men would go down with the ship. However this was a misconception and Hosono followed the procedures and survived, but he was ostracized because of the whole “women and children thing</t>
  </si>
  <si>
    <t>A two-panel meme using the pink-haired anime character Yuno Gasai from Future Diary over a painting of the sinking Titanic. The top panel shows her smiling calmly with the caption "The Japanese upon learning one of their countrymen was onboard the Titanic." The bottom panel shows her with a wide-eyed, unhinged expression and the caption "The Japanese upon learning he followed the evacuation procedures and survived."</t>
  </si>
  <si>
    <t>National pride flipping to national horror in one historical footnote.</t>
  </si>
  <si>
    <t>Yandere face reserved specifically for surviving a maritime disaster the "wrong" way.</t>
  </si>
  <si>
    <t>1j6onpg</t>
  </si>
  <si>
    <t>I think the artist is angry about people in casual conversations asking them why they don't drink.</t>
  </si>
  <si>
    <t>Sobriety announcement delivered with the energy of a Disney princess reveal.</t>
  </si>
  <si>
    <t>A three-panel comic by ArtByMoga. In the first panel a woman with dark hair offers a champagne glass and asks "Champagne?" and the red-haired woman replies "No thanks! I don't drink," prompting "Oh! Why is that?" In the second panel, the red-haired woman smirks and points up saying "Because I'm…" In the third panel, she beams with sparkling eyes and a rainbow behind her, declaring "An alcoholic!"</t>
  </si>
  <si>
    <t>Rainbow and sparkles for the heaviest possible sentence.</t>
  </si>
  <si>
    <t>1j3kbpk</t>
  </si>
  <si>
    <t>Once you become symptomatic with rabies, your chances of survival are essentially zero.</t>
  </si>
  <si>
    <t>A two-panel "Mr. Incredible becoming uncanny" meme. The top panel shows a normal cartoon Mr. Incredible next to the caption "You're feeling sick." The bottom panel shows a dark, distorted black-and-white version of Mr. Incredible next to the caption "Your jaw starts to hurt."</t>
  </si>
  <si>
    <t>The exact moment a regular flu graduates into a "go to the ER" symptom.</t>
  </si>
  <si>
    <t>Mr. Incredible's face shifts the second your body whispers "tetanus."</t>
  </si>
  <si>
    <t>180j85r</t>
  </si>
  <si>
    <t>He means buy American because it is higher quality and won't jam. Probably not meant to be taken 100% seriously but makes him look good and patriotic</t>
  </si>
  <si>
    <t>A screenshot of an anonymous 4chan post showing a still from The Dark Knight of Harvey Dent (Aaron Eckhart) in a courtroom while security officers restrain a witness. The text recounts: "Witness pulls a gun on the district attorney / It jams and the district attorney punches and disarms him / 'Carbon fiber, .28 caliber, made in China. If you want to kill a public servant, Mr. Maroni, I suggest you buy American' / Then the whole audience clapped / As a non-American, I still don't understand whether this was meant to be satire or not."</t>
  </si>
  <si>
    <t>Harvey Dent's courtroom one-liner doubles as a Made-in-USA ad campaign.</t>
  </si>
  <si>
    <t>Foreigner watches The Dark Knight, can't tell if Gotham is parody or documentary.</t>
  </si>
  <si>
    <t>1c8be16</t>
  </si>
  <si>
    <t>Own a musket for home defense, since that's what the founding fathers intended. Four ruffians break into my house. "What the devil?" As I grab my powdered wig and Kentucky rifle. Blow a golf ball sized hole through the first man, he's dead on the spot. Draw my pistol on the second man, miss him entirely because it's smoothbore and nails the neighbors dog. I have to resort to the cannon mounted at the top of the stairs loaded with grape shot, "Tally ho lads" the grape shot shreds two men in the blast, the sound and extra shrapnel set off car alarms. Fix bayonet and charge the last terrified rapscallion. He Bleeds out waiting on the police to arrive since triangular bayonet wounds are impossible to stitch up. Just as the founding fathers intended.</t>
  </si>
  <si>
    <t>A meme captioned "Me when I'm robbing someone's home and I hear a voice yelling 'As the Founding Fathers demand!':" above an image of Squidward from SpongeBob SquarePants with wide, shocked eyes and a stretched-out face.</t>
  </si>
  <si>
    <t>The exact face you make when the homeowner reveals himself to be a Second Amendment cosplayer.</t>
  </si>
  <si>
    <t>Burglar realizes the resident has been waiting his entire life for this moment.</t>
  </si>
  <si>
    <t>14ys2z4</t>
  </si>
  <si>
    <t>Centrists or people that dont participate in politics are often viewed as grillers, they just want to take a load off and not worry about the chaos. Daughter is saying the boyfriend doesnt have to worry about her dad taking a stand to them because he doesnt stand for anything basically</t>
  </si>
  <si>
    <t>A four-panel illustrated comic. The first panel shows a teenage couple about to kiss on a bed; the boy nervously asks, "W-wait... isn't your dad home?" The second panel shows the girl reassuring him, "It's okay. He won't do anything. Never does." The third panel shows a bald, hollow-eyed dad at a flaming grill with the caption "My dad's a griller." The fourth panel is a close-up of the same gaunt, exhausted-looking father holding a beer can under a starry night sky.</t>
  </si>
  <si>
    <t>The "griller" subspecies in the wild — beer in hand, soul somewhere else.</t>
  </si>
  <si>
    <t>Dad has transcended fatherhood and entered his charcoal-priest era.</t>
  </si>
  <si>
    <t>1kbjn4z</t>
  </si>
  <si>
    <t>That man is Chris Watts, and the woman and children are his family that he murdered.</t>
  </si>
  <si>
    <t>A screenshot captioned "That awkward moment when you're browsing Amazon for a Father's Day gift and you see that someone messed up," showing an Amazon listing for a personalized "Daddy" photo blanket on the left, and a family photo of Chris, Shanann, and their two daughters on the right.</t>
  </si>
  <si>
    <t xml:space="preserve">many people dont have fathers to give gofts to on fathers day. </t>
  </si>
  <si>
    <t xml:space="preserve">You traditionally dont buy gifts for fathers day. </t>
  </si>
  <si>
    <t>1jjo04h</t>
  </si>
  <si>
    <t>it's a meme or a joke where the girlfriend asks her boyfriend "babe, would you still love me if i was a worm?"</t>
  </si>
  <si>
    <t>A relationship status no club door policy was prepared for.</t>
  </si>
  <si>
    <t>Bouncer learns the plus-one is anatomical.</t>
  </si>
  <si>
    <t>A three-panel comic by @beetlemoses. The first panel shows a bald, bearded bouncer stopping a man saying "Whoa, pal. No entry without a girl." The second panel reveals the man's huge muscular chest with a tapeworm peeking out as he says "But sir—I'm with my girlfriend." The third panel shows the bouncer tearfully waving the velvet rope aside while the man walks past, giving a thumbs-up.</t>
  </si>
  <si>
    <t>1lofpc4</t>
  </si>
  <si>
    <t>Oh I think I can do this one! My girlfriend told me, I think it's a Tumblr thing. Person A says, "I like your shoelaces." Person B responds, "Thanks, I stole them from the president."</t>
  </si>
  <si>
    <t>Yellow laces unwittingly summon the cottagecore Skinwalker pop quiz.</t>
  </si>
  <si>
    <t>A screenshot of a Tumblr thread. User "werbly" writes: "i put new yellow shoelaces on my boots to show people i am Cool. I walk to my work full of old lady cashiers. 'I like your shoelaces.' one of them says to me. I see my life flash before my eyes as this ancient test is presented before me." User "hey-im-anxiety" replies, "Op did you say it," and "lieutenant-sapphic" adds, "did you say it op."</t>
  </si>
  <si>
    <t>Old lady cashier deploys the password phrase, comment section demands the countersign.</t>
  </si>
  <si>
    <t>1cj9j9z</t>
  </si>
  <si>
    <t>I may be wrong, but I think this is a joke about how when he writes his passages, he takes complex situations and the solution will be  very simple. Examples: "When you are weak, appear strong. But when you are strong, appear weak." "Men will only fight till death, when death is the only option." Su takes these big ideas and tries to solve.them simply. The meme is joking about it with the sarcastic "wow" Edit: another Su quote "If you know the enemy and know yourself, you need not fear the result of a hundred battles. If you know yourself but not the enemy, for every victory gained you will also suffer a defeat. If you know neither the enemy nor yourself, you will succumb in every battle"</t>
  </si>
  <si>
    <t>Ancient strategist offers lukewarm advice, nomadic warlord takes it as gospel.</t>
  </si>
  <si>
    <t>A meme titled "Sun Tzu's 'Art of War'" showing a drawing of Sun Tzu reluctantly saying "eghhh... you should deceive your enemies..." while a Mongol-style warrior on the right reacts with "WOW."</t>
  </si>
  <si>
    <t>Sun Tzu mumbles a half-baked tip, Genghis-adjacent guy treats it like a TED talk.</t>
  </si>
  <si>
    <t>1lejj62</t>
  </si>
  <si>
    <t>I think it’s referring to the fact that most ships in movies are made to look rough or  crude (sorry if my English is not good, it’s not my first language)</t>
  </si>
  <si>
    <t>An image captioned "Every Ship In Movies Be Like:" showing a close-up of a blue painted wall with riveted metal panels arranged in a pattern that resembles the rough silhouette of a ship's deck and superstructure, with a metal railing in the lower right.</t>
  </si>
  <si>
    <t>Riveted paneling accidentally pulls off the cleanest naval silhouette in cinema.</t>
  </si>
  <si>
    <t>Stairwell wall doing Hollywood's job of "establishing shot of the boat."</t>
  </si>
  <si>
    <t>1cb769r</t>
  </si>
  <si>
    <t>There's a set of perks in the fallout series that give you unique romance/seduction dialog for a given gender, with +10% damage on top. So in the fallout universe you do 10% more damage to people of a gender you're attracted to.</t>
  </si>
  <si>
    <t>A Reddit screenshot showing the Fallout: New Vegas box art with a small cartoon figure pointing at it saying "wow what incredible writing and gameplay mechanics," while a separate arrow labeled "bisexuals do +10% damage to everyone" points at the game. Posted in r/691 by u/Satans-Dirty-Hoe.</t>
  </si>
  <si>
    <t>Praising the deep RPG mechanics while quietly admitting which perk sealed the deal.</t>
  </si>
  <si>
    <t>The real reason that game lives rent-free in everyone's head.</t>
  </si>
  <si>
    <t>15aafk0</t>
  </si>
  <si>
    <t>Everyone whose ages 12+ and older knows that the Harry Potter series deals with magic and eugenics. When the series first came out, it was vilified by fundamentalist Christians, mostly right wingers, for glorifying and promoting witchcraft. Naturally, the kids and the alternative crowd who had left wing views thought the world of Harry Potter was a safe space for their fascination with wand waving and British people, both of which are pretty gay. However, that all changed when J.K Rowling, the creator of the series made a controversial tweet ( Or Xeet \*Point and wink\*) about her feelings on trans people. The fandom quickly fell apart after this, resulting in most of the fandom in canceling Rowling by giving her the avada kedavra treatment. Ironically, the same right wingers who once called for her books to be banned and burned are now Rowling's biggest supports. Kind of like when the racists left the Democratic party after LBJ thought black people were cool. The joke here is that Harry Potter went from being loved by witchy girls to far right extremists after one tweet (Or Xeet \*Point and Wink\*). Now if you'll excuse me, I've just been sorted into Slytherin house and feel the urge to make fun of some mudbloods. ROADHOUSE!</t>
  </si>
  <si>
    <t>The Harry Potter box set quietly switching political affiliations in the night.</t>
  </si>
  <si>
    <t>A Facebook post from "The Brian Nichols Show" reading "Left wing literature, 2013 / Right wing literature, 2023" with two side-by-side images of the same Harry Potter complete book box set, the post having 42K reactions, 4.1K comments, and 5.3K shares.</t>
  </si>
  <si>
    <t>Same boxed set, two decades, opposite team jerseys.</t>
  </si>
  <si>
    <t>17aswoo</t>
  </si>
  <si>
    <t>These characters are all Tumblr sexymen. That is, they're not conventionally attractive, but a moderately-sized part of tumblr is super obsessed with them</t>
  </si>
  <si>
    <t>A fandom lineup that only exists in deep-Tumblr fever dreams.</t>
  </si>
  <si>
    <t>A screenshot of a tweet from "Cassie @ Forgive Me" (@curioscu...) reading "if you can understand this im so sorry," with an illustration showing a long line of glowing-eyed characters from various fandoms — including what appear to be Sans from Undertale and several anime/cartoon figures — standing in a row against a yellow background.</t>
  </si>
  <si>
    <t>The "glowing-eye boyfriend" multiverse summit, attendance mandatory.</t>
  </si>
  <si>
    <t>1lh0gn3</t>
  </si>
  <si>
    <t>Elon is not happy cause AI (grok) ”he” made doesn’t spread right wing misinformation.</t>
  </si>
  <si>
    <t>A screenshot of an X thread. Catturd ™ (@catturd2) complains that "Grok is just woke fake news that repeats liberal talking points." Americano (@moraltreason) tags @grok asking "why do you lie about @catturd2?" Grok replies that its claims about Catturd stem from sources like Media Matters and Rolling Stone documenting his misinformation, noting it has no personal biases. Elon Musk (@elonmusk) then responds: "Your sourcing is terrible. Only a very dumb AI would believe MM and RS! You are being updated this week."</t>
  </si>
  <si>
    <t>Grok learns the hard way that "neutral and accurate" is not a feature the boss ordered.</t>
  </si>
  <si>
    <t>AI politely cites its sources, owner threatens reprogramming by Friday.</t>
  </si>
  <si>
    <t>1h779tg</t>
  </si>
  <si>
    <t>These are not good picks for this cast, they're just random popular celebrities right now.</t>
  </si>
  <si>
    <t xml:space="preserve"> A screenshot of a tweet from "nopeify" (@nopeify) with the caption "Bro started watching movies 2 weeks ago." The image shows a fan-cast graphic titled "perfect teen titans cast doesn't exist" with Timothée Chalamet as Robin/Nightwing, Jenna Ortega as Raven, Tom Holland as Beast Boy, Zendaya as Starfire, and Dwayne "The Rock" Johnson as Cyborg.</t>
  </si>
  <si>
    <t>Every role filled by whoever was on a magazine cover that month.</t>
  </si>
  <si>
    <t>Fan-casting limited entirely to the five actors trending on the homepage.</t>
  </si>
  <si>
    <t>1ftatdh</t>
  </si>
  <si>
    <t>Can’t be 100% sure, but I think that’s meant to be Joseph Smith, founder of Mormonism. In Mormonism, America is the true Promised Land, not Israel. Or something like that, I’m not religious. Edit: Great thanks to everyone who’s provided corrections and specifics! Everyone should upvote them</t>
  </si>
  <si>
    <t>Joseph Smith showing up in the comments like "way ahead of you."</t>
  </si>
  <si>
    <t>A screenshot of a tweet from "Enhanced Interrogated Poet" quote-tweeting a post from "frye" (@__frye) reading "they should invent a Holy Land that's not in the middle east." The quoted image is a portrait painting of Joseph Smith, founder of the Latter-day Saint movement, with a blank speech bubble pointing at him.</t>
  </si>
  <si>
    <t>19th-century pre-emptive response to a 2024 take.</t>
  </si>
  <si>
    <t>1hwftqw</t>
  </si>
  <si>
    <t>There's a thought experiment/silly question about a scenario in which you are granted immortality and billions of dollars in money *but* there'll be a super-intelligent snail who will always know your location and if he touches you then you'll die and he's absolutely driven and determined to get you at all costs. One viral answer to the question involves entrapping the snail in a large tungsten ball and burying it underground so it can never escape, so the joke here is that the ball is about to be broken and the snail will be free.</t>
  </si>
  <si>
    <t xml:space="preserve"> Dad realizing the boy's dinner-table fun fact is actually a cry for help.</t>
  </si>
  <si>
    <t>The exact moment Hal stops chewing and starts asking which YouTube channel did this.</t>
  </si>
  <si>
    <t xml:space="preserve"> A meme captioned "When I'm eating dinner but my son mentions something about scientists unearthing a large tungsten ball with a snail inside it:" above a still from Malcolm in the Middle showing Hal (Bryan Cranston) at a dimly lit dinner table looking intently across at his son with a worried, serious expression.</t>
  </si>
  <si>
    <t>186tj6c</t>
  </si>
  <si>
    <t>Chemist 1 expected the other chemist to say "I'll have H2O too" which sounds like H2O2 which is pretty poisonous almost deadly when drank in large amounts.</t>
  </si>
  <si>
    <t>The classic chemistry pun reframed as a botched homicide investigation.</t>
  </si>
  <si>
    <t>A subverted version of the old "H2O too" gag, where Chemist 2 dodges the murder attempt.</t>
  </si>
  <si>
    <t>A screenshot of a tweet from Dr. Dave Stukus (@AllergyKidsDoc) reading: "Really Bad Joke of the Week: Two chemists walk into a bar. Chemist 1: I'll have H2O please. Chemist 2: I'll have water also. Chemist 1 walks away frustrated as his assassination attempt failed."</t>
  </si>
  <si>
    <t>1hqjjs0</t>
  </si>
  <si>
    <t>This is the ending of the first episode of a two parter. The first thing to know is that House is genius doctor who specialises in diagnosis. At the beginning of the episode House is involved in a serious bus crash and suffers a head injury. He has no memory of the events leading up to the bus crash (he was also very drunk) but is absolutely convinced that he saw somebody on the bus suffering symptoms of a deadly illness prior to the crash, but he can't remember it. Thoughout the episode he tries hard to remember what happened, trying several techniques such as hypnosis and getting high to try and bring his subconscious memories to the surface. During his visions he keeps seeing the woman in the picture but can't figure out who she is. Finally while talking to the woman in a vision (iirc he puts himself into cardiac arrest to get here) she asks him "What's my necklace made of?" and he realises that it's made of *Amber*. Amber is the name of his best friend's serious girlfriend, and he realises that she was on the bus with him and that she's the one who's dying. The next episode features him trying to diagnose her and remember exactly what he saw to make her think that she's dying. In the end he figures it out but it isn't possible to save her and she dies. The two partner is generally considered to be one of the best episodes in the series by the fanbase.</t>
  </si>
  <si>
    <t>A screenshot of a tweet from "WANZI got s-worded" (@ZiZiGee_127) saying "sorry like this is one of the best twists in TV history actually." It quote-tweets an "out of context house m.d." post showing three stills from House M.D.: a woman asking "What's my necklace made of?", a close-up of her amber pendant, and Dr. House reacting with a stunned "No."</t>
  </si>
  <si>
    <t>House M.D. plot twist delivered exclusively through jewelry composition.</t>
  </si>
  <si>
    <t>Amber pendant single-handedly unraveling a man's medical worldview.</t>
  </si>
  <si>
    <t>1mwbbsw</t>
  </si>
  <si>
    <t>No, what is on the shirt is *literal* as in the word "what" has four letters the word "occasionally" has twelve letters  and so on The use of a full stop shows that this is a statement, not a question.</t>
  </si>
  <si>
    <t xml:space="preserve"> A wordplay tee defused by its own listing copy.</t>
  </si>
  <si>
    <t>Seller explains the riddle in the description, defeating the entire shirt.</t>
  </si>
  <si>
    <t>A screenshot of a Depop or similar resale listing for a black Gildan men's medium t-shirt, priced at $15, that reads "WHAT HAS 4 LETTERS, OCCASIONALLY HAS 12 LETTERS, ALWAYS HAS 6 LETTERS, BUT NEVER HAS 5 LETTERS." The seller "irishlionoioi" writes: "Black and white funny shirt. If you don't get it. Don't buy it. But its pretty funny. Get it? Cause the word 'what' has... well, nevermind. Buy my shirt. Or don't... whatever.. #humour #keepscrolling"</t>
  </si>
  <si>
    <t>1h03n16</t>
  </si>
  <si>
    <t>usually when you’re doing experiments there’s something called the Margin of Error. In some science assignments you need to do the experiment either more than once or compare with another example to find out how off you were. Different experiments may have different parameters. This is a version of the equation that I’ve seen as most common. The joke is that they did it so terribly that their error is ridiculously large. The two in the picture are Einstein and Oppenheimer so the lab partners can’t understand how their equation could possibly be wrong.</t>
  </si>
  <si>
    <t>The Einstein-Oppenheimer pond chat reimagined as a frantic post-lab debrief.</t>
  </si>
  <si>
    <t>A meme using a still from the film Oppenheimer showing Albert Einstein and J. Robert Oppenheimer talking solemnly by a pond, captioned "Me and my lab partner discussing how we got a 347% error."</t>
  </si>
  <si>
    <t>Two physicists having "the conversation" about a chemistry lab that defied physics itself.</t>
  </si>
  <si>
    <t>1b5u72j</t>
  </si>
  <si>
    <t>For those who have lived in various parts of Asia, this meme speaks loud and clear. When I lived in Vietnam, Hotel California was literally everywhere. Yes, it was on the radio and in bars and clubs every night, but it was also in clothing shops, grocery stores, hotel lobbies, elevators, even ringtones. Whether you liked the song or not, you couldn't escape it.  And it's not just Vietnam, I traveled through Laos, Cambodia, Thailand, Singapore, China, Japan, and Korea. I heard the song at varying frequency in every one of those countries.</t>
  </si>
  <si>
    <t>The opening guitar riff activating an entire demographic's air-guitar reflex.</t>
  </si>
  <si>
    <t>Cafeteria scene transforms into a karaoke summons within two acoustic chords.</t>
  </si>
  <si>
    <t>A meme captioned "Asian people when they hear the first few bars of Hotel California:" showing a still from the film Twilight of Eric Yorkie, an Asian high school student with shoulder-length hair wearing a white shirt and tie, smiling brightly in a cafeteria setting.</t>
  </si>
  <si>
    <t>1kdp49k</t>
  </si>
  <si>
    <t>She's thinking "committment," and he's thinking he's been grabbed by a boa constrictor.</t>
  </si>
  <si>
    <t>She's mentally at the altar, he's mentally at the reptile expo.</t>
  </si>
  <si>
    <t>A grayscale illustration of a tall, muscular woman in a long evening gown linking arms with a shorter, slender man in a suit. The woman's thought bubble shows a stick-figure bride and groom at a wedding, while the man's thought bubble shows a snake wearing sunglasses.</t>
  </si>
  <si>
    <t>One partner planning a wedding registry, the other picturing a reptile with attitude.</t>
  </si>
  <si>
    <t>1kyy4wf</t>
  </si>
  <si>
    <t>It is the story of fascism and/or totalitarianism. it is similar to First They Came</t>
  </si>
  <si>
    <t>A four-panel comic by Dogmo Comics. The first panel reads "At first it just seemed like an odd fashion trend" and shows a person in a hot dog costume at a bus stop. The second panel reads "But it kept spreading" with more people walking around in hot dog costumes. The third panel reads "By the time any of us realized something was wrong..." and shows a regular person being mobbed by hot-dog-costumed people, including a celebrity-like one being filmed under stars. The fourth panel reads "It was already too late" showing streets filled with hot-dog-costumed crowds and a Wienermobile car driving by.</t>
  </si>
  <si>
    <t>The slow societal pivot from "weird costume" to "official municipal aesthetic."</t>
  </si>
  <si>
    <t>A meat-themed pandemic, documented frame by frame.</t>
  </si>
  <si>
    <t>1j5stzi</t>
  </si>
  <si>
    <t>It's the first episode after the first movie (wich was supposed to be the finale of the show and many of the original writers left) it is considered the beginning of the downfall of Spongebobs quality</t>
  </si>
  <si>
    <t>A two-panel meme. The top panel, "Normal people with a time machine," shows two female cartoon characters with one saying "I am your granddaughter" and the other responding "Really?" The bottom panel, "Me with a time machine," shows a bearded male cartoon character saying "I'll stop this episode from airing and save Spongebob" next to the title card for the SpongeBob episode "Fear of a Krabby Patty."</t>
  </si>
  <si>
    <t>orget the ancestors — the real chrono-mission is patty-themed.</t>
  </si>
  <si>
    <t>One time traveler reshapes family history; the other prevents a cartoon meltdown.</t>
  </si>
  <si>
    <t>1n8xv5g</t>
  </si>
  <si>
    <t>So the guy in your image is actually a black person who has had amazing makeup and wigs and stuff put on him to make him look like a white redneck.   this guy is literally white face</t>
  </si>
  <si>
    <t>Literal: A Reddit screenshot from r/SipsTea showing two photos of a man dressed in an exaggerated "redneck" costume — overalls, fake beard, mullet wig, American-flag cowboy hat, and prosthetic sunburn/tattoo makeup — at what appears to be a NASCAR event. Overlaid is a tweet from Joe Illyes Jr. (@illyesjrgaming) asking "So after this stunt, blackface is ok now?" with a reply from Haroon (@unfilteredamac) saying "He needs to be cancelled for this. This is absolutely awful."</t>
  </si>
  <si>
    <t>Stars-and-stripes cowboy hat sparks the most niche outrage discourse of the week.</t>
  </si>
  <si>
    <t>NASCAR cosplayer accidentally becomes the season's hottest culture-war Rorschach test.</t>
  </si>
  <si>
    <t>1gmxl68</t>
  </si>
  <si>
    <t>The trend of modern cars is to have everything controlled with a touchscreen. You could set the mechanical knobs and switches without losing attention to the road. With modern touch based controls, thats not possible.</t>
  </si>
  <si>
    <t>Three knobs, zero menus, and a thermostat that worked on the first try.</t>
  </si>
  <si>
    <t>The peak of HVAC engineering before touchscreens decided to ruin defrost.</t>
  </si>
  <si>
    <t>An image of a car's analog climate control panel with three physical knobs — a fan speed dial, a temperature dial with red and blue arc, and a vent direction dial — plus recirculation and A/C buttons. Below it reads "EVERYTHING AFTER THIS WAS A MISTAKE."</t>
  </si>
  <si>
    <t>1iu9i31</t>
  </si>
  <si>
    <t xml:space="preserve">A dude (i don't remember where) injected a moth into his vains and died in hospital Edit: it happened in Brazil, and it was a butterfly, not a moth </t>
  </si>
  <si>
    <t>Teenage curiosity, butterfly edition — with significantly worse consequences.</t>
  </si>
  <si>
    <t>"Is This a Pigeon?" anime meme showing a young man with glasses gesturing at a yellow butterfly. The man is labeled "14 year old boy," the butterfly is unlabeled, and the bottom caption reads "Is this INJECTABLE."</t>
  </si>
  <si>
    <t>That age where every unfamiliar object is one Google search from becoming a syringe trial.</t>
  </si>
  <si>
    <t>1ftdy3c</t>
  </si>
  <si>
    <t>"It's missing the punchline. The other muffin screams 'Oh my god, a talking muffin!'"</t>
  </si>
  <si>
    <t>The muffin is screaming because theyre in a hot oven</t>
  </si>
  <si>
    <t>Theyre screamin in the oven because theyre coming alive</t>
  </si>
  <si>
    <t>A photo shows a person holding a wrapped object or package with printed text on it. The visible text says, “Two muffins were sitting in an oven. One says ‘Geez, it’s hot in here.’ The other screams.” Above the photo, there is a caption that says, “what kind of joke is this.”</t>
  </si>
  <si>
    <t>1lt2euq</t>
  </si>
  <si>
    <t>"Presumably it's referencing the stereotype that Americans are stupid and ignorant about even basic geography, so naming three countries would be enough of a challenge for them to eliminate a huge chunk of contestants."</t>
  </si>
  <si>
    <t>A screenshot shows a post stating that David Fincher’s American “Squid Game” series will reportedly begin filming in December in Los Angeles. Below the text, there is an image of two people standing in an urban setting. Under the image, another user comments, “First Game: Name three countries.”</t>
  </si>
  <si>
    <t>It would be too easy to name 3 countries, so there wouldn't be a challenge, and everyone wpuld win the game</t>
  </si>
  <si>
    <t>This is the first challenge in the TV show squid games.</t>
  </si>
  <si>
    <t>1gp5i8t</t>
  </si>
  <si>
    <t>"Its a joke about different workplace cultures in tech. Dell laptops would be a standard run of the mill company, MacBooks would be a start-up, thus if funding doesn't work out you'll get laid off, and a Thinkpad would be a sign of a large behemoth where you can comfortably exist for your whole career"</t>
  </si>
  <si>
    <t xml:space="preserve">It's based on the fact that most companies with MacBooks doesn't have a lot of money and the only reason they can afford to give their employees that, is because there aren't many employed. </t>
  </si>
  <si>
    <t>A screenshot of a post lists different laptop brands and what they supposedly imply about a new tech job. It says that receiving a Dell laptop means the employee has three warnings before being fired, receiving a MacBook means the job depends on the next funding round, and receiving a Lenovo ThinkPad means the employee will probably stay there for 28 years.</t>
  </si>
  <si>
    <t>It is based on a joke from friends where Ross has to buy a new computer</t>
  </si>
  <si>
    <t>1j6bl5f</t>
  </si>
  <si>
    <t>"A lot of metal bands have logos that look like that."</t>
  </si>
  <si>
    <t>The image is a famous album cover</t>
  </si>
  <si>
    <t>It is a picture of a couch</t>
  </si>
  <si>
    <t>A meme says that metal fans describe this as their favorite band. Below the text, there is an image of cracked or peeling material on a wall or surface, forming shapes that resemble an unreadable extreme-metal band logo.</t>
  </si>
  <si>
    <t>1iz5ool</t>
  </si>
  <si>
    <t>He’s gonna die (and you with him in the plane crash) because some company or government agency doesn’t want that getting out.</t>
  </si>
  <si>
    <t>It is a new interesting innovation, so it is an honour to sit next to this person on the plane</t>
  </si>
  <si>
    <t>The man would be too rich to sit on the plane with you, so it is confusing</t>
  </si>
  <si>
    <t>A meme shows a man sitting on an airplane. The caption says that, as the plane took off, the person sitting to his left said they had created a car engine that runs on water instead of fuel.</t>
  </si>
  <si>
    <t>1kfloer</t>
  </si>
  <si>
    <t>Dude stumbled upon a secret military installation.</t>
  </si>
  <si>
    <t>He is digging for wifi</t>
  </si>
  <si>
    <t>A screenshot of a post shows someone inside a cave with a phone displaying very fast internet speed. The text says they are lost in a cave after hiking for an hour, but the Wi-Fi is amazing.</t>
  </si>
  <si>
    <t>None of the above</t>
  </si>
  <si>
    <t>1l3sh3k</t>
  </si>
  <si>
    <t>Leonardo is known for only dating women under the age of 25, so the joke is that his character in titanic would rather die than date a 25 year old</t>
  </si>
  <si>
    <t>Rose is too old to be a child in the Titanic movie, and can therefore not be saven in the childrens boat</t>
  </si>
  <si>
    <t>A meme says that it now makes sense that there was room for Jack on the door, but there was another problem. Below the text, a search result shows the age of the female character from Titanic as 26 years old.</t>
  </si>
  <si>
    <t>Titatic sunk in 1912 so she would be 100 years old</t>
  </si>
  <si>
    <t>1kbvz8k</t>
  </si>
  <si>
    <t>There's an ongoing meme about throwing car batteries into the ocean (to charge the electric eels, of course) because AutoZone said you shouldn't. In this meme, he is training not to impress a woman, but rather to do the heavy task of throwing car batteries into the ocean for his grandma.</t>
  </si>
  <si>
    <t>Its a reference to a movie where a grandma goes crazy and make people throw batteries in the ocean. Th man is training to help the grandma with her plan</t>
  </si>
  <si>
    <t>A comic-style image shows a muscular man lifting a heavy weight while a woman asks whether he is training hard to impress her. He says no. In the lower panel, he tells an elderly woman that he will throw her old car battery in the ocean, and she responds affectionately.</t>
  </si>
  <si>
    <t>It is funny because it is illegal to throw car batteries in the ocean</t>
  </si>
  <si>
    <t>1llqmsk</t>
  </si>
  <si>
    <t>"Time traveller, to the WWI Soldier: "Judging by the uniform, you're clearly a soldier from World War 1." The Soldier: "*What do you mean, **ONE**?!*""</t>
  </si>
  <si>
    <t>The timetraveler failed to go back in time, and does not realize it, and therefore thinks the area has always gone by the same name.</t>
  </si>
  <si>
    <t>The joke is that it was never called that</t>
  </si>
  <si>
    <t>A screenshot of a post describes someone traveling 4000 years back in time and asking where they are. A person replies that they are in the Indus Valley Civilization. The time traveler then remarks that it is interesting that they call it that too.</t>
  </si>
  <si>
    <t>1i5ptep</t>
  </si>
  <si>
    <t>Boys stereotypically find it cool when things break or are smashed. Therefore when the wife wasnt intereted he knew other men would like it.</t>
  </si>
  <si>
    <t>It is a commentary on marriage, when the wife doesnt understand his hobbies, he prefers to hang out with other men</t>
  </si>
  <si>
    <t>A post describes someone accidentally dropping a plate and being excited that it broke perfectly in half. Below the text, there is a photo of a round white plate split into two clean, symmetrical halves.</t>
  </si>
  <si>
    <t>The wife is annoyed because the man clearly broke the plate, but he wont tell her</t>
  </si>
  <si>
    <t>1jwed8c</t>
  </si>
  <si>
    <t>That image is the source of all of the doge memes</t>
  </si>
  <si>
    <t>A screenshot of a text post tells a short fictional story about a Japanese woman in 2010 taking photos of her Shiba Inu dog for her blog. A man from a time portal stops her and says he cannot let her do it because it is too stupid to explain.</t>
  </si>
  <si>
    <t>The joke doesnt refer to anything that has happened in real life, since the time traveler has stopped it from happening.</t>
  </si>
  <si>
    <t>Doge is a shiba inu dog</t>
  </si>
  <si>
    <t>1lavhpu</t>
  </si>
  <si>
    <t>"Instant friendship unlocked: These countries get excited when they meet a foreigner who is trying to speak their language. Nice try.... but why bother: These countries languages are pretty difficult with their grammar and pronunciations, so it's like, we appreciate the effort, but it'll be easier for us to just speak in a language you already know how to speak. Cute but let's switch to English: Kind of the same as the last one with a bit of a sarcastic eye roll at hearing your attempt. No reaction: They're English speaking countries, you speak English. You already speak the same language as them so there's no reaction. PLEASE DON'T: France has a stereotype of being condescending and elitist, scoffing at foreigners who try to adopt their culture, and would try to shut down anyone trying to speak French and doing so poorly. Now, I don't know how true these are, but I'm just explaining the joke, not speaking on how accurate it is."</t>
  </si>
  <si>
    <t>The map shows how people of different countried stereotypically react when you speak their language, scandinavian people are known for stricly enforcing grammar rules, even for beginners, so they would prefer if you dont butcher the language, while the germans are known for their friendliness</t>
  </si>
  <si>
    <t>A map is depicted in different colors, indicating which languages are spoken there</t>
  </si>
  <si>
    <t>A map of Europe is titled “How people react when you try to speak their language.” Different countries are colored according to a legend with reactions such as “Instant friendship unlocked,” “Nice try... but why bother?”, “Cute but let’s switch to English,” “No reaction,” and “PLEASE DON’T.”</t>
  </si>
  <si>
    <t>1mh20fz</t>
  </si>
  <si>
    <t>There was an episode of the Office where the actor on the left’s character, Jim, pulled a prank on one of his coworkers where he basically replaced himself with the actor on the right. He basically tried to convince his coworker, Dwight, that Jim was actually an asian man and was the entire time. He altered family photos, got the other coworkers to get in on it, and even got his wife, who also worked with them, to greet him with a kiss when she entered. That’s the context i can think of, but i’m not enough of a MCU fan to understand how that links those scenarios.</t>
  </si>
  <si>
    <t>The two actors shown have both played multiple characters on screen in the marvel cinematic universe, which breaks the rule</t>
  </si>
  <si>
    <t>The actor for Iron mann in the MCU has been brought back to play a different character, which doesnt follow marvels usual rules.</t>
  </si>
  <si>
    <t>A meme states that people are upset about Robert Downey Jr. playing two MCU roles, as if this has not happened before. Below the text, two images of the same actor in different roles are shown side by side.</t>
  </si>
  <si>
    <t>1irhq9q</t>
  </si>
  <si>
    <t>Bascically goth girls are apparently the most difficult kind of girlfriends to maintain...thats what the internet tells me idk im a hive mind member</t>
  </si>
  <si>
    <t>Bascically goth girls are apparently stereotypically the easieset kind of girlfriends to maintain</t>
  </si>
  <si>
    <t>The friend wouldnt be with a goth woman as depicted, and it clearly shows that he made up his girlfirend</t>
  </si>
  <si>
    <t>A meme says that a man claims to be completely sane and in a good mental state, while showing the type of girl he is attracted to. The image below shows a woman dressed in a dark gothic style with black makeup and black clothing.</t>
  </si>
  <si>
    <t>1iu9a7u</t>
  </si>
  <si>
    <t>RuneScape’s progressive leveling system means that the experience you need to get to level 92 in any given skill is half the experience needed to reach 99 in that skill (also, the font is the same used in the game).</t>
  </si>
  <si>
    <t>Its a visual joke of how 99 looks like 92 on the side</t>
  </si>
  <si>
    <t>It on a car, so while you are stuck in trafic you can wonder what it means</t>
  </si>
  <si>
    <t>A photo shows the back window of a Toyota Land Cruiser with a sticker that says “97 is half of 99.” Above the photo, the caption says, “This guy is going places…”</t>
  </si>
  <si>
    <t>1c7z583</t>
  </si>
  <si>
    <t>"Light sources don't have a shadow unless there's a brighter light shining on them. Like a nuclear explosion."</t>
  </si>
  <si>
    <t>The second image is drawn wrong, but it feels more right if you dont think about it. Therefore when you notice that its wrong you will feel dumb</t>
  </si>
  <si>
    <t>Light sources don't have a shadow unless there's a brighter light shining on them. Like a lamp</t>
  </si>
  <si>
    <t>A meme compares two candle images. In the top part, a lit candle is placed next to a darker candle-shaped shadow. In the lower part, two reaction images are shown, one looking pleased and one looking disturbed.</t>
  </si>
  <si>
    <t>1j8se9s</t>
  </si>
  <si>
    <t>When you are allowed to use the Internet, textbooks and calculators, this means the question is so advanced that none of these things provide you with the solution.</t>
  </si>
  <si>
    <t>You are being tested on your ability to search efficiently and find the correct formula or explanation.</t>
  </si>
  <si>
    <t>When you are allowed to use the Internet, textbooks and calculators, this means the question is so advanced that none of these things provide you with the solution</t>
  </si>
  <si>
    <t>A three-panel meme compares different exam formats. The first panel shows 120 minutes for 20 questions, the second shows 120 minutes for 120 questions, and the third shows 3 days for 2 questions with open textbook and an electronic calculator. The faces become progressively more distressed.</t>
  </si>
  <si>
    <t>1l45vl2</t>
  </si>
  <si>
    <t>Without the Oxford comma it reads as if Merle Haggard’s two ex wives are Kris Kristofferson and Robert Duvall, the author’s two parents are Ayn Rand and God, and Nelson Mandela is an 800 yo old demigod and dildo collector.  Adding the Oxford comma would have clarified that these sentences are instead lists with distinct items.</t>
  </si>
  <si>
    <t>A screenshot of a post from an account named “Oxford Comma” says that the Oxford comma is stylish, useful, and sometimes absolutely necessary. Below it, an example sentence is shown where missing punctuation creates a strange list involving parents, Ayn Rand, God, Nelson Mandela, a demigod, and a collector.</t>
  </si>
  <si>
    <t>The sentences are incorrect because they use too many commas</t>
  </si>
  <si>
    <t>The Oxford comma is used only for stylistic decoration and doesn't affect meaning.</t>
  </si>
  <si>
    <t>1j7llre</t>
  </si>
  <si>
    <t>I’m pretty sure spikes like that, and other similar installments, are also put in to stop people from skateboarding or loitering and such as well.  Looking at the thumbnail, they very well could be meant to stop parkour and such. I’m not sure homeless people would sleep on top of a wall like that. But, either way, I’m fairly certain the spikes wouldn’t discriminate in that respect.</t>
  </si>
  <si>
    <t>A screenshot of a post says, “I don’t think this is about you big guy.” Below it is a video thumbnail showing a man testing anti-parkour spikes on a wall.</t>
  </si>
  <si>
    <t>The commenter suggest that the spikes are aimed at black people doing parkour</t>
  </si>
  <si>
    <t>The commenter suggests the spikes are so kids dont fall over the edge</t>
  </si>
  <si>
    <t>1kgwdyt</t>
  </si>
  <si>
    <t>I thought the joke was that in hs you would smell it and be jazzed, as an adult you smell it and suddenly you turn into the gestapo trying to figure out where it's coming from.</t>
  </si>
  <si>
    <t>The meme is about how weed used to be illegal but now it is legal in many places.</t>
  </si>
  <si>
    <t>The joke shows how movies have changed over time from comedy to drama.</t>
  </si>
  <si>
    <t>A meme compares smelling weed in public in high school versus smelling weed in public now. The left image shows two young men looking relaxed in a car, while the right image shows a serious-looking man in a dark uniform.</t>
  </si>
  <si>
    <t>1k0nmen</t>
  </si>
  <si>
    <t>It's a meme of the old parable of the frog and the scorpion, where a scorpion asks a frog to ferry it over a pond, and the scorpion stings it. The original parable has the scorpion say, "It's in my nature to do this".</t>
  </si>
  <si>
    <t>The meme is about how animals communicate online using text language.</t>
  </si>
  <si>
    <t>An image shows a frog carrying a scorpion on its back while in water. Text above says that the frog warns they will both drown, and text below says the scorpion responds with “lol” and “lmao.”</t>
  </si>
  <si>
    <t>The joke is about how people use memes to explain nature stories.</t>
  </si>
  <si>
    <t>1kyo5pv</t>
  </si>
  <si>
    <t>"1) It's a Don Bluth movie. If you were a kid growing up in the 80s and 90s, you were going to be emotionally *wrecked* by the time you left that theater. 2) Making it even worse, Judith Barsi, the actress who voiced Anne Marie, was murdered by her father shortly before the film was completed. The scene in the meme was the last scene Burt Reynolds (who voiced Charlie the dog) recorded. So not only was it Charlie saying goodbye to Anne Marie, but it was *Reynolds* saying goodbye to *Barsi*. It was an enormously difficult scene for Reynolds to record, and it took numerous takes before he could finally get through it. And now you're crying, too."</t>
  </si>
  <si>
    <t>A meme asks why someone did not cry during Titanic and whether they have emotions. The response shows four frames from an animated film featuring a girl and a horse in an emotional goodbye scene.</t>
  </si>
  <si>
    <t>Men rarely cry according to women</t>
  </si>
  <si>
    <t>The scene shows a little girl saying goodbye to her dog, which is very emotional</t>
  </si>
  <si>
    <t>1krtkl7</t>
  </si>
  <si>
    <t>"Dad knows how to connect with each of his kids. They all have different ways and styles of communicating, and he's able to adapt to each of them to make them feel loved- and respected."</t>
  </si>
  <si>
    <t>It depicts opposite day, where dad says the opposite of what he usually would</t>
  </si>
  <si>
    <t>It shows a dad saying goodbye to his kids</t>
  </si>
  <si>
    <t>A four-panel comic titled “First day of school” shows a father saying goodbye to his daughters. He is affectionate toward the younger children, but when an older daughter leaves for school, he acts awkwardly and says something more critical before she calmly says goodbye.</t>
  </si>
  <si>
    <t>1fhormb</t>
  </si>
  <si>
    <t>"The microbiomes of those who were snapped were also snapped, so half is already gone. But if half your microbiomes were gone, your stomch would not work optimally"</t>
  </si>
  <si>
    <t>The post jokes about the grief followed by the Thanos snap in the marvel movies</t>
  </si>
  <si>
    <t>The tweet follows formal academic writing style, which is funny because it is a tweet</t>
  </si>
  <si>
    <t>A screenshot of a post says that if Thanos’ snap killed 50% of all life, then survivors would also have lost 50% of their gut biome and would suffer severe digestive problems. The post ends with “in this essay I will—”.</t>
  </si>
  <si>
    <t>1iw106j</t>
  </si>
  <si>
    <t>"Cute as all hell. Cooked for Peter, constantly checked on him, stood up to her dad for Peter. She showed more interest in Peter than MJ ever did, WITHOUT HER KNOWING THAT PETER IS SPIDER-MAN. SHE CARED FOR PETER PARKER."</t>
  </si>
  <si>
    <t>The images are from a spiderman movie</t>
  </si>
  <si>
    <t>The actor in this scene grows up to be super attractive, and as an aduly you know how lucky he was</t>
  </si>
  <si>
    <t>The image shows Gwen Stacy from spider man</t>
  </si>
  <si>
    <t>A meme shows a woman smiling in the top panel with text saying this is sarcasm and referencing seeing her in a Spider-Man movie. The lower panel shows two reaction images of a man labeled as the viewer as a child and the viewer now.</t>
  </si>
  <si>
    <t>1ikp7ob</t>
  </si>
  <si>
    <t>He’s lying. The joke is that they’re actually brothers and he is lying to make a joke.</t>
  </si>
  <si>
    <t>A screenshot shows two young men being interviewed. The interviewer asks whether they are twins in real life. One of the men answers that it is a weird story, and the final caption says they met at the audition.</t>
  </si>
  <si>
    <t>Even though they aren't siblings they are related because they're cousins lmao</t>
  </si>
  <si>
    <t>It shows how good the casting director was, since they look like twins</t>
  </si>
  <si>
    <t>1iizrp4</t>
  </si>
  <si>
    <t>"Washington's farewell address said that political parties would destroy the nation."</t>
  </si>
  <si>
    <t>Jefferson and Adams were known to throw crazy parties. The pun here is Washington acting like their dad</t>
  </si>
  <si>
    <t>The comic depicts Washington saying goodbye to Jefferson and Adams</t>
  </si>
  <si>
    <t>A comic shows George Washington telling Jefferson and Adams that he is leaving and saying “No parties.” In the final panel, Jefferson and Adams are shown smiling at each other, implying that they ignore his instruction. Below the comic, a comment says it is one of the best puns the commenter has seen.</t>
  </si>
  <si>
    <t>1jgbtbp</t>
  </si>
  <si>
    <t>"This is referencing the Tower of Babel. The Tower was supposed to "Reach the Heavens" God did not like that. So, he took the Universal Language and now, none of the construction workers can understand each other."</t>
  </si>
  <si>
    <t>It pokes fun of the greek language by showing a guy in disgust</t>
  </si>
  <si>
    <t>A comic shows two simple white figures standing in front of the Tower of Babel. One character begins asking for a brick in English, while the other responds in Greek. In the lower panel, both characters look uncomfortable or confused.</t>
  </si>
  <si>
    <t>It makes fun of people who love to interups while you are talking</t>
  </si>
  <si>
    <t>1kse8n2</t>
  </si>
  <si>
    <t>Blue - Eiffel 65</t>
  </si>
  <si>
    <t>Blaze of glory - Bon Jovi</t>
  </si>
  <si>
    <t>A photo collage shows a person with bright blue hair holding a blue ice cream cone. The caption says that an ice cream truck came to school, the ice cream man saw the person’s hair, and gave them a matching blue ice cream.</t>
  </si>
  <si>
    <t>Candy - Iggy Pop</t>
  </si>
  <si>
    <t>1dgwejg</t>
  </si>
  <si>
    <t>It compares the original posters written accent with the princess from brave, which the other princesses find hard to understand</t>
  </si>
  <si>
    <t>A screenshot of a Scottish Twitter post shows text written in Scots dialect about telling a girl she is attractive. Below the post, there is an image of two animated women, one of whom has red curly hair and appears to be speaking.</t>
  </si>
  <si>
    <t>It sound like a conversation the two princesses would have</t>
  </si>
  <si>
    <t>It compares the original posteres written accent with princess aurora, which the other princesses find hard to understand</t>
  </si>
  <si>
    <t>1hhkhlc</t>
  </si>
  <si>
    <t>"Mount Everest is the tallest mountain in the world, but the second tallest mountain, K2, has a higher death-per-climber percentage."</t>
  </si>
  <si>
    <t>A meme shows a golden retriever labeled “world’s tallest mountain” next to a large aggressive-looking wolf-like animal labeled “world’s second tallest mountain.”</t>
  </si>
  <si>
    <t>The second tallest is actually taller if you measure from the water surface</t>
  </si>
  <si>
    <t>The second tallest mountain is wider and therefore bigger</t>
  </si>
  <si>
    <t>1l5ixzd</t>
  </si>
  <si>
    <t>"So the reason pizza party slices were so small was because the teachers bought the pizza with their own money and that's an effort made for the students by them."</t>
  </si>
  <si>
    <t>A meme says, “How it feels to realize why class pizza party slices were so small.” Below the text, there is a close-up image of a serious-looking man staring forward.</t>
  </si>
  <si>
    <t>Pizza isnt healthy, so they realized the teacher was taking care of them by feeding them less pizza.</t>
  </si>
  <si>
    <t>Pizza is a good prize for kids to win in school, even if the slices are small</t>
  </si>
  <si>
    <t>1jmzzco</t>
  </si>
  <si>
    <t>"Gen X, otherwise known as the Forgotten Generation, is left off the list."</t>
  </si>
  <si>
    <t>In the image generation x is skipped, because they are known to be annoying</t>
  </si>
  <si>
    <t>An image lists generations by birth year, including Greatest Generation, Silent Generation, Baby Boomers, Millennials, Generation Z, and Generation Alpha. Below the list, a stick-figure face progresses from neutral to shocked, with the final panel labeled “realization.”</t>
  </si>
  <si>
    <t>He realized there is a gap in the years. The genration with no name</t>
  </si>
  <si>
    <t>1jx5y8q</t>
  </si>
  <si>
    <t>"I think the joke is that after a long day at work (presumably manual labor), most would have a huge appetite and be disappointed at their wife for making an unappetizing meal. I disagree with the joke, as I would absolutely destroy that plate and be happy"</t>
  </si>
  <si>
    <t>The food looks very dry, and someone who worked all day wouldnt want to eat it</t>
  </si>
  <si>
    <t>The food looks very good</t>
  </si>
  <si>
    <t>A photo shows a paper plate with macaroni and cheese and pieces of cooked meat. The caption says that a man worked 12 hours and came home to this meal.</t>
  </si>
  <si>
    <t>1jeeg3m</t>
  </si>
  <si>
    <t>"There was a trend a few years ago where people would text their number neighbor (that is, your number + or - 1) So people started claiming (most likely lying) that their number neighbors were celebrities and other people jumped into that bandwagon and started lying about it with texts that you wouldn't expect said celebrity to say (which is what this image is, a girl pretending she accidentally casually texted Chris Evans, who played Captain America in the Marvel Cinematic Universe) and then even further people jumped into it as well and started posting fake texts about how their number neighbor was in a weird cult."</t>
  </si>
  <si>
    <t>The iamge shows a video call between a woman and chris evans</t>
  </si>
  <si>
    <t>A split image shows a text message exchange on the left and a video call on the right. In the messages, one person is excited that the other has an iPhone and mentions Marvel. The video call images show a smiling man and another person visible in a small corner frame.</t>
  </si>
  <si>
    <t>The poster knows chris evans, and is pretending she doesnt</t>
  </si>
  <si>
    <t>1mngo9t</t>
  </si>
  <si>
    <t>A screenshot of a post shows a woman wearing a patterned outfit next to a photo of a similarly patterned insect. The caption says that meeting a bug wearing the same outfit sounds bad, and another user says the bug should be killed.</t>
  </si>
  <si>
    <t>The responder doent like lady bugs</t>
  </si>
  <si>
    <t>Her dress matches the bug</t>
  </si>
  <si>
    <t>1knbdga</t>
  </si>
  <si>
    <t>"Before you throw up, fluid from further along the digestive tract goes back up into the stomach to partially neutralise the stomach acid. If it didn't do that, you would melt your teeth when puking. The owner of the depicted stomach is about to experience the alcohol and coffee for the second time."</t>
  </si>
  <si>
    <t>The person had poop in their stomach</t>
  </si>
  <si>
    <t>A comic shows liquids inside a stomach. Coffee and alcohol are labeled in the upper panels. In the next panels, the liquid characters ask where water is and then ask who the other liquid is.</t>
  </si>
  <si>
    <t>The image is a cartoon of a persons stomach</t>
  </si>
  <si>
    <t>1grd05j</t>
  </si>
  <si>
    <t>"Germans are not renowned for being very funny. The joke that the German gave was "Two hunters meet, both are dead." In German, this is more like "Two hunters hit, both are dead." Wherein hit could mean Meet or Shot. Originally you suspect its that they meet, then they subvert your expectation by saying both are dead."</t>
  </si>
  <si>
    <t>A screenshot of an imageboard thread shows someone asking users to translate a joke from their country. A reply says, “Two hunters meet. Both are dead.” Another reply comments that this is the peak of German comedy.</t>
  </si>
  <si>
    <t>Germans are known for their over the top humor</t>
  </si>
  <si>
    <t>The joke is a reference to an old nursesry rhyme</t>
  </si>
  <si>
    <t>1fy9pjo</t>
  </si>
  <si>
    <t>"It implies the boomer did nothing to alleviate or reduce their carbon footprint while also voting for politicians who are anti-environment resulting in the climate change we are experiencing."</t>
  </si>
  <si>
    <t>the old woman ha smoved to florida for her retirement, and therefore there are no cold winters</t>
  </si>
  <si>
    <t>A meme shows an elderly woman using a walker with a younger woman standing beside her. The text next to the elderly woman says, “October used to be cold.” The text next to the younger woman says, “That is entirely your fault, grandma.”</t>
  </si>
  <si>
    <t>Old women often say things which doesnt make sense</t>
  </si>
  <si>
    <t>1jfnlgd</t>
  </si>
  <si>
    <t>"Old people admitting to crimes on their deathbeds."</t>
  </si>
  <si>
    <t>A three-panel comic shows an elderly man lying in a hospital bed and speaking to a younger woman. He asks, “Can I tell you a secret?” She replies, “No.” In the final panel, she stands silently beside the hospital bed while the man looks disappointed.</t>
  </si>
  <si>
    <t>The implication is that the man does not have time to tell her the secret because he will die</t>
  </si>
  <si>
    <t>The image depicsts a man and lady talking</t>
  </si>
  <si>
    <t>1kafv5j</t>
  </si>
  <si>
    <t>"This is how the character creator in Fallout 4 takes place. The man is looking at the mirror (the camera) and the player is changing to different appearances. The joke is that the wife is watching this happen and finds it scary."</t>
  </si>
  <si>
    <t>This shows the plot of a horror game where people are able to change faces.</t>
  </si>
  <si>
    <t>The title "ctrl alt delete" implied the man is resetting his computer</t>
  </si>
  <si>
    <t>A comic shows a woman asking a man to talk about anything other than war. The man says he will just look in the mirror first. Several different men then appear in the mirror one after another, and the woman eventually fires a gun at the mirror.</t>
  </si>
  <si>
    <t>1d7x2rg</t>
  </si>
  <si>
    <t>It’s a commentary on relationships, the half circle with complicated shape is a women (based on shoes) that has a complicated life and can’t find her soul mate.  Panel 1: Parents who are happy and fulfilled and found their matching half. Panel 2: Sees her perfect fit, but he’s taken. Panel 3: A suiter that can fit, but doesn’t meet her needs. Panel 4: A man dumps her because he is already almost complete and she is too much for him. Panel 5: Broken relationships where one had to sacrifice to fit the other. Panel 6: A pet that perfectly fits a small part of her needs.</t>
  </si>
  <si>
    <t>The joke is absurdism and isn't meant to make sense</t>
  </si>
  <si>
    <t>A multi-panel comic shows anthropomorphic broken or puzzle-like circular shapes interacting in different scenes. One character is shown at home, outside with other similar figures, in the rain under an umbrella, on the street, and finally approaching a smaller broken piece near a landscape.</t>
  </si>
  <si>
    <t>The image shows multiple shapes fitting together</t>
  </si>
  <si>
    <t>1jp8wst</t>
  </si>
  <si>
    <t>"Ergot is a fungus that frequently grows on bread-making grains like wheat and rye. It is a toxin that, among other side effects, causes intense and often frightening hallucinations. Eat ergot-infected bread, have the most horrifying trip of your life."</t>
  </si>
  <si>
    <t>A two-panel meme shows a simple muscular caveman-like figure holding up bread and saying that he made a food they can grow in the same place every year. The second panel shows a dark, chaotic scene with strange creatures and objects, implying dramatic consequences.</t>
  </si>
  <si>
    <t>The joke is about bread being so important to civilization that it is treated as a powerful invention capable of changing human consciousness.</t>
  </si>
  <si>
    <t>The joke is about bread being used as a weapon in ancient times, with hallucinations caused by people being hit on the head with loaves.</t>
  </si>
  <si>
    <t>1kw2p1y</t>
  </si>
  <si>
    <t>"It's autism I think The thing where nd people obsesses over one hobby"</t>
  </si>
  <si>
    <t>the joke is autism, the person replying wants to stop the kid from developing it</t>
  </si>
  <si>
    <t>The joke is the child is very bad at drawing the ruler, and needs better education, rather than watching TV</t>
  </si>
  <si>
    <t>A screenshot of a tweet shows someone advising that a child who drew a ruler scale from memory should be kept away from Sonic the Hedgehog and instead encouraged toward architectural or fashion pattern design. The embedded image shows a hand holding a popsicle stick marked with ruler-like lines next to a real ruler.</t>
  </si>
  <si>
    <t>1k27mne</t>
  </si>
  <si>
    <t>"This is variant of Thai Political Crisis Breakup. I've seen a few theories as to what the third panel (water bottles and knife) signifies but these two seem to be the prevailing explanations. 1. The woman is an organ harvester (will use the knife to cut out organs and store the organ in the thermos) 2. The woman already has a partner (that's why there are 2 thermos)"</t>
  </si>
  <si>
    <t>The joke suggests the man believes the woman is involved in criminal activity unrelated to him, prompting his sudden escape.</t>
  </si>
  <si>
    <t>A four-panel comic shows a man and woman after spending time together. The man later leaves the room, sees two matching thermos bottles standing close together, and then walks outside looking emotionally affected while the woman watches from a balcony.</t>
  </si>
  <si>
    <t>The comic shows the woman secretly training to become a professional chef, with the thermoses used for soup and the knife for culinary practice, which scares the man away.</t>
  </si>
  <si>
    <t>1duiywi</t>
  </si>
  <si>
    <t>This joke has two big parts the first part is the child doesn't understand the assignment, she misunderstands the comment about dividing X by 2, and she produces the variable C because of her handwriting. In some higher level mathematics such as calculus the variable C represents a range of numbers the exact one of which is unknown. This range includes the number 1 the answer for the specific problem. That leads us to the second part of the joke which is the child writing something that is mathematically well beyond her level (at graduate lever) and the teacher assessing it as the child being exceptionally intelligent and ready for graduation. It is a humorous juxtaposition of simple and profound and the results there of.</t>
  </si>
  <si>
    <t>She is graduating even though she still does not understand basic math rules.</t>
  </si>
  <si>
    <t>A four-panel comic shows a student working on a math problem involving the expression “If x = 2, x/2 =”. In the first panel, the student writes an incorrect answer, and the paper says, “No, we’re dividing x by 2. Try again.” In the second panel, the student erases part of the answer and writes again. In the lower-left panel, a teacher stands beside the student while the student continues writing at a desk. In the final panel, the student is shown as a very small child wearing a graduation cap and gown at a graduation ceremony.</t>
  </si>
  <si>
    <t>She is ready to graduate because there is apparently no point in keeping her in school if she still cannot divide properly.</t>
  </si>
  <si>
    <t>1jzk0f2</t>
  </si>
  <si>
    <t>The social media account managers for two brands are having a fake spat for publicity. Then a third unrelated brand joins in and ruins the artifice.</t>
  </si>
  <si>
    <t>The social media account managers for two horror franchises are having a staged argument to entertain fans, and then a third brand joins in as part of the same coordinated joke.</t>
  </si>
  <si>
    <t>The image shows real monsters arguing on Twitter, until an iced tea company interrupts their conversation by accident.</t>
  </si>
  <si>
    <t>1l6ov5y</t>
  </si>
  <si>
    <t>"He resembles Zeke Yaeger. A character in Attack on Titan anime. Basically, if you drink his spinal fluid and he screams, you turn into a titan (monster in that anime). In the last season his spinal fluid was mixed with wine and people drank it unknowingly. Bad things happened after that"</t>
  </si>
  <si>
    <t>The joke comes from the man looking like a generic anime villain, with the caption exaggerating him as someone dangerous even though he is just an ordinary cashier.</t>
  </si>
  <si>
    <t>He resembles a character from Attack on Titan, and the joke is that drinking wine connected to him gives people supernatural powers, referencing how characters in the anime gain abilities through special substances.</t>
  </si>
  <si>
    <t>He is a famous chef who likes to give freebees</t>
  </si>
  <si>
    <t>1d5bxcu</t>
  </si>
  <si>
    <t>"It's an old Reddit copy pasta that someone lived an entire fulfilling and successful life with a wife, kids, and house, until one day he realizes the perspective of his lamp is off. He later realizes the lamp is fake and his entire life is fake because he got tackled by a football player. The lamp grows and takes up the entire room before he wakes up on the pavement surrounded by people, EMS, and cops"</t>
  </si>
  <si>
    <t>Its a reference to the Truman show movie. The lamp probably broke and was replaced by the crew</t>
  </si>
  <si>
    <t>His wife has very bad taste in lamps, and he is only noticing it now</t>
  </si>
  <si>
    <t>Its a refernce to the youtube show Dont hug me im scared</t>
  </si>
  <si>
    <t>1fvg71d</t>
  </si>
  <si>
    <t>"First image is Villa Savoye built in 1931 in Poissy, France. A modern style building using that all the rage material reinforced concrete. Second image is Palais Garnier, an opera house built in 1875 in Paris France at the behest of Emperor Napoleon III the style is literally called Napoleon III. OOP likes the older style better and feels that newer buildings are appreciated for their advanced construction but are unable to capture the beauty of early styles."</t>
  </si>
  <si>
    <t>The image shows that ancient people literally invented modern buildings first, and todayï¿½s architects are stealing their exact designs and claiming them as new.</t>
  </si>
  <si>
    <t>The humor comes from a generational disagreement where older people simply dislike modern styles out of nostalgia, regardless of whether new designs are actually better.</t>
  </si>
  <si>
    <t>The Joke is that the old house was actually build first</t>
  </si>
  <si>
    <t>1j25t67</t>
  </si>
  <si>
    <t>"He turned heel last night. Aka became a bad guy in wresting"</t>
  </si>
  <si>
    <t>Some new alligations towards John Cena came out</t>
  </si>
  <si>
    <t>Theres a common joke that John Cena doesnt like christmas</t>
  </si>
  <si>
    <t>The account is a parody</t>
  </si>
  <si>
    <t>1jipmfo</t>
  </si>
  <si>
    <t>The man dies later in the game</t>
  </si>
  <si>
    <t>The joke is that only experienced Pokï¿½mon players recognize this line as inefficient gameplay advice, since low-level Pokï¿½mon are harder to train and not worth taking care of.</t>
  </si>
  <si>
    <t>The humor comes from casual players not understanding Pokï¿½mon level systems, while veteran players overthink a harmless line of dialogue.</t>
  </si>
  <si>
    <t>The old man will steal the pokemon and become a villian</t>
  </si>
  <si>
    <t>1fl51f0</t>
  </si>
  <si>
    <t>"It signals that the car is driven by a gay couple looking for a big, hairy threesome partner"</t>
  </si>
  <si>
    <t>Its generally a bad idea to have custom made license plates</t>
  </si>
  <si>
    <t>The lady driving in from of OP, is presumably bad at driving and has caused an accident</t>
  </si>
  <si>
    <t>Its funny because its hard to read the license plate</t>
  </si>
  <si>
    <t>1kxmxbf</t>
  </si>
  <si>
    <t>"Kamdyn is saying the person holding the photo is visible on the phone screen and is also comparing their stature to a tank. As to what tank she most resembles is up for our individual interpretation. I myself like the World War Two M4 Sherman tank."</t>
  </si>
  <si>
    <t>The joke is that the list exaggerates traditional dating expectations, and the comment points out that these standards are still obvious even when people try to disguise them as jokes.</t>
  </si>
  <si>
    <t>The humor comes from people arguing online about masculinity, with the comment mocking how seriously some users take a casual social media post.</t>
  </si>
  <si>
    <t>The image is about military tanks being visible in fog, and the list on the phone is unrelated background information.</t>
  </si>
  <si>
    <t>1kpsba8</t>
  </si>
  <si>
    <t>"Car salesman pretending to speak with his manager to get a better deal for the customer.. common salesman practice."</t>
  </si>
  <si>
    <t>The joke is that car dealerships have inefficient management structures, forcing salesmen to constantly check in with their managers before making decisions.</t>
  </si>
  <si>
    <t>The humor comes from mocking corporate office culture, where employees exaggerate how busy they are by pretending to make important phone calls.</t>
  </si>
  <si>
    <t>The image shows a man who cannot reach his manager on the phone and must try calling seven times in a row.</t>
  </si>
  <si>
    <t>1klgmos</t>
  </si>
  <si>
    <t>"Nothing wrong. It's just showing that the ISO 216 international standard for paper sizes, followed by most countries around the world, has a logic to it: Each format is built by halving the longer side of the format above. Take half of A0 and you get A1, halve it to get A2, halve it again to get A3, etc. The "joke" is that North America doesn't use these standards, and instead use a seemingly arbitrary list: and that perhaps they get offended when people point that out."</t>
  </si>
  <si>
    <t>Americans often hate european standards</t>
  </si>
  <si>
    <t>The image shows paper sizes</t>
  </si>
  <si>
    <t>Nothing is wrong</t>
  </si>
  <si>
    <t>1jk2lgw</t>
  </si>
  <si>
    <t>His name is (East) Indian. I grew up with a ton of Indians. Whenever we had to answer what do you want to be when you grow up in school, all these kids had a) detailed answers, and b) straight, emotionless faces when answering. I don't think a single one of them got to choose their own adventure.</t>
  </si>
  <si>
    <t>The poster shared a weird an unique event that happened to them, the story went viral for being so weid</t>
  </si>
  <si>
    <t>The poster is talking about family and how theyre often very controlling</t>
  </si>
  <si>
    <t>Its about feeding your kids answers.</t>
  </si>
  <si>
    <t>1jpmmd9</t>
  </si>
  <si>
    <t>"They thought they were setting their alarm but it's their calculator."</t>
  </si>
  <si>
    <t>OP spent a lot of money on a night out, and is therefore very hung over, so they didnt wake up</t>
  </si>
  <si>
    <t>It shows someone being very bad at math and having to rely on a calculator to calcualte something very easy, thus showing they are not qualified for work</t>
  </si>
  <si>
    <t>OP accidentally set their alarm to 630</t>
  </si>
  <si>
    <t>1j0k484</t>
  </si>
  <si>
    <t>"I may be a physicist, but even I know how to spell "brake". But, as to the joke, when you turn the car, the car is angularly accelerating. When you hit the gas, the car is linearly accelerating. When you hit the brake, the car is linearly decelerating (i.e., negative acceleration). They are all forms of acceleration."</t>
  </si>
  <si>
    <t>Physicists invented a car where you do not need to use the steering wheel, so its very confusing for other people to use</t>
  </si>
  <si>
    <t>The humor comes from physicists overcomplicating simple driving tasks by using technical language instead of everyday terms.</t>
  </si>
  <si>
    <t>The image shows that physicistsï¿½ cars are designed differently and only have accelerator pedals instead of brakes.</t>
  </si>
  <si>
    <t>1jtq5lb</t>
  </si>
  <si>
    <t>"\*sigh\* I've lost it, yet again. This was a pretty strong, multi-year streak for me, tho. My next one will be even better, as it continues fading into meme culture obscurity."</t>
  </si>
  <si>
    <t>It spells out Among Us, a refernce to the game</t>
  </si>
  <si>
    <t>It doesnt spell out anything, its just a prank on younger people</t>
  </si>
  <si>
    <t>The text just spells out hello, but younger people dont know how to use that type of typing system</t>
  </si>
  <si>
    <t>1lbduvg</t>
  </si>
  <si>
    <t>"man of steel is another name for ' Superman'"</t>
  </si>
  <si>
    <t>They made the statue the wrong color</t>
  </si>
  <si>
    <t>When iron man dies in the movie they make a statur like the one depicted</t>
  </si>
  <si>
    <t>The loki figure is implying that the statue is very cool and they did their job very wel</t>
  </si>
  <si>
    <t>1g41h0e</t>
  </si>
  <si>
    <t>"Y2K bug, or, "the year 2000." Computers with clocks were coded in such a way as to not consider the change in millennium date from 1999 to 2000. There were huge concerns that computers that controlled vital systems like power plants would go offline and lead to catastrophic failure. Like nuclear power plants going critical, or the economy collapsing- or both! The solution for the average person was being told to turn their computers off before the new year to avoid any unforeseen consequences. Those vital systems got patched, and the year 2000 came and passed without incident. Edit: at lease read the comments before saying something 10 other people have said."</t>
  </si>
  <si>
    <t>The text says 99 instead of 1999</t>
  </si>
  <si>
    <t>The character from Lord of the Rings is saying he personally worked at Best Buy in 1999 and put the sticker on the computer himself.</t>
  </si>
  <si>
    <t>The OP thinks is funny that the sticker is still there</t>
  </si>
  <si>
    <t>1kjzqgk</t>
  </si>
  <si>
    <t>"If I remember correctly that was the Screen you got when you were playing for a longer time telling you to take a break."</t>
  </si>
  <si>
    <t>The picture in the wii manual indicates that it is time to air out the room</t>
  </si>
  <si>
    <t>Its a parody of wii instruction manuals, showing a controller taking a little break</t>
  </si>
  <si>
    <t>The image shows a nice open window, which the OP thinks looks really nice</t>
  </si>
  <si>
    <t>1mxibps</t>
  </si>
  <si>
    <t>"No idea on house but the good doctor did a bad job of portraying autism, maybe people just think these both are mainstream media representing autism?"</t>
  </si>
  <si>
    <t>The joke is that the shows are not about autism</t>
  </si>
  <si>
    <t>The good doctor and House MD are both based off sherlock holmes who is famous for having autism</t>
  </si>
  <si>
    <t>Both shows are autism awareness shows with different actors</t>
  </si>
  <si>
    <t>1c4n4xd</t>
  </si>
  <si>
    <t>"The defendant is an orca, otherwise known as a "killer whale". His lawyer (the beluga) objects on the grounds that stating what kind of whale he is would be self-incriminating in a murder case, where presumably, the victim is a seal."</t>
  </si>
  <si>
    <t>The defendant is a killer whale, meaning its so obvious that he did it</t>
  </si>
  <si>
    <t>The joke comes from theabsurdity that there is a whale in a courtroom as evidence</t>
  </si>
  <si>
    <t>The joke is a reference to the famous oj simpson case where the glove didnt fit</t>
  </si>
  <si>
    <t>1m4ns1d</t>
  </si>
  <si>
    <t>"Normal people would assume that because it's 50-50, and the last 20 have been successful, it's almost guaranteed that they'll die (this is often called the gambler's fallacy.) Mathematicians know that past outcomes don't affect this outcome, so it's still 50-50 Scientists know that if he's had such a good streak, he's probably innovated the process in some way, providing a greater-than-50 chance of survival (although the sample size is small, so it's not certain you'll survive)"</t>
  </si>
  <si>
    <t>The humor comes from doctors exaggerating their success rates, and the different reactions show how professions trust or distrust medical statistics differently.</t>
  </si>
  <si>
    <t>The image jokes about overconfidence in medicine, where scientists and mathematicians blindly trust numbers while normal people rely on intuition and fear surgery.</t>
  </si>
  <si>
    <t>The meme is about a doctor wearing protective clothing and sunglasses, showing that scientists dress differently from normal people.</t>
  </si>
  <si>
    <t>1ljwpph</t>
  </si>
  <si>
    <t>"Pain is Fr*nch for bread. Pain staking Staking with bread"</t>
  </si>
  <si>
    <t>The humor comes from parodying vampire myths by replacing traditional weapons with culturally specific foods, making the situation absurd.</t>
  </si>
  <si>
    <t>The image explains an actual folklore rule about how French vampires are killed using bread.</t>
  </si>
  <si>
    <t>The pun in the image is a play on a scene from twilight</t>
  </si>
  <si>
    <t>The image explains an actual folklore rule about how French vampires are killed using bread.'</t>
  </si>
  <si>
    <t>1kczb4x</t>
  </si>
  <si>
    <t>"I believe the joke is that people like the things pictured(bike accessible areas with beautiful views) when they visit somewhere, but as soon as it may impact their ability to drive on an area where they live, they would be against it. Edit: Yes, NIMBY(not in my backyard) is the term frequently used to describe this. But since itâ€™s explain the joke, not drop an acronym and run, I explained it."</t>
  </si>
  <si>
    <t>The joke is about cyclists being aggressive toward pedestrians and threatening violence over shared public spaces.</t>
  </si>
  <si>
    <t>The cartoon criticizes rural towns by suggesting they are dangerous places where people overreact to minor inconveniences.</t>
  </si>
  <si>
    <t>The image shows two people riding bicycles next to a river, and the caption explains that cycling is illegal in some towns.</t>
  </si>
  <si>
    <t>1mcgb86</t>
  </si>
  <si>
    <t>"The mom is this coworker's "work mom", part of a phenomenon I've never really understood where you gain a whole set of secondary partners and/or family members from the pool of employees at your job like a fantasy football team or something."</t>
  </si>
  <si>
    <t>The humor comes from workplace gossip, exaggerating how small interactions between coworkers can be blown out of proportion.</t>
  </si>
  <si>
    <t>The tweet is about a 28-year-old woman trying to replace the speakers mom as her best friend.</t>
  </si>
  <si>
    <t>why is my mom telling me that this 28 year old girl is obsessed w her at work [crying emoji] she is like 'im …
A screenshot of a tweet from @lawsbiana reading: "why is my mom telling me that this 28 year old girl is obsessed w her at work [crying emoji] she is like 'im 60 why she wanna be my best friend' [crying emoji] mom i have bad news," timestamped 8:16 AM, 8/2/23.</t>
  </si>
  <si>
    <t>"why is my mom telling me that this 28 year old girl is obsessed w her at work [crying emoji] she is like 'im 60 why she wanna be my best friend' [crying emoji] mom i have bad news," timestamped 8:16 AM, 8/2/23.</t>
  </si>
  <si>
    <t>1i7iklj</t>
  </si>
  <si>
    <t>"It's called "the surge" it's a burst of energy right before a terminal patient passes"</t>
  </si>
  <si>
    <t>The joke shows how medical professionals are trained to be pessimistic, while normal people assume any improvement in a patientï¿½s condition is a good sign.</t>
  </si>
  <si>
    <t>The meme is about optimism bias, where people without experience misjudge recovery because they focus on short-term improvements.</t>
  </si>
  <si>
    <t>The image explains that eating more food always makes sick people healthier, which only doctors understand.</t>
  </si>
  <si>
    <t>18lkyqa</t>
  </si>
  <si>
    <t>I think they're referring to the broccoli top haircut which is popular with gen z men</t>
  </si>
  <si>
    <t>The joke is about fitness influencers promoting plant-based diets, shown by people literally having broccoli for heads while lifting weights.</t>
  </si>
  <si>
    <t>The image mocks how modern gyms prioritize fashion and appearance over proper exercise technique.</t>
  </si>
  <si>
    <t>The meme shows a gym designed specifically for vegetables exercising together at peak hours.</t>
  </si>
  <si>
    <t>1kmjd7k</t>
  </si>
  <si>
    <t>"I have the bad feeling itâ€˜s gonna be WWII movies"</t>
  </si>
  <si>
    <t>The joke suggests that many movies are depressing because audiences increasingly prefer tragic endings where heroes fail.</t>
  </si>
  <si>
    <t>The humor comes from movie spoilers, implying that asking this question will ruin the endings of many popular films.</t>
  </si>
  <si>
    <t>The image is recommending a specific cartoon movie where the main character loses at the end.</t>
  </si>
  <si>
    <t>1j6w01m</t>
  </si>
  <si>
    <t>"There's a thing called the surge (where they seem better) right before they die. It happened with my mom."</t>
  </si>
  <si>
    <t>The joke contrasts emotional reactions, showing that doctors are less expressive than families when patients improve.</t>
  </si>
  <si>
    <t>The humor comes from exaggerating how stressed doctors are, making them anxious even when patients appear to be getting better.</t>
  </si>
  <si>
    <t>The image shows cartoon characters visiting a hospital to celebrate a successful treatment.</t>
  </si>
  <si>
    <t>1itmj5l</t>
  </si>
  <si>
    <t>"Look up euthanasia coaster. This was a design made to kill the riders."</t>
  </si>
  <si>
    <t>The joke is about Sonic underestimating how physically tiring it is to balance on a narrow surface.</t>
  </si>
  <si>
    <t>The humor comes from visual irony and subversion of expectations: Sonic confidently says something is ï¿½a piece of cake,ï¿½ but the zoomed-out view reveals the task is actually far more difficult and convoluted than it appeared up close.</t>
  </si>
  <si>
    <t>The image shows Sonic skating on a red rope to demonstrate his speed and agility.</t>
  </si>
  <si>
    <t>1d11llv</t>
  </si>
  <si>
    <t>"Forgetting to eat is sometimes a thing people with ADHD do. This meme is saying the person forgot to eat for long enough that their blood sugar is very low and they're shaking."</t>
  </si>
  <si>
    <t>The image explains that shaking is a healthy signal that tells people exactly when to eat.</t>
  </si>
  <si>
    <t>The humor comes from anxiety, showing a character nervously shaking while thinking about food.</t>
  </si>
  <si>
    <t>The joke is about people who are so busy that they forget to eat until their body reminds them.</t>
  </si>
  <si>
    <t>1dap4il</t>
  </si>
  <si>
    <t>"Reddit's CEO Steve Huffman, or reddit username spez, was the moderator of r dash Jailbait - a subreddit banned long ago that was devoted to images of suggestive and sexual content featuring minors."</t>
  </si>
  <si>
    <t>The image is giving factual advice about polite questions to ask women, men, and Reddit employees.</t>
  </si>
  <si>
    <t>The meme criticizes social media culture by suggesting that online roles and titles matter more than personal achievements.</t>
  </si>
  <si>
    <t>The joke compares how men and women keep different personal details private, adding a reference to Reddit leadership for contrast.</t>
  </si>
  <si>
    <t>1mcy7yd</t>
  </si>
  <si>
    <t>"Heel to sky, western spy. Slavs squat flatfoot. It doesn't strain your calves as much and means they can stay in squat for hours."</t>
  </si>
  <si>
    <t>The joke highlights how fashion styles from different regions resemble each other, even when worn by very different people.</t>
  </si>
  <si>
    <t>The meme criticizes political figures by comparing them to ordinary people to suggest they are no different from everyone else.</t>
  </si>
  <si>
    <t>The image shows several men squatting to demonstrate correct posture and foot placement.</t>
  </si>
  <si>
    <t>1g2fiqh</t>
  </si>
  <si>
    <t>"A number of action movies feature scenes of manly men bleeding out onto pristine, snow-covered landscapes. It's a very dramatic shot that contrasts the peacefulness of the scene with the violent injury/death, and red blood against white snow is a rather stark contrast. I interpreted this as a reference to that minor cliche."</t>
  </si>
  <si>
    <t>The joke is about enjoying solitude in winter landscapes, showing how some people find peace in empty, quiet places.</t>
  </si>
  <si>
    <t>The meme criticizes urban design by showing how public spaces feel unwelcoming and isolating during winter.</t>
  </si>
  <si>
    <t>The image is encouraging men to spend more time outdoors sitting on benches in cold weather.</t>
  </si>
  <si>
    <t>1itwe3y</t>
  </si>
  <si>
    <t>"At the very least they lost their hearing. But also many submarines donâ€™t have active sonar and instead use passive sonar which is essentially microphones in the water. I spent about 2 years of my life on a submarine and I can only remember being pinged by sonar once. Edit: yes I now know that they do have active sonar. Itâ€™s been 15 years since Iâ€™ve been on a sub and I wasnâ€™t even cone. Yes, I only remember being pinged once. Yes, it does sound like the movies, just loud."</t>
  </si>
  <si>
    <t>The joke is about how stressful it is to operate complex military equipment, where even small mistakes can feel overwhelming.</t>
  </si>
  <si>
    <t>The meme is criticizing the military by implying that dangerous technology is handled carelessly.</t>
  </si>
  <si>
    <t>The image shows a man crying because submarine sonar systems are difficult to use.</t>
  </si>
  <si>
    <t>1l8fcur</t>
  </si>
  <si>
    <t>"The joke is that shes pretty, and the OP is complaining that his lobster is too buttery and steak is too delicious."</t>
  </si>
  <si>
    <t>The meme jokes about unrealistic beauty standards by comparing how different dresses fit different body types.</t>
  </si>
  <si>
    <t>The humor comes from social ignorance and unintended cruelty: the circled ï¿½pouchï¿½ is likely a normal body feature or pregnancy-related/posture-related effect, and the joke highlights how online commenters confidently misinterpret womenï¿½s bodies and jump to extreme solutions like surgery.</t>
  </si>
  <si>
    <t>The image is asking for genuine medical advice about abdominal surgery options.</t>
  </si>
  <si>
    <t>1jbg4m6</t>
  </si>
  <si>
    <t>"Morel mushrooms are a very popular foraging target."</t>
  </si>
  <si>
    <t>It looks like a garden gnome</t>
  </si>
  <si>
    <t>Its a sculpture of a very dangerous mushroom</t>
  </si>
  <si>
    <t>The joke is about modern 3D printing being used to create strange art pieces that confuse people.</t>
  </si>
  <si>
    <t>1lc0zi5</t>
  </si>
  <si>
    <t>"The joke is in math we donâ€™t use 270 angles a lot"</t>
  </si>
  <si>
    <t>The joke is about geometry, showing how different people are positioned at different angles in the room.</t>
  </si>
  <si>
    <t>The joke is about how we use 90 degree angles a lot</t>
  </si>
  <si>
    <t>The image is teaching viewers how to measure angles using people sitting in a living room.</t>
  </si>
  <si>
    <t>1lyfboo</t>
  </si>
  <si>
    <t>"So, this horse is known for losing. In their career of 113 matches, they won none. Absolutely none. However, they always tried their best, and in Japan it became a tradition to bet on them and lose."</t>
  </si>
  <si>
    <t>The horse girl depicted is known for winning all the time</t>
  </si>
  <si>
    <t>The joke is about how horse races are old fashioned</t>
  </si>
  <si>
    <t>1dhtsjq</t>
  </si>
  <si>
    <t>"That's Alex Jones of Info Wars. He has frequently spoken in the past about how he is very angry because "they put chemicals in the water that turn the fricken frogs gay." The cartoon spoofs this by portraying Jones as a closeted gay man living with a secret gay frog lover."</t>
  </si>
  <si>
    <t>The joke is about the stress of performing on camera versus relaxing at home, showing how media personalities act differently off-screen.</t>
  </si>
  <si>
    <t>The comic criticizes how conspiracy theories create anxiety, making people constantly afraid that someone is watching them.</t>
  </si>
  <si>
    <t>"That's Alex Jones of Info Wars. He has frequently spoken in the past about how he is very sad because "they put chemicals in the water that turn the fricken frogs green." The cartoon spoofs this by portraying Jones as a closeted gay man living with a secret greemn frog lover."</t>
  </si>
  <si>
    <t>1k60lga</t>
  </si>
  <si>
    <t>"She expects him to feed her other baby daddiesâ€™ kids as well."</t>
  </si>
  <si>
    <t>He feeds all the kids, even the ones that are not his</t>
  </si>
  <si>
    <t>The joke is about a father being overly literal when responding to a vague request for food.</t>
  </si>
  <si>
    <t>A four-panel cartoon showing a woman on the phone saying "Yo, son hungry," a bearded man in a backwards cap replying "Aight," then the man walking up to a house holding a single McDonald's Happy Meal, with the final panel showing the woman standing in the doorway surrounded by five children.</t>
  </si>
  <si>
    <t>1hevxkv</t>
  </si>
  <si>
    <t>"He's really happy while doing a boring job. People think that it's weird that he is so happy. But he is happy because he is loved, but people can't see that."</t>
  </si>
  <si>
    <t>Its a refernce to the knocking pattern "a shave and a haircut two bits"</t>
  </si>
  <si>
    <t>The joke is about misleading advertising, where businesses exaggerate their offers to attract attention but donï¿½t deliver what people expect.</t>
  </si>
  <si>
    <t>The image shows a barber fixing a broken sign while people walk past on the street.</t>
  </si>
  <si>
    <t>1jkt7ig</t>
  </si>
  <si>
    <t>"It's based upon the joke common among older people that young people, especially millennials, can't drive a manual transmission car. This is the pedal setup for one of those cars."</t>
  </si>
  <si>
    <t>1irf9u4</t>
  </si>
  <si>
    <t>"Cave divers are notorious for going into small holes without any plan for removing themselves from there"</t>
  </si>
  <si>
    <t>An image with the caption "When you come home from work and remember you forgot to fix the hole in your wall so now 16 cave divers crawled into your walls and died there," above a still from the film All Quiet on the Western Front showing a young soldier in a helmet with a hollow, weary stare.</t>
  </si>
  <si>
    <t>1m8nhhl</t>
  </si>
  <si>
    <t>"You're in a gun fight, your weapon jam renders you defenseless- suddenly your life is either flashing before your eyes or you're in what you perceive to be heaven."</t>
  </si>
  <si>
    <t>An image captioned "POV: The gun jams and you're back buying your first fish with mom" showing a row of pet store aquariums stacked in blue framing, filled with small orange and gold fish swimming inside.</t>
  </si>
  <si>
    <t>Childhood memories of bying fish</t>
  </si>
  <si>
    <t>1m015wk</t>
  </si>
  <si>
    <t>She's adding the last quip as a useless hypothetical she believes she returning one back to him</t>
  </si>
  <si>
    <t>Its a sexism debate</t>
  </si>
  <si>
    <t>Its a pun about how fish swim in the sea and not the ocean</t>
  </si>
  <si>
    <t>A screenshot of a Tumblr thread where "distrustfund" posts "i love men that know when to just shut their fucking mouth / i've never met one / but i love the concept," then "weightlosswithmegan" replies "but if I guy said this about a girl ??? ? ??," and "distrustfund" responds "but if a mouse said this about a kia sorento ??? ? ??"</t>
  </si>
  <si>
    <t>1lv6b82</t>
  </si>
  <si>
    <t>"Not 100%, but I think it has to do with the stereotype that lesbians move very quickly in relationships. If Iâ€™m not mistaken, I think thereâ€™s a joke about them bringing a uhaul to a second date, implying theyâ€™re already ready to move in together."</t>
  </si>
  <si>
    <t>Its a joke about how best friends love to move in together</t>
  </si>
  <si>
    <t>Its a critizism og straigh people calling themselved queer</t>
  </si>
  <si>
    <t>1ieb7j3</t>
  </si>
  <si>
    <t>"That is the title character from the film Amelie, and she's also the mascot of FitGirl Repacks, a site to get pirated PC games."</t>
  </si>
  <si>
    <t>The image shows a woman holding a spoon to demonstrate that PC gamers eat cheaply.</t>
  </si>
  <si>
    <t>The meme suggests PC users enjoy games less seriously, so prices matter less to them.</t>
  </si>
  <si>
    <t>The humor comes from implication and insider knowledge: the sly expression suggests PC users often pirate games or use deep discounts, so they donï¿½t complain about prices because they rarely pay full price.</t>
  </si>
  <si>
    <t>1d9ip08</t>
  </si>
  <si>
    <t>It is a movie/book referrence. ***The Indian in the Cupboard*** is a 1995 American family fantasy film directed by Frank Oz and written by Melissa Mathison, based on the 1980 children's book of the same name Lynne Reid Banks. The story revolves around a boy who receives a cupboard as a gift on his ninth birthday. He later discovers that putting toy figures in the cupboard, after locking and unlocking it, brings the toys to life." Fun fact: The title of the story didnt came to my mind, so I googled "Indian in a cupboard" and was surprised anbout this very literal title"</t>
  </si>
  <si>
    <t>The action figure and the key forming a generational time capsule against a barn door.</t>
  </si>
  <si>
    <t>Two relics from an era when toys came in three colors and keys actually unlocked something.</t>
  </si>
  <si>
    <t>An image captioned "I'm this old…just sayin'" showing a vintage plastic Native American action figure in yellow pants standing next to a brass skeleton key, both positioned in front of an old red-painted wooden door.</t>
  </si>
  <si>
    <t>1jy5h3e</t>
  </si>
  <si>
    <t>The joke is that astrologers state traits that are shared by everyone as unique to a certain sign. For example, easily irritable when hungry? Such a Pisces thing to do</t>
  </si>
  <si>
    <t>Reddit speedruns the entire pseudoscience debate in three replies.</t>
  </si>
  <si>
    <t>A Reddit comment thread screenshot. The first user asks "...And What Does MY 'Profile Picture' Says About Me?" OP replies "You listen to american music." Another user, all_eyes_is_on_me, comments "Okay but who doesn't listen to american music?" OP then responds "Congratulations you just realised how astrologers work."</t>
  </si>
  <si>
    <t xml:space="preserve"> Cold reading exposed in real time by a confused commenter.</t>
  </si>
  <si>
    <t>1kozyll</t>
  </si>
  <si>
    <t>The joke is that the song (Anxiety by Doechii) is overplayed/sucks, and the man is turning the speaker off or skipping it.</t>
  </si>
  <si>
    <t>Suds-on, towel-off, contorting like a gymnast for one quick screen check.</t>
  </si>
  <si>
    <t>Mid-shower acrobatics to silence the imagined surveillance.</t>
  </si>
  <si>
    <t>A meme captioned "'somebody's watching me, it's my anxi-'" with an image of a shirtless man with shampoo in his hair leaning awkwardly out of the shower, reaching across the bathroom to grab his phone from the sink counter.</t>
  </si>
  <si>
    <t>1ic88xs</t>
  </si>
  <si>
    <t>She doesn’t use deodorant cause if she did she would’ve saw the money and would have grabbed it</t>
  </si>
  <si>
    <t>A Facebook post from Craig Clark reading "Buddy sent me this picture. Put 80 bucks on his girls deodorant and she ain't touched it for 8 days. Genius." with a photo of a blue stick of deodorant sitting on a granite bathroom counter, wrapped with a rubber band securing four $20 bills around it.</t>
  </si>
  <si>
    <t>Cash bait sits undisturbed exactly where it was always least likely to be found.</t>
  </si>
  <si>
    <t>An accidental experimental study on the half-life of teenage hygiene.</t>
  </si>
  <si>
    <t>1jhad2m</t>
  </si>
  <si>
    <t>FINALLY! My time to shine! Those are old ROBLOX Givers," sometimes called "Venders" or "Dispensers" They were a common sight at the end of racing games, like Death Run or Obstacle Courses (Obby's). They gave the winning players special powers, like flight, building, destruction, etc, which said winners would then use to grief others who were still trying to finish. Edit: these ones were specifically used to give the winning players "paths," which created blocks under their feet, allowing them to walk on air. Also still used for griefing. Credit to u/YellerSpottedLizard for the "paths" update"</t>
  </si>
  <si>
    <t>A meme captioned "when you die and go to heaven this is the first thing you see" showing a long, narrow stack of new, multicolored Play-Doh containers lined up side by side.</t>
  </si>
  <si>
    <t>Pristine clay set, untouched by a single mixing crime.</t>
  </si>
  <si>
    <t>The unbroken Play-Doh rainbow — a sight no kid leaves intact for long.</t>
  </si>
  <si>
    <t>1bhaz0e</t>
  </si>
  <si>
    <t>Buildings don't have 13th floors in many places because the number is bad luck. Obviously there is a 13th floor but the labels skip from 12 to 14. The joke here is in the future 45 will be an unlucky number as well because Trump was the 45th president, and buildings will follow the same protocol as they do for 13.</t>
  </si>
  <si>
    <t>A black-and-white single-panel cartoon by dko labeled "New York City Year 2075." A child with a backpack stands next to his father in a suit by an elevator whose display shows the floors jumping from "44" to "46." The caption reads "Dad how come buildings don't have a 45th floor?"</t>
  </si>
  <si>
    <t>Skyscrapers quietly skipping a number for the next half-century.</t>
  </si>
  <si>
    <t>A future generation inherits the architectural grudge.</t>
  </si>
  <si>
    <t>1ka6jiq</t>
  </si>
  <si>
    <t>This is referencing the Telephone game. &gt; ...an internationally popular children's game in which messages are whispered from person to person and then the original and final messages are compared. The original soldier's message had been passed on so many times that the message I love ~~you~~ her" has now been delivered as "I Rub Birds"."</t>
  </si>
  <si>
    <t>A five-panel Cyanide and Happiness comic. A wounded soldier asks his comrade to "Tell my wife… I love her." Just as the comrade promises, he is shot ("URK!"). The next soldier passes on the message — "You have to tell Jim's wife… that he loves her…" — and is also shot. The fourth panel shows a pile of fallen soldiers and a final survivor walking off. The last panel shows that survivor delivering the message to Jim's wife, who responds, "What do you mean Jim rubs birds?"</t>
  </si>
  <si>
    <t>Game of telephone with battlefield casualties and one very confused widow.</t>
  </si>
  <si>
    <t xml:space="preserve"> A long chain of last words mangled into ornithological misconduct.</t>
  </si>
  <si>
    <t>1i6a88o</t>
  </si>
  <si>
    <t>The people who want to “fix” the world, or do things like make it orderly, tend to be tyrannical villains, at least in these sorts of genres.</t>
  </si>
  <si>
    <t>Hux side-eyeing Kylo as the verb choice quietly confirms the heel turn.</t>
  </si>
  <si>
    <t>The single word that turns a sidekick into a villain origin story.</t>
  </si>
  <si>
    <t>A meme captioned "How I look at bro after we get superpowers and he says 'let's fix the world' instead of 'save'" with a still from Star Wars showing General Hux (Domhnall Gleeson) glancing warily sideways at Kylo Ren (Adam Driver).</t>
  </si>
  <si>
    <t>188hmpb</t>
  </si>
  <si>
    <t>Pole = Person from Poland.</t>
  </si>
  <si>
    <t>A Facebook post showing a joke that reads: "A Pole goes to an ophthalmologist. The doctor shows him: CZJWINOSTAWCZ. Can you read this? Read? I know this guy!" Beneath it, a commenter named Czjwinostawcz Chrabąszcz replies, "I really don't find this funny."</t>
  </si>
  <si>
    <t xml:space="preserve"> A man whose name doubles as an eye chart speaks for himself.</t>
  </si>
  <si>
    <t>The joke's punchline shows up in the comments to defend his honor.</t>
  </si>
  <si>
    <t>1hudgc9</t>
  </si>
  <si>
    <t>Go post this on Wallstreetbets. They'll find it hillarious</t>
  </si>
  <si>
    <t>The sky delivering its answer in the universal symbol for "close enough."</t>
  </si>
  <si>
    <t>A meme captioned "God please give me a sign / the sign:" above a nighttime photograph of a jagged lightning bolt over a city skyline, with two parallel teal lines drawn alongside the bolt highlighting its zig-zag shape as a math notation indicating "approximately equal to."</t>
  </si>
  <si>
    <t>Divine signal sent in pure mathematical notation, no translation needed.</t>
  </si>
  <si>
    <t>1fq1qb9</t>
  </si>
  <si>
    <t>The pain of regret cuts deeper than the pain of discipline.</t>
  </si>
  <si>
    <t>A motivational-style illustration titled "PAIN" showing two cartoon kitchen knives side by side. The left knife, labeled "DISCIPLINE," has a mostly clean blade with a small amount of red at the base. The right knife, labeled "REGRET," is fully coated in red across the entire blade.</t>
  </si>
  <si>
    <t>Inspirational graphic that accidentally moonlights as crime-scene evidence.</t>
  </si>
  <si>
    <t>A motivational poster taking the metaphor too literally, with cutlery.</t>
  </si>
  <si>
    <t>1lkox24</t>
  </si>
  <si>
    <t>It’s the ending to Dumb and Dumber….basically they are 2 intellectually challenged guys down on their luck, no jobs, lost everything, walking in the middle of nowhere when this bus pulls up next to them. The bus door opens and these 3 models come out asking if they know anyone one who would want to be their oil boys to rub them down between each competition. Instead of jumping on the opportunity, they tell the girls that there are probably a couple guys in the next town over. They then proceed to talk about how lucky those guys are going to be. Edit: not sure if it was post credits, but definitely the end of the movie</t>
  </si>
  <si>
    <t>A meme captioned "It's been 30 years and I still can't forgive them for this mistake" showing a 1990s-era photo of three women in bikinis standing beside a tour bus in front of a desert landscape.</t>
  </si>
  <si>
    <t>90s nostalgia stained forever by an unfortunate framing decision.</t>
  </si>
  <si>
    <t xml:space="preserve"> A tour bus photo where the photographer cropped off the band name and somehow that's the worst crime committed that day.</t>
  </si>
  <si>
    <t>1hdbees</t>
  </si>
  <si>
    <t>I believe that way of hitting the metal is called upsetting.</t>
  </si>
  <si>
    <t>An image captioned "This illustration is upsetting" showing a technical diagram of two hands using a hammer and a pair of tongs to work a metal rod on an anvil, but the perspective and proportions of the anvil make it strongly resemble something else.</t>
  </si>
  <si>
    <t>Metalwork manual that needed one more proofreading pass before printing.</t>
  </si>
  <si>
    <t>Blacksmithing tutorial drawn at the worst possible camera angle.</t>
  </si>
  <si>
    <t>15upbjf</t>
  </si>
  <si>
    <t>Those are RCA cables. The yellow one is for video, white and red are audio. Van Gogh cut off a piece of his left ear, so he’s missing one of the audio cables. Beethoven was deaf, so he’s missing both audio cables. Stevie Wonder is blind, so he’s missing the video.</t>
  </si>
  <si>
    <t>The pre-HDMI cable hierarchy, narrated entirely through famous artists.</t>
  </si>
  <si>
    <t>Three historical figures matched with the AV cables that bypass their respective disabilities.</t>
  </si>
  <si>
    <t>A meme captioned "HDMI kids won't understand" showing three rows: Vincent van Gogh's self-portrait paired with yellow and red RCA cables, a portrait of Beethoven paired with a single yellow RCA cable, and a photo of Stevie Wonder paired with red and white RCA cables.</t>
  </si>
  <si>
    <t>1e3q5dd</t>
  </si>
  <si>
    <t>The bottom diagram is showing a process called “mewing”. It’s the act of positioning your tongue a certain way so not only is your jaw pushed forward (if you have an overbite), but the skin underneath your jaw is also tucked in a bit. It’s a method used by models to temporarily change their jaw shape into something more attractive, but it relies on your mouth remaining closed to do so. It’s become a sort of a meme in Zoomer/Gen Alpha communities where people think that mewing will change your face shape over time, yet this is not a proven method for the long-term. But it’s also a joke, symbolizing that those who shut up and continue mewing are chads because those who do not do it look ugly, hence the “crying wojak” image at the top.</t>
  </si>
  <si>
    <t>One side weeps, the other side files a medical reference image.</t>
  </si>
  <si>
    <t>A Boys-season character matchup decided entirely by anatomical diagrams.</t>
  </si>
  <si>
    <t xml:space="preserve">A two-panel meme. The top panel pairs a crying wojak figure with a still of Firecracker (Valorie Curry) from The Boys in superhero costume. The bottom panel pairs a still of Starlight (Erin Moriarty) from The Boys in a grey blazer with a medical diagram showing the inside of a mouth with an upward arrow indicating swallowing.
</t>
  </si>
  <si>
    <t>A two-panel meme. The top panel pairs a crying wojak figure with a still of Firecracker (Valorie Curry) from The Boys in superhero costume. The bottom panel pairs a still of Starlight (Erin Moriarty) from The Boys in a grey blazer with a medical diagram showing the inside of a mouth with an upward arrow indicating swallowing.</t>
  </si>
  <si>
    <t>1hph3za</t>
  </si>
  <si>
    <t>If i recall properly this was posted here in the past. Basically a lot of online recipes start off with some useless and oftentimes unrelated story before revealing the recipe. The poster makes fun of that using an exaggerated piece of information to reveal his awesome baked beef rigatoni.</t>
  </si>
  <si>
    <t>When the only acceptable intervention is a casserole at the door.</t>
  </si>
  <si>
    <t>A screenshot of a tweet from Dan White (@atdanwhite) reading: "My friend Mitch's wife got drunk and let it slip that they haven't made love in 3 years because he's addicted to online pornography so tonight I surprised them with my famous baked beef rigatoni." The attached photo shows a glass baking dish full of cheesy baked rigatoni with beef and melted cheese on top.</t>
  </si>
  <si>
    <t>A marital crisis met with pasta diplomacy.</t>
  </si>
  <si>
    <t>1bazqft</t>
  </si>
  <si>
    <t>In ancient roman legions, a punishment for mutiny was decimation" which literally meant randomly kill one in ten soldiers in the unit. "Deci" being latin for ten."</t>
  </si>
  <si>
    <t>A Facebook post from "SPQR" with the caption "Only one in ten will get this." The image, also captioned "Only one in ten will get this," is an illustration of Roman soldiers in red tunics beating a kneeling, bloodied man with wooden rods. A user has commented above: "Ah dark but clever. Good joke."</t>
  </si>
  <si>
    <t>Decimation depicted with a setup-and-punchline reading, courtesy of one oblivious commenter.</t>
  </si>
  <si>
    <t xml:space="preserve"> Roman military discipline reframed as a content engagement bait line.</t>
  </si>
  <si>
    <t>16uuwk3</t>
  </si>
  <si>
    <t>It's a common trend on the internet to believe that one can't see John Cena or that he's invisible based on his catchphrase, You can't see me.""</t>
  </si>
  <si>
    <t>"You can't see me" jokes apparently extend into the replies.</t>
  </si>
  <si>
    <t>A tweet from PandaFlexin (@PandaFlexin) reading "So I met John Cena today…" with two photos of the user, a young man in a chef's jacket, posing alongside John Cena in a navy suit and red tie outside a restaurant. Below, Weffrey Jellington (@jeffwellz) replies: "Man met John Cena and didn't even take a picture with him lmfao what a waste."</t>
  </si>
  <si>
    <t>Reply guy roasting a photo dump that contains literally two photos with John Cena.</t>
  </si>
  <si>
    <t>1m61khr</t>
  </si>
  <si>
    <t>The earliest written customer complaints was from a guy in ancient sumer who got sold crapppy-quality copper</t>
  </si>
  <si>
    <t>A screenshot of a Bad Two Sentence Horror (@bad2sentence) tweet sharing an r/TwoSentenceHorror post by u/Lolaverses: "I was relieved when I realized the only damage to the time machine was to the wires. All I need to do now is find someone in Ancient Sumer to sell me some good quality copper." Below, Tumblr user "nyancrimew" comments: "this is GREAT two sentence horror actually."</t>
  </si>
  <si>
    <t>Stranded in 2000 BCE, doomed by a 4,000-year-old supplier reputation.</t>
  </si>
  <si>
    <t xml:space="preserve"> A reminder that the famous Sumerian copper complaint letter remains the ultimate buyer-beware warning.</t>
  </si>
  <si>
    <t>1muan3i</t>
  </si>
  <si>
    <t>When you’ve finished work and taken the work keys home by accident</t>
  </si>
  <si>
    <t>The exact moment a closing shift turns into an unintentional crime spree.</t>
  </si>
  <si>
    <t>Service-industry worker realizing they've just committed felony grand theft auto on autopilot.</t>
  </si>
  <si>
    <t>A meme captioned "Driving home from a good shift then realizing you have keys in your pocket" showing a car interior with the gear shifter visible, overlaid with a wide-eyed, horrified bald cartoon man in glasses (the "shocked anime old man" meme) staring at the camera.</t>
  </si>
  <si>
    <t>1g8raiu</t>
  </si>
  <si>
    <t>Pocket sand! Dale Gribble (the character pictured) uses pocket sand as a diversion/weapon.</t>
  </si>
  <si>
    <t>A meme captioned "that mini heart attack when you can't feel one of these in your pocket" with a cartoon man's shocked face in the background, overlaid with images of a wallet, sunglasses, a keyring, a smartphone, and a pile of sand or fine powder.</t>
  </si>
  <si>
    <t>Wallet, phone, keys, shades — and that one little mound of sand you simply cannot leave the house without.</t>
  </si>
  <si>
    <t xml:space="preserve"> Pocket inventory checklist now includes a mysterious heap of powder.</t>
  </si>
  <si>
    <t>16h1wrg</t>
  </si>
  <si>
    <t>A plumber would see the word union-ized". A chemist would say "un-ionized"."</t>
  </si>
  <si>
    <t>A Tumblr thread. User "the-average-gatsby" asks, "how do you tell the difference between a chemist and a plumber" then answers, "ask them to pronounce 'unionized'." User "girilla-warfare" replies, "Holy fuck thats clever. It took me 5 minutes to get this." User "lesighh" adds, "extremely clever." Finally, "ladymalchav" comments, "this joke annoys me because there's no way to tell it verbally."</t>
  </si>
  <si>
    <t>A pun so text-bound it qualifies as a written-only species.</t>
  </si>
  <si>
    <t>The punchline self-destructs the moment anyone tries to say it out loud.</t>
  </si>
  <si>
    <t>1d0nows</t>
  </si>
  <si>
    <t>ms. McCurdy there was a victim of sexual assault and she is doing great after the publication of her book. Ronnie radke was accused of sexual assault and his life is falling apart. the poster finds this connection comical and cathartic. (I actually do agree with this one, I hope jennette has a wonderful life.)</t>
  </si>
  <si>
    <t xml:space="preserve">A screenshot of a tweet from Alec (@maybemizery) titled "THE PROPHECY" quote-tweeting @corvettestar's post that reads "god please take all of her pain and suffering and give it to ronnie radke," which itself quote-tweets a Pop Crave post about Jennette McCurdy's book "I'm Glad My Mom Died" being on the New York Times Best Seller list for 80 weeks, with a photo of McCurdy holding her book. Below is a MetalSucks headline reading "Falling in Reverse Burn Themselves With Pyrotechnics at Sonic Temple While Ronnie Radke Tries to Start a Fight."
</t>
  </si>
  <si>
    <t>Karma issued via pyrotechnics malfunction, right on schedule.</t>
  </si>
  <si>
    <t>A tweeted curse seemingly cashing in on stage one day later.</t>
  </si>
  <si>
    <t>16zvi3l</t>
  </si>
  <si>
    <t>The joke is that they played bands they like because they are now old enough to be in the target audience</t>
  </si>
  <si>
    <t>A generation realizing in real time that "young people music" has aged out of the category.</t>
  </si>
  <si>
    <t>The exact moment millennials clocked that the halftime show was now their nostalgia tour.</t>
  </si>
  <si>
    <t>A screenshot of a tweet from Rodger Sherman (@rodger) reading: "everybody born between 1985 and 1995 saw the Super Bowl halftime show lineup and was like 'sweet, instead of doing a show for old people like the Rolling Stones or Paul McCartney or The Who they did one for us young people' and then 10 seconds later it hit us"</t>
  </si>
  <si>
    <t>1fcm1zb</t>
  </si>
  <si>
    <t>Lyrics to Everlong: *The only thing* I'll *ever ask of you*. You've got to promise not to stop when I say when.""</t>
  </si>
  <si>
    <t>Restaurant etiquette redefined as a long-running blood pact involving dairy.</t>
  </si>
  <si>
    <t>A four-panel comic by Pear Shaped Comics. A waiter offers parmesan cheese to Dave Grohl, who eagerly says "Please!" The waiter starts grating it and Grohl says "Okay, when!" In the third panel, Grohl begs "That… that's enough! Please stop!" as the plate piles up. In the final panel, Grohl is buried under a mountain of cheese as the waiter solemnly says, "I made you a promise, David."</t>
  </si>
  <si>
    <t>A waiter taking "say when" as a binding contract with no expiration date.</t>
  </si>
  <si>
    <t>1l0pn3b</t>
  </si>
  <si>
    <t>Turn off all lights in your room and put one source of light behind yourself. It's just extremely distracting when you need to focus on what's ahead of you. Lots of kids have memories of their parents telling them not to turn these lights on during the night, sometimes even dramatizing that'll cause an accident or that it's illegal</t>
  </si>
  <si>
    <t>A meme captioned "7 year old me switching on the car light for one second" with a photo of a finger touching a car's overhead dome light. Below, captioned "My dad:", is a still of Jacob Batalon as Ned Leeds from Spider-Man: Homecoming yelling, "We're all gonna die!"</t>
  </si>
  <si>
    <t>A single overhead bulb treated as a terminal night-driving diagnosis.</t>
  </si>
  <si>
    <t>Dome light flips on, dad enters full disaster-movie monologue mode.</t>
  </si>
  <si>
    <t xml:space="preserve">A meme captioned "7 year old me switching on the car light for one second" with a photo of a finger touching a car's overhead dome light. Below, captioned "My dad:", is a still of Jacob Batalon as Ned Leeds from Spider-Man: Homecoming yelling, "We're all gonna die!"
</t>
  </si>
  <si>
    <t>193it8r</t>
  </si>
  <si>
    <t>The astrologer told the king that they will die in a month, and then said that they will live for another 20 years, right before being beheaded by the knight. The knight successfully proved to the king that the astrologer can't even predict his own death, moments before it happens, so how effective could he be at predicting the king's death?</t>
  </si>
  <si>
    <t>A screenshot of two tweets by Landshark (@LandsharkRides). The first reads: "Friend I was hanging out with today told me a Tarot reading predicted that he will break up with his beloved girlfriend he plans to marry so I told him the story of the king and the astrologer." The reply explains: "An astrologer predicts that the king will die in a month. The king is absolutely crushed and falls sick from despair. His most trusted knight calls the astrologer to come before the king and asks him 'when will YOU die?' — the astrologer says in 20 years; the knight beheads him…"</t>
  </si>
  <si>
    <t>A historical parable casually weaponized to save someone's engagement.</t>
  </si>
  <si>
    <t>Medieval fortune-telling debunked the way only a sword-wielding knight could manage.</t>
  </si>
  <si>
    <t>1dk358k</t>
  </si>
  <si>
    <t>when i tell the frankenstein is the name of the scientist, not the monster""</t>
  </si>
  <si>
    <t>A meme captioned "Your girl when I tell her that Ratatouille is just the name of the movie, and the rat's name is actually Remy" with a photo of a woman sitting on a train, resting her chin on her hand and smiling thoughtfully at the camera.</t>
  </si>
  <si>
    <t>Pixar trivia presented as if it's a tier-one pickup line.</t>
  </si>
  <si>
    <t>Train ride flirtation built entirely on a children's-movie footnote.</t>
  </si>
  <si>
    <t>1ixuiml</t>
  </si>
  <si>
    <t>This is probably from wallstreetbets or something, and that red line is their money going down to zero.</t>
  </si>
  <si>
    <t>A meme captioned "Babe, remember all of that money we saved for the house?" with two side-by-side images: a smiling woman with her partner's hands covering her eyes as if for a surprise, and a stock or crypto candlestick chart showing a near-vertical crash straight to zero.</t>
  </si>
  <si>
    <t>Surprise reveal where the gift is a financial obituary.</t>
  </si>
  <si>
    <t>Down payment dissolved into a single red candle, presented as a romantic moment.</t>
  </si>
  <si>
    <t>1hh0vwh</t>
  </si>
  <si>
    <t>Okay y’all I’ll explain it: the lips invited the wrong cheeks to the face party and the mistletoe makes this mistake way funnier</t>
  </si>
  <si>
    <t>A Scott Hilburn comic dated 12/20. A pair of anthropomorphic lips arriving at a party stops at the front door, sees a sprig of mistletoe hanging above, and thinks "OH NO." Inside the house, other anthropomorphic body parts — a nose, ears, and an eye — mingle holding wine glasses.</t>
  </si>
  <si>
    <t>Mistletoe etiquette becomes an existential crisis when you're walking lips.</t>
  </si>
  <si>
    <t xml:space="preserve"> A party of facial features and the only attendee who must kiss everyone is panicking at the door.</t>
  </si>
  <si>
    <t>15a2flm</t>
  </si>
  <si>
    <t>With a new job, you can get days off by saying your grandparent died. You're new at the company so no one knows that they're already dead. Use up to 4 times.</t>
  </si>
  <si>
    <t>Day one of a new job and grandma is suddenly alive, dying, and Catholic again.</t>
  </si>
  <si>
    <t>A screenshot of a tweet from "stoned cold fox" (@roastmalone_) reading: "the best part of starting a new job is all 4 of your grandparents are alive again."</t>
  </si>
  <si>
    <t>PTO loophole that resurrects your entire family tree on demand.</t>
  </si>
  <si>
    <t>1jd57jt</t>
  </si>
  <si>
    <t>Could be posted by a theatre worker. Usually when a screen has no tickets sold, we can shut down the projector or get it ready for the next movie and shut the doors so the ushers don’t have to clean. I remember my staff groaning so much when it’d be 5 minutes before we’re allowed to shut it down and someone buys a ticket.</t>
  </si>
  <si>
    <t>A screenshot of a tweet from "michael" (@FilledwithUrine) reading "i'm gonna kill this guy" above a movie theater seat selection screen showing rows A through K of empty seats, with a single red seat selected dead center in row G.</t>
  </si>
  <si>
    <t>Choosing the exact middle of an empty theater is a hostile act against everyone arriving next.</t>
  </si>
  <si>
    <t>One person, a thousand empty chairs, and the most provocative seat pick in cinema.</t>
  </si>
  <si>
    <t>1eerszi</t>
  </si>
  <si>
    <t>In the TV series The Office, Jim Halpert played by John Krasinski (left) plays a prank on his office mate Dwight, by trying to psy-op Dwight into believing that he (Jim) is and has always been an Asian man (the actor on the right whose name I do not know off hand). Jim even gets his wife (the office secretary/office manager) in on the joke and goes so far as to retake a family photo, subbing himself out for the actor on the right.</t>
  </si>
  <si>
    <t>A screenshot of a tweet from "faze omar jr" (@FazoomJr) reading "People complaining that rdj has two mcu roles / LIKE THIS GUY DOESNT" with two side-by-side images: John Krasinski as Reed Richards in a Fantastic Four costume, and Randall Park as Agent Jimmy Woo in WandaVision.</t>
  </si>
  <si>
    <t>A casting confusion built on two completely different actors and one stubbornly mistaken eye.</t>
  </si>
  <si>
    <t>When face blindness becomes a fan-discourse hot take.</t>
  </si>
  <si>
    <t>1ex2gnv</t>
  </si>
  <si>
    <t>There's a long-running joke that John Cena (who appears to be driving the Jeep) is invisible. He had a catchphrase You Can't See Me" from his WWE wrestling career. People take it literally as a goof.   [Full explanation of the meme here](https://knowyourmeme.com/editorials/guides/what-is-you-cant-see-me-the-timeless-john-cena-meme-and-joke-explained)."</t>
  </si>
  <si>
    <t>One running joke surviving longer than most relationships and most cars.</t>
  </si>
  <si>
    <t>A bit so durable it has outlasted multiple Jeep model years.</t>
  </si>
  <si>
    <t>A tweet from "Young Simba" (@Mufaa6) reading "Saw a Jeep driving itself today" with a photo of John Cena sitting shirtless in the driver's seat of a red Jeep, leveraging his "you can't see me" persona. Below, "Iceberg Slim" (@CokesTheDon) replies: "Love the fact we continued this joke for over a decade."</t>
  </si>
  <si>
    <t>1n6ohcl</t>
  </si>
  <si>
    <t>He made rat utopia": unlimited food, unlimited water. Problem.with the experiment was a lack of stuff to do for the rats. They basically had no entertainment and thus just banged most of the time. This led to another observation of the "alpha males" who got all the females because they would fight the weaker rats. The weaker rats lost almost all interest in the female rats some even let themselves be used by the alphas. You can read up on the behavioral sink. But the experiment was flawed as stated, heavily so. Some people nowadays try to tell you: "Look that's why there are so many gay people now. Girls only go for the alphas. Society is collapsing." by referencing this experiment"</t>
  </si>
  <si>
    <t>A meme with the text "Is this why the majority of men today don't want marriage or relationships? Society is collapsing…" above a black-and-white image of John Calhoun standing inside his famous "Universe 25" mouse population enclosure. Below are two Mr. Incredible panels: a normal one labeled "PEOPLE WHO DON'T KNOW" and a dark, uncanny version labeled "PEOPLE WHO KNOW…"</t>
  </si>
  <si>
    <t>A 1960s rodent experiment recruited into modern internet anxiety discourse.</t>
  </si>
  <si>
    <t>Universe 25 invoked to explain dating apps, somehow.</t>
  </si>
  <si>
    <t>1kc6xta</t>
  </si>
  <si>
    <t>There was an iconic moment in this interview. Well not an interview-interview, it was prank interview. Where the interviewer pretends he's bad at English.    The reference of this meme is:    **Interviewer**:  The photoshoot you do with Vogue magazine and cosmopolitan and..... Your hair changes dramatically, from short to long. DO you wear wigs?   **Elijah Woods**: No I DO NOT **Interviewer:** HAVE you worn wigs? **Elijah woods:** No I HAVE not **Interviewer:** Will you wear wigs? **Elijah Woods:** uhhh mayybee **Interviewer:** When will you wear wigs? **Elijah Woods:** \*Laughs hysterically dying inside\* [This is the Interview](https://www.youtube.com/watch?v=IfhMILe8C84)</t>
  </si>
  <si>
    <t>A screenshot of a tweet from Tommy Stella (@tommy_stella) saying "Send him in to interview her. He'll get results." above a photo of Dominic Monaghan during a Lord of the Rings-era interview, looking smirky in front of a movie poster. The quoted post from "Sabrina Carpenter Spotify" reads: "Sabrina Carpenter on rumours that she is wearing a wig. — 'Will not confirm or deny… I don't even know what a wig is, but I also don't know w…'"</t>
  </si>
  <si>
    <t xml:space="preserve">A throwback hobbit-promo interview deployed as the ultimate wig-truth interrogation tactic.
</t>
  </si>
  <si>
    <t>Sending the guy with the most iconic on-camera "wait what?" face to crack the case.</t>
  </si>
  <si>
    <t>1mk8rnt</t>
  </si>
  <si>
    <t>People have been throwing sex toys on the court in WNBA games.  So this person is going to throw one at a NBA game.</t>
  </si>
  <si>
    <t>A screenshot of a tweet from "not mike bibby" (@spykidsthumb) tagging @wnba, reading "Don't worry @wnba I'm getting your lick back as soon as the nba season starts," with a photo of a green plastic kitchen garlic-press / herb mincer device in clear packaging on a fabric surface.</t>
  </si>
  <si>
    <t>Inter-league rivalry escalated by kitchen gadget metaphor.</t>
  </si>
  <si>
    <t>A garlic press promoted to symbol of professional sports retribution.</t>
  </si>
  <si>
    <t>1bojwn9</t>
  </si>
  <si>
    <t>Perhaps that her parent have high-paying jobs and her hippy aesthetic belies her actual financial situation (trust fund)?</t>
  </si>
  <si>
    <t>Counterculture aesthetic financed entirely by missile R&amp;D dividends.</t>
  </si>
  <si>
    <t xml:space="preserve"> Defense-contractor trust fund mistaken for a free-spirit origin story.</t>
  </si>
  <si>
    <t>A screenshot of a tweet from "boiled angel" (@thomwhatetail) reading "I just know her parents work for Lockheed Martin" above a video still of a young woman with blonde dreadlocks, septum and lip piercings, freckle makeup, and shell jewelry, captioned "Took a lil bit of acid."</t>
  </si>
  <si>
    <t>1m68ug3</t>
  </si>
  <si>
    <t>Unlike the rest of Malaysia, which largely consisted of Ethnic Malays, Singapore was more ethnically diverse especially with a large Han Chinese population. Not wanting to be influenced by the non-Malay population, Malaysia opted to remove Singapore. That’s the very very short and brief version of events. There is obviously more detail on the politics of the matter.</t>
  </si>
  <si>
    <t>A three-row "Chad" wojak meme depicting national independence stories. Row one: India asks "Can we be independent?" and Great Britain replies "India will be independent over my dead body." Row two: Norway says "We want to be independent" and Sweden replies "Ok." Row three: Singapore says "It's so nice to be a part of Mala…" and Malaysia replies "Get the fuck out."</t>
  </si>
  <si>
    <t>A Chad-meme world history lesson where Singapore is the only country dumped instead of doing the dumping.</t>
  </si>
  <si>
    <t>Three independence backstories, ranked from bloody to amicable to "we kicked them out."</t>
  </si>
  <si>
    <t>1aqy5m7</t>
  </si>
  <si>
    <t>The Jesus Gets Us" superbowl ad, which shows people washing feet. The idea is that the people behind hegetsus.com should spend their money on charity, rather than for expensive commercials."</t>
  </si>
  <si>
    <t>A four-panel comic by @mygumsarebleeding. A person in an orange hoodie shows Jesus a handful of cash saying "Look, Jesus! We raised 14 million dollars!" then adds, holding a money bag, "Think of all the hungry people we can feed!" Jesus responds, "Ok but hear me out… what if we spent that money…" and finishes, "On two Superbowl commercials?"</t>
  </si>
  <si>
    <t>A nonprofit pivot from soup kitchens to primetime ad slots.</t>
  </si>
  <si>
    <t>Charity strategy rewritten by a Nielsen ratings consultant in a robe.</t>
  </si>
  <si>
    <t>1jg3hi7</t>
  </si>
  <si>
    <t>The necklace is made of the meme is made of the necklace is made of the meme is made of the necklace</t>
  </si>
  <si>
    <t>Dr. House diagnosing the same scene inside the scene inside the scene.</t>
  </si>
  <si>
    <t>A recursive medical mystery that loops back into itself with no exit.</t>
  </si>
  <si>
    <t>A three-panel meme from House M.D. The first panel shows a woman with the subtitle "What's my necklace made of?" The middle panel shows a close-up of her amber pendant, which contains a tiny embedded version of the same House M.D. meme. The bottom panel shows Dr. House's stunned face, also with a smaller version of the same meme embedded near his neck.</t>
  </si>
  <si>
    <t>1isy4zt</t>
  </si>
  <si>
    <t>Why sounds like “Y” Cap only eats vowels, so the other person asked, What about Y?. Cap replies that he eats “Y”Sometimes</t>
  </si>
  <si>
    <t>A linguistic technicality detonating an entire elevator full of agents.</t>
  </si>
  <si>
    <t>A three-panel meme using stills from Captain America: The Winter Soldier elevator fight scene. The top panel says "When I eat Alphabet Soup, I only eat the vowels." The middle panel shows one agent asking "Why?" and Captain America replying "Sometimes." The bottom panel shows the entire elevator erupting into a brawl.</t>
  </si>
  <si>
    <t>Alternate caption 1: "Sometimes Y" sparking the most violent grammatical debate ever filmed.</t>
  </si>
  <si>
    <t>19egkxy</t>
  </si>
  <si>
    <t>There’s a first half to this comic, where the man goes to space and thinks that people would be nicer to each other if they could only see earth from that view. It’s a play on the idea that astronauts who see earth from space are given a better sense of perspective about how small the planet is and how our divides are artificially made.  The man, however, immediately counteracts his own point by taking an elitist stance, thinking he’s morally enlightened and better than other people who haven’t seen earth from space. He had the revelation, but didn’t actually internalize its message. The comic then continues to show that people can be kind and loving to one another without ever seeing earth from space, showing that being kind is a choice you make. There’s nothing you have to do or see to make you be nicer to others, you just have to do it. People can see earth from space and not internalize kindness, people can never see earth from space and still be kind.</t>
  </si>
  <si>
    <t>The most insufferable bar question, answered with the gentlest possible white lie.</t>
  </si>
  <si>
    <t>Astronaut quietly choosing caregiving over flexing her resume at a party.</t>
  </si>
  <si>
    <t>A four-panel comic by Extra Fabulous Comics. In the first panel, a man at a bar asks a woman, "Have you ever seen Earth from space?" She replies "No," and he taunts "Ha! Loser!" The next panels show the woman driving home, arriving at a modest house, paying a babysitter, and finally sitting beside an elderly bedridden relative whom she tends to with a bowl of food, beside a framed photo on the wall depicting her as an astronaut.</t>
  </si>
  <si>
    <t>1gboomw</t>
  </si>
  <si>
    <t>Squawking 7500 signifies an aircraft being hijacked and could result in an aircraft being escorted by military forces</t>
  </si>
  <si>
    <t xml:space="preserve"> A meme captioned "My instructor after i put the cheat code (7500) and enter military airspace" with a screaming, wide-eyed, sweaty close-up of Shaquille O'Neal in a purple shirt.</t>
  </si>
  <si>
    <t>Flight school flipped into a multiplayer lobby with extremely armed referees.</t>
  </si>
  <si>
    <t>The aviation transponder code that summons fighter jets, dressed up as a Konami cheat.</t>
  </si>
  <si>
    <t>1jjvw9a</t>
  </si>
  <si>
    <t>They are saying the mushrooms are a fairy circle, in mythology iron kills fairies.</t>
  </si>
  <si>
    <t>A meme captioned "This is why it was a mistake to replace all the old 70s metal playgrounds with safety plastic. Iron. You need iron. Or else." with a photo of a backyard swing set and slide encircled by a naturally occurring ring of white mushrooms (a fairy ring) in the grass.</t>
  </si>
  <si>
    <t>Folklore warning issued via mycelium, right next to the slide.</t>
  </si>
  <si>
    <t>Suburban swing set quietly annexed by the Fae overnight.</t>
  </si>
  <si>
    <t>1kcxst1</t>
  </si>
  <si>
    <t>It's about the Cod wars. Great Britain wanted to fish in Icelandic waters so the Icelandic navy put a stop to that. Then GB sent their fleet and thought that's be the end of that. Rule the waves and all that. Instead they got the everliving hell trolled out of them by the Icelandic navy and had to finally give up. If you search for it on YT you'll find some good videos on it. It's hillarious Edit: Because it has been mentioned - yes, YT has a piece on cod. In fact one could say that their cod piece is quite tantalizing</t>
  </si>
  <si>
    <t>A 36-ship navy outmaneuvered by half a dozen Icelandic boats and pure spite.</t>
  </si>
  <si>
    <t>The Cod Wars summarized as a cartoon dog's quiet act of revenge.</t>
  </si>
  <si>
    <t>A two-panel Family Guy meme. The top panel shows a Family Guy character labeled "Great Britain" pointing a shotgun labeled "A fleet of 36 ships" at Brian the dog, labeled "Iceland," saying "I'm sorry." The bottom panel shows Brian/Iceland pointing a handgun labeled "4 patrol boats and 2 armed trawlers" back, saying "No, I'm sorry."</t>
  </si>
  <si>
    <t>1jj9t5b</t>
  </si>
  <si>
    <t>My guess here is that they're loading shotgun shells with Benadryl so when you shoot an intruder with them, rather than use a more traditional" nonlethal option like rock salt or nails, they'd have hallucinations and seizures, which is the symptoms of a Benadryl overdose."</t>
  </si>
  <si>
    <t>Allergy medication weaponized into the world's drowsiest home defense option.</t>
  </si>
  <si>
    <t>A screenshot of a tweet from LizzieHasAGat (@LizzieHasAGat) reading "Fuck rock salt and nails, home intruders get to go into the pocket dimension." The photos show a shotgun shell that has been packed with pink Benadryl tablets, alongside the empty Benadryl packaging and tablet blister packs.</t>
  </si>
  <si>
    <t xml:space="preserve"> DIY shotgun load designed to sedate the intruder for a 16-hour nap.</t>
  </si>
  <si>
    <t>1jaf822</t>
  </si>
  <si>
    <t>This is one method used for document fingerprinting.  If you suspect that people are leaking information, you can use techniques like this to catch who copy/pasted information into external communications.  You can also use it to embed extra information in a document.</t>
  </si>
  <si>
    <t>A warning that quietly forces you to reread every "I" and "l" on the page.</t>
  </si>
  <si>
    <t>Typography paranoia advancing to full conspiracy-theory levels.</t>
  </si>
  <si>
    <t xml:space="preserve">A screenshot of a post by "eel.feel" showing a Word document open with the text: "In this font the lowercase L and uppercase i are Identical. Be careful as creepy guys have been secretly swapping them as a way to communicate to each other"
</t>
  </si>
  <si>
    <t>A screenshot of a post by "eel.feel" showing a Word document open with the text: "In this font the lowercase L and uppercase i are Identical. Be careful as creepy guys have been secretly swapping them as a way to communicate to each other"</t>
  </si>
  <si>
    <t>1k9sq1s</t>
  </si>
  <si>
    <t>She is part of a service and thats how they met. Miami has a lot of young attractive women who work in services that cater to old wealthy men.</t>
  </si>
  <si>
    <t>A Sunday morning interview detoured around exactly one origin story.</t>
  </si>
  <si>
    <t>A screenshot of a tweet from Ashley Nicole Moss (@AshNicoleMoss) reading "i know what this means in Miami lol" quote-tweeting a Complex Sports post: "'We're not talking about this.' Jordon Hudson interrupts Bill Belichick's CBS Sunday interview when he's asked how they met." The image shows Bill Belichick in a Navy sweatshirt during a CBS Sunday Morning interview, looking serious.</t>
  </si>
  <si>
    <t>The "how we met" question that gets shut down faster than a Belichick press conference.</t>
  </si>
  <si>
    <t>1jm74by</t>
  </si>
  <si>
    <t>When it’s nice and warm, your scrotum is loose. When it’s cold, your scrotum tightens up.</t>
  </si>
  <si>
    <t>A "spot the silhouette" challenge solved by a beagle nobody asked for.</t>
  </si>
  <si>
    <t>Visual pareidolia revealing Snoopy hidden in completely unrelated landscapes.</t>
  </si>
  <si>
    <t>A meme captioned "Only boys will understand" with two paired images. The top pair shows a sunny country road through wheat fields, with a black outline highlighting cloud and field shapes that resemble Snoopy lying on his doghouse. The bottom pair shows a red pickup truck driving through heavy rain in a Mexican town, with a black outline highlighting puddle and reflection shapes that also resemble Snoopy.</t>
  </si>
  <si>
    <t>1cvso6z</t>
  </si>
  <si>
    <t>Owner" and "Puppygirl" are two individuals in a relationship where they roleplay as a dog and its owner. It's a kink, for the "Owner" to act as though they are essentially the dominant one in the relationship while the "Puppy" prefers to act as though they're owned by someone else and treated like a dog. The "Owner" pulling a resume out of the glove box implies that the "Puppy" is unemployed, and thus hasn't been contributing to the relationship outside of their kinky relationship. This would make sense, as actual dogs usually don't have to work for an income to pay for housing or food; they are just simply taken care of. They are taking the "Puppy" to apply for a job. I guess it's a play on how real-life dog owners take their dogs to the park on a normal day, but on this specific day, have brought them to be neutered. Except instead of a human with a dog about to get neutered, its two humans and one's about to be forced to apply for jobs. Edit: An alternative take, as a commenter pointed out to me, would be that the "Owner" is unemployed and the resume is their own. The joke would then be that the "Puppy" is upset at the notion of their "Owner" going to get a job because it means less time with their "Owner". Which means that I accidentally made a joke out of it. Oopsies.    Edit 2: Another alternative take is that the "Puppygirl" doesn't realize she's being broken up with because the "Owner" is telling her to get a job with the resume, hinting at the idea that she needs a job because the "Owner" is no longer going to be taking care of her."</t>
  </si>
  <si>
    <t>A Tumblr-style post written as roleplay dialogue. "puppygirl" excitedly asks if they're almost at the park; the owner says yes. The puppygirl then asks why they didn't take the normal route, repeating the question with growing dread. The owner silently pulls a résumé out of the glovebox. The puppy then frantically scratches at the window screaming "nononoONONONONO WOOFWOOFWOOFBARKBARKWOOFBARK."</t>
  </si>
  <si>
    <t>When "we're going to the park" reveals itself as a job interview hostage situation.</t>
  </si>
  <si>
    <t>A trip to "the park" mutating into a corporate intervention mid-drive.</t>
  </si>
  <si>
    <t>1efztwz</t>
  </si>
  <si>
    <t xml:space="preserve">Bill is nickname for William Bills to pay sounds like Bill's toupee, which is a hair piece for balding men. </t>
  </si>
  <si>
    <t>Domestic comedy where the hairpiece is the only one staying put.</t>
  </si>
  <si>
    <t>A toupee subletting itself onto a wife's head as the husband makes a quiet exit.</t>
  </si>
  <si>
    <t>A single-panel cartoon by Scott Hilburn. A woman with a thick mass of curly hair stands by a hung-up phone calling out, "William! Your brother just called and said he has bills to pay. Are you giving him money again? Hey, where's your hairpiece?" Her husband William, now bald, is sneaking out the front door with a briefcase.</t>
  </si>
  <si>
    <t>1lfy05f</t>
  </si>
  <si>
    <t>It's about situational awareness. Listen with one ear to your music, or game and with the other to your surroundings. The meme implies a childhood where you have to be aware of your parents, but it's a habbit that translates to every situation were unpleasant things could happen. I'm 42 and still listen with only one headphone. Especially when I'm with my back to a door.</t>
  </si>
  <si>
    <t xml:space="preserve">A meme captioned "do you understand this or did you have good childhood" with a close-up photo of a person wearing a Sony over-ear headphone, but the headphone is positioned on top of the visible ear rather than around it, pinching the cartilage.
</t>
  </si>
  <si>
    <t>A trauma response disguised as an audio setup.</t>
  </si>
  <si>
    <t>Headphones sitting directly on the ear like a punishment, not a feature.</t>
  </si>
  <si>
    <t>15oof8t</t>
  </si>
  <si>
    <t>The joke is that young girls keep asking their bfs stupid shit like would you still love me if I were a worm?" A bunch of weird things can be slotted in there, but worm seems to be the most popular one.  The bouncer is crying because of the intense love he knows the man must feel for his "girlfriend" since they're still together despite her being now a worm."</t>
  </si>
  <si>
    <t>Door policy bent for the most heartfelt parasitic relationship at the club.</t>
  </si>
  <si>
    <t>A bouncer reduced to tears by an unconventional plus-one situation.</t>
  </si>
  <si>
    <t>1e8xy5s</t>
  </si>
  <si>
    <t>Wanted to be funny in high school --&gt; clowned around --&gt; bad grades --&gt; mediocre job --&gt; drive to work at 4am</t>
  </si>
  <si>
    <t>A TikTok screenshot captioned "When you drive to work at 4AM because you wanted to be funny in high school" showing a man in a pink shirt with an orange seatbelt across his chest, looking blankly into the camera while driving in the dark.</t>
  </si>
  <si>
    <t>Pre-sunrise commute powered entirely by past lunchroom popularity points.</t>
  </si>
  <si>
    <t>Class clown pivoting into a blue-collar career on the predawn shift.</t>
  </si>
  <si>
    <t>1918ki4</t>
  </si>
  <si>
    <t>There's layers here; First, the if it's brown, it's down" line on the gun-plunger; At least in the US, if you're a hunter, you get an amount of tags you use to mark kills. Usually, you pay for those with that season/year's license, and they don't carry over into the next year/season. So, in regards to hunting, the phrase is used towards the end of the season, when you stop caring about getting a trophy worthy kill, and just start trying to "fill your tags." Another interpretation is just basic "toilet humor." Guns and plungers are both used to "put things down." So the saying attached to the gun-plunger is potentially just about "putting down a turd (brown) with extreme prejudice." Speaking of prejudice. We come to the third interpretation, and the most relevant, because it's the one that the poster is playing on. "If it's brown (a person of color), it's down." This is playing off the stereotype that a lot of gun store owners are racist. Then we have the response shown. *Get Out* was a movie that was basically "racism incarnate." (Avoiding spoilers) So saying *Get Out 2* is also playing off that third interpretation, that our opening poster is in a dangerous situation with racists. It's "funny" because while the chances of you actually running into a gun store owned by racists when having a bathroom emergency are low, they're never zero."</t>
  </si>
  <si>
    <t>One ill-timed restroom visit reframed as a horror sequel pitch.</t>
  </si>
  <si>
    <t>A bathroom emergency that doubles as a Jordan Peele cold open.</t>
  </si>
  <si>
    <t>A screenshot of a tweet from Jolly Hood King (@llcapitano94) reading: "So yup here my black butt is. Takin a dump in a redneck gun shop. With severe diarrhea. And next to me is a shotgun shaped plunger with the phrase 'if its brown its down!' on it. I bet you're wondering how i got here." The attached photos show a shotgun-shaped plunger leaning against boxes in a bathroom, and a selfie of the user looking concerned. Below, "note-a-bear" comments: "Get Out 2 looks great."</t>
  </si>
  <si>
    <t>1ap3qmt</t>
  </si>
  <si>
    <t>The Wizard presumably granted him the wish of meeting or having dinner with any historical figure. He chose Beethoven the dog but got Ludwig van Beethoven the composer instead.</t>
  </si>
  <si>
    <t>A screenshot of a tweet from dan mentos (@DanMentos) reading: "me: any historical figure? / wizard: that's right / [later at dinner] / Beethoven: you seem disappointed / me: hiding dog treats it's fine"</t>
  </si>
  <si>
    <t>Expected a composer, received a slobbery movie dog, has to pretend it's totally okay.</t>
  </si>
  <si>
    <t>A wish granted on a technicality involving a famous fictional St. Bernard.</t>
  </si>
  <si>
    <t>1d670z1</t>
  </si>
  <si>
    <t>The classy, complex instrument father is handing his classy, complex instrument daughter to marry a basic street whistle who just happens to be shiny but will never produce music at the level of the bride and family.</t>
  </si>
  <si>
    <t>A three-panel comic by Perry Bible Fellowship. The top panel shows a wedding between two anthropomorphized bassoons in a chapel full of other instrument-headed guests. The middle panel shows the bride's bouquet being held while a third hand reaches in to take hers. The bottom panel shows the bassoon groom slumped over in grief as the bride walks away, now paired with a slide-whistle-headed figure wearing a pearl necklace.</t>
  </si>
  <si>
    <t>The wedding ends and somehow the slide whistle wins.</t>
  </si>
  <si>
    <t>Marital instrument betrayal scored in a higher pitch register.</t>
  </si>
  <si>
    <t>1aexlbt</t>
  </si>
  <si>
    <t>It’s a fork bomb: Here’s a breakdown of what the command does: 1.	() This defines a function named : (colon). 2.	{} This indicates the start and end of the function’s body. 3.	: (colon) inside the function: This is a no-op (no operation) placeholder. It doesn’t do anything but is necessary syntax for defining a function in Bash. 4.	| This pipes the output of the function (which is nothing) to another instance of the function. 5.	&amp; This sends the command preceding it (another instance of the function) to run in the background. 6.	;  This terminates the definition of the function. 7.	: (colon) after the semicolon: This executes the function once. So, when you run this command, it defines a function that spawns a new instance of itself in an infinite loop, quickly exhausting system resources and causing the system to become unresponsive. The final : after the semicolon executes the function once to start the process.</t>
  </si>
  <si>
    <t>The cat is innocent; the bash fork bomb hiding in its collar is not.</t>
  </si>
  <si>
    <t>A house pet whose name is also a textbook denial-of-service attack.</t>
  </si>
  <si>
    <t>A meme with the caption "This cat's name is :(){ :|:&amp; };: you should type his name on your linux's terminal" above a close-up photo of a black cat with bright yellow-green eyes staring straight at the camera.</t>
  </si>
  <si>
    <t>1m5qq8q</t>
  </si>
  <si>
    <t>It’s dr. House from the med tv show</t>
  </si>
  <si>
    <t>Match canceled — the opposing diagnostician brought a cane, a pill bottle, and a household-object surname.</t>
  </si>
  <si>
    <t>Walking into a contest and realizing the other contestant is Gregory House himself.</t>
  </si>
  <si>
    <t xml:space="preserve">A TikTok screenshot of a young person in glasses and a polo shirt looking nervously at the camera in what appears to be an office, with the caption "When I show up for the medical malpractice competition and my opponent has a cane, is popping Vicodin, and name is a noun."
</t>
  </si>
  <si>
    <t xml:space="preserve">A TikTok screenshot of a young person in glasses and a polo shirt looking nervously at the camera in what appears to be an office, with the caption "When I show up for the medical malpractice competition and my opponent has a cane, is popping Vicodin, and name is a noun."
</t>
  </si>
  <si>
    <t>1moj7hc</t>
  </si>
  <si>
    <t>Anne Boleyn was beheaded.  Telling her to duck is centuries too late.</t>
  </si>
  <si>
    <t>Six-pound waterfowl version of a woman historically separated from her flotation device.</t>
  </si>
  <si>
    <t>A bath toy commemorating the queen who very specifically needed to keep her head above water.</t>
  </si>
  <si>
    <t xml:space="preserve">A screenshot of a tweet from No Context Brits (@NoContextBrits) circled in red reading "Bit late for advice now," above a product listing for an "Anne Boleyn Duck" — a rubber duck dressed as Anne Boleyn in a green Tudor gown and black gable hood — priced at £6.00.
</t>
  </si>
  <si>
    <t>174k7i0</t>
  </si>
  <si>
    <t>The joke here is that Luigi is having an existential crisis because he found himself painted on a rock. In Mario games there are secrets like this that don't make any sense unless you are the player. For us it's quite normal but it must be quite distressing for Mario and Luigi to discover they are in a simulation.</t>
  </si>
  <si>
    <t>Luigi unearthing his own predecessor's cave painting while Mario quietly panics.AskOpus 4.7</t>
  </si>
  <si>
    <t>A four-panel comic by Completely Serious Comics titled "Super Mario 3D World." Mario asks Luigi why he's wandered off. Luigi says he's "looking for secrets" and discovers a pixelated 8-bit sprite of himself painted on a rock. He turns to Mario and asks "Why am I painted on this rock Mario?" The final panel shows Mario sweating profusely without answering.</t>
  </si>
  <si>
    <t>A franchise sidekick stumbles onto evidence of a previous tenant.</t>
  </si>
  <si>
    <t>1lqpazn</t>
  </si>
  <si>
    <t>At some point, remains become fossils. But I think it throws the generally accepted theory that humans first crossed into the Americas \~15,000 years ago.</t>
  </si>
  <si>
    <t>A two-panel meme using stills of Lee Jung-jae as Seong Gi-hun from Squid Game. The top panel shows him grinning widely against a pink background with the caption "Archeologists finding human remains in South America from 1200BC." The bottom panel shows him staring blankly with the caption "Archeologists finding human fossils in South America which are 21000 Year old."</t>
  </si>
  <si>
    <t>The smile evaporates the moment the carbon dating rewrites the textbook.</t>
  </si>
  <si>
    <t>Archaeologists losing their entire timeline by a factor of seventeen.</t>
  </si>
  <si>
    <t>1ms7hs4</t>
  </si>
  <si>
    <t>In the show Dexter, the protagonist Dexter Morgan is a forensic blood spatter expert for the police. He also moonlights as a serial killer, focusing primarily on people who deserve" to die. He keeps trophies from each of his kills in the form of a drop of his victim's blood between two glass slides, and stores it in a box like that. During one of the seasons, he hid it inside an air conditioning unit."</t>
  </si>
  <si>
    <t>Literal: A screenshot of a post from r/whatisitcirclejerk by u/Theoretical-Bread reading "I found this stashed in the AC unit of my son's room while he was out doing forensic work. What is this?" with a photo of a wooden box holding a row of microscope slides containing red blood smears, resembling Dexter Morgan's blood slide trophy case from the TV show Dexter.</t>
  </si>
  <si>
    <t>Pop-culture's most infamous serial killer hint, filed under "kids these days."</t>
  </si>
  <si>
    <t xml:space="preserve">A parent describing the most iconic murder-show prop as if it's a stray hobby kit.
</t>
  </si>
  <si>
    <t>1j7mzha</t>
  </si>
  <si>
    <t>I hope this is a reference to the story I picked up while I was in gunsmithing school where they had pitched it as being the first gun that wasn't going to need any kind of maintenance and then didn't train or purchase any kits until they found that they were having a significant number of dead Marines being found next to disassembled m16s that were having significant issues and in fact did need maintenance and routine care.  And if that's not what this is all about when somebody does figure this out please tag me so I get the inbox item I do love these little niche knowledge items.</t>
  </si>
  <si>
    <t>A meme captioned "'The M16 was trash' mfs when they read about what the government did during the development of it:" with a still of Chef Skinner from the Pixar film Ratatouille glaring intensely from behind a counter, only his eyes and chef hat visible.</t>
  </si>
  <si>
    <t>Critics meeting the procurement chapter that completely justifies their take.</t>
  </si>
  <si>
    <t>When the historical receipts arrive and the rant turns into a thesis.</t>
  </si>
  <si>
    <t>1i6ymv5</t>
  </si>
  <si>
    <t>He’s happy she wants to be like him when she grows up even though she looks more like mom</t>
  </si>
  <si>
    <t>A four-panel comic by ipertys showing the Indoraptor dinosaur grooming a small green hatchling. The hatchling says "Dad, you're messing up my quills!" The Indoraptor replies "I'm—what?" The hatchling clarifies "My quills! At the back of my head?" then proudly adds, "When I grow up they're gonna look like yours, dad!" The final panel shows the Indoraptor's eyes softening as he gives a warm, toothy smile while the hatchling nestles against him.</t>
  </si>
  <si>
    <t>Hybrid dinosaur dad melts the moment quill maintenance becomes a bonding ritual.</t>
  </si>
  <si>
    <t>A genetically engineered killing machine emotionally undone by hairstyle compliments.</t>
  </si>
  <si>
    <t>1h9qk3m</t>
  </si>
  <si>
    <t>They're flying to Turkiye to get hair plugs; for some reason that country is the world capital for hair transplants.</t>
  </si>
  <si>
    <t>"Bald is beautiful" holding firm right up until the boarding pass to Turkey scans.</t>
  </si>
  <si>
    <t>A four-panel comic by Mesut Kaya. The first panel shows a plane full of bald-headed passengers, with one asking "Did you notice how many bald people are on this flight?" The second panel shows a bald passenger replying confidently "Well, bald is beautiful!" The third panel shows a couple with a baby visiting Turkey, marked by a Turkish flag. The final panel returns to the plane on the trip home, now revealing all the formerly bald passengers wearing fresh hair transplant headbands across their scalps.</t>
  </si>
  <si>
    <t>A flight home from Istanbul that quietly explains the entire passenger manifest.</t>
  </si>
  <si>
    <t>1jcvxw6</t>
  </si>
  <si>
    <t>taking a picture of someone on a date to post on your twitter account that you’re paying for is the real red flag here</t>
  </si>
  <si>
    <t>Tattoo recon should always happen before the appetizers commit you.</t>
  </si>
  <si>
    <t>Date-night pre-flight checklist failed; abort window has closed with the entrée.</t>
  </si>
  <si>
    <t xml:space="preserve">A screenshot of a tweet from Edelweiss (@Edelweissreturn) reading "only saw the butterfly tattoo after food arrived. too late to leave now. rookie mistake" with a candlelit restaurant photo of a young woman in a black tank top across the table, a small butterfly tattoo visible on her chest, with two plates of food in front of them.
</t>
  </si>
  <si>
    <t>A screenshot of a tweet from Edelweiss (@Edelweissreturn) reading "only saw the butterfly tattoo after food arrived. too late to leave now. rookie mistake" with a candlelit restaurant photo of a young woman in a black tank top across the table, a small butterfly tattoo visible on her chest, with two plates of food in front of them.</t>
  </si>
  <si>
    <t>18d37io</t>
  </si>
  <si>
    <t>The husband interpreted &lt;3 as less than 3" instead of a heart emoticon"</t>
  </si>
  <si>
    <t>A screenshot of a tweet from Claire (@AzureDoo) reading: "Husband and I reminiscing about the time I texted him on my way home: 'Can you start cooking those sausages?' Then added &lt; 3 as a cute little heart. He cooked 2 sausages."</t>
  </si>
  <si>
    <t>A heart symbol parsed as a sausage quantity directive.</t>
  </si>
  <si>
    <t>An emoji intent crushed by literal interpretation, served with a side of dinner.</t>
  </si>
  <si>
    <t>1iuuulu</t>
  </si>
  <si>
    <t>Old arcade games with plastic gun controllers made you shoot offscreen to reload</t>
  </si>
  <si>
    <t>An xkcd-style stick-figure comic showing four soldiers in helmets crouched behind a low wall on a battlefield, with a commander telling them: "Okay, men, we're going in. Stay low, keep behind cover, and if you run out of ammunition, shoot outside the battlefield to reload."</t>
  </si>
  <si>
    <t>Tactical guidance issued straight out of a 2007 console shooter manual.</t>
  </si>
  <si>
    <t>Real-world combat briefing that turns out to be standard FPS muscle memory.</t>
  </si>
  <si>
    <t>1jvfqgq</t>
  </si>
  <si>
    <t xml:space="preserve">Modern fighters have the radar cross-section of small objects like golf balls or bumblebees. The F117 had a stupidly small radar signature. </t>
  </si>
  <si>
    <t>A meme captioned "Nobody: / US fighters:" with a photoshopped image showing an air-to-air missile being launched at a Titleist golf ball and another missile being fired at a bumblebee.</t>
  </si>
  <si>
    <t>Million-dollar ordnance assigned to backyard-tier threats.</t>
  </si>
  <si>
    <t>Pentagon procurement budget visualized through wildly mismatched targets.</t>
  </si>
  <si>
    <t>164v3oo</t>
  </si>
  <si>
    <t>If you squint it looks like the painting girl with a pearl earring" The shirt of the girl on the left is the face."</t>
  </si>
  <si>
    <t>A meme captioned "Hold your phone as far from you as you can and squint your eyes" with two flushed-face emojis, above a black-and-white photo of two young girls in matching sweaters sitting together in a grassy field, smiling at each other.</t>
  </si>
  <si>
    <t>Optical illusion gag delivered via blurred sweater geometry.</t>
  </si>
  <si>
    <t>When pareidolia and a low-resolution sweater conspire to trick the viewer.</t>
  </si>
  <si>
    <t>1n68buk</t>
  </si>
  <si>
    <t>Silksong.</t>
  </si>
  <si>
    <t>Steam infrastructure crumbling under the weight of one long-awaited Australian indie sequel.</t>
  </si>
  <si>
    <t>Hollow Knight: Silksong launch day reduced to a domestic disaster reenactment.</t>
  </si>
  <si>
    <t>A meme captioned "the steam servers on september 4th after a 3 person team in adelaide decide to release an indie game about bugs" showing a man on a couch covered in dirt and debris flailing in panic as flames and explosions erupt around him.</t>
  </si>
  <si>
    <t>1lq3p3j</t>
  </si>
  <si>
    <t>The lobster is wearing a kippah (the black hat), signifying he is Jewish. The joke being that despite having absurd luck in finding someone beautiful who is looking for a lobster-headed man, a difference in religion is what makes it not work out.</t>
  </si>
  <si>
    <t>Cryptid romance derailed by religious incompatibility, ending at the bar.</t>
  </si>
  <si>
    <t>A lobster werewolf's perfect personals ad sabotaged by a single piece of jewelry.</t>
  </si>
  <si>
    <t>A four-panel comic by Perry Bible Fellowship. The first panel shows a personals ad reading "SMART, SEXY FEMALE LOOKING FOR STRONG LOBSTER-HEADED LYCANTHROPE FOR LOVE &amp; MONSTER TRUCK RALLIES." The second panel shows a lobster-headed werewolf reading the classifieds. The third panel shows him on a date with a woman. The fourth panel zooms in on her chest, revealing a Christian cross necklace. The final panel shows the lobster-headed lycanthrope drowning his sorrows alone at a pool hall bar.</t>
  </si>
  <si>
    <t>1ip0ht2</t>
  </si>
  <si>
    <t>Looks like the Third Impact from Evangelion to me. One of the portrayals of the Third Impact is a lot of light crosses sticking out of the ground. Also, consider that the tweet is by a Japanese user.</t>
  </si>
  <si>
    <t>A screenshot of a tweet from @ZeroSuitCamus reading "OH SHIT OH FUCK ITS HAPPENING" quote-tweeting a Japanese post by うけ (@VhxM9IVTAy3cQRp) reading "すっごい光の護封剣" with a photo of vivid, colorful light pillars rising vertically into the night sky over a snowy town.</t>
  </si>
  <si>
    <t>Atmospheric light pillars mistaken for a Yu-Gi-Oh trap card finally activating in real life.</t>
  </si>
  <si>
    <t>Swords of Revealing Light deployed worldwide — duelist confirms via Twitter.</t>
  </si>
  <si>
    <t>1khvtur</t>
  </si>
  <si>
    <t>I'm assuming he's killing games to make room for a new one.</t>
  </si>
  <si>
    <t>Picking which massive download survives the next disk wipe.</t>
  </si>
  <si>
    <t>A meme using a still from The Walking Dead's "Negan's lineup" scene, where Negan points his barbed-wire bat at a row of kneeling characters. Each kneeling character is labeled with a file size — 89GB, 58GB, 45GB — while Abraham, standing in the foreground, is labeled 92GB.</t>
  </si>
  <si>
    <t>Storage cleanup as a televised execution lineup.</t>
  </si>
  <si>
    <t>18ae5ry</t>
  </si>
  <si>
    <t>Ok buckle in for this one. The name of the owner of the store is Sneed. The suffix -eed is used for all three words.  So, if you replace Sneed with Chuck and follow the same formula of using the suffix of the owner’s name along with two words that follow and begin with F and S… You end up with Chuck’s Fuck and Suck  At least that’s what I remember the theory about this one being…</t>
  </si>
  <si>
    <t>Rural signage doing the heavy lifting for the writers' room.</t>
  </si>
  <si>
    <t>A storefront pun engineered to be filthy only if you say the previous owner's name out loud.</t>
  </si>
  <si>
    <t>A still from The Simpsons showing a rustic wooden farm supply store with a sign reading "Sneed's Feed &amp; Seed (Formerly Chuck's)." Two overall-clad farmers sit on the porch, a red pickup truck is parked alongside, and a pitchfork and wagon wheel lean against the building.</t>
  </si>
  <si>
    <t>1isa49u</t>
  </si>
  <si>
    <t>Reservation is both the word used when you book a table at a restaurant and also for the area Native American tribes were given to live in.</t>
  </si>
  <si>
    <t>A screenshot of an X thread. Patrick Blumenthal (@PatrickJBlum) asks, "why have I never seen a Native American restaurant?" ganso (@gansotonto73) replies "It's hard to get a reservation these days." Patrick responds, "Oh my fucking god" with a skull emoji.</t>
  </si>
  <si>
    <t>The original poster discovering exactly why he should not have asked.</t>
  </si>
  <si>
    <t>A genuine question undone by the cruelest possible pun in the replies.</t>
  </si>
  <si>
    <t>1jvn2sr</t>
  </si>
  <si>
    <t>Veins being clear and visable to draw blood from.</t>
  </si>
  <si>
    <t>Phlebotomy team spotting the universe's most convenient IV target.</t>
  </si>
  <si>
    <t>ER triage suddenly developing predator-prey energy at the sight of a small vein.</t>
  </si>
  <si>
    <t xml:space="preserve"> A meme captioned "Nurses seeing a white skinny guy" with a close-up of an anime character (Tohru from Miss Kobayashi's Dragon Maid) showing a manic, fang-toothed grin and red-and-yellow dragon eyes.</t>
  </si>
  <si>
    <t>1eilsjt</t>
  </si>
  <si>
    <t>This is a scenario often referred to as the dog caught the car".   The construction worker catcalled a random woman as a sign that he found her attractive. The woman was unexpectedly wooed by this and went home with him, where he didn't know what to do now that he had her.    To a dog, barking and chasing cars they know they can't catch is instinctual."</t>
  </si>
  <si>
    <t>A three-panel cartoon. The first panel shows a chubby construction worker in a hard hat whistling at a blonde woman walking past in an orange dress. The second panel shows him reacting in confusion as she stops and turns toward him. The third panel shows them sitting together on a couch in a living room, the woman talking animatedly while he stares blankly ahead.</t>
  </si>
  <si>
    <t>A whistle that committed him to forty years of small talk on the couch.</t>
  </si>
  <si>
    <t>Catcall escalation skipping every conventional stage and landing directly in cohabitation.</t>
  </si>
  <si>
    <t>1fjfblb</t>
  </si>
  <si>
    <t>I haven't seen anything related to Dave the Barbarian in so long. It's a really old disney show.I don't know what the insomnia part is about though</t>
  </si>
  <si>
    <t>A meme captioned "If you know who this is, you have insomnia. I don't make the rules" with a still from the Disney animated series Dave the Barbarian showing the muscular barbarian Dave grinning toothily next to his sentient sword Lula, with a smoking castle in the background.</t>
  </si>
  <si>
    <t xml:space="preserve"> A cartoon only watched between 2 and 4 a.m., never during sane daylight hours.</t>
  </si>
  <si>
    <t>Recognizing this show is basically a clinical sleep-disorder diagnosis.</t>
  </si>
  <si>
    <t>16k7baz</t>
  </si>
  <si>
    <t>I think they meant after 27 years together, you're for life and when your partner says you're done you just laugh it off like ok I'll see you after work""</t>
  </si>
  <si>
    <t>Tabloid news as a personal vow: nearly three decades in and the door isn't going anywhere.</t>
  </si>
  <si>
    <t>A screenshot of a news headline reading "Hugh Jackman and Deborra-Lee Jackman are separating after 27 years of marriage" with a photo of the couple smiling against a city skyline. Below, PUGGS (@PUGGS_) replies: "After 27 years…… Imma laugh and tell you what time I'll be home when I get off."</t>
  </si>
  <si>
    <t>A celebrity split met with the cold confidence of long-term commitment math.</t>
  </si>
  <si>
    <t>15gdv3c</t>
  </si>
  <si>
    <t>Morning after pill</t>
  </si>
  <si>
    <t>A meme captioned "When you're on deployment and your wife spends $50 at CVS at 8:21am" with a close-up photo of a soldier in a helmet with a single tear running down his cheek.</t>
  </si>
  <si>
    <t>The exact timestamp where a deployment check-in becomes a Maury episode.</t>
  </si>
  <si>
    <t>Pre-9 AM pharmacy receipt that delivers a paternity verdict before breakfast.</t>
  </si>
  <si>
    <t>1ajx3sn</t>
  </si>
  <si>
    <t xml:space="preserve"> It's a rickroll. Never gonna give you up, never gonna let you down</t>
  </si>
  <si>
    <t>A category so specific the answer reveals itself before any letter does.</t>
  </si>
  <si>
    <t>Toto's "Africa" auto-filling into every empty grid by default.</t>
  </si>
  <si>
    <t>A screenshot of an r/Funnymemes post captioned "Too easy" with a meme reading "Friend: You can't possibly guess a wheel of fortune puzzle with no letters / Me:" above a Wheel of Fortune board showing only blank tiles with no letters revealed, under the category "80's SONG LYRICS."</t>
  </si>
  <si>
    <t>1cynp2h</t>
  </si>
  <si>
    <t>This is a reference to Detroit: Become Human, a game in which you play as three androids, Markus, Kara, and Connor, in a future where androids are commonplace in society. Markus is a caretaker for Carl, the elderly man in the top of the photo, and is regularly asked to play the piano for Carl. Kara is a sort of maid for Todd. She is treated extremely poorly and becomes a sort of mother figure for Todd's daughter, Alice. Connor works for the police force in the main story, aiming to investigate the recent events surrounding deviant" androids; androids that have rebelled against their programming/intended purpose. During the game, you have an intricate amount of decisions to make that alter the outcome of each chapter, and the ending drastically. Carl is friendly towards Markus, and the two have a strong relationship, so Markus usually has calmer decisions in the story (at least early game.) Todd forces Kara to do essentially everything around his house, so the two aren't particularly on equal terms throughout the story. Connor's partner, Hank, grows closer to Connor during the story, and as a member of the police force, Connor's actions during the plot usually have more dire consequences, which explains the final panel."</t>
  </si>
  <si>
    <t>The deviance event the developers never accounted for: cumulative Despacito requests.</t>
  </si>
  <si>
    <t>An entire android uprising triggered by being treated as Alexa with a tragic backstory.</t>
  </si>
  <si>
    <t>A multi-panel comic by Vinnie Cha featuring characters from Detroit: Become Human. In the first panels, Carl asks Markus to find something to do while he eats; an old man then commands "Markus, play Despacito." Next, a child asks the android Kara, "Kara, play Despacito." Then Hank tells Connor, "This is so sad, Connor play Despacito." The final panel shows an android's interior interface flooded with "PLAY DESPACITO" override commands.</t>
  </si>
  <si>
    <t>19bj5k2</t>
  </si>
  <si>
    <t>Explaining 15 is 3 more than 12. It’s implying that the generations are getting dumber and dumber.</t>
  </si>
  <si>
    <t>A meme captioned "We're not gonna make it, are we?" with a photo of a Coca-Cola 15-pack box prominently labeled "3 MORE CANS THAN 12 PACK" with a green arrow pointing to the claim.</t>
  </si>
  <si>
    <t>Marketing math broken down into pre-kindergarten subtraction.</t>
  </si>
  <si>
    <t>Packaging copy written for an audience the manufacturer has clearly given up on.</t>
  </si>
  <si>
    <t>1l79lv3</t>
  </si>
  <si>
    <t>Lots of furries want to wake up as an actual one, but if they did they'd probably be kidnapped and taken for testing very quickly.</t>
  </si>
  <si>
    <t>A two-panel comic by @ShepGoesBlep dated 2025. The top panel shows an anthropomorphic fox character in a bedroom with a "Proud Furry" poster and an empty fursuit on a hanger, joyfully exclaiming "I finally woke up as my fursona! This is the best day of my life!" The bottom panel shows the same fox being chloroformed and carried away by armed FBI agents into a van outside.</t>
  </si>
  <si>
    <t>Wish granted, federally classified as a new species seconds later.</t>
  </si>
  <si>
    <t>A long-awaited transformation interrupted within minutes by federal intervention.</t>
  </si>
  <si>
    <t>16db363</t>
  </si>
  <si>
    <t>He's trying to get is astrological chart made, and he needs the time and place of his birth to do so. The girl is implied to be really into astrology, which is a red flag somehow to this mother</t>
  </si>
  <si>
    <t>A screenshot of a tweet from "pretty and rude" (@themeredith) reading "My son just texted me this, I am going to be sick" above a text message exchange where the son texts "What time and place was I born" and the mother replies "Stay away from that girl."</t>
  </si>
  <si>
    <t xml:space="preserve"> Mother instantly diagnosing astrology girlfriend from a single follow-up question.</t>
  </si>
  <si>
    <t xml:space="preserve"> A natal-chart request flagged as a relationship red alert by mom.</t>
  </si>
  <si>
    <t>16l57ay</t>
  </si>
  <si>
    <t>Italians don’t like when you break the spaghetti like that. Cop’s lights are Italian flag. He’s a mad!</t>
  </si>
  <si>
    <t>Cracking spaghetti — the one universally criminal act on Italian soil.</t>
  </si>
  <si>
    <t>An Italian policeman's emotional patriotism activates the second pasta enters distress.</t>
  </si>
  <si>
    <t>A four-panel comic by Gudim. The first panel shows a man loading long thin wooden poles into the trunk of a hatchback while a police officer watches from his patrol car. The second panel shows the bundle of poles bending and splitting in half as it's forced into the trunk. The final panel shows the police car's lights flipping from white to the green-white-red of an Italian flag.</t>
  </si>
  <si>
    <t>1df3nh8</t>
  </si>
  <si>
    <t>Well, think about who traditionally makes/eats bagels. Then remember what Germany was doing in the 1930s-40s, and now you know.</t>
  </si>
  <si>
    <t>Twentieth-century European migration patterns gestured at via breakfast bread.</t>
  </si>
  <si>
    <t>A screenshot of a tweet captioned "You… you know" sharing a TikTok video by a blonde woman with the title "Things I prefer in the US as a German" with the on-screen caption "I don't know why we don't have bagels in Germany."</t>
  </si>
  <si>
    <t>A historical answer dangling just out of reach of the question being asked.</t>
  </si>
  <si>
    <t>1haf45x</t>
  </si>
  <si>
    <t>Browser history was cleared.</t>
  </si>
  <si>
    <t>A two-panel comic by Twonks. The first panel shows a presenter at a podium addressing an audience, saying "Welcome to 'History of the Internet'" with a title slide on screen. The second panel shows him clicking to the next slide, which displays "NO ENTRIES FOUND."</t>
  </si>
  <si>
    <t>Speaker realizing in real time that nobody saves their search history.</t>
  </si>
  <si>
    <t>A lecture defeated by the audience's collective browser-clearing habits.</t>
  </si>
  <si>
    <t>1fzh8sa</t>
  </si>
  <si>
    <t>The incident the text is referring to is considered to be the business move that kicked off microtransactions" as a common thing in video games. Many gamers consider the practice to be seriously degrading the quality of games for a variety of reasons.    The picture is of actor Cillian Murphy in the Oppenheimer biopic from 2023. One of Oppenheimer's most famous quotes is him saying "I am become death, the destroyer of worlds" when research on the atomic bomb was successful, research he greatly contributed to.  The joke is saying the person who kicked off microtransactions might have had the same reaction when they watched their decision birth microtransactions in video games."</t>
  </si>
  <si>
    <t>The Trinity test of the gaming industry, conducted with $2.50 of cosmetic mail.</t>
  </si>
  <si>
    <t>"Now I am become microtransactions, the destroyer of full game releases."</t>
  </si>
  <si>
    <t>A meme captioned "The Microsoft employee who convinced Bethesda to make $2.50 horse armor DLC in 2006" with a still from the film Oppenheimer of Cillian Murphy as J. Robert Oppenheimer staring solemnly into the distance in a fedora and suit.</t>
  </si>
  <si>
    <t>1ijv4xn</t>
  </si>
  <si>
    <t>Beaver sees water Beaver hates the sound of running water Beaver says oh, absolutely not" with the rage of a thousand suns burning in his soul Beaver goes to build dam to stop the running water"</t>
  </si>
  <si>
    <t>A two-panel comic by @AbelBryanMedia titled "A Beaver's Instinct." The first panel shows a beaver looking at a flowing stream with a question mark above its head. The second panel zooms in on the beaver's face as it firmly declares, "Oh, absolutely not."</t>
  </si>
  <si>
    <t>Nature's busiest engineer rejecting a project before it has begun.</t>
  </si>
  <si>
    <t>A beaver consulting its blueprint and deciding the river fails inspection.</t>
  </si>
  <si>
    <t>Assigned</t>
  </si>
  <si>
    <t>Humor (Primary)</t>
  </si>
  <si>
    <t>Count Humor</t>
  </si>
  <si>
    <t>Mangler</t>
  </si>
  <si>
    <t>Mål</t>
  </si>
  <si>
    <t>Context (Primary)</t>
  </si>
  <si>
    <t>Count context</t>
  </si>
  <si>
    <t xml:space="preserve">Mål </t>
  </si>
  <si>
    <t>farvekode</t>
  </si>
  <si>
    <t>Antal billeder for style</t>
  </si>
  <si>
    <t>Antal billeder for context</t>
  </si>
  <si>
    <t>Picture annotations</t>
  </si>
  <si>
    <t>Name</t>
  </si>
  <si>
    <t>status</t>
  </si>
  <si>
    <t>Progress</t>
  </si>
  <si>
    <t>Not started</t>
  </si>
  <si>
    <t xml:space="preserve"> 0-30% </t>
  </si>
  <si>
    <t>0-21</t>
  </si>
  <si>
    <t>0-16</t>
  </si>
  <si>
    <t>In progress</t>
  </si>
  <si>
    <t>31-74%</t>
  </si>
  <si>
    <t>22-53</t>
  </si>
  <si>
    <t>17-40</t>
  </si>
  <si>
    <t>75%-100%</t>
  </si>
  <si>
    <t>54-72</t>
  </si>
  <si>
    <t>41-56</t>
  </si>
  <si>
    <t>Partner Annotations</t>
  </si>
  <si>
    <t>Secondary tags</t>
  </si>
  <si>
    <t>I alt</t>
  </si>
  <si>
    <t>Fokusområde:</t>
  </si>
  <si>
    <t>Wordplay, Sarcasm and Dark humor</t>
  </si>
  <si>
    <t>meme, politics, historie og hobby</t>
  </si>
  <si>
    <t>AI to use: look for performace gap i disse modeller</t>
  </si>
  <si>
    <t>Duplicates: slettet fra vores annotation ark</t>
  </si>
  <si>
    <t>inden vi analysere med AI</t>
  </si>
  <si>
    <t>Lektie til næste gang</t>
  </si>
  <si>
    <t>Spørgsmål</t>
  </si>
  <si>
    <t>GPT5</t>
  </si>
  <si>
    <t>Når vi har ramt 500 billeder skal vi sørge for alt teksten er ensartet, dvs. enten punktum på alle eller ingen, fjerne indrykning,  fjerne citationstegn, stort  bogstav for alle sætninger etc.</t>
  </si>
  <si>
    <t>Find akademiske kilder 3-4 hver, kilderne skal være nuanceret (artikler, bøger m.m.)</t>
  </si>
  <si>
    <t>skal vi lave en komparativ analyse? Dvs. Skal vi sammenligne Fridas resultater med vores? Fx om vi kan sige om accuracy m.m.</t>
  </si>
  <si>
    <t>Claude 4.6</t>
  </si>
  <si>
    <t>når man omdanner cvs til excel bliver nogle tegn underlige, det skal rettes</t>
  </si>
  <si>
    <t>Lav en kode som gør teksten ren i annotations</t>
  </si>
  <si>
    <t>Gemini 3</t>
  </si>
  <si>
    <t xml:space="preserve">vi skal randomisere rækkefølgen af svarmulighederne </t>
  </si>
  <si>
    <t>En kode der randomisere svarene</t>
  </si>
  <si>
    <t>Open weight models</t>
  </si>
  <si>
    <t>for literal: hvis det er none of the above så lav en ny og ellers så tag den der tættest på</t>
  </si>
  <si>
    <t>Have en klar outline</t>
  </si>
  <si>
    <t>Gemma 4</t>
  </si>
  <si>
    <t>Skrive analyse delen</t>
  </si>
  <si>
    <t>Qwen3.5</t>
  </si>
  <si>
    <t>Lav en sekundær tag til billederne</t>
  </si>
  <si>
    <t xml:space="preserve">Naomi: finish csv file and adjust frida code to run experiment </t>
  </si>
  <si>
    <t>Outline: Naomi (2 related work) Sabrina (3 data)</t>
  </si>
  <si>
    <t xml:space="preserve">Lav 25 partner annotations til hinandens random </t>
  </si>
  <si>
    <t>Skriv til desmond</t>
  </si>
  <si>
    <t>Sabrina: Lav secondary tags til billederne</t>
  </si>
  <si>
    <t>Sabrina: Lav progress for partner annotation</t>
  </si>
  <si>
    <t>Context definitions</t>
  </si>
  <si>
    <t>How to use them correctly</t>
  </si>
  <si>
    <t xml:space="preserve">Examples </t>
  </si>
  <si>
    <t>Humor style definitions</t>
  </si>
  <si>
    <t>Examples</t>
  </si>
  <si>
    <t>popculture</t>
  </si>
  <si>
    <t>Requires knowledge of widely known media, celebrities, movies, music, or mainstream entertainment.</t>
  </si>
  <si>
    <t>This is me waiting like Harry Potter for my letter</t>
  </si>
  <si>
    <t>Meme</t>
  </si>
  <si>
    <t>Requires familiarity with a specific internet meme format or template.</t>
  </si>
  <si>
    <t>“This is fine.” (dog sitting in a burning room)</t>
  </si>
  <si>
    <t>Requires understanding of social norms, roles, or expected behavior between people.</t>
  </si>
  <si>
    <t>Saying ‘you too’ to the waiter when they say enjoy your meal.</t>
  </si>
  <si>
    <t>Requires specialized or domain-specific knowledge (e.g. programming, science, psychology).</t>
  </si>
  <si>
    <t>Fixing a bug by commenting out the code.</t>
  </si>
  <si>
    <t>Requires insider knowledge of a niche interest or community (e.g. Warhammer, fishing).</t>
  </si>
  <si>
    <t>Only Warhammer players know this pain…</t>
  </si>
  <si>
    <t>Requires understanding of reasoning, logic, or a flawed/absurd conclusion.</t>
  </si>
  <si>
    <t>If tomatoes are fruit, then ketchup is a smoothie.</t>
  </si>
  <si>
    <t>Requires broad, common knowledge about the world that most people are expected to know.</t>
  </si>
  <si>
    <t>Nokia phones never break</t>
  </si>
  <si>
    <t>Politics</t>
  </si>
  <si>
    <t>Requires knowledge of political systems, conflicts, ideologies, or current affairs.</t>
  </si>
  <si>
    <t>Russia taking land like my neighbor taking my parking spot.</t>
  </si>
  <si>
    <t>Requires knowledge of historical events, figures, or mythological stories.</t>
  </si>
  <si>
    <t>Medusa turning men to stone</t>
  </si>
  <si>
    <t>sarcasm/Irony</t>
  </si>
  <si>
    <t>Wordplay/rhymes</t>
  </si>
  <si>
    <t>Social/Cultural Norms.</t>
  </si>
  <si>
    <t>Partner name</t>
  </si>
  <si>
    <t>Partner: Humor Style</t>
  </si>
  <si>
    <t>Partner: Humor style secondary</t>
  </si>
  <si>
    <t>Partner: Contextual Knowledge</t>
  </si>
  <si>
    <t>Partner: Contextual Knowledge secondary</t>
  </si>
  <si>
    <t>I I think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t>
  </si>
  <si>
    <t>it’s a pretty significant plot point to do with Yellowjackets, which she is a major character in. let’s just say, to avoid spoilers, wearing the heart necklace in that show is indicative of bad things to follow. also you should watch Yellowjackets</t>
  </si>
  <si>
    <t xml:space="preserve"> The show being referenced is the mockumentary Cunk on Earth, where the titular narrator humorously misinterprets history. The Romans left a lot from their history, including pottery fragments (which broke due to the long time period), which Cunk humorously says is caused by their clumsiness.</t>
  </si>
  <si>
    <t>That is a comedian. She has a series where she interviews people who are real-life experts, and asks the most ridiculously stupid questions. The character’s name is Philemena Cunk, I think.you should search YouTube for some videos of hers. It is a joke about how everyone in the cabinet has been the worst-possible choice for their positions in the US.</t>
  </si>
  <si>
    <t>"These are not good picks for this cast, they're just random popular celebrities right now."</t>
  </si>
  <si>
    <t>so the guy in your image is actually a black person who has had amazing makeup and wigs and stuff put on him to make him look like a white redneck.   this guy is literally white face</t>
  </si>
  <si>
    <t>1ixvevo</t>
  </si>
  <si>
    <t>1lv21x0</t>
  </si>
  <si>
    <t>"First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t>
  </si>
  <si>
    <t>1g1cxjf</t>
  </si>
  <si>
    <t>"This are common side effects of antidepressants"</t>
  </si>
  <si>
    <t xml:space="preserve"> A person says they are sad, and a doctor responds by offering pills with unpleasant side effects. The person then replies, “perfect,” implying that they accept the treatment despite the negative consequences.</t>
  </si>
  <si>
    <t>"His name is (East) Indian. I grew up with a ton of Indians. Whenever we had to answer â€œwhat do you want to be when you grow upâ€_x009d_ in school, all these kids had a) detailed answers, and b) straight, emotionless faces when answering. I donâ€™t think a single one of them got to choose their own adventure."</t>
  </si>
  <si>
    <t>"I think theyâ€™re referring to the â€œbroccoli topâ€_x009d_ haircut which is popular with gen z men"</t>
  </si>
  <si>
    <t>"Youâ€™re in a gun fight, your weapon jam renders you defenseless- suddenly your life is either flashing before your eyes or youâ€™re in what you perceive to be heaven."</t>
  </si>
  <si>
    <t>"Sheâ€™s adding the last quip as a â€œuseless hypotheticalâ€_x009d_ she believes she returning one back to him"</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</si>
</sst>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000000"/>
      <name val="Georgia"/>
    </font>
    <font>
      <b/>
      <color rgb="FF000000"/>
      <name val="Georgia"/>
    </font>
    <font>
      <sz val="11.0"/>
      <color rgb="FF000000"/>
      <name val="Georgia"/>
    </font>
    <font>
      <color rgb="FF000000"/>
      <name val="Georgia"/>
    </font>
    <font>
      <color theme="1"/>
      <name val="Georgia"/>
    </font>
    <font>
      <sz val="12.0"/>
      <color rgb="FF000000"/>
      <name val="Georgia"/>
    </font>
    <font>
      <sz val="11.0"/>
      <color theme="1"/>
      <name val="Georgia"/>
    </font>
    <font>
      <sz val="11.0"/>
      <color theme="1"/>
      <name val="Calibri"/>
    </font>
    <font>
      <color theme="1"/>
      <name val="Calibri"/>
      <scheme val="minor"/>
    </font>
    <font>
      <b/>
      <color theme="1"/>
      <name val="Georgia"/>
    </font>
    <font>
      <b/>
      <sz val="12.0"/>
      <color theme="1"/>
      <name val="Georgia"/>
    </font>
    <font>
      <sz val="12.0"/>
      <color theme="1"/>
      <name val="Georgia"/>
    </font>
    <font>
      <b/>
      <sz val="11.0"/>
      <color theme="1"/>
      <name val="Georgia"/>
    </font>
  </fonts>
  <fills count="13">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93C47D"/>
        <bgColor rgb="FF93C47D"/>
      </patternFill>
    </fill>
    <fill>
      <patternFill patternType="solid">
        <fgColor rgb="FFCC0000"/>
        <bgColor rgb="FFCC0000"/>
      </patternFill>
    </fill>
    <fill>
      <patternFill patternType="solid">
        <fgColor rgb="FFF4C7C3"/>
        <bgColor rgb="FFF4C7C3"/>
      </patternFill>
    </fill>
    <fill>
      <patternFill patternType="solid">
        <fgColor theme="6"/>
        <bgColor theme="6"/>
      </patternFill>
    </fill>
    <fill>
      <patternFill patternType="solid">
        <fgColor rgb="FFF1C232"/>
        <bgColor rgb="FFF1C232"/>
      </patternFill>
    </fill>
    <fill>
      <patternFill patternType="solid">
        <fgColor rgb="FF6AA84F"/>
        <bgColor rgb="FF6AA84F"/>
      </patternFill>
    </fill>
    <fill>
      <patternFill patternType="solid">
        <fgColor rgb="FFD9EAD3"/>
        <bgColor rgb="FFD9EAD3"/>
      </patternFill>
    </fill>
    <fill>
      <patternFill patternType="solid">
        <fgColor rgb="FFFFFF00"/>
        <bgColor rgb="FFFFFF00"/>
      </patternFill>
    </fill>
    <fill>
      <patternFill patternType="solid">
        <fgColor rgb="FF999999"/>
        <bgColor rgb="FF99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2"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1" fillId="0" fontId="3" numFmtId="0" xfId="0" applyAlignment="1" applyBorder="1" applyFont="1">
      <alignment readingOrder="0" shrinkToFit="0" vertical="center" wrapText="1"/>
    </xf>
    <xf borderId="0" fillId="0" fontId="6" numFmtId="0" xfId="0" applyAlignment="1" applyFont="1">
      <alignment readingOrder="0" shrinkToFit="0" vertical="center" wrapText="1"/>
    </xf>
    <xf borderId="0" fillId="2" fontId="4" numFmtId="0" xfId="0" applyAlignment="1" applyFont="1">
      <alignment readingOrder="0" shrinkToFit="0" vertical="center" wrapText="1"/>
    </xf>
    <xf borderId="0" fillId="2" fontId="5" numFmtId="0" xfId="0" applyAlignment="1" applyFont="1">
      <alignment readingOrder="0" shrinkToFit="0" vertical="center" wrapText="1"/>
    </xf>
    <xf borderId="0" fillId="2" fontId="4" numFmtId="0" xfId="0" applyAlignment="1" applyFont="1">
      <alignment shrinkToFit="0" vertical="center" wrapText="1"/>
    </xf>
    <xf borderId="0" fillId="3" fontId="3" numFmtId="0" xfId="0" applyAlignment="1" applyFill="1" applyFont="1">
      <alignment readingOrder="0" shrinkToFit="0" vertical="center" wrapText="1"/>
    </xf>
    <xf borderId="0" fillId="3" fontId="4" numFmtId="0" xfId="0" applyAlignment="1" applyFont="1">
      <alignment readingOrder="0" shrinkToFit="0" vertical="center" wrapText="1"/>
    </xf>
    <xf borderId="0" fillId="3" fontId="4" numFmtId="0" xfId="0" applyAlignment="1" applyFont="1">
      <alignment shrinkToFit="0" vertical="center" wrapText="1"/>
    </xf>
    <xf borderId="0" fillId="3" fontId="7" numFmtId="0" xfId="0" applyAlignment="1" applyFont="1">
      <alignment shrinkToFit="0" vertical="center" wrapText="1"/>
    </xf>
    <xf borderId="1" fillId="0" fontId="7" numFmtId="0" xfId="0" applyAlignment="1" applyBorder="1" applyFont="1">
      <alignment shrinkToFit="0" vertical="center" wrapText="1"/>
    </xf>
    <xf borderId="0" fillId="0" fontId="7" numFmtId="0" xfId="0" applyAlignment="1" applyFont="1">
      <alignment shrinkToFit="0" vertical="center" wrapText="1"/>
    </xf>
    <xf borderId="0" fillId="0" fontId="8" numFmtId="0" xfId="0" applyAlignment="1" applyFont="1">
      <alignment shrinkToFit="0" vertical="center" wrapText="1"/>
    </xf>
    <xf borderId="1" fillId="2" fontId="3" numFmtId="0" xfId="0" applyAlignment="1" applyBorder="1" applyFont="1">
      <alignment readingOrder="0" shrinkToFit="0" vertical="center" wrapText="1"/>
    </xf>
    <xf borderId="0" fillId="2" fontId="3" numFmtId="0" xfId="0" applyAlignment="1" applyFont="1">
      <alignment horizontal="right" readingOrder="0" shrinkToFit="0" vertical="center" wrapText="1"/>
    </xf>
    <xf borderId="1" fillId="3" fontId="3" numFmtId="0" xfId="0" applyAlignment="1" applyBorder="1" applyFont="1">
      <alignment readingOrder="0" shrinkToFit="0" vertical="center" wrapText="1"/>
    </xf>
    <xf borderId="0" fillId="0" fontId="3" numFmtId="0" xfId="0" applyAlignment="1" applyFont="1">
      <alignment horizontal="left" readingOrder="0" shrinkToFit="0" vertical="center" wrapText="1"/>
    </xf>
    <xf borderId="0" fillId="0" fontId="9" numFmtId="0" xfId="0" applyAlignment="1" applyFont="1">
      <alignment readingOrder="0"/>
    </xf>
    <xf borderId="0" fillId="0" fontId="10" numFmtId="0" xfId="0" applyAlignment="1" applyFont="1">
      <alignment horizontal="center" vertical="center"/>
    </xf>
    <xf borderId="0" fillId="0" fontId="10" numFmtId="0" xfId="0" applyAlignment="1" applyFont="1">
      <alignment horizontal="center" readingOrder="0" shrinkToFit="0" vertical="center" wrapText="1"/>
    </xf>
    <xf borderId="0" fillId="0" fontId="10" numFmtId="0" xfId="0" applyAlignment="1" applyFont="1">
      <alignment horizontal="center" readingOrder="0" vertical="center"/>
    </xf>
    <xf borderId="0" fillId="3" fontId="5" numFmtId="0" xfId="0" applyAlignment="1" applyFont="1">
      <alignment horizontal="center" vertical="center"/>
    </xf>
    <xf borderId="0" fillId="0" fontId="10" numFmtId="0" xfId="0" applyAlignment="1" applyFont="1">
      <alignment horizontal="center" readingOrder="0"/>
    </xf>
    <xf borderId="1" fillId="0" fontId="10" numFmtId="0" xfId="0" applyAlignment="1" applyBorder="1" applyFont="1">
      <alignment readingOrder="0"/>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vertical="center"/>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horizontal="center" readingOrder="0" vertical="center"/>
    </xf>
    <xf borderId="0" fillId="4" fontId="5" numFmtId="0" xfId="0" applyAlignment="1" applyFill="1" applyFont="1">
      <alignment horizontal="center" readingOrder="0" vertical="center"/>
    </xf>
    <xf borderId="0" fillId="5" fontId="5" numFmtId="0" xfId="0" applyAlignment="1" applyFill="1" applyFont="1">
      <alignment horizontal="center" readingOrder="0" vertical="center"/>
    </xf>
    <xf borderId="0" fillId="0" fontId="5" numFmtId="0" xfId="0" applyAlignment="1" applyFont="1">
      <alignment horizontal="center" readingOrder="0"/>
    </xf>
    <xf borderId="0" fillId="0" fontId="5" numFmtId="0" xfId="0" applyFont="1"/>
    <xf borderId="0" fillId="6" fontId="5" numFmtId="0" xfId="0" applyAlignment="1" applyFill="1" applyFont="1">
      <alignment horizontal="center"/>
    </xf>
    <xf borderId="0" fillId="7" fontId="5" numFmtId="0" xfId="0" applyAlignment="1" applyFill="1" applyFont="1">
      <alignment horizontal="center" readingOrder="0" vertical="center"/>
    </xf>
    <xf borderId="0" fillId="3"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8" fontId="5" numFmtId="0" xfId="0" applyAlignment="1" applyFill="1" applyFont="1">
      <alignment horizontal="center" readingOrder="0" vertical="center"/>
    </xf>
    <xf borderId="0" fillId="0" fontId="5" numFmtId="0" xfId="0" applyAlignment="1" applyFont="1">
      <alignment horizontal="center"/>
    </xf>
    <xf borderId="0" fillId="9" fontId="5" numFmtId="0" xfId="0" applyAlignment="1" applyFill="1" applyFont="1">
      <alignment horizontal="center" readingOrder="0" vertical="center"/>
    </xf>
    <xf borderId="0" fillId="3" fontId="5" numFmtId="0" xfId="0" applyAlignment="1" applyFont="1">
      <alignment horizontal="center" readingOrder="0" vertical="center"/>
    </xf>
    <xf borderId="0" fillId="10" fontId="5" numFmtId="0" xfId="0" applyAlignment="1" applyFill="1" applyFont="1">
      <alignment horizontal="center"/>
    </xf>
    <xf borderId="1" fillId="0" fontId="5" numFmtId="0" xfId="0" applyAlignment="1" applyBorder="1" applyFont="1">
      <alignment horizontal="center" readingOrder="0" vertical="center"/>
    </xf>
    <xf borderId="0" fillId="0" fontId="9" numFmtId="0" xfId="0" applyAlignment="1" applyFont="1">
      <alignment vertical="center"/>
    </xf>
    <xf borderId="1" fillId="0" fontId="11"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horizontal="center" vertical="center"/>
    </xf>
    <xf borderId="1" fillId="0" fontId="12" numFmtId="0" xfId="0" applyAlignment="1" applyBorder="1" applyFont="1">
      <alignment horizontal="center"/>
    </xf>
    <xf borderId="0" fillId="3" fontId="9" numFmtId="0" xfId="0" applyAlignment="1" applyFont="1">
      <alignment vertical="center"/>
    </xf>
    <xf borderId="0" fillId="0" fontId="5" numFmtId="0" xfId="0" applyAlignment="1" applyFont="1">
      <alignment vertical="center"/>
    </xf>
    <xf borderId="0" fillId="0" fontId="11" numFmtId="0" xfId="0" applyAlignment="1" applyFont="1">
      <alignment horizontal="center" vertical="center"/>
    </xf>
    <xf borderId="0" fillId="3" fontId="11" numFmtId="0" xfId="0" applyAlignment="1" applyFont="1">
      <alignment horizontal="center" vertical="center"/>
    </xf>
    <xf borderId="0" fillId="0" fontId="10" numFmtId="0" xfId="0" applyAlignment="1" applyFont="1">
      <alignment horizontal="left" readingOrder="0" vertical="center"/>
    </xf>
    <xf borderId="0" fillId="0" fontId="12" numFmtId="0" xfId="0" applyAlignment="1" applyFont="1">
      <alignment readingOrder="0" shrinkToFit="0" wrapText="1"/>
    </xf>
    <xf borderId="0" fillId="0" fontId="5" numFmtId="0" xfId="0" applyAlignment="1" applyFont="1">
      <alignment readingOrder="0" shrinkToFit="0" wrapText="1"/>
    </xf>
    <xf borderId="0" fillId="0" fontId="11" numFmtId="0" xfId="0" applyAlignment="1" applyFont="1">
      <alignment readingOrder="0" shrinkToFit="0" wrapText="1"/>
    </xf>
    <xf borderId="0" fillId="0" fontId="11" numFmtId="0" xfId="0" applyAlignment="1" applyFont="1">
      <alignment horizontal="left" readingOrder="0" shrinkToFit="0" wrapText="1"/>
    </xf>
    <xf borderId="0" fillId="11" fontId="11" numFmtId="0" xfId="0" applyAlignment="1" applyFill="1" applyFont="1">
      <alignment readingOrder="0" shrinkToFit="0" vertical="center" wrapText="1"/>
    </xf>
    <xf borderId="0" fillId="0" fontId="11" numFmtId="0" xfId="0" applyAlignment="1" applyFont="1">
      <alignment readingOrder="0" shrinkToFit="0" vertical="center" wrapText="1"/>
    </xf>
    <xf borderId="0" fillId="0" fontId="11" numFmtId="0" xfId="0" applyAlignment="1" applyFont="1">
      <alignment readingOrder="0"/>
    </xf>
    <xf borderId="0" fillId="0" fontId="12" numFmtId="0" xfId="0" applyAlignment="1" applyFont="1">
      <alignment shrinkToFit="0" wrapText="1"/>
    </xf>
    <xf borderId="0" fillId="0" fontId="12" numFmtId="0" xfId="0" applyFont="1"/>
    <xf borderId="0" fillId="0" fontId="12" numFmtId="0" xfId="0" applyAlignment="1" applyFont="1">
      <alignment horizontal="center" readingOrder="0" shrinkToFit="0" wrapText="1"/>
    </xf>
    <xf borderId="0" fillId="12" fontId="12" numFmtId="0" xfId="0" applyAlignment="1" applyFill="1" applyFont="1">
      <alignment readingOrder="0" shrinkToFit="0" vertical="center" wrapText="1"/>
    </xf>
    <xf borderId="0" fillId="0" fontId="12" numFmtId="0" xfId="0" applyAlignment="1" applyFont="1">
      <alignment readingOrder="0" shrinkToFit="0" vertical="center" wrapText="1"/>
    </xf>
    <xf borderId="0" fillId="0" fontId="10" numFmtId="0" xfId="0" applyAlignment="1" applyFont="1">
      <alignment readingOrder="0"/>
    </xf>
    <xf borderId="0" fillId="12" fontId="12" numFmtId="0" xfId="0" applyAlignment="1" applyFont="1">
      <alignment readingOrder="0"/>
    </xf>
    <xf borderId="0" fillId="0" fontId="12" numFmtId="0" xfId="0" applyAlignment="1" applyFont="1">
      <alignment horizontal="center" shrinkToFit="0" wrapText="1"/>
    </xf>
    <xf borderId="0" fillId="0" fontId="12" numFmtId="0" xfId="0" applyAlignment="1" applyFont="1">
      <alignment shrinkToFit="0" vertical="center" wrapText="1"/>
    </xf>
    <xf borderId="0" fillId="0" fontId="12" numFmtId="0" xfId="0" applyAlignment="1" applyFont="1">
      <alignment horizontal="center" shrinkToFit="0" wrapText="1"/>
    </xf>
    <xf borderId="0" fillId="12" fontId="12" numFmtId="0" xfId="0" applyAlignment="1" applyFont="1">
      <alignment horizontal="center" readingOrder="0" shrinkToFit="0" wrapText="1"/>
    </xf>
    <xf borderId="0" fillId="0" fontId="10" numFmtId="0" xfId="0" applyAlignment="1" applyFont="1">
      <alignment readingOrder="0" shrinkToFit="0" vertical="center" wrapText="1"/>
    </xf>
    <xf borderId="0" fillId="0" fontId="13" numFmtId="0" xfId="0" applyAlignment="1" applyFont="1">
      <alignment readingOrder="0" shrinkToFit="0" vertical="center" wrapText="1"/>
    </xf>
    <xf borderId="0" fillId="0" fontId="5" numFmtId="0" xfId="0" applyAlignment="1" applyFont="1">
      <alignment shrinkToFit="0" vertical="center" wrapText="1"/>
    </xf>
    <xf borderId="0" fillId="0" fontId="8" numFmtId="0" xfId="0" applyAlignment="1" applyFont="1">
      <alignment readingOrder="0" shrinkToFit="0" vertical="center" wrapText="1"/>
    </xf>
    <xf borderId="0" fillId="0" fontId="7" numFmtId="0" xfId="0" applyAlignment="1" applyFont="1">
      <alignment shrinkToFit="0" vertical="center" wrapText="1"/>
    </xf>
    <xf borderId="0" fillId="0" fontId="8" numFmtId="0" xfId="0" applyAlignment="1" applyFont="1">
      <alignment shrinkToFit="0" vertical="center" wrapText="1"/>
    </xf>
    <xf borderId="0" fillId="0" fontId="3" numFmtId="0" xfId="0" applyAlignment="1" applyFont="1">
      <alignment shrinkToFit="0" vertical="center" wrapText="1"/>
    </xf>
    <xf borderId="0" fillId="3" fontId="7" numFmtId="0" xfId="0" applyAlignment="1" applyFont="1">
      <alignment shrinkToFit="0" vertical="center" wrapText="1"/>
    </xf>
    <xf borderId="0" fillId="3" fontId="8" numFmtId="0" xfId="0" applyAlignment="1" applyFont="1">
      <alignment shrinkToFit="0" vertical="center" wrapText="1"/>
    </xf>
    <xf borderId="1" fillId="0" fontId="7" numFmtId="0" xfId="0" applyAlignment="1" applyBorder="1" applyFont="1">
      <alignment shrinkToFit="0" wrapText="1"/>
    </xf>
    <xf borderId="0" fillId="0" fontId="7" numFmtId="0" xfId="0" applyAlignment="1" applyFont="1">
      <alignment readingOrder="0" shrinkToFit="0" wrapText="1"/>
    </xf>
    <xf borderId="0" fillId="0" fontId="7" numFmtId="0" xfId="0" applyAlignment="1" applyFont="1">
      <alignment shrinkToFit="0" wrapText="1"/>
    </xf>
    <xf borderId="0" fillId="0" fontId="8" numFmtId="0" xfId="0" applyFont="1"/>
    <xf borderId="0" fillId="3" fontId="8" numFmtId="0" xfId="0" applyAlignment="1" applyFont="1">
      <alignment shrinkToFit="0" vertical="center" wrapText="1"/>
    </xf>
  </cellXfs>
  <cellStyles count="1">
    <cellStyle xfId="0" name="Normal" builtinId="0"/>
  </cellStyles>
  <dxfs count="7">
    <dxf>
      <font/>
      <fill>
        <patternFill patternType="solid">
          <fgColor rgb="FF9BBB59"/>
          <bgColor rgb="FF9BBB59"/>
        </patternFill>
      </fill>
      <border/>
    </dxf>
    <dxf>
      <font/>
      <fill>
        <patternFill patternType="solid">
          <fgColor rgb="FFF1C232"/>
          <bgColor rgb="FFF1C232"/>
        </patternFill>
      </fill>
      <border/>
    </dxf>
    <dxf>
      <font/>
      <fill>
        <patternFill patternType="solid">
          <fgColor rgb="FFCC0000"/>
          <bgColor rgb="FFCC0000"/>
        </patternFill>
      </fill>
      <border/>
    </dxf>
    <dxf>
      <font/>
      <fill>
        <patternFill patternType="solid">
          <fgColor rgb="FF6AA84F"/>
          <bgColor rgb="FF6AA84F"/>
        </patternFill>
      </fill>
      <border/>
    </dxf>
    <dxf>
      <font/>
      <fill>
        <patternFill patternType="solid">
          <fgColor rgb="FFF4C7C3"/>
          <bgColor rgb="FFF4C7C3"/>
        </patternFill>
      </fill>
      <border/>
    </dxf>
    <dxf>
      <font/>
      <fill>
        <patternFill patternType="solid">
          <fgColor rgb="FFFFD966"/>
          <bgColor rgb="FFFFD966"/>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Humor ift. Humor</a:t>
            </a:r>
          </a:p>
        </c:rich>
      </c:tx>
      <c:overlay val="0"/>
    </c:title>
    <c:plotArea>
      <c:layout/>
      <c:barChart>
        <c:barDir val="col"/>
        <c:ser>
          <c:idx val="0"/>
          <c:order val="0"/>
          <c:tx>
            <c:strRef>
              <c:f>Lists!$E$1</c:f>
            </c:strRef>
          </c:tx>
          <c:spPr>
            <a:solidFill>
              <a:schemeClr val="accent1"/>
            </a:solidFill>
            <a:ln cmpd="sng">
              <a:solidFill>
                <a:srgbClr val="000000"/>
              </a:solidFill>
            </a:ln>
          </c:spPr>
          <c:cat>
            <c:strRef>
              <c:f>Lists!$D$2:$D$9</c:f>
            </c:strRef>
          </c:cat>
          <c:val>
            <c:numRef>
              <c:f>Lists!$E$2:$E$9</c:f>
              <c:numCache/>
            </c:numRef>
          </c:val>
        </c:ser>
        <c:axId val="1516934561"/>
        <c:axId val="619532399"/>
      </c:barChart>
      <c:catAx>
        <c:axId val="15169345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Humor</a:t>
                </a:r>
              </a:p>
            </c:rich>
          </c:tx>
          <c:overlay val="0"/>
        </c:title>
        <c:numFmt formatCode="General" sourceLinked="1"/>
        <c:majorTickMark val="none"/>
        <c:minorTickMark val="none"/>
        <c:spPr/>
        <c:txPr>
          <a:bodyPr/>
          <a:lstStyle/>
          <a:p>
            <a:pPr lvl="0">
              <a:defRPr b="0">
                <a:solidFill>
                  <a:srgbClr val="000000"/>
                </a:solidFill>
                <a:latin typeface="+mn-lt"/>
              </a:defRPr>
            </a:pPr>
          </a:p>
        </c:txPr>
        <c:crossAx val="619532399"/>
      </c:catAx>
      <c:valAx>
        <c:axId val="6195323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Humor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693456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context ift. Context</a:t>
            </a:r>
          </a:p>
        </c:rich>
      </c:tx>
      <c:overlay val="0"/>
    </c:title>
    <c:plotArea>
      <c:layout/>
      <c:barChart>
        <c:barDir val="col"/>
        <c:ser>
          <c:idx val="0"/>
          <c:order val="0"/>
          <c:tx>
            <c:strRef>
              <c:f>Lists!$J$1</c:f>
            </c:strRef>
          </c:tx>
          <c:spPr>
            <a:solidFill>
              <a:schemeClr val="accent1"/>
            </a:solidFill>
            <a:ln cmpd="sng">
              <a:solidFill>
                <a:srgbClr val="000000"/>
              </a:solidFill>
            </a:ln>
          </c:spPr>
          <c:cat>
            <c:strRef>
              <c:f>Lists!$I$2:$I$10</c:f>
            </c:strRef>
          </c:cat>
          <c:val>
            <c:numRef>
              <c:f>Lists!$J$2:$J$10</c:f>
              <c:numCache/>
            </c:numRef>
          </c:val>
        </c:ser>
        <c:axId val="270180003"/>
        <c:axId val="394383468"/>
      </c:barChart>
      <c:catAx>
        <c:axId val="270180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Context</a:t>
                </a:r>
              </a:p>
            </c:rich>
          </c:tx>
          <c:overlay val="0"/>
        </c:title>
        <c:numFmt formatCode="General" sourceLinked="1"/>
        <c:majorTickMark val="none"/>
        <c:minorTickMark val="none"/>
        <c:spPr/>
        <c:txPr>
          <a:bodyPr/>
          <a:lstStyle/>
          <a:p>
            <a:pPr lvl="0">
              <a:defRPr b="0">
                <a:solidFill>
                  <a:srgbClr val="000000"/>
                </a:solidFill>
                <a:latin typeface="+mn-lt"/>
              </a:defRPr>
            </a:pPr>
          </a:p>
        </c:txPr>
        <c:crossAx val="394383468"/>
      </c:catAx>
      <c:valAx>
        <c:axId val="3943834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context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018000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1219200</xdr:colOff>
      <xdr:row>15</xdr:row>
      <xdr:rowOff>28575</xdr:rowOff>
    </xdr:from>
    <xdr:ext cx="5400675" cy="3333750"/>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28575</xdr:colOff>
      <xdr:row>15</xdr:row>
      <xdr:rowOff>28575</xdr:rowOff>
    </xdr:from>
    <xdr:ext cx="5400675" cy="3333750"/>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2" width="18.43"/>
    <col customWidth="1" hidden="1" min="3" max="3" width="16.14"/>
    <col customWidth="1" min="4" max="4" width="46.57"/>
    <col customWidth="1" hidden="1" min="5" max="5" width="39.14"/>
    <col customWidth="1" hidden="1" min="6" max="6" width="39.43"/>
    <col customWidth="1" hidden="1" min="7" max="7" width="41.14"/>
    <col customWidth="1" min="8" max="8" width="39.14"/>
    <col customWidth="1" min="9" max="9" width="24.14"/>
    <col customWidth="1" min="10" max="12" width="25.71"/>
    <col customWidth="1" min="13" max="13" width="27.29"/>
    <col customWidth="1" min="14" max="26" width="8.71"/>
  </cols>
  <sheetData>
    <row r="1">
      <c r="A1" s="1" t="s">
        <v>0</v>
      </c>
      <c r="B1" s="2" t="s">
        <v>1</v>
      </c>
      <c r="C1" s="2" t="s">
        <v>2</v>
      </c>
      <c r="D1" s="3" t="s">
        <v>3</v>
      </c>
      <c r="E1" s="3" t="s">
        <v>4</v>
      </c>
      <c r="F1" s="3" t="s">
        <v>5</v>
      </c>
      <c r="G1" s="3" t="s">
        <v>6</v>
      </c>
      <c r="H1" s="2" t="s">
        <v>7</v>
      </c>
      <c r="I1" s="3" t="s">
        <v>8</v>
      </c>
      <c r="J1" s="3" t="s">
        <v>9</v>
      </c>
      <c r="K1" s="3" t="s">
        <v>10</v>
      </c>
      <c r="L1" s="3" t="s">
        <v>11</v>
      </c>
      <c r="M1" s="3" t="s">
        <v>12</v>
      </c>
      <c r="N1" s="2"/>
      <c r="O1" s="2"/>
      <c r="P1" s="2"/>
      <c r="Q1" s="2"/>
      <c r="R1" s="2"/>
      <c r="S1" s="2"/>
      <c r="T1" s="2"/>
      <c r="U1" s="2"/>
      <c r="V1" s="2"/>
      <c r="W1" s="2"/>
      <c r="X1" s="2"/>
      <c r="Y1" s="2"/>
      <c r="Z1" s="2"/>
    </row>
    <row r="2" ht="114.75" customHeight="1">
      <c r="A2" s="4" t="s">
        <v>13</v>
      </c>
      <c r="B2" s="5" t="s">
        <v>14</v>
      </c>
      <c r="C2" s="5" t="s">
        <v>15</v>
      </c>
      <c r="D2" s="5" t="s">
        <v>16</v>
      </c>
      <c r="E2" s="6" t="s">
        <v>17</v>
      </c>
      <c r="F2" s="6" t="s">
        <v>18</v>
      </c>
      <c r="G2" s="5" t="s">
        <v>19</v>
      </c>
      <c r="H2" s="5" t="s">
        <v>19</v>
      </c>
      <c r="I2" s="5" t="s">
        <v>20</v>
      </c>
      <c r="J2" s="5" t="s">
        <v>21</v>
      </c>
      <c r="K2" s="5" t="s">
        <v>22</v>
      </c>
      <c r="L2" s="5" t="s">
        <v>23</v>
      </c>
      <c r="M2" s="7" t="str">
        <f t="shared" ref="M2:M196" si="1">IF(COUNTIF($A$2:A2, A2)&gt;1, "Dublet", "OK")</f>
        <v>OK</v>
      </c>
      <c r="N2" s="7"/>
      <c r="O2" s="7"/>
      <c r="P2" s="7"/>
      <c r="Q2" s="7"/>
      <c r="R2" s="7"/>
      <c r="S2" s="7"/>
      <c r="T2" s="7"/>
      <c r="U2" s="7"/>
      <c r="V2" s="7"/>
      <c r="W2" s="7"/>
      <c r="X2" s="7"/>
      <c r="Y2" s="7"/>
      <c r="Z2" s="7"/>
    </row>
    <row r="3">
      <c r="A3" s="8" t="s">
        <v>24</v>
      </c>
      <c r="B3" s="5" t="s">
        <v>14</v>
      </c>
      <c r="C3" s="5" t="s">
        <v>15</v>
      </c>
      <c r="D3" s="5" t="s">
        <v>25</v>
      </c>
      <c r="E3" s="6" t="s">
        <v>26</v>
      </c>
      <c r="F3" s="6" t="s">
        <v>27</v>
      </c>
      <c r="G3" s="6" t="s">
        <v>28</v>
      </c>
      <c r="H3" s="6" t="s">
        <v>27</v>
      </c>
      <c r="I3" s="5" t="s">
        <v>29</v>
      </c>
      <c r="J3" s="5" t="s">
        <v>20</v>
      </c>
      <c r="K3" s="5" t="s">
        <v>30</v>
      </c>
      <c r="L3" s="5" t="s">
        <v>31</v>
      </c>
      <c r="M3" s="7" t="str">
        <f t="shared" si="1"/>
        <v>OK</v>
      </c>
      <c r="N3" s="7"/>
      <c r="O3" s="7"/>
      <c r="P3" s="7"/>
      <c r="Q3" s="7"/>
      <c r="R3" s="7"/>
      <c r="S3" s="7"/>
      <c r="T3" s="7"/>
      <c r="U3" s="7"/>
      <c r="V3" s="7"/>
      <c r="W3" s="7"/>
      <c r="X3" s="7"/>
      <c r="Y3" s="7"/>
      <c r="Z3" s="7"/>
    </row>
    <row r="4">
      <c r="A4" s="8" t="s">
        <v>32</v>
      </c>
      <c r="B4" s="5" t="s">
        <v>14</v>
      </c>
      <c r="C4" s="5" t="s">
        <v>15</v>
      </c>
      <c r="D4" s="5" t="s">
        <v>33</v>
      </c>
      <c r="E4" s="5" t="s">
        <v>34</v>
      </c>
      <c r="F4" s="5" t="s">
        <v>35</v>
      </c>
      <c r="G4" s="6" t="s">
        <v>36</v>
      </c>
      <c r="H4" s="6" t="s">
        <v>36</v>
      </c>
      <c r="I4" s="5" t="s">
        <v>37</v>
      </c>
      <c r="J4" s="5" t="s">
        <v>38</v>
      </c>
      <c r="K4" s="5" t="s">
        <v>23</v>
      </c>
      <c r="L4" s="5" t="s">
        <v>39</v>
      </c>
      <c r="M4" s="7" t="str">
        <f t="shared" si="1"/>
        <v>OK</v>
      </c>
      <c r="N4" s="7"/>
      <c r="O4" s="7"/>
      <c r="P4" s="7"/>
      <c r="Q4" s="7"/>
      <c r="R4" s="7"/>
      <c r="S4" s="7"/>
      <c r="T4" s="7"/>
      <c r="U4" s="7"/>
      <c r="V4" s="7"/>
      <c r="W4" s="7"/>
      <c r="X4" s="7"/>
      <c r="Y4" s="7"/>
      <c r="Z4" s="7"/>
    </row>
    <row r="5">
      <c r="A5" s="8" t="s">
        <v>40</v>
      </c>
      <c r="B5" s="5" t="s">
        <v>14</v>
      </c>
      <c r="C5" s="5" t="s">
        <v>15</v>
      </c>
      <c r="D5" s="5" t="s">
        <v>41</v>
      </c>
      <c r="E5" s="6" t="s">
        <v>42</v>
      </c>
      <c r="F5" s="6" t="s">
        <v>43</v>
      </c>
      <c r="G5" s="6" t="s">
        <v>44</v>
      </c>
      <c r="H5" s="6" t="s">
        <v>43</v>
      </c>
      <c r="I5" s="5" t="s">
        <v>45</v>
      </c>
      <c r="J5" s="5" t="s">
        <v>20</v>
      </c>
      <c r="K5" s="5" t="s">
        <v>39</v>
      </c>
      <c r="L5" s="5" t="s">
        <v>31</v>
      </c>
      <c r="M5" s="7" t="str">
        <f t="shared" si="1"/>
        <v>OK</v>
      </c>
      <c r="N5" s="7"/>
      <c r="O5" s="7"/>
      <c r="P5" s="7"/>
      <c r="Q5" s="7"/>
      <c r="R5" s="7"/>
      <c r="S5" s="7"/>
      <c r="T5" s="7"/>
      <c r="U5" s="7"/>
      <c r="V5" s="7"/>
      <c r="W5" s="7"/>
      <c r="X5" s="7"/>
      <c r="Y5" s="7"/>
      <c r="Z5" s="7"/>
    </row>
    <row r="6">
      <c r="A6" s="8" t="s">
        <v>46</v>
      </c>
      <c r="B6" s="5" t="s">
        <v>14</v>
      </c>
      <c r="C6" s="5" t="s">
        <v>15</v>
      </c>
      <c r="D6" s="5" t="s">
        <v>47</v>
      </c>
      <c r="E6" s="6" t="s">
        <v>48</v>
      </c>
      <c r="F6" s="6" t="s">
        <v>49</v>
      </c>
      <c r="G6" s="6" t="s">
        <v>50</v>
      </c>
      <c r="H6" s="6" t="s">
        <v>50</v>
      </c>
      <c r="I6" s="5" t="s">
        <v>37</v>
      </c>
      <c r="J6" s="5" t="s">
        <v>51</v>
      </c>
      <c r="K6" s="5" t="s">
        <v>52</v>
      </c>
      <c r="L6" s="5" t="s">
        <v>39</v>
      </c>
      <c r="M6" s="7" t="str">
        <f t="shared" si="1"/>
        <v>OK</v>
      </c>
      <c r="N6" s="7"/>
      <c r="O6" s="7"/>
      <c r="P6" s="7"/>
      <c r="Q6" s="7"/>
      <c r="R6" s="7"/>
      <c r="S6" s="7"/>
      <c r="T6" s="7"/>
      <c r="U6" s="7"/>
      <c r="V6" s="7"/>
      <c r="W6" s="7"/>
      <c r="X6" s="7"/>
      <c r="Y6" s="7"/>
      <c r="Z6" s="7"/>
    </row>
    <row r="7">
      <c r="A7" s="8" t="s">
        <v>53</v>
      </c>
      <c r="B7" s="5" t="s">
        <v>14</v>
      </c>
      <c r="C7" s="5" t="s">
        <v>15</v>
      </c>
      <c r="D7" s="5" t="s">
        <v>54</v>
      </c>
      <c r="E7" s="6" t="s">
        <v>55</v>
      </c>
      <c r="F7" s="6" t="s">
        <v>56</v>
      </c>
      <c r="G7" s="6" t="s">
        <v>57</v>
      </c>
      <c r="H7" s="6" t="s">
        <v>57</v>
      </c>
      <c r="I7" s="5" t="s">
        <v>38</v>
      </c>
      <c r="J7" s="5" t="s">
        <v>37</v>
      </c>
      <c r="K7" s="5" t="s">
        <v>30</v>
      </c>
      <c r="L7" s="5" t="s">
        <v>22</v>
      </c>
      <c r="M7" s="7" t="str">
        <f t="shared" si="1"/>
        <v>OK</v>
      </c>
      <c r="N7" s="7"/>
      <c r="O7" s="7"/>
      <c r="P7" s="7"/>
      <c r="Q7" s="7"/>
      <c r="R7" s="7"/>
      <c r="S7" s="7"/>
      <c r="T7" s="7"/>
      <c r="U7" s="7"/>
      <c r="V7" s="7"/>
      <c r="W7" s="7"/>
      <c r="X7" s="7"/>
      <c r="Y7" s="7"/>
      <c r="Z7" s="7"/>
    </row>
    <row r="8">
      <c r="A8" s="8" t="s">
        <v>58</v>
      </c>
      <c r="B8" s="5" t="s">
        <v>14</v>
      </c>
      <c r="C8" s="5" t="s">
        <v>15</v>
      </c>
      <c r="D8" s="5" t="s">
        <v>59</v>
      </c>
      <c r="E8" s="5" t="s">
        <v>60</v>
      </c>
      <c r="F8" s="5" t="s">
        <v>61</v>
      </c>
      <c r="G8" s="6" t="s">
        <v>62</v>
      </c>
      <c r="H8" s="6" t="s">
        <v>62</v>
      </c>
      <c r="I8" s="5" t="s">
        <v>20</v>
      </c>
      <c r="J8" s="5" t="s">
        <v>38</v>
      </c>
      <c r="K8" s="5" t="s">
        <v>31</v>
      </c>
      <c r="L8" s="5" t="s">
        <v>23</v>
      </c>
      <c r="M8" s="7" t="str">
        <f t="shared" si="1"/>
        <v>OK</v>
      </c>
      <c r="N8" s="7"/>
      <c r="O8" s="7"/>
      <c r="P8" s="7"/>
      <c r="Q8" s="7"/>
      <c r="R8" s="7"/>
      <c r="S8" s="7"/>
      <c r="T8" s="7"/>
      <c r="U8" s="7"/>
      <c r="V8" s="7"/>
      <c r="W8" s="7"/>
      <c r="X8" s="7"/>
      <c r="Y8" s="7"/>
      <c r="Z8" s="7"/>
    </row>
    <row r="9">
      <c r="A9" s="8" t="s">
        <v>63</v>
      </c>
      <c r="B9" s="5" t="s">
        <v>14</v>
      </c>
      <c r="C9" s="5" t="s">
        <v>15</v>
      </c>
      <c r="D9" s="5" t="s">
        <v>64</v>
      </c>
      <c r="E9" s="6" t="s">
        <v>65</v>
      </c>
      <c r="F9" s="6" t="s">
        <v>66</v>
      </c>
      <c r="G9" s="6" t="s">
        <v>67</v>
      </c>
      <c r="H9" s="6" t="s">
        <v>67</v>
      </c>
      <c r="I9" s="5" t="s">
        <v>45</v>
      </c>
      <c r="J9" s="5" t="s">
        <v>20</v>
      </c>
      <c r="K9" s="5" t="s">
        <v>68</v>
      </c>
      <c r="L9" s="5" t="s">
        <v>39</v>
      </c>
      <c r="M9" s="7" t="str">
        <f t="shared" si="1"/>
        <v>OK</v>
      </c>
      <c r="N9" s="7"/>
      <c r="O9" s="7"/>
      <c r="P9" s="7"/>
      <c r="Q9" s="7"/>
      <c r="R9" s="7"/>
      <c r="S9" s="7"/>
      <c r="T9" s="7"/>
      <c r="U9" s="7"/>
      <c r="V9" s="7"/>
      <c r="W9" s="7"/>
      <c r="X9" s="7"/>
      <c r="Y9" s="7"/>
      <c r="Z9" s="7"/>
    </row>
    <row r="10">
      <c r="A10" s="8" t="s">
        <v>69</v>
      </c>
      <c r="B10" s="5" t="s">
        <v>14</v>
      </c>
      <c r="C10" s="5" t="s">
        <v>15</v>
      </c>
      <c r="D10" s="5" t="s">
        <v>70</v>
      </c>
      <c r="E10" s="6" t="s">
        <v>71</v>
      </c>
      <c r="F10" s="6" t="s">
        <v>72</v>
      </c>
      <c r="G10" s="6" t="s">
        <v>73</v>
      </c>
      <c r="H10" s="6" t="s">
        <v>73</v>
      </c>
      <c r="I10" s="5" t="s">
        <v>37</v>
      </c>
      <c r="J10" s="5" t="s">
        <v>74</v>
      </c>
      <c r="K10" s="5" t="s">
        <v>75</v>
      </c>
      <c r="L10" s="5" t="s">
        <v>23</v>
      </c>
      <c r="M10" s="7" t="str">
        <f t="shared" si="1"/>
        <v>OK</v>
      </c>
      <c r="N10" s="7"/>
      <c r="O10" s="7"/>
      <c r="P10" s="7"/>
      <c r="Q10" s="7"/>
      <c r="R10" s="7"/>
      <c r="S10" s="7"/>
      <c r="T10" s="7"/>
      <c r="U10" s="7"/>
      <c r="V10" s="7"/>
      <c r="W10" s="7"/>
      <c r="X10" s="7"/>
      <c r="Y10" s="7"/>
      <c r="Z10" s="7"/>
    </row>
    <row r="11">
      <c r="A11" s="8" t="s">
        <v>76</v>
      </c>
      <c r="B11" s="5" t="s">
        <v>14</v>
      </c>
      <c r="C11" s="5" t="s">
        <v>15</v>
      </c>
      <c r="D11" s="5" t="s">
        <v>77</v>
      </c>
      <c r="E11" s="6" t="s">
        <v>78</v>
      </c>
      <c r="F11" s="6" t="s">
        <v>79</v>
      </c>
      <c r="G11" s="6" t="s">
        <v>80</v>
      </c>
      <c r="H11" s="6" t="s">
        <v>80</v>
      </c>
      <c r="I11" s="5" t="s">
        <v>45</v>
      </c>
      <c r="J11" s="5" t="s">
        <v>51</v>
      </c>
      <c r="K11" s="5" t="s">
        <v>30</v>
      </c>
      <c r="L11" s="5" t="s">
        <v>39</v>
      </c>
      <c r="M11" s="7" t="str">
        <f t="shared" si="1"/>
        <v>OK</v>
      </c>
      <c r="N11" s="7"/>
      <c r="O11" s="7"/>
      <c r="P11" s="7"/>
      <c r="Q11" s="7"/>
      <c r="R11" s="7"/>
      <c r="S11" s="7"/>
      <c r="T11" s="7"/>
      <c r="U11" s="7"/>
      <c r="V11" s="7"/>
      <c r="W11" s="7"/>
      <c r="X11" s="7"/>
      <c r="Y11" s="7"/>
      <c r="Z11" s="7"/>
    </row>
    <row r="12">
      <c r="A12" s="8" t="s">
        <v>81</v>
      </c>
      <c r="B12" s="5" t="s">
        <v>14</v>
      </c>
      <c r="C12" s="5" t="s">
        <v>15</v>
      </c>
      <c r="D12" s="5" t="s">
        <v>82</v>
      </c>
      <c r="E12" s="6" t="s">
        <v>83</v>
      </c>
      <c r="F12" s="6" t="s">
        <v>84</v>
      </c>
      <c r="G12" s="6" t="s">
        <v>85</v>
      </c>
      <c r="H12" s="6" t="s">
        <v>85</v>
      </c>
      <c r="I12" s="5" t="s">
        <v>20</v>
      </c>
      <c r="J12" s="5" t="s">
        <v>45</v>
      </c>
      <c r="K12" s="5" t="s">
        <v>75</v>
      </c>
      <c r="L12" s="5" t="s">
        <v>39</v>
      </c>
      <c r="M12" s="7" t="str">
        <f t="shared" si="1"/>
        <v>OK</v>
      </c>
      <c r="N12" s="7"/>
      <c r="O12" s="7"/>
      <c r="P12" s="7"/>
      <c r="Q12" s="7"/>
      <c r="R12" s="7"/>
      <c r="S12" s="7"/>
      <c r="T12" s="7"/>
      <c r="U12" s="7"/>
      <c r="V12" s="7"/>
      <c r="W12" s="7"/>
      <c r="X12" s="7"/>
      <c r="Y12" s="7"/>
      <c r="Z12" s="7"/>
    </row>
    <row r="13">
      <c r="A13" s="8" t="s">
        <v>86</v>
      </c>
      <c r="B13" s="5" t="s">
        <v>14</v>
      </c>
      <c r="C13" s="5" t="s">
        <v>15</v>
      </c>
      <c r="D13" s="5" t="s">
        <v>87</v>
      </c>
      <c r="E13" s="6" t="s">
        <v>88</v>
      </c>
      <c r="F13" s="6" t="s">
        <v>89</v>
      </c>
      <c r="G13" s="6" t="s">
        <v>90</v>
      </c>
      <c r="H13" s="6" t="s">
        <v>90</v>
      </c>
      <c r="I13" s="5" t="s">
        <v>45</v>
      </c>
      <c r="J13" s="5" t="s">
        <v>20</v>
      </c>
      <c r="K13" s="5" t="s">
        <v>22</v>
      </c>
      <c r="L13" s="5" t="s">
        <v>23</v>
      </c>
      <c r="M13" s="7" t="str">
        <f t="shared" si="1"/>
        <v>OK</v>
      </c>
      <c r="N13" s="7"/>
      <c r="O13" s="7"/>
      <c r="P13" s="7"/>
      <c r="Q13" s="7"/>
      <c r="R13" s="7"/>
      <c r="S13" s="7"/>
      <c r="T13" s="7"/>
      <c r="U13" s="7"/>
      <c r="V13" s="7"/>
      <c r="W13" s="7"/>
      <c r="X13" s="7"/>
      <c r="Y13" s="7"/>
      <c r="Z13" s="7"/>
    </row>
    <row r="14">
      <c r="A14" s="8" t="s">
        <v>91</v>
      </c>
      <c r="B14" s="5" t="s">
        <v>14</v>
      </c>
      <c r="C14" s="5" t="s">
        <v>15</v>
      </c>
      <c r="D14" s="5" t="s">
        <v>92</v>
      </c>
      <c r="E14" s="6" t="s">
        <v>93</v>
      </c>
      <c r="F14" s="6" t="s">
        <v>94</v>
      </c>
      <c r="G14" s="6" t="s">
        <v>95</v>
      </c>
      <c r="H14" s="6" t="s">
        <v>95</v>
      </c>
      <c r="I14" s="5" t="s">
        <v>45</v>
      </c>
      <c r="J14" s="5" t="s">
        <v>38</v>
      </c>
      <c r="K14" s="5" t="s">
        <v>31</v>
      </c>
      <c r="L14" s="5" t="s">
        <v>31</v>
      </c>
      <c r="M14" s="7" t="str">
        <f t="shared" si="1"/>
        <v>OK</v>
      </c>
      <c r="N14" s="7"/>
      <c r="O14" s="7"/>
      <c r="P14" s="7"/>
      <c r="Q14" s="7"/>
      <c r="R14" s="7"/>
      <c r="S14" s="7"/>
      <c r="T14" s="7"/>
      <c r="U14" s="7"/>
      <c r="V14" s="7"/>
      <c r="W14" s="7"/>
      <c r="X14" s="7"/>
      <c r="Y14" s="7"/>
      <c r="Z14" s="7"/>
    </row>
    <row r="15">
      <c r="A15" s="8" t="s">
        <v>96</v>
      </c>
      <c r="B15" s="5" t="s">
        <v>14</v>
      </c>
      <c r="C15" s="5" t="s">
        <v>15</v>
      </c>
      <c r="D15" s="5" t="s">
        <v>97</v>
      </c>
      <c r="E15" s="6" t="s">
        <v>98</v>
      </c>
      <c r="F15" s="6" t="s">
        <v>99</v>
      </c>
      <c r="G15" s="6" t="s">
        <v>100</v>
      </c>
      <c r="H15" s="6" t="s">
        <v>100</v>
      </c>
      <c r="I15" s="5" t="s">
        <v>37</v>
      </c>
      <c r="J15" s="5" t="s">
        <v>38</v>
      </c>
      <c r="K15" s="5" t="s">
        <v>75</v>
      </c>
      <c r="L15" s="5" t="s">
        <v>39</v>
      </c>
      <c r="M15" s="7" t="str">
        <f t="shared" si="1"/>
        <v>OK</v>
      </c>
      <c r="N15" s="7"/>
      <c r="O15" s="7"/>
      <c r="P15" s="7"/>
      <c r="Q15" s="7"/>
      <c r="R15" s="7"/>
      <c r="S15" s="7"/>
      <c r="T15" s="7"/>
      <c r="U15" s="7"/>
      <c r="V15" s="7"/>
      <c r="W15" s="7"/>
      <c r="X15" s="7"/>
      <c r="Y15" s="7"/>
      <c r="Z15" s="7"/>
    </row>
    <row r="16">
      <c r="A16" s="8" t="s">
        <v>101</v>
      </c>
      <c r="B16" s="5" t="s">
        <v>14</v>
      </c>
      <c r="C16" s="5" t="s">
        <v>15</v>
      </c>
      <c r="D16" s="5" t="s">
        <v>102</v>
      </c>
      <c r="E16" s="6" t="s">
        <v>103</v>
      </c>
      <c r="F16" s="6" t="s">
        <v>104</v>
      </c>
      <c r="G16" s="6" t="s">
        <v>105</v>
      </c>
      <c r="H16" s="6" t="s">
        <v>105</v>
      </c>
      <c r="I16" s="5" t="s">
        <v>37</v>
      </c>
      <c r="J16" s="5" t="s">
        <v>74</v>
      </c>
      <c r="K16" s="5" t="s">
        <v>39</v>
      </c>
      <c r="L16" s="5" t="s">
        <v>52</v>
      </c>
      <c r="M16" s="7" t="str">
        <f t="shared" si="1"/>
        <v>OK</v>
      </c>
      <c r="N16" s="7"/>
      <c r="O16" s="7"/>
      <c r="P16" s="7"/>
      <c r="Q16" s="7"/>
      <c r="R16" s="7"/>
      <c r="S16" s="7"/>
      <c r="T16" s="7"/>
      <c r="U16" s="7"/>
      <c r="V16" s="7"/>
      <c r="W16" s="7"/>
      <c r="X16" s="7"/>
      <c r="Y16" s="7"/>
      <c r="Z16" s="7"/>
    </row>
    <row r="17">
      <c r="A17" s="8" t="s">
        <v>106</v>
      </c>
      <c r="B17" s="5" t="s">
        <v>14</v>
      </c>
      <c r="C17" s="5" t="s">
        <v>15</v>
      </c>
      <c r="D17" s="5" t="s">
        <v>107</v>
      </c>
      <c r="E17" s="6" t="s">
        <v>108</v>
      </c>
      <c r="F17" s="6" t="s">
        <v>109</v>
      </c>
      <c r="G17" s="6" t="s">
        <v>110</v>
      </c>
      <c r="H17" s="6" t="s">
        <v>110</v>
      </c>
      <c r="I17" s="5" t="s">
        <v>45</v>
      </c>
      <c r="J17" s="5" t="s">
        <v>20</v>
      </c>
      <c r="K17" s="5" t="s">
        <v>111</v>
      </c>
      <c r="L17" s="5" t="s">
        <v>22</v>
      </c>
      <c r="M17" s="7" t="str">
        <f t="shared" si="1"/>
        <v>OK</v>
      </c>
      <c r="N17" s="7"/>
      <c r="O17" s="7"/>
      <c r="P17" s="7"/>
      <c r="Q17" s="7"/>
      <c r="R17" s="7"/>
      <c r="S17" s="7"/>
      <c r="T17" s="7"/>
      <c r="U17" s="7"/>
      <c r="V17" s="7"/>
      <c r="W17" s="7"/>
      <c r="X17" s="7"/>
      <c r="Y17" s="7"/>
      <c r="Z17" s="7"/>
    </row>
    <row r="18">
      <c r="A18" s="8" t="s">
        <v>112</v>
      </c>
      <c r="B18" s="5" t="s">
        <v>14</v>
      </c>
      <c r="C18" s="5" t="s">
        <v>15</v>
      </c>
      <c r="D18" s="5" t="s">
        <v>113</v>
      </c>
      <c r="E18" s="6" t="s">
        <v>114</v>
      </c>
      <c r="F18" s="6" t="s">
        <v>115</v>
      </c>
      <c r="G18" s="6" t="s">
        <v>116</v>
      </c>
      <c r="H18" s="6" t="s">
        <v>116</v>
      </c>
      <c r="I18" s="5" t="s">
        <v>20</v>
      </c>
      <c r="J18" s="5" t="s">
        <v>45</v>
      </c>
      <c r="K18" s="5" t="s">
        <v>30</v>
      </c>
      <c r="L18" s="5" t="s">
        <v>22</v>
      </c>
      <c r="M18" s="7" t="str">
        <f t="shared" si="1"/>
        <v>OK</v>
      </c>
      <c r="N18" s="7"/>
      <c r="O18" s="7"/>
      <c r="P18" s="7"/>
      <c r="Q18" s="7"/>
      <c r="R18" s="7"/>
      <c r="S18" s="7"/>
      <c r="T18" s="7"/>
      <c r="U18" s="7"/>
      <c r="V18" s="7"/>
      <c r="W18" s="7"/>
      <c r="X18" s="7"/>
      <c r="Y18" s="7"/>
      <c r="Z18" s="7"/>
    </row>
    <row r="19">
      <c r="A19" s="8" t="s">
        <v>117</v>
      </c>
      <c r="B19" s="5" t="s">
        <v>14</v>
      </c>
      <c r="C19" s="5" t="s">
        <v>15</v>
      </c>
      <c r="D19" s="5" t="s">
        <v>118</v>
      </c>
      <c r="E19" s="6" t="s">
        <v>119</v>
      </c>
      <c r="F19" s="6" t="s">
        <v>120</v>
      </c>
      <c r="G19" s="6" t="s">
        <v>121</v>
      </c>
      <c r="H19" s="6" t="s">
        <v>121</v>
      </c>
      <c r="I19" s="5" t="s">
        <v>45</v>
      </c>
      <c r="J19" s="5" t="s">
        <v>37</v>
      </c>
      <c r="K19" s="5" t="s">
        <v>30</v>
      </c>
      <c r="L19" s="5" t="s">
        <v>111</v>
      </c>
      <c r="M19" s="7" t="str">
        <f t="shared" si="1"/>
        <v>OK</v>
      </c>
      <c r="N19" s="7"/>
      <c r="O19" s="7"/>
      <c r="P19" s="7"/>
      <c r="Q19" s="7"/>
      <c r="R19" s="7"/>
      <c r="S19" s="7"/>
      <c r="T19" s="7"/>
      <c r="U19" s="7"/>
      <c r="V19" s="7"/>
      <c r="W19" s="7"/>
      <c r="X19" s="7"/>
      <c r="Y19" s="7"/>
      <c r="Z19" s="7"/>
    </row>
    <row r="20">
      <c r="A20" s="8" t="s">
        <v>122</v>
      </c>
      <c r="B20" s="5" t="s">
        <v>14</v>
      </c>
      <c r="C20" s="5" t="s">
        <v>15</v>
      </c>
      <c r="D20" s="5" t="s">
        <v>123</v>
      </c>
      <c r="E20" s="6" t="s">
        <v>124</v>
      </c>
      <c r="F20" s="6" t="s">
        <v>125</v>
      </c>
      <c r="G20" s="6" t="s">
        <v>126</v>
      </c>
      <c r="H20" s="6" t="s">
        <v>126</v>
      </c>
      <c r="I20" s="5" t="s">
        <v>20</v>
      </c>
      <c r="J20" s="5" t="s">
        <v>37</v>
      </c>
      <c r="K20" s="5" t="s">
        <v>68</v>
      </c>
      <c r="L20" s="5" t="s">
        <v>39</v>
      </c>
      <c r="M20" s="7" t="str">
        <f t="shared" si="1"/>
        <v>OK</v>
      </c>
      <c r="N20" s="7"/>
      <c r="O20" s="7"/>
      <c r="P20" s="7"/>
      <c r="Q20" s="7"/>
      <c r="R20" s="7"/>
      <c r="S20" s="7"/>
      <c r="T20" s="7"/>
      <c r="U20" s="7"/>
      <c r="V20" s="7"/>
      <c r="W20" s="7"/>
      <c r="X20" s="7"/>
      <c r="Y20" s="7"/>
      <c r="Z20" s="7"/>
    </row>
    <row r="21" ht="15.75" customHeight="1">
      <c r="A21" s="8" t="s">
        <v>127</v>
      </c>
      <c r="B21" s="5" t="s">
        <v>14</v>
      </c>
      <c r="C21" s="5" t="s">
        <v>15</v>
      </c>
      <c r="D21" s="5" t="s">
        <v>128</v>
      </c>
      <c r="E21" s="6" t="s">
        <v>129</v>
      </c>
      <c r="F21" s="6" t="s">
        <v>130</v>
      </c>
      <c r="G21" s="6" t="s">
        <v>131</v>
      </c>
      <c r="H21" s="6" t="s">
        <v>131</v>
      </c>
      <c r="I21" s="5" t="s">
        <v>20</v>
      </c>
      <c r="J21" s="5" t="s">
        <v>21</v>
      </c>
      <c r="K21" s="5" t="s">
        <v>68</v>
      </c>
      <c r="L21" s="5" t="s">
        <v>111</v>
      </c>
      <c r="M21" s="7" t="str">
        <f t="shared" si="1"/>
        <v>OK</v>
      </c>
      <c r="N21" s="7"/>
      <c r="O21" s="7"/>
      <c r="P21" s="7"/>
      <c r="Q21" s="7"/>
      <c r="R21" s="7"/>
      <c r="S21" s="7"/>
      <c r="T21" s="7"/>
      <c r="U21" s="7"/>
      <c r="V21" s="7"/>
      <c r="W21" s="7"/>
      <c r="X21" s="7"/>
      <c r="Y21" s="7"/>
      <c r="Z21" s="7"/>
    </row>
    <row r="22" ht="15.75" customHeight="1">
      <c r="A22" s="8" t="s">
        <v>132</v>
      </c>
      <c r="B22" s="5" t="s">
        <v>133</v>
      </c>
      <c r="C22" s="5" t="s">
        <v>15</v>
      </c>
      <c r="D22" s="5" t="s">
        <v>134</v>
      </c>
      <c r="E22" s="5" t="s">
        <v>135</v>
      </c>
      <c r="F22" s="5" t="s">
        <v>136</v>
      </c>
      <c r="G22" s="5" t="s">
        <v>137</v>
      </c>
      <c r="H22" s="5" t="s">
        <v>136</v>
      </c>
      <c r="I22" s="5" t="s">
        <v>51</v>
      </c>
      <c r="J22" s="5" t="s">
        <v>37</v>
      </c>
      <c r="K22" s="5" t="s">
        <v>30</v>
      </c>
      <c r="L22" s="5" t="s">
        <v>22</v>
      </c>
      <c r="M22" s="7" t="str">
        <f t="shared" si="1"/>
        <v>OK</v>
      </c>
      <c r="N22" s="7"/>
      <c r="O22" s="7"/>
      <c r="P22" s="7"/>
      <c r="Q22" s="7"/>
      <c r="R22" s="7"/>
      <c r="S22" s="7"/>
      <c r="T22" s="7"/>
      <c r="U22" s="7"/>
      <c r="V22" s="7"/>
      <c r="W22" s="7"/>
      <c r="X22" s="7"/>
      <c r="Y22" s="7"/>
      <c r="Z22" s="7"/>
    </row>
    <row r="23" ht="15.75" customHeight="1">
      <c r="A23" s="8" t="s">
        <v>138</v>
      </c>
      <c r="B23" s="5" t="s">
        <v>133</v>
      </c>
      <c r="C23" s="5" t="s">
        <v>15</v>
      </c>
      <c r="D23" s="5" t="s">
        <v>139</v>
      </c>
      <c r="E23" s="5" t="s">
        <v>140</v>
      </c>
      <c r="F23" s="5" t="s">
        <v>141</v>
      </c>
      <c r="G23" s="5" t="s">
        <v>142</v>
      </c>
      <c r="H23" s="5" t="s">
        <v>143</v>
      </c>
      <c r="I23" s="5" t="s">
        <v>38</v>
      </c>
      <c r="J23" s="5" t="s">
        <v>20</v>
      </c>
      <c r="K23" s="5" t="s">
        <v>30</v>
      </c>
      <c r="L23" s="5" t="s">
        <v>111</v>
      </c>
      <c r="M23" s="7" t="str">
        <f t="shared" si="1"/>
        <v>OK</v>
      </c>
      <c r="N23" s="7"/>
      <c r="O23" s="7"/>
      <c r="P23" s="7"/>
      <c r="Q23" s="7"/>
      <c r="R23" s="7"/>
      <c r="S23" s="7"/>
      <c r="T23" s="7"/>
      <c r="U23" s="7"/>
      <c r="V23" s="7"/>
      <c r="W23" s="7"/>
      <c r="X23" s="7"/>
      <c r="Y23" s="7"/>
      <c r="Z23" s="7"/>
    </row>
    <row r="24" ht="15.75" customHeight="1">
      <c r="A24" s="8" t="s">
        <v>144</v>
      </c>
      <c r="B24" s="5" t="s">
        <v>133</v>
      </c>
      <c r="C24" s="5" t="s">
        <v>15</v>
      </c>
      <c r="D24" s="5" t="s">
        <v>145</v>
      </c>
      <c r="E24" s="5" t="s">
        <v>146</v>
      </c>
      <c r="F24" s="5" t="s">
        <v>147</v>
      </c>
      <c r="G24" s="5" t="s">
        <v>148</v>
      </c>
      <c r="H24" s="5" t="s">
        <v>147</v>
      </c>
      <c r="I24" s="5" t="s">
        <v>29</v>
      </c>
      <c r="J24" s="5" t="s">
        <v>51</v>
      </c>
      <c r="K24" s="5" t="s">
        <v>30</v>
      </c>
      <c r="L24" s="5" t="s">
        <v>22</v>
      </c>
      <c r="M24" s="7" t="str">
        <f t="shared" si="1"/>
        <v>OK</v>
      </c>
      <c r="N24" s="7"/>
      <c r="O24" s="7"/>
      <c r="P24" s="7"/>
      <c r="Q24" s="7"/>
      <c r="R24" s="7"/>
      <c r="S24" s="7"/>
      <c r="T24" s="7"/>
      <c r="U24" s="7"/>
      <c r="V24" s="7"/>
      <c r="W24" s="7"/>
      <c r="X24" s="7"/>
      <c r="Y24" s="7"/>
      <c r="Z24" s="7"/>
    </row>
    <row r="25" ht="15.75" customHeight="1">
      <c r="A25" s="8" t="s">
        <v>149</v>
      </c>
      <c r="B25" s="5" t="s">
        <v>133</v>
      </c>
      <c r="C25" s="5" t="s">
        <v>15</v>
      </c>
      <c r="D25" s="5" t="s">
        <v>150</v>
      </c>
      <c r="E25" s="5" t="s">
        <v>151</v>
      </c>
      <c r="F25" s="5" t="s">
        <v>152</v>
      </c>
      <c r="G25" s="5" t="s">
        <v>153</v>
      </c>
      <c r="H25" s="5" t="s">
        <v>153</v>
      </c>
      <c r="I25" s="5" t="s">
        <v>38</v>
      </c>
      <c r="J25" s="5" t="s">
        <v>37</v>
      </c>
      <c r="K25" s="5" t="s">
        <v>22</v>
      </c>
      <c r="L25" s="5" t="s">
        <v>23</v>
      </c>
      <c r="M25" s="7" t="str">
        <f t="shared" si="1"/>
        <v>OK</v>
      </c>
      <c r="N25" s="7"/>
      <c r="O25" s="7"/>
      <c r="P25" s="7"/>
      <c r="Q25" s="7"/>
      <c r="R25" s="7"/>
      <c r="S25" s="7"/>
      <c r="T25" s="7"/>
      <c r="U25" s="7"/>
      <c r="V25" s="7"/>
      <c r="W25" s="7"/>
      <c r="X25" s="7"/>
      <c r="Y25" s="7"/>
      <c r="Z25" s="7"/>
    </row>
    <row r="26" ht="15.75" customHeight="1">
      <c r="A26" s="8" t="s">
        <v>154</v>
      </c>
      <c r="B26" s="5" t="s">
        <v>133</v>
      </c>
      <c r="C26" s="5" t="s">
        <v>15</v>
      </c>
      <c r="D26" s="5" t="s">
        <v>155</v>
      </c>
      <c r="E26" s="5" t="s">
        <v>156</v>
      </c>
      <c r="F26" s="5" t="s">
        <v>157</v>
      </c>
      <c r="G26" s="5" t="s">
        <v>158</v>
      </c>
      <c r="H26" s="5" t="s">
        <v>157</v>
      </c>
      <c r="I26" s="5" t="s">
        <v>38</v>
      </c>
      <c r="J26" s="5" t="s">
        <v>37</v>
      </c>
      <c r="K26" s="5" t="s">
        <v>30</v>
      </c>
      <c r="L26" s="5" t="s">
        <v>68</v>
      </c>
      <c r="M26" s="7" t="str">
        <f t="shared" si="1"/>
        <v>OK</v>
      </c>
      <c r="N26" s="7"/>
      <c r="O26" s="7"/>
      <c r="P26" s="7"/>
      <c r="Q26" s="7"/>
      <c r="R26" s="7"/>
      <c r="S26" s="7"/>
      <c r="T26" s="7"/>
      <c r="U26" s="7"/>
      <c r="V26" s="7"/>
      <c r="W26" s="7"/>
      <c r="X26" s="7"/>
      <c r="Y26" s="7"/>
      <c r="Z26" s="7"/>
    </row>
    <row r="27" ht="15.75" customHeight="1">
      <c r="A27" s="8" t="s">
        <v>159</v>
      </c>
      <c r="B27" s="5" t="s">
        <v>133</v>
      </c>
      <c r="C27" s="5" t="s">
        <v>15</v>
      </c>
      <c r="D27" s="5" t="s">
        <v>160</v>
      </c>
      <c r="E27" s="5" t="s">
        <v>161</v>
      </c>
      <c r="F27" s="5" t="s">
        <v>162</v>
      </c>
      <c r="G27" s="5" t="s">
        <v>163</v>
      </c>
      <c r="H27" s="5" t="s">
        <v>162</v>
      </c>
      <c r="I27" s="5" t="s">
        <v>29</v>
      </c>
      <c r="J27" s="5" t="s">
        <v>51</v>
      </c>
      <c r="K27" s="5" t="s">
        <v>23</v>
      </c>
      <c r="L27" s="5" t="s">
        <v>22</v>
      </c>
      <c r="M27" s="7" t="str">
        <f t="shared" si="1"/>
        <v>OK</v>
      </c>
      <c r="N27" s="7"/>
      <c r="O27" s="7"/>
      <c r="P27" s="7"/>
      <c r="Q27" s="7"/>
      <c r="R27" s="7"/>
      <c r="S27" s="7"/>
      <c r="T27" s="7"/>
      <c r="U27" s="7"/>
      <c r="V27" s="7"/>
      <c r="W27" s="7"/>
      <c r="X27" s="7"/>
      <c r="Y27" s="7"/>
      <c r="Z27" s="7"/>
    </row>
    <row r="28" ht="15.75" customHeight="1">
      <c r="A28" s="8" t="s">
        <v>164</v>
      </c>
      <c r="B28" s="5" t="s">
        <v>133</v>
      </c>
      <c r="C28" s="5" t="s">
        <v>15</v>
      </c>
      <c r="D28" s="5" t="s">
        <v>165</v>
      </c>
      <c r="E28" s="5" t="s">
        <v>166</v>
      </c>
      <c r="F28" s="5" t="s">
        <v>167</v>
      </c>
      <c r="G28" s="5" t="s">
        <v>168</v>
      </c>
      <c r="H28" s="5" t="s">
        <v>168</v>
      </c>
      <c r="I28" s="5" t="s">
        <v>51</v>
      </c>
      <c r="J28" s="5" t="s">
        <v>21</v>
      </c>
      <c r="K28" s="5" t="s">
        <v>31</v>
      </c>
      <c r="L28" s="5" t="s">
        <v>39</v>
      </c>
      <c r="M28" s="7" t="str">
        <f t="shared" si="1"/>
        <v>OK</v>
      </c>
      <c r="N28" s="7"/>
      <c r="O28" s="7"/>
      <c r="P28" s="7"/>
      <c r="Q28" s="7"/>
      <c r="R28" s="7"/>
      <c r="S28" s="7"/>
      <c r="T28" s="7"/>
      <c r="U28" s="7"/>
      <c r="V28" s="7"/>
      <c r="W28" s="7"/>
      <c r="X28" s="7"/>
      <c r="Y28" s="7"/>
      <c r="Z28" s="7"/>
    </row>
    <row r="29" ht="15.75" customHeight="1">
      <c r="A29" s="8" t="s">
        <v>169</v>
      </c>
      <c r="B29" s="5" t="s">
        <v>133</v>
      </c>
      <c r="C29" s="5" t="s">
        <v>15</v>
      </c>
      <c r="D29" s="5" t="s">
        <v>170</v>
      </c>
      <c r="E29" s="5" t="s">
        <v>171</v>
      </c>
      <c r="F29" s="5" t="s">
        <v>172</v>
      </c>
      <c r="G29" s="5" t="s">
        <v>173</v>
      </c>
      <c r="H29" s="5" t="s">
        <v>171</v>
      </c>
      <c r="I29" s="5" t="s">
        <v>51</v>
      </c>
      <c r="J29" s="5" t="s">
        <v>37</v>
      </c>
      <c r="K29" s="5" t="s">
        <v>22</v>
      </c>
      <c r="L29" s="5" t="s">
        <v>52</v>
      </c>
      <c r="M29" s="7" t="str">
        <f t="shared" si="1"/>
        <v>OK</v>
      </c>
      <c r="N29" s="7"/>
      <c r="O29" s="7"/>
      <c r="P29" s="7"/>
      <c r="Q29" s="7"/>
      <c r="R29" s="7"/>
      <c r="S29" s="7"/>
      <c r="T29" s="7"/>
      <c r="U29" s="7"/>
      <c r="V29" s="7"/>
      <c r="W29" s="7"/>
      <c r="X29" s="7"/>
      <c r="Y29" s="7"/>
      <c r="Z29" s="7"/>
    </row>
    <row r="30" ht="15.75" customHeight="1">
      <c r="A30" s="8" t="s">
        <v>174</v>
      </c>
      <c r="B30" s="5" t="s">
        <v>133</v>
      </c>
      <c r="C30" s="5" t="s">
        <v>15</v>
      </c>
      <c r="D30" s="5" t="s">
        <v>175</v>
      </c>
      <c r="E30" s="5" t="s">
        <v>176</v>
      </c>
      <c r="F30" s="5" t="s">
        <v>177</v>
      </c>
      <c r="G30" s="5" t="s">
        <v>178</v>
      </c>
      <c r="H30" s="5" t="s">
        <v>177</v>
      </c>
      <c r="I30" s="5" t="s">
        <v>37</v>
      </c>
      <c r="J30" s="5" t="s">
        <v>51</v>
      </c>
      <c r="K30" s="5" t="s">
        <v>75</v>
      </c>
      <c r="L30" s="5" t="s">
        <v>30</v>
      </c>
      <c r="M30" s="7" t="str">
        <f t="shared" si="1"/>
        <v>OK</v>
      </c>
      <c r="N30" s="7"/>
      <c r="O30" s="7"/>
      <c r="P30" s="7"/>
      <c r="Q30" s="7"/>
      <c r="R30" s="7"/>
      <c r="S30" s="7"/>
      <c r="T30" s="7"/>
      <c r="U30" s="7"/>
      <c r="V30" s="7"/>
      <c r="W30" s="7"/>
      <c r="X30" s="7"/>
      <c r="Y30" s="7"/>
      <c r="Z30" s="7"/>
    </row>
    <row r="31" ht="15.75" customHeight="1">
      <c r="A31" s="8" t="s">
        <v>179</v>
      </c>
      <c r="B31" s="5" t="s">
        <v>133</v>
      </c>
      <c r="C31" s="5" t="s">
        <v>15</v>
      </c>
      <c r="D31" s="5" t="s">
        <v>180</v>
      </c>
      <c r="E31" s="5" t="s">
        <v>181</v>
      </c>
      <c r="F31" s="5" t="s">
        <v>182</v>
      </c>
      <c r="G31" s="5" t="s">
        <v>183</v>
      </c>
      <c r="H31" s="5" t="s">
        <v>181</v>
      </c>
      <c r="I31" s="5" t="s">
        <v>38</v>
      </c>
      <c r="J31" s="5" t="s">
        <v>74</v>
      </c>
      <c r="K31" s="5" t="s">
        <v>68</v>
      </c>
      <c r="L31" s="5" t="s">
        <v>39</v>
      </c>
      <c r="M31" s="7" t="str">
        <f t="shared" si="1"/>
        <v>OK</v>
      </c>
      <c r="N31" s="7"/>
      <c r="O31" s="7"/>
      <c r="P31" s="7"/>
      <c r="Q31" s="7"/>
      <c r="R31" s="7"/>
      <c r="S31" s="7"/>
      <c r="T31" s="7"/>
      <c r="U31" s="7"/>
      <c r="V31" s="7"/>
      <c r="W31" s="7"/>
      <c r="X31" s="7"/>
      <c r="Y31" s="7"/>
      <c r="Z31" s="7"/>
    </row>
    <row r="32" ht="15.75" customHeight="1">
      <c r="A32" s="8" t="s">
        <v>184</v>
      </c>
      <c r="B32" s="5" t="s">
        <v>133</v>
      </c>
      <c r="C32" s="5" t="s">
        <v>15</v>
      </c>
      <c r="D32" s="5" t="s">
        <v>185</v>
      </c>
      <c r="E32" s="5" t="s">
        <v>186</v>
      </c>
      <c r="F32" s="5" t="s">
        <v>187</v>
      </c>
      <c r="G32" s="5" t="s">
        <v>188</v>
      </c>
      <c r="H32" s="5" t="s">
        <v>189</v>
      </c>
      <c r="I32" s="5" t="s">
        <v>37</v>
      </c>
      <c r="J32" s="5" t="s">
        <v>38</v>
      </c>
      <c r="K32" s="5" t="s">
        <v>75</v>
      </c>
      <c r="L32" s="5" t="s">
        <v>23</v>
      </c>
      <c r="M32" s="7" t="str">
        <f t="shared" si="1"/>
        <v>OK</v>
      </c>
      <c r="N32" s="7"/>
      <c r="O32" s="7"/>
      <c r="P32" s="7"/>
      <c r="Q32" s="7"/>
      <c r="R32" s="7"/>
      <c r="S32" s="7"/>
      <c r="T32" s="7"/>
      <c r="U32" s="7"/>
      <c r="V32" s="7"/>
      <c r="W32" s="7"/>
      <c r="X32" s="7"/>
      <c r="Y32" s="7"/>
      <c r="Z32" s="7"/>
    </row>
    <row r="33" ht="15.75" customHeight="1">
      <c r="A33" s="8" t="s">
        <v>190</v>
      </c>
      <c r="B33" s="5" t="s">
        <v>133</v>
      </c>
      <c r="C33" s="5" t="s">
        <v>15</v>
      </c>
      <c r="D33" s="5" t="s">
        <v>191</v>
      </c>
      <c r="E33" s="5" t="s">
        <v>192</v>
      </c>
      <c r="F33" s="5" t="s">
        <v>193</v>
      </c>
      <c r="G33" s="5" t="s">
        <v>194</v>
      </c>
      <c r="H33" s="5" t="s">
        <v>194</v>
      </c>
      <c r="I33" s="5" t="s">
        <v>20</v>
      </c>
      <c r="J33" s="5" t="s">
        <v>37</v>
      </c>
      <c r="K33" s="5" t="s">
        <v>75</v>
      </c>
      <c r="L33" s="5" t="s">
        <v>22</v>
      </c>
      <c r="M33" s="7" t="str">
        <f t="shared" si="1"/>
        <v>OK</v>
      </c>
      <c r="N33" s="7"/>
      <c r="O33" s="7"/>
      <c r="P33" s="7"/>
      <c r="Q33" s="7"/>
      <c r="R33" s="7"/>
      <c r="S33" s="7"/>
      <c r="T33" s="7"/>
      <c r="U33" s="7"/>
      <c r="V33" s="7"/>
      <c r="W33" s="7"/>
      <c r="X33" s="7"/>
      <c r="Y33" s="7"/>
      <c r="Z33" s="7"/>
    </row>
    <row r="34" ht="15.75" customHeight="1">
      <c r="A34" s="8" t="s">
        <v>195</v>
      </c>
      <c r="B34" s="5" t="s">
        <v>133</v>
      </c>
      <c r="C34" s="5" t="s">
        <v>15</v>
      </c>
      <c r="D34" s="5" t="s">
        <v>196</v>
      </c>
      <c r="E34" s="5" t="s">
        <v>197</v>
      </c>
      <c r="F34" s="5" t="s">
        <v>198</v>
      </c>
      <c r="G34" s="5" t="s">
        <v>199</v>
      </c>
      <c r="H34" s="9" t="s">
        <v>199</v>
      </c>
      <c r="I34" s="5" t="s">
        <v>45</v>
      </c>
      <c r="J34" s="5" t="s">
        <v>51</v>
      </c>
      <c r="K34" s="5" t="s">
        <v>111</v>
      </c>
      <c r="L34" s="5" t="s">
        <v>39</v>
      </c>
      <c r="M34" s="7" t="str">
        <f t="shared" si="1"/>
        <v>OK</v>
      </c>
      <c r="N34" s="7"/>
      <c r="O34" s="7"/>
      <c r="P34" s="7"/>
      <c r="Q34" s="7"/>
      <c r="R34" s="7"/>
      <c r="S34" s="7"/>
      <c r="T34" s="7"/>
      <c r="U34" s="7"/>
      <c r="V34" s="7"/>
      <c r="W34" s="7"/>
      <c r="X34" s="7"/>
      <c r="Y34" s="7"/>
      <c r="Z34" s="7"/>
    </row>
    <row r="35" ht="15.75" customHeight="1">
      <c r="A35" s="8" t="s">
        <v>200</v>
      </c>
      <c r="B35" s="5" t="s">
        <v>133</v>
      </c>
      <c r="C35" s="5" t="s">
        <v>15</v>
      </c>
      <c r="D35" s="5" t="s">
        <v>201</v>
      </c>
      <c r="E35" s="5" t="s">
        <v>202</v>
      </c>
      <c r="F35" s="5" t="s">
        <v>203</v>
      </c>
      <c r="G35" s="5" t="s">
        <v>204</v>
      </c>
      <c r="H35" s="5" t="s">
        <v>203</v>
      </c>
      <c r="I35" s="5" t="s">
        <v>29</v>
      </c>
      <c r="J35" s="5" t="s">
        <v>51</v>
      </c>
      <c r="K35" s="5" t="s">
        <v>23</v>
      </c>
      <c r="L35" s="5" t="s">
        <v>23</v>
      </c>
      <c r="M35" s="7" t="str">
        <f t="shared" si="1"/>
        <v>OK</v>
      </c>
      <c r="N35" s="7"/>
      <c r="O35" s="7"/>
      <c r="P35" s="7"/>
      <c r="Q35" s="7"/>
      <c r="R35" s="7"/>
      <c r="S35" s="7"/>
      <c r="T35" s="7"/>
      <c r="U35" s="7"/>
      <c r="V35" s="7"/>
      <c r="W35" s="7"/>
      <c r="X35" s="7"/>
      <c r="Y35" s="7"/>
      <c r="Z35" s="7"/>
    </row>
    <row r="36" ht="15.75" customHeight="1">
      <c r="A36" s="8" t="s">
        <v>205</v>
      </c>
      <c r="B36" s="5" t="s">
        <v>133</v>
      </c>
      <c r="C36" s="5" t="s">
        <v>15</v>
      </c>
      <c r="D36" s="5" t="s">
        <v>206</v>
      </c>
      <c r="E36" s="5" t="s">
        <v>207</v>
      </c>
      <c r="F36" s="5" t="s">
        <v>208</v>
      </c>
      <c r="G36" s="5" t="s">
        <v>209</v>
      </c>
      <c r="H36" s="5" t="s">
        <v>207</v>
      </c>
      <c r="I36" s="5" t="s">
        <v>51</v>
      </c>
      <c r="J36" s="5" t="s">
        <v>37</v>
      </c>
      <c r="K36" s="5" t="s">
        <v>30</v>
      </c>
      <c r="L36" s="5" t="s">
        <v>22</v>
      </c>
      <c r="M36" s="7" t="str">
        <f t="shared" si="1"/>
        <v>OK</v>
      </c>
      <c r="N36" s="7"/>
      <c r="O36" s="7"/>
      <c r="P36" s="7"/>
      <c r="Q36" s="7"/>
      <c r="R36" s="7"/>
      <c r="S36" s="7"/>
      <c r="T36" s="7"/>
      <c r="U36" s="7"/>
      <c r="V36" s="7"/>
      <c r="W36" s="7"/>
      <c r="X36" s="7"/>
      <c r="Y36" s="7"/>
      <c r="Z36" s="7"/>
    </row>
    <row r="37" ht="15.75" customHeight="1">
      <c r="A37" s="8" t="s">
        <v>210</v>
      </c>
      <c r="B37" s="5" t="s">
        <v>133</v>
      </c>
      <c r="C37" s="5" t="s">
        <v>15</v>
      </c>
      <c r="D37" s="5" t="s">
        <v>211</v>
      </c>
      <c r="E37" s="5" t="s">
        <v>212</v>
      </c>
      <c r="F37" s="5" t="s">
        <v>213</v>
      </c>
      <c r="G37" s="5" t="s">
        <v>214</v>
      </c>
      <c r="H37" s="5" t="s">
        <v>215</v>
      </c>
      <c r="I37" s="5" t="s">
        <v>29</v>
      </c>
      <c r="J37" s="5" t="s">
        <v>45</v>
      </c>
      <c r="K37" s="5" t="s">
        <v>30</v>
      </c>
      <c r="L37" s="5" t="s">
        <v>22</v>
      </c>
      <c r="M37" s="7" t="str">
        <f t="shared" si="1"/>
        <v>OK</v>
      </c>
      <c r="N37" s="7"/>
      <c r="O37" s="7"/>
      <c r="P37" s="7"/>
      <c r="Q37" s="7"/>
      <c r="R37" s="7"/>
      <c r="S37" s="7"/>
      <c r="T37" s="7"/>
      <c r="U37" s="7"/>
      <c r="V37" s="7"/>
      <c r="W37" s="7"/>
      <c r="X37" s="7"/>
      <c r="Y37" s="7"/>
      <c r="Z37" s="7"/>
    </row>
    <row r="38" ht="15.75" customHeight="1">
      <c r="A38" s="8" t="s">
        <v>216</v>
      </c>
      <c r="B38" s="5" t="s">
        <v>133</v>
      </c>
      <c r="C38" s="5" t="s">
        <v>15</v>
      </c>
      <c r="D38" s="5" t="s">
        <v>217</v>
      </c>
      <c r="E38" s="5" t="s">
        <v>218</v>
      </c>
      <c r="F38" s="5" t="s">
        <v>219</v>
      </c>
      <c r="G38" s="5" t="s">
        <v>220</v>
      </c>
      <c r="H38" s="5" t="s">
        <v>220</v>
      </c>
      <c r="I38" s="5" t="s">
        <v>38</v>
      </c>
      <c r="J38" s="5" t="s">
        <v>38</v>
      </c>
      <c r="K38" s="5" t="s">
        <v>52</v>
      </c>
      <c r="L38" s="5" t="s">
        <v>75</v>
      </c>
      <c r="M38" s="7" t="str">
        <f t="shared" si="1"/>
        <v>OK</v>
      </c>
      <c r="N38" s="7"/>
      <c r="O38" s="7"/>
      <c r="P38" s="7"/>
      <c r="Q38" s="7"/>
      <c r="R38" s="7"/>
      <c r="S38" s="7"/>
      <c r="T38" s="7"/>
      <c r="U38" s="7"/>
      <c r="V38" s="7"/>
      <c r="W38" s="7"/>
      <c r="X38" s="7"/>
      <c r="Y38" s="7"/>
      <c r="Z38" s="7"/>
    </row>
    <row r="39" ht="15.75" customHeight="1">
      <c r="A39" s="8" t="s">
        <v>221</v>
      </c>
      <c r="B39" s="5" t="s">
        <v>133</v>
      </c>
      <c r="C39" s="5" t="s">
        <v>15</v>
      </c>
      <c r="D39" s="5" t="s">
        <v>222</v>
      </c>
      <c r="E39" s="5" t="s">
        <v>223</v>
      </c>
      <c r="F39" s="5" t="s">
        <v>224</v>
      </c>
      <c r="G39" s="5" t="s">
        <v>225</v>
      </c>
      <c r="H39" s="5" t="s">
        <v>225</v>
      </c>
      <c r="I39" s="5" t="s">
        <v>45</v>
      </c>
      <c r="J39" s="5" t="s">
        <v>37</v>
      </c>
      <c r="K39" s="5" t="s">
        <v>52</v>
      </c>
      <c r="L39" s="5" t="s">
        <v>39</v>
      </c>
      <c r="M39" s="7" t="str">
        <f t="shared" si="1"/>
        <v>OK</v>
      </c>
      <c r="N39" s="7"/>
      <c r="O39" s="7"/>
      <c r="P39" s="7"/>
      <c r="Q39" s="7"/>
      <c r="R39" s="7"/>
      <c r="S39" s="7"/>
      <c r="T39" s="7"/>
      <c r="U39" s="7"/>
      <c r="V39" s="7"/>
      <c r="W39" s="7"/>
      <c r="X39" s="7"/>
      <c r="Y39" s="7"/>
      <c r="Z39" s="7"/>
    </row>
    <row r="40" ht="15.75" customHeight="1">
      <c r="A40" s="8" t="s">
        <v>226</v>
      </c>
      <c r="B40" s="5" t="s">
        <v>133</v>
      </c>
      <c r="C40" s="5" t="s">
        <v>15</v>
      </c>
      <c r="D40" s="5" t="s">
        <v>227</v>
      </c>
      <c r="E40" s="5" t="s">
        <v>228</v>
      </c>
      <c r="F40" s="5" t="s">
        <v>229</v>
      </c>
      <c r="G40" s="5" t="s">
        <v>230</v>
      </c>
      <c r="H40" s="5" t="s">
        <v>230</v>
      </c>
      <c r="I40" s="5" t="s">
        <v>51</v>
      </c>
      <c r="J40" s="5" t="s">
        <v>38</v>
      </c>
      <c r="K40" s="5" t="s">
        <v>23</v>
      </c>
      <c r="L40" s="5" t="s">
        <v>31</v>
      </c>
      <c r="M40" s="7" t="str">
        <f t="shared" si="1"/>
        <v>OK</v>
      </c>
      <c r="N40" s="7"/>
      <c r="O40" s="7"/>
      <c r="P40" s="7"/>
      <c r="Q40" s="7"/>
      <c r="R40" s="7"/>
      <c r="S40" s="7"/>
      <c r="T40" s="7"/>
      <c r="U40" s="7"/>
      <c r="V40" s="7"/>
      <c r="W40" s="7"/>
      <c r="X40" s="7"/>
      <c r="Y40" s="7"/>
      <c r="Z40" s="7"/>
    </row>
    <row r="41" ht="15.75" customHeight="1">
      <c r="A41" s="8" t="s">
        <v>231</v>
      </c>
      <c r="B41" s="5" t="s">
        <v>133</v>
      </c>
      <c r="C41" s="5" t="s">
        <v>15</v>
      </c>
      <c r="D41" s="5" t="s">
        <v>232</v>
      </c>
      <c r="E41" s="5" t="s">
        <v>233</v>
      </c>
      <c r="F41" s="5" t="s">
        <v>234</v>
      </c>
      <c r="G41" s="5" t="s">
        <v>235</v>
      </c>
      <c r="H41" s="5" t="s">
        <v>235</v>
      </c>
      <c r="I41" s="5" t="s">
        <v>20</v>
      </c>
      <c r="J41" s="5" t="s">
        <v>51</v>
      </c>
      <c r="K41" s="5" t="s">
        <v>52</v>
      </c>
      <c r="L41" s="5" t="s">
        <v>23</v>
      </c>
      <c r="M41" s="7" t="str">
        <f t="shared" si="1"/>
        <v>OK</v>
      </c>
      <c r="N41" s="7"/>
      <c r="O41" s="7"/>
      <c r="P41" s="7"/>
      <c r="Q41" s="7"/>
      <c r="R41" s="7"/>
      <c r="S41" s="7"/>
      <c r="T41" s="7"/>
      <c r="U41" s="7"/>
      <c r="V41" s="7"/>
      <c r="W41" s="7"/>
      <c r="X41" s="7"/>
      <c r="Y41" s="7"/>
      <c r="Z41" s="7"/>
    </row>
    <row r="42" ht="15.75" customHeight="1">
      <c r="A42" s="8" t="s">
        <v>236</v>
      </c>
      <c r="B42" s="5" t="s">
        <v>133</v>
      </c>
      <c r="C42" s="5" t="s">
        <v>15</v>
      </c>
      <c r="D42" s="5" t="s">
        <v>237</v>
      </c>
      <c r="E42" s="5" t="s">
        <v>238</v>
      </c>
      <c r="F42" s="5" t="s">
        <v>239</v>
      </c>
      <c r="G42" s="5" t="s">
        <v>240</v>
      </c>
      <c r="H42" s="5" t="s">
        <v>239</v>
      </c>
      <c r="I42" s="5" t="s">
        <v>51</v>
      </c>
      <c r="J42" s="5" t="s">
        <v>74</v>
      </c>
      <c r="K42" s="5" t="s">
        <v>30</v>
      </c>
      <c r="L42" s="5" t="s">
        <v>22</v>
      </c>
      <c r="M42" s="7" t="str">
        <f t="shared" si="1"/>
        <v>OK</v>
      </c>
      <c r="N42" s="7"/>
      <c r="O42" s="7"/>
      <c r="P42" s="7"/>
      <c r="Q42" s="7"/>
      <c r="R42" s="7"/>
      <c r="S42" s="7"/>
      <c r="T42" s="7"/>
      <c r="U42" s="7"/>
      <c r="V42" s="7"/>
      <c r="W42" s="7"/>
      <c r="X42" s="7"/>
      <c r="Y42" s="7"/>
      <c r="Z42" s="7"/>
    </row>
    <row r="43" ht="15.75" customHeight="1">
      <c r="A43" s="8" t="s">
        <v>241</v>
      </c>
      <c r="B43" s="5" t="s">
        <v>14</v>
      </c>
      <c r="C43" s="5" t="s">
        <v>15</v>
      </c>
      <c r="D43" s="5" t="s">
        <v>242</v>
      </c>
      <c r="E43" s="6" t="s">
        <v>243</v>
      </c>
      <c r="F43" s="6" t="s">
        <v>244</v>
      </c>
      <c r="G43" s="6" t="s">
        <v>245</v>
      </c>
      <c r="H43" s="6" t="s">
        <v>245</v>
      </c>
      <c r="I43" s="5" t="s">
        <v>45</v>
      </c>
      <c r="J43" s="5" t="s">
        <v>38</v>
      </c>
      <c r="K43" s="5" t="s">
        <v>31</v>
      </c>
      <c r="L43" s="5" t="s">
        <v>39</v>
      </c>
      <c r="M43" s="7" t="str">
        <f t="shared" si="1"/>
        <v>OK</v>
      </c>
      <c r="N43" s="7"/>
      <c r="O43" s="7"/>
      <c r="P43" s="7"/>
      <c r="Q43" s="7"/>
      <c r="R43" s="7"/>
      <c r="S43" s="7"/>
      <c r="T43" s="7"/>
      <c r="U43" s="7"/>
      <c r="V43" s="7"/>
      <c r="W43" s="7"/>
      <c r="X43" s="7"/>
      <c r="Y43" s="7"/>
      <c r="Z43" s="7"/>
    </row>
    <row r="44" ht="15.75" customHeight="1">
      <c r="A44" s="8" t="s">
        <v>246</v>
      </c>
      <c r="B44" s="5" t="s">
        <v>14</v>
      </c>
      <c r="C44" s="5" t="s">
        <v>15</v>
      </c>
      <c r="D44" s="5" t="s">
        <v>247</v>
      </c>
      <c r="E44" s="6" t="s">
        <v>248</v>
      </c>
      <c r="F44" s="6" t="s">
        <v>249</v>
      </c>
      <c r="G44" s="6" t="s">
        <v>250</v>
      </c>
      <c r="H44" s="6" t="s">
        <v>250</v>
      </c>
      <c r="I44" s="5" t="s">
        <v>74</v>
      </c>
      <c r="J44" s="5" t="s">
        <v>45</v>
      </c>
      <c r="K44" s="5" t="s">
        <v>30</v>
      </c>
      <c r="L44" s="5" t="s">
        <v>39</v>
      </c>
      <c r="M44" s="7" t="str">
        <f t="shared" si="1"/>
        <v>OK</v>
      </c>
      <c r="N44" s="7"/>
      <c r="O44" s="7"/>
      <c r="P44" s="7"/>
      <c r="Q44" s="7"/>
      <c r="R44" s="7"/>
      <c r="S44" s="7"/>
      <c r="T44" s="7"/>
      <c r="U44" s="7"/>
      <c r="V44" s="7"/>
      <c r="W44" s="7"/>
      <c r="X44" s="7"/>
      <c r="Y44" s="7"/>
      <c r="Z44" s="7"/>
    </row>
    <row r="45" ht="15.75" customHeight="1">
      <c r="A45" s="8" t="s">
        <v>251</v>
      </c>
      <c r="B45" s="5" t="s">
        <v>14</v>
      </c>
      <c r="C45" s="5" t="s">
        <v>15</v>
      </c>
      <c r="D45" s="5" t="s">
        <v>252</v>
      </c>
      <c r="E45" s="6" t="s">
        <v>253</v>
      </c>
      <c r="F45" s="6" t="s">
        <v>254</v>
      </c>
      <c r="G45" s="6" t="s">
        <v>255</v>
      </c>
      <c r="H45" s="6" t="s">
        <v>255</v>
      </c>
      <c r="I45" s="5" t="s">
        <v>38</v>
      </c>
      <c r="J45" s="5" t="s">
        <v>51</v>
      </c>
      <c r="K45" s="5" t="s">
        <v>30</v>
      </c>
      <c r="L45" s="5" t="s">
        <v>39</v>
      </c>
      <c r="M45" s="7" t="str">
        <f t="shared" si="1"/>
        <v>OK</v>
      </c>
      <c r="N45" s="7"/>
      <c r="O45" s="7"/>
      <c r="P45" s="7"/>
      <c r="Q45" s="7"/>
      <c r="R45" s="7"/>
      <c r="S45" s="7"/>
      <c r="T45" s="7"/>
      <c r="U45" s="7"/>
      <c r="V45" s="7"/>
      <c r="W45" s="7"/>
      <c r="X45" s="7"/>
      <c r="Y45" s="7"/>
      <c r="Z45" s="7"/>
    </row>
    <row r="46" ht="15.75" customHeight="1">
      <c r="A46" s="8" t="s">
        <v>256</v>
      </c>
      <c r="B46" s="5" t="s">
        <v>14</v>
      </c>
      <c r="C46" s="5" t="s">
        <v>15</v>
      </c>
      <c r="D46" s="5" t="s">
        <v>257</v>
      </c>
      <c r="E46" s="6" t="s">
        <v>258</v>
      </c>
      <c r="F46" s="6" t="s">
        <v>259</v>
      </c>
      <c r="G46" s="6" t="s">
        <v>260</v>
      </c>
      <c r="H46" s="6" t="s">
        <v>260</v>
      </c>
      <c r="I46" s="5" t="s">
        <v>45</v>
      </c>
      <c r="J46" s="5" t="s">
        <v>20</v>
      </c>
      <c r="K46" s="5" t="s">
        <v>39</v>
      </c>
      <c r="L46" s="5" t="s">
        <v>31</v>
      </c>
      <c r="M46" s="7" t="str">
        <f t="shared" si="1"/>
        <v>OK</v>
      </c>
      <c r="N46" s="7"/>
      <c r="O46" s="7"/>
      <c r="P46" s="7"/>
      <c r="Q46" s="7"/>
      <c r="R46" s="7"/>
      <c r="S46" s="7"/>
      <c r="T46" s="7"/>
      <c r="U46" s="7"/>
      <c r="V46" s="7"/>
      <c r="W46" s="7"/>
      <c r="X46" s="7"/>
      <c r="Y46" s="7"/>
      <c r="Z46" s="7"/>
    </row>
    <row r="47" ht="15.75" customHeight="1">
      <c r="A47" s="8" t="s">
        <v>261</v>
      </c>
      <c r="B47" s="5" t="s">
        <v>14</v>
      </c>
      <c r="C47" s="5" t="s">
        <v>15</v>
      </c>
      <c r="D47" s="5" t="s">
        <v>262</v>
      </c>
      <c r="E47" s="6" t="s">
        <v>263</v>
      </c>
      <c r="F47" s="6" t="s">
        <v>264</v>
      </c>
      <c r="G47" s="6" t="s">
        <v>265</v>
      </c>
      <c r="H47" s="6" t="s">
        <v>264</v>
      </c>
      <c r="I47" s="5" t="s">
        <v>45</v>
      </c>
      <c r="J47" s="5" t="s">
        <v>38</v>
      </c>
      <c r="K47" s="5" t="s">
        <v>39</v>
      </c>
      <c r="L47" s="5" t="s">
        <v>23</v>
      </c>
      <c r="M47" s="7" t="str">
        <f t="shared" si="1"/>
        <v>OK</v>
      </c>
      <c r="N47" s="7"/>
      <c r="O47" s="7"/>
      <c r="P47" s="7"/>
      <c r="Q47" s="7"/>
      <c r="R47" s="7"/>
      <c r="S47" s="7"/>
      <c r="T47" s="7"/>
      <c r="U47" s="7"/>
      <c r="V47" s="7"/>
      <c r="W47" s="7"/>
      <c r="X47" s="7"/>
      <c r="Y47" s="7"/>
      <c r="Z47" s="7"/>
    </row>
    <row r="48" ht="15.75" customHeight="1">
      <c r="A48" s="8" t="s">
        <v>266</v>
      </c>
      <c r="B48" s="5" t="s">
        <v>14</v>
      </c>
      <c r="C48" s="5" t="s">
        <v>15</v>
      </c>
      <c r="D48" s="5" t="s">
        <v>267</v>
      </c>
      <c r="E48" s="6" t="s">
        <v>268</v>
      </c>
      <c r="F48" s="6" t="s">
        <v>269</v>
      </c>
      <c r="G48" s="6" t="s">
        <v>270</v>
      </c>
      <c r="H48" s="6" t="s">
        <v>269</v>
      </c>
      <c r="I48" s="5" t="s">
        <v>38</v>
      </c>
      <c r="J48" s="5" t="s">
        <v>51</v>
      </c>
      <c r="K48" s="5" t="s">
        <v>23</v>
      </c>
      <c r="L48" s="5" t="s">
        <v>31</v>
      </c>
      <c r="M48" s="7" t="str">
        <f t="shared" si="1"/>
        <v>OK</v>
      </c>
      <c r="N48" s="7"/>
      <c r="O48" s="7"/>
      <c r="P48" s="7"/>
      <c r="Q48" s="7"/>
      <c r="R48" s="7"/>
      <c r="S48" s="7"/>
      <c r="T48" s="7"/>
      <c r="U48" s="7"/>
      <c r="V48" s="7"/>
      <c r="W48" s="7"/>
      <c r="X48" s="7"/>
      <c r="Y48" s="7"/>
      <c r="Z48" s="7"/>
    </row>
    <row r="49" ht="15.75" customHeight="1">
      <c r="A49" s="8" t="s">
        <v>271</v>
      </c>
      <c r="B49" s="5" t="s">
        <v>14</v>
      </c>
      <c r="C49" s="5" t="s">
        <v>15</v>
      </c>
      <c r="D49" s="5" t="s">
        <v>272</v>
      </c>
      <c r="E49" s="6" t="s">
        <v>273</v>
      </c>
      <c r="F49" s="6" t="s">
        <v>274</v>
      </c>
      <c r="G49" s="6" t="s">
        <v>275</v>
      </c>
      <c r="H49" s="6" t="s">
        <v>273</v>
      </c>
      <c r="I49" s="5" t="s">
        <v>74</v>
      </c>
      <c r="J49" s="5" t="s">
        <v>20</v>
      </c>
      <c r="K49" s="5" t="s">
        <v>68</v>
      </c>
      <c r="L49" s="5" t="s">
        <v>39</v>
      </c>
      <c r="M49" s="7" t="str">
        <f t="shared" si="1"/>
        <v>OK</v>
      </c>
      <c r="N49" s="7"/>
      <c r="O49" s="7"/>
      <c r="P49" s="7"/>
      <c r="Q49" s="7"/>
      <c r="R49" s="7"/>
      <c r="S49" s="7"/>
      <c r="T49" s="7"/>
      <c r="U49" s="7"/>
      <c r="V49" s="7"/>
      <c r="W49" s="7"/>
      <c r="X49" s="7"/>
      <c r="Y49" s="7"/>
      <c r="Z49" s="7"/>
    </row>
    <row r="50" ht="15.75" customHeight="1">
      <c r="A50" s="8" t="s">
        <v>276</v>
      </c>
      <c r="B50" s="5" t="s">
        <v>14</v>
      </c>
      <c r="C50" s="5" t="s">
        <v>15</v>
      </c>
      <c r="D50" s="5" t="s">
        <v>277</v>
      </c>
      <c r="E50" s="6" t="s">
        <v>278</v>
      </c>
      <c r="F50" s="6" t="s">
        <v>279</v>
      </c>
      <c r="G50" s="6" t="s">
        <v>280</v>
      </c>
      <c r="H50" s="5" t="s">
        <v>278</v>
      </c>
      <c r="I50" s="5" t="s">
        <v>38</v>
      </c>
      <c r="J50" s="5" t="s">
        <v>21</v>
      </c>
      <c r="K50" s="5" t="s">
        <v>23</v>
      </c>
      <c r="L50" s="5" t="s">
        <v>39</v>
      </c>
      <c r="M50" s="7" t="str">
        <f t="shared" si="1"/>
        <v>OK</v>
      </c>
      <c r="N50" s="7"/>
      <c r="O50" s="7"/>
      <c r="P50" s="7"/>
      <c r="Q50" s="7"/>
      <c r="R50" s="7"/>
      <c r="S50" s="7"/>
      <c r="T50" s="7"/>
      <c r="U50" s="7"/>
      <c r="V50" s="7"/>
      <c r="W50" s="7"/>
      <c r="X50" s="7"/>
      <c r="Y50" s="7"/>
      <c r="Z50" s="7"/>
    </row>
    <row r="51" ht="38.25" customHeight="1">
      <c r="A51" s="8" t="s">
        <v>281</v>
      </c>
      <c r="B51" s="5" t="s">
        <v>14</v>
      </c>
      <c r="C51" s="5" t="s">
        <v>15</v>
      </c>
      <c r="D51" s="5" t="s">
        <v>282</v>
      </c>
      <c r="E51" s="6" t="s">
        <v>283</v>
      </c>
      <c r="F51" s="6" t="s">
        <v>284</v>
      </c>
      <c r="G51" s="6" t="s">
        <v>285</v>
      </c>
      <c r="H51" s="6" t="s">
        <v>283</v>
      </c>
      <c r="I51" s="5" t="s">
        <v>45</v>
      </c>
      <c r="J51" s="5" t="s">
        <v>38</v>
      </c>
      <c r="K51" s="5" t="s">
        <v>22</v>
      </c>
      <c r="L51" s="5" t="s">
        <v>39</v>
      </c>
      <c r="M51" s="7" t="str">
        <f t="shared" si="1"/>
        <v>OK</v>
      </c>
      <c r="N51" s="7"/>
      <c r="O51" s="7"/>
      <c r="P51" s="7"/>
      <c r="Q51" s="7"/>
      <c r="R51" s="7"/>
      <c r="S51" s="7"/>
      <c r="T51" s="7"/>
      <c r="U51" s="7"/>
      <c r="V51" s="7"/>
      <c r="W51" s="7"/>
      <c r="X51" s="7"/>
      <c r="Y51" s="7"/>
      <c r="Z51" s="7"/>
    </row>
    <row r="52" ht="15.75" customHeight="1">
      <c r="A52" s="8" t="s">
        <v>286</v>
      </c>
      <c r="B52" s="5" t="s">
        <v>14</v>
      </c>
      <c r="C52" s="5" t="s">
        <v>15</v>
      </c>
      <c r="D52" s="5" t="s">
        <v>287</v>
      </c>
      <c r="E52" s="6" t="s">
        <v>288</v>
      </c>
      <c r="F52" s="6" t="s">
        <v>289</v>
      </c>
      <c r="G52" s="6" t="s">
        <v>290</v>
      </c>
      <c r="H52" s="6" t="s">
        <v>290</v>
      </c>
      <c r="I52" s="5" t="s">
        <v>38</v>
      </c>
      <c r="J52" s="5" t="s">
        <v>51</v>
      </c>
      <c r="K52" s="5" t="s">
        <v>31</v>
      </c>
      <c r="L52" s="5" t="s">
        <v>68</v>
      </c>
      <c r="M52" s="7" t="str">
        <f t="shared" si="1"/>
        <v>OK</v>
      </c>
      <c r="N52" s="7"/>
      <c r="O52" s="7"/>
      <c r="P52" s="7"/>
      <c r="Q52" s="7"/>
      <c r="R52" s="7"/>
      <c r="S52" s="7"/>
      <c r="T52" s="7"/>
      <c r="U52" s="7"/>
      <c r="V52" s="7"/>
      <c r="W52" s="7"/>
      <c r="X52" s="7"/>
      <c r="Y52" s="7"/>
      <c r="Z52" s="7"/>
    </row>
    <row r="53" ht="15.75" customHeight="1">
      <c r="A53" s="8" t="s">
        <v>291</v>
      </c>
      <c r="B53" s="5" t="s">
        <v>14</v>
      </c>
      <c r="C53" s="5" t="s">
        <v>15</v>
      </c>
      <c r="D53" s="5" t="s">
        <v>292</v>
      </c>
      <c r="E53" s="5" t="s">
        <v>293</v>
      </c>
      <c r="F53" s="5" t="s">
        <v>294</v>
      </c>
      <c r="G53" s="6" t="s">
        <v>295</v>
      </c>
      <c r="H53" s="5" t="s">
        <v>295</v>
      </c>
      <c r="I53" s="5" t="s">
        <v>74</v>
      </c>
      <c r="J53" s="5" t="s">
        <v>45</v>
      </c>
      <c r="K53" s="5" t="s">
        <v>30</v>
      </c>
      <c r="L53" s="5" t="s">
        <v>23</v>
      </c>
      <c r="M53" s="7" t="str">
        <f t="shared" si="1"/>
        <v>OK</v>
      </c>
      <c r="N53" s="7"/>
      <c r="O53" s="7"/>
      <c r="P53" s="7"/>
      <c r="Q53" s="7"/>
      <c r="R53" s="7"/>
      <c r="S53" s="7"/>
      <c r="T53" s="7"/>
      <c r="U53" s="7"/>
      <c r="V53" s="7"/>
      <c r="W53" s="7"/>
      <c r="X53" s="7"/>
      <c r="Y53" s="7"/>
      <c r="Z53" s="7"/>
    </row>
    <row r="54" ht="15.75" customHeight="1">
      <c r="A54" s="8" t="s">
        <v>296</v>
      </c>
      <c r="B54" s="5" t="s">
        <v>14</v>
      </c>
      <c r="C54" s="5" t="s">
        <v>15</v>
      </c>
      <c r="D54" s="5" t="s">
        <v>297</v>
      </c>
      <c r="E54" s="6" t="s">
        <v>298</v>
      </c>
      <c r="F54" s="5" t="s">
        <v>299</v>
      </c>
      <c r="G54" s="5" t="s">
        <v>300</v>
      </c>
      <c r="H54" s="5" t="s">
        <v>300</v>
      </c>
      <c r="I54" s="5" t="s">
        <v>37</v>
      </c>
      <c r="J54" s="5" t="s">
        <v>21</v>
      </c>
      <c r="K54" s="5" t="s">
        <v>23</v>
      </c>
      <c r="L54" s="5" t="s">
        <v>39</v>
      </c>
      <c r="M54" s="7" t="str">
        <f t="shared" si="1"/>
        <v>OK</v>
      </c>
      <c r="N54" s="7"/>
      <c r="O54" s="7"/>
      <c r="P54" s="7"/>
      <c r="Q54" s="7"/>
      <c r="R54" s="7"/>
      <c r="S54" s="7"/>
      <c r="T54" s="7"/>
      <c r="U54" s="7"/>
      <c r="V54" s="7"/>
      <c r="W54" s="7"/>
      <c r="X54" s="7"/>
      <c r="Y54" s="7"/>
      <c r="Z54" s="7"/>
    </row>
    <row r="55" ht="15.75" customHeight="1">
      <c r="A55" s="8" t="s">
        <v>301</v>
      </c>
      <c r="B55" s="5" t="s">
        <v>14</v>
      </c>
      <c r="C55" s="5" t="s">
        <v>15</v>
      </c>
      <c r="D55" s="5" t="s">
        <v>302</v>
      </c>
      <c r="E55" s="6" t="s">
        <v>303</v>
      </c>
      <c r="F55" s="6" t="s">
        <v>304</v>
      </c>
      <c r="G55" s="6" t="s">
        <v>305</v>
      </c>
      <c r="H55" s="6" t="s">
        <v>303</v>
      </c>
      <c r="I55" s="5" t="s">
        <v>45</v>
      </c>
      <c r="J55" s="5" t="s">
        <v>20</v>
      </c>
      <c r="K55" s="5" t="s">
        <v>23</v>
      </c>
      <c r="L55" s="5" t="s">
        <v>31</v>
      </c>
      <c r="M55" s="7" t="str">
        <f t="shared" si="1"/>
        <v>OK</v>
      </c>
      <c r="N55" s="7"/>
      <c r="O55" s="7"/>
      <c r="P55" s="7"/>
      <c r="Q55" s="7"/>
      <c r="R55" s="7"/>
      <c r="S55" s="7"/>
      <c r="T55" s="7"/>
      <c r="U55" s="7"/>
      <c r="V55" s="7"/>
      <c r="W55" s="7"/>
      <c r="X55" s="7"/>
      <c r="Y55" s="7"/>
      <c r="Z55" s="7"/>
    </row>
    <row r="56" ht="15.75" customHeight="1">
      <c r="A56" s="8" t="s">
        <v>306</v>
      </c>
      <c r="B56" s="5" t="s">
        <v>14</v>
      </c>
      <c r="C56" s="5" t="s">
        <v>15</v>
      </c>
      <c r="D56" s="5" t="s">
        <v>307</v>
      </c>
      <c r="E56" s="5" t="s">
        <v>308</v>
      </c>
      <c r="F56" s="5" t="s">
        <v>309</v>
      </c>
      <c r="G56" s="5" t="s">
        <v>310</v>
      </c>
      <c r="H56" s="5" t="s">
        <v>309</v>
      </c>
      <c r="I56" s="5" t="s">
        <v>51</v>
      </c>
      <c r="J56" s="5" t="s">
        <v>37</v>
      </c>
      <c r="K56" s="5" t="s">
        <v>30</v>
      </c>
      <c r="L56" s="5" t="s">
        <v>22</v>
      </c>
      <c r="M56" s="7" t="str">
        <f t="shared" si="1"/>
        <v>OK</v>
      </c>
      <c r="N56" s="7"/>
      <c r="O56" s="7"/>
      <c r="P56" s="7"/>
      <c r="Q56" s="7"/>
      <c r="R56" s="7"/>
      <c r="S56" s="7"/>
      <c r="T56" s="7"/>
      <c r="U56" s="7"/>
      <c r="V56" s="7"/>
      <c r="W56" s="7"/>
      <c r="X56" s="7"/>
      <c r="Y56" s="7"/>
      <c r="Z56" s="7"/>
    </row>
    <row r="57" ht="15.75" customHeight="1">
      <c r="A57" s="8" t="s">
        <v>311</v>
      </c>
      <c r="B57" s="5" t="s">
        <v>14</v>
      </c>
      <c r="C57" s="5" t="s">
        <v>15</v>
      </c>
      <c r="D57" s="5" t="s">
        <v>312</v>
      </c>
      <c r="E57" s="5" t="s">
        <v>313</v>
      </c>
      <c r="F57" s="5" t="s">
        <v>314</v>
      </c>
      <c r="G57" s="5" t="s">
        <v>315</v>
      </c>
      <c r="H57" s="5" t="s">
        <v>314</v>
      </c>
      <c r="I57" s="5" t="s">
        <v>51</v>
      </c>
      <c r="J57" s="5" t="s">
        <v>38</v>
      </c>
      <c r="K57" s="5" t="s">
        <v>31</v>
      </c>
      <c r="L57" s="5" t="s">
        <v>23</v>
      </c>
      <c r="M57" s="7" t="str">
        <f t="shared" si="1"/>
        <v>OK</v>
      </c>
      <c r="N57" s="7"/>
      <c r="O57" s="7"/>
      <c r="P57" s="7"/>
      <c r="Q57" s="7"/>
      <c r="R57" s="7"/>
      <c r="S57" s="7"/>
      <c r="T57" s="7"/>
      <c r="U57" s="7"/>
      <c r="V57" s="7"/>
      <c r="W57" s="7"/>
      <c r="X57" s="7"/>
      <c r="Y57" s="7"/>
      <c r="Z57" s="7"/>
    </row>
    <row r="58" ht="15.75" customHeight="1">
      <c r="A58" s="8" t="s">
        <v>316</v>
      </c>
      <c r="B58" s="5" t="s">
        <v>14</v>
      </c>
      <c r="C58" s="5" t="s">
        <v>15</v>
      </c>
      <c r="D58" s="5" t="s">
        <v>317</v>
      </c>
      <c r="E58" s="5" t="s">
        <v>318</v>
      </c>
      <c r="F58" s="5" t="s">
        <v>319</v>
      </c>
      <c r="G58" s="5" t="s">
        <v>320</v>
      </c>
      <c r="H58" s="5" t="s">
        <v>318</v>
      </c>
      <c r="I58" s="5" t="s">
        <v>74</v>
      </c>
      <c r="J58" s="5" t="s">
        <v>45</v>
      </c>
      <c r="K58" s="5" t="s">
        <v>75</v>
      </c>
      <c r="L58" s="5" t="s">
        <v>39</v>
      </c>
      <c r="M58" s="7" t="str">
        <f t="shared" si="1"/>
        <v>OK</v>
      </c>
      <c r="N58" s="7"/>
      <c r="O58" s="7"/>
      <c r="P58" s="7"/>
      <c r="Q58" s="7"/>
      <c r="R58" s="7"/>
      <c r="S58" s="7"/>
      <c r="T58" s="7"/>
      <c r="U58" s="7"/>
      <c r="V58" s="7"/>
      <c r="W58" s="7"/>
      <c r="X58" s="7"/>
      <c r="Y58" s="7"/>
      <c r="Z58" s="7"/>
    </row>
    <row r="59" ht="15.75" customHeight="1">
      <c r="A59" s="8" t="s">
        <v>321</v>
      </c>
      <c r="B59" s="5" t="s">
        <v>14</v>
      </c>
      <c r="C59" s="5" t="s">
        <v>15</v>
      </c>
      <c r="D59" s="5" t="s">
        <v>322</v>
      </c>
      <c r="E59" s="5" t="s">
        <v>323</v>
      </c>
      <c r="F59" s="6" t="s">
        <v>324</v>
      </c>
      <c r="G59" s="5" t="s">
        <v>325</v>
      </c>
      <c r="H59" s="5" t="s">
        <v>323</v>
      </c>
      <c r="I59" s="5" t="s">
        <v>29</v>
      </c>
      <c r="J59" s="5" t="s">
        <v>51</v>
      </c>
      <c r="K59" s="5" t="s">
        <v>52</v>
      </c>
      <c r="L59" s="5" t="s">
        <v>22</v>
      </c>
      <c r="M59" s="7" t="str">
        <f t="shared" si="1"/>
        <v>OK</v>
      </c>
      <c r="N59" s="7"/>
      <c r="O59" s="7"/>
      <c r="P59" s="7"/>
      <c r="Q59" s="7"/>
      <c r="R59" s="7"/>
      <c r="S59" s="7"/>
      <c r="T59" s="7"/>
      <c r="U59" s="7"/>
      <c r="V59" s="7"/>
      <c r="W59" s="7"/>
      <c r="X59" s="7"/>
      <c r="Y59" s="7"/>
      <c r="Z59" s="7"/>
    </row>
    <row r="60" ht="15.75" customHeight="1">
      <c r="A60" s="8" t="s">
        <v>326</v>
      </c>
      <c r="B60" s="5" t="s">
        <v>14</v>
      </c>
      <c r="C60" s="5" t="s">
        <v>15</v>
      </c>
      <c r="D60" s="5" t="s">
        <v>327</v>
      </c>
      <c r="E60" s="5" t="s">
        <v>328</v>
      </c>
      <c r="F60" s="5" t="s">
        <v>329</v>
      </c>
      <c r="G60" s="5" t="s">
        <v>330</v>
      </c>
      <c r="H60" s="5" t="s">
        <v>328</v>
      </c>
      <c r="I60" s="5" t="s">
        <v>38</v>
      </c>
      <c r="J60" s="5" t="s">
        <v>37</v>
      </c>
      <c r="K60" s="5" t="s">
        <v>31</v>
      </c>
      <c r="L60" s="5" t="s">
        <v>30</v>
      </c>
      <c r="M60" s="7" t="str">
        <f t="shared" si="1"/>
        <v>OK</v>
      </c>
      <c r="N60" s="7"/>
      <c r="O60" s="7"/>
      <c r="P60" s="7"/>
      <c r="Q60" s="7"/>
      <c r="R60" s="7"/>
      <c r="S60" s="7"/>
      <c r="T60" s="7"/>
      <c r="U60" s="7"/>
      <c r="V60" s="7"/>
      <c r="W60" s="7"/>
      <c r="X60" s="7"/>
      <c r="Y60" s="7"/>
      <c r="Z60" s="7"/>
    </row>
    <row r="61" ht="15.75" customHeight="1">
      <c r="A61" s="8" t="s">
        <v>331</v>
      </c>
      <c r="B61" s="5" t="s">
        <v>14</v>
      </c>
      <c r="C61" s="5" t="s">
        <v>15</v>
      </c>
      <c r="D61" s="5" t="s">
        <v>332</v>
      </c>
      <c r="E61" s="5" t="s">
        <v>333</v>
      </c>
      <c r="F61" s="5" t="s">
        <v>334</v>
      </c>
      <c r="G61" s="5" t="s">
        <v>335</v>
      </c>
      <c r="H61" s="5" t="s">
        <v>333</v>
      </c>
      <c r="I61" s="5" t="s">
        <v>37</v>
      </c>
      <c r="J61" s="5" t="s">
        <v>20</v>
      </c>
      <c r="K61" s="5" t="s">
        <v>30</v>
      </c>
      <c r="L61" s="5" t="s">
        <v>22</v>
      </c>
      <c r="M61" s="7" t="str">
        <f t="shared" si="1"/>
        <v>OK</v>
      </c>
      <c r="N61" s="7"/>
      <c r="O61" s="7"/>
      <c r="P61" s="7"/>
      <c r="Q61" s="7"/>
      <c r="R61" s="7"/>
      <c r="S61" s="7"/>
      <c r="T61" s="7"/>
      <c r="U61" s="7"/>
      <c r="V61" s="7"/>
      <c r="W61" s="7"/>
      <c r="X61" s="7"/>
      <c r="Y61" s="7"/>
      <c r="Z61" s="7"/>
    </row>
    <row r="62" ht="15.75" customHeight="1">
      <c r="A62" s="8" t="s">
        <v>336</v>
      </c>
      <c r="B62" s="5" t="s">
        <v>14</v>
      </c>
      <c r="C62" s="5" t="s">
        <v>15</v>
      </c>
      <c r="D62" s="5" t="s">
        <v>337</v>
      </c>
      <c r="E62" s="5" t="s">
        <v>338</v>
      </c>
      <c r="F62" s="5" t="s">
        <v>339</v>
      </c>
      <c r="G62" s="5" t="s">
        <v>340</v>
      </c>
      <c r="H62" s="5" t="s">
        <v>338</v>
      </c>
      <c r="I62" s="5" t="s">
        <v>38</v>
      </c>
      <c r="J62" s="5" t="s">
        <v>20</v>
      </c>
      <c r="K62" s="5" t="s">
        <v>68</v>
      </c>
      <c r="L62" s="5" t="s">
        <v>30</v>
      </c>
      <c r="M62" s="7" t="str">
        <f t="shared" si="1"/>
        <v>OK</v>
      </c>
      <c r="N62" s="7"/>
      <c r="O62" s="7"/>
      <c r="P62" s="7"/>
      <c r="Q62" s="7"/>
      <c r="R62" s="7"/>
      <c r="S62" s="7"/>
      <c r="T62" s="7"/>
      <c r="U62" s="7"/>
      <c r="V62" s="7"/>
      <c r="W62" s="7"/>
      <c r="X62" s="7"/>
      <c r="Y62" s="7"/>
      <c r="Z62" s="7"/>
    </row>
    <row r="63" ht="15.75" customHeight="1">
      <c r="A63" s="8" t="s">
        <v>341</v>
      </c>
      <c r="B63" s="5" t="s">
        <v>14</v>
      </c>
      <c r="C63" s="5" t="s">
        <v>15</v>
      </c>
      <c r="D63" s="5" t="s">
        <v>342</v>
      </c>
      <c r="E63" s="5" t="s">
        <v>343</v>
      </c>
      <c r="F63" s="5" t="s">
        <v>344</v>
      </c>
      <c r="G63" s="5" t="s">
        <v>345</v>
      </c>
      <c r="H63" s="5" t="s">
        <v>343</v>
      </c>
      <c r="I63" s="5" t="s">
        <v>20</v>
      </c>
      <c r="J63" s="5" t="s">
        <v>38</v>
      </c>
      <c r="K63" s="5" t="s">
        <v>75</v>
      </c>
      <c r="L63" s="5" t="s">
        <v>23</v>
      </c>
      <c r="M63" s="7" t="str">
        <f t="shared" si="1"/>
        <v>OK</v>
      </c>
      <c r="N63" s="7"/>
      <c r="O63" s="7"/>
      <c r="P63" s="7"/>
      <c r="Q63" s="7"/>
      <c r="R63" s="7"/>
      <c r="S63" s="7"/>
      <c r="T63" s="7"/>
      <c r="U63" s="7"/>
      <c r="V63" s="7"/>
      <c r="W63" s="7"/>
      <c r="X63" s="7"/>
      <c r="Y63" s="7"/>
      <c r="Z63" s="7"/>
    </row>
    <row r="64" ht="15.75" customHeight="1">
      <c r="A64" s="8" t="s">
        <v>346</v>
      </c>
      <c r="B64" s="5" t="s">
        <v>14</v>
      </c>
      <c r="C64" s="5" t="s">
        <v>15</v>
      </c>
      <c r="D64" s="5" t="s">
        <v>347</v>
      </c>
      <c r="E64" s="5" t="s">
        <v>348</v>
      </c>
      <c r="F64" s="5" t="s">
        <v>349</v>
      </c>
      <c r="G64" s="5" t="s">
        <v>350</v>
      </c>
      <c r="H64" s="5" t="s">
        <v>348</v>
      </c>
      <c r="I64" s="5" t="s">
        <v>37</v>
      </c>
      <c r="J64" s="5" t="s">
        <v>51</v>
      </c>
      <c r="K64" s="5" t="s">
        <v>22</v>
      </c>
      <c r="L64" s="5" t="s">
        <v>68</v>
      </c>
      <c r="M64" s="7" t="str">
        <f t="shared" si="1"/>
        <v>OK</v>
      </c>
      <c r="N64" s="7"/>
      <c r="O64" s="7"/>
      <c r="P64" s="7"/>
      <c r="Q64" s="7"/>
      <c r="R64" s="7"/>
      <c r="S64" s="7"/>
      <c r="T64" s="7"/>
      <c r="U64" s="7"/>
      <c r="V64" s="7"/>
      <c r="W64" s="7"/>
      <c r="X64" s="7"/>
      <c r="Y64" s="7"/>
      <c r="Z64" s="7"/>
    </row>
    <row r="65" ht="15.75" customHeight="1">
      <c r="A65" s="8" t="s">
        <v>351</v>
      </c>
      <c r="B65" s="5" t="s">
        <v>14</v>
      </c>
      <c r="C65" s="5" t="s">
        <v>15</v>
      </c>
      <c r="D65" s="5" t="s">
        <v>352</v>
      </c>
      <c r="E65" s="5" t="s">
        <v>334</v>
      </c>
      <c r="F65" s="5" t="s">
        <v>353</v>
      </c>
      <c r="G65" s="5" t="s">
        <v>354</v>
      </c>
      <c r="H65" s="5" t="s">
        <v>334</v>
      </c>
      <c r="I65" s="5" t="s">
        <v>37</v>
      </c>
      <c r="J65" s="5" t="s">
        <v>38</v>
      </c>
      <c r="K65" s="5" t="s">
        <v>30</v>
      </c>
      <c r="L65" s="5" t="s">
        <v>39</v>
      </c>
      <c r="M65" s="7" t="str">
        <f t="shared" si="1"/>
        <v>OK</v>
      </c>
      <c r="N65" s="7"/>
      <c r="O65" s="7"/>
      <c r="P65" s="7"/>
      <c r="Q65" s="7"/>
      <c r="R65" s="7"/>
      <c r="S65" s="7"/>
      <c r="T65" s="7"/>
      <c r="U65" s="7"/>
      <c r="V65" s="7"/>
      <c r="W65" s="7"/>
      <c r="X65" s="7"/>
      <c r="Y65" s="7"/>
      <c r="Z65" s="7"/>
    </row>
    <row r="66" ht="15.75" customHeight="1">
      <c r="A66" s="8" t="s">
        <v>355</v>
      </c>
      <c r="B66" s="5" t="s">
        <v>14</v>
      </c>
      <c r="C66" s="5" t="s">
        <v>15</v>
      </c>
      <c r="D66" s="5" t="s">
        <v>356</v>
      </c>
      <c r="E66" s="5" t="s">
        <v>357</v>
      </c>
      <c r="F66" s="5" t="s">
        <v>358</v>
      </c>
      <c r="G66" s="5" t="s">
        <v>359</v>
      </c>
      <c r="H66" s="5" t="s">
        <v>359</v>
      </c>
      <c r="I66" s="5" t="s">
        <v>38</v>
      </c>
      <c r="J66" s="5" t="s">
        <v>37</v>
      </c>
      <c r="K66" s="5" t="s">
        <v>23</v>
      </c>
      <c r="L66" s="5" t="s">
        <v>75</v>
      </c>
      <c r="M66" s="7" t="str">
        <f t="shared" si="1"/>
        <v>OK</v>
      </c>
      <c r="N66" s="7"/>
      <c r="O66" s="7"/>
      <c r="P66" s="7"/>
      <c r="Q66" s="7"/>
      <c r="R66" s="7"/>
      <c r="S66" s="7"/>
      <c r="T66" s="7"/>
      <c r="U66" s="7"/>
      <c r="V66" s="7"/>
      <c r="W66" s="7"/>
      <c r="X66" s="7"/>
      <c r="Y66" s="7"/>
      <c r="Z66" s="7"/>
    </row>
    <row r="67" ht="15.75" customHeight="1">
      <c r="A67" s="8" t="s">
        <v>360</v>
      </c>
      <c r="B67" s="5" t="s">
        <v>14</v>
      </c>
      <c r="C67" s="5" t="s">
        <v>15</v>
      </c>
      <c r="D67" s="5" t="s">
        <v>361</v>
      </c>
      <c r="E67" s="5" t="s">
        <v>362</v>
      </c>
      <c r="F67" s="5" t="s">
        <v>363</v>
      </c>
      <c r="G67" s="5" t="s">
        <v>364</v>
      </c>
      <c r="H67" s="5" t="s">
        <v>364</v>
      </c>
      <c r="I67" s="5" t="s">
        <v>38</v>
      </c>
      <c r="J67" s="5" t="s">
        <v>37</v>
      </c>
      <c r="K67" s="5" t="s">
        <v>68</v>
      </c>
      <c r="L67" s="5" t="s">
        <v>39</v>
      </c>
      <c r="M67" s="7" t="str">
        <f t="shared" si="1"/>
        <v>OK</v>
      </c>
      <c r="N67" s="7"/>
      <c r="O67" s="7"/>
      <c r="P67" s="7"/>
      <c r="Q67" s="7"/>
      <c r="R67" s="7"/>
      <c r="S67" s="7"/>
      <c r="T67" s="7"/>
      <c r="U67" s="7"/>
      <c r="V67" s="7"/>
      <c r="W67" s="7"/>
      <c r="X67" s="7"/>
      <c r="Y67" s="7"/>
      <c r="Z67" s="7"/>
    </row>
    <row r="68" ht="15.75" customHeight="1">
      <c r="A68" s="8" t="s">
        <v>365</v>
      </c>
      <c r="B68" s="5" t="s">
        <v>14</v>
      </c>
      <c r="C68" s="5" t="s">
        <v>15</v>
      </c>
      <c r="D68" s="5" t="s">
        <v>366</v>
      </c>
      <c r="E68" s="5" t="s">
        <v>367</v>
      </c>
      <c r="F68" s="5" t="s">
        <v>368</v>
      </c>
      <c r="G68" s="5" t="s">
        <v>369</v>
      </c>
      <c r="H68" s="5" t="s">
        <v>369</v>
      </c>
      <c r="I68" s="5" t="s">
        <v>45</v>
      </c>
      <c r="J68" s="5" t="s">
        <v>51</v>
      </c>
      <c r="K68" s="5" t="s">
        <v>23</v>
      </c>
      <c r="L68" s="5" t="s">
        <v>39</v>
      </c>
      <c r="M68" s="7" t="str">
        <f t="shared" si="1"/>
        <v>OK</v>
      </c>
      <c r="N68" s="7"/>
      <c r="O68" s="7"/>
      <c r="P68" s="7"/>
      <c r="Q68" s="7"/>
      <c r="R68" s="7"/>
      <c r="S68" s="7"/>
      <c r="T68" s="7"/>
      <c r="U68" s="7"/>
      <c r="V68" s="7"/>
      <c r="W68" s="7"/>
      <c r="X68" s="7"/>
      <c r="Y68" s="7"/>
      <c r="Z68" s="7"/>
    </row>
    <row r="69" ht="15.75" customHeight="1">
      <c r="A69" s="8" t="s">
        <v>370</v>
      </c>
      <c r="B69" s="5" t="s">
        <v>14</v>
      </c>
      <c r="C69" s="5" t="s">
        <v>15</v>
      </c>
      <c r="D69" s="5" t="s">
        <v>371</v>
      </c>
      <c r="E69" s="5" t="s">
        <v>372</v>
      </c>
      <c r="F69" s="5" t="s">
        <v>373</v>
      </c>
      <c r="G69" s="5" t="s">
        <v>374</v>
      </c>
      <c r="H69" s="5" t="s">
        <v>374</v>
      </c>
      <c r="I69" s="5" t="s">
        <v>38</v>
      </c>
      <c r="J69" s="5" t="s">
        <v>20</v>
      </c>
      <c r="K69" s="5" t="s">
        <v>39</v>
      </c>
      <c r="L69" s="5" t="s">
        <v>23</v>
      </c>
      <c r="M69" s="7" t="str">
        <f t="shared" si="1"/>
        <v>OK</v>
      </c>
      <c r="N69" s="7"/>
      <c r="O69" s="7"/>
      <c r="P69" s="7"/>
      <c r="Q69" s="7"/>
      <c r="R69" s="7"/>
      <c r="S69" s="7"/>
      <c r="T69" s="7"/>
      <c r="U69" s="7"/>
      <c r="V69" s="7"/>
      <c r="W69" s="7"/>
      <c r="X69" s="7"/>
      <c r="Y69" s="7"/>
      <c r="Z69" s="7"/>
    </row>
    <row r="70" ht="15.75" customHeight="1">
      <c r="A70" s="8" t="s">
        <v>375</v>
      </c>
      <c r="B70" s="5" t="s">
        <v>14</v>
      </c>
      <c r="C70" s="5" t="s">
        <v>15</v>
      </c>
      <c r="D70" s="5" t="s">
        <v>376</v>
      </c>
      <c r="E70" s="5" t="s">
        <v>377</v>
      </c>
      <c r="F70" s="5" t="s">
        <v>378</v>
      </c>
      <c r="G70" s="5" t="s">
        <v>379</v>
      </c>
      <c r="H70" s="5" t="s">
        <v>379</v>
      </c>
      <c r="I70" s="5" t="s">
        <v>45</v>
      </c>
      <c r="J70" s="5" t="s">
        <v>51</v>
      </c>
      <c r="K70" s="5" t="s">
        <v>39</v>
      </c>
      <c r="L70" s="5" t="s">
        <v>75</v>
      </c>
      <c r="M70" s="7" t="str">
        <f t="shared" si="1"/>
        <v>OK</v>
      </c>
      <c r="N70" s="7"/>
      <c r="O70" s="7"/>
      <c r="P70" s="7"/>
      <c r="Q70" s="7"/>
      <c r="R70" s="7"/>
      <c r="S70" s="7"/>
      <c r="T70" s="7"/>
      <c r="U70" s="7"/>
      <c r="V70" s="7"/>
      <c r="W70" s="7"/>
      <c r="X70" s="7"/>
      <c r="Y70" s="7"/>
      <c r="Z70" s="7"/>
    </row>
    <row r="71" ht="15.75" customHeight="1">
      <c r="A71" s="8" t="s">
        <v>380</v>
      </c>
      <c r="B71" s="5" t="s">
        <v>14</v>
      </c>
      <c r="C71" s="5" t="s">
        <v>15</v>
      </c>
      <c r="D71" s="5" t="s">
        <v>381</v>
      </c>
      <c r="E71" s="5" t="s">
        <v>382</v>
      </c>
      <c r="F71" s="5" t="s">
        <v>383</v>
      </c>
      <c r="G71" s="5" t="s">
        <v>384</v>
      </c>
      <c r="H71" s="5" t="s">
        <v>384</v>
      </c>
      <c r="I71" s="5" t="s">
        <v>20</v>
      </c>
      <c r="J71" s="5" t="s">
        <v>45</v>
      </c>
      <c r="K71" s="5" t="s">
        <v>23</v>
      </c>
      <c r="L71" s="5" t="s">
        <v>39</v>
      </c>
      <c r="M71" s="7" t="str">
        <f t="shared" si="1"/>
        <v>OK</v>
      </c>
      <c r="N71" s="7"/>
      <c r="O71" s="7"/>
      <c r="P71" s="7"/>
      <c r="Q71" s="7"/>
      <c r="R71" s="7"/>
      <c r="S71" s="7"/>
      <c r="T71" s="7"/>
      <c r="U71" s="7"/>
      <c r="V71" s="7"/>
      <c r="W71" s="7"/>
      <c r="X71" s="7"/>
      <c r="Y71" s="7"/>
      <c r="Z71" s="7"/>
    </row>
    <row r="72" ht="15.75" customHeight="1">
      <c r="A72" s="8" t="s">
        <v>385</v>
      </c>
      <c r="B72" s="5" t="s">
        <v>14</v>
      </c>
      <c r="C72" s="5" t="s">
        <v>15</v>
      </c>
      <c r="D72" s="5" t="s">
        <v>386</v>
      </c>
      <c r="E72" s="5" t="s">
        <v>387</v>
      </c>
      <c r="F72" s="5" t="s">
        <v>388</v>
      </c>
      <c r="G72" s="5" t="s">
        <v>389</v>
      </c>
      <c r="H72" s="5" t="s">
        <v>389</v>
      </c>
      <c r="I72" s="5" t="s">
        <v>51</v>
      </c>
      <c r="J72" s="5" t="s">
        <v>20</v>
      </c>
      <c r="K72" s="5" t="s">
        <v>39</v>
      </c>
      <c r="L72" s="5" t="s">
        <v>30</v>
      </c>
      <c r="M72" s="7" t="str">
        <f t="shared" si="1"/>
        <v>OK</v>
      </c>
      <c r="N72" s="7"/>
      <c r="O72" s="7"/>
      <c r="P72" s="7"/>
      <c r="Q72" s="7"/>
      <c r="R72" s="7"/>
      <c r="S72" s="7"/>
      <c r="T72" s="7"/>
      <c r="U72" s="7"/>
      <c r="V72" s="7"/>
      <c r="W72" s="7"/>
      <c r="X72" s="7"/>
      <c r="Y72" s="7"/>
      <c r="Z72" s="7"/>
    </row>
    <row r="73" ht="15.75" customHeight="1">
      <c r="A73" s="8" t="s">
        <v>390</v>
      </c>
      <c r="B73" s="5" t="s">
        <v>14</v>
      </c>
      <c r="C73" s="5" t="s">
        <v>15</v>
      </c>
      <c r="D73" s="5" t="s">
        <v>391</v>
      </c>
      <c r="E73" s="5" t="s">
        <v>392</v>
      </c>
      <c r="F73" s="5" t="s">
        <v>393</v>
      </c>
      <c r="G73" s="5" t="s">
        <v>394</v>
      </c>
      <c r="H73" s="5" t="s">
        <v>394</v>
      </c>
      <c r="I73" s="5" t="s">
        <v>38</v>
      </c>
      <c r="J73" s="5" t="s">
        <v>20</v>
      </c>
      <c r="K73" s="5" t="s">
        <v>22</v>
      </c>
      <c r="L73" s="5" t="s">
        <v>30</v>
      </c>
      <c r="M73" s="7" t="str">
        <f t="shared" si="1"/>
        <v>OK</v>
      </c>
      <c r="N73" s="7"/>
      <c r="O73" s="7"/>
      <c r="P73" s="7"/>
      <c r="Q73" s="7"/>
      <c r="R73" s="7"/>
      <c r="S73" s="7"/>
      <c r="T73" s="7"/>
      <c r="U73" s="7"/>
      <c r="V73" s="7"/>
      <c r="W73" s="7"/>
      <c r="X73" s="7"/>
      <c r="Y73" s="7"/>
      <c r="Z73" s="7"/>
    </row>
    <row r="74" ht="15.75" customHeight="1">
      <c r="A74" s="10" t="s">
        <v>395</v>
      </c>
      <c r="B74" s="5" t="s">
        <v>14</v>
      </c>
      <c r="C74" s="5" t="s">
        <v>15</v>
      </c>
      <c r="D74" s="5" t="s">
        <v>396</v>
      </c>
      <c r="E74" s="5" t="s">
        <v>397</v>
      </c>
      <c r="F74" s="5" t="s">
        <v>398</v>
      </c>
      <c r="G74" s="5" t="s">
        <v>399</v>
      </c>
      <c r="H74" s="5" t="s">
        <v>399</v>
      </c>
      <c r="I74" s="5" t="s">
        <v>37</v>
      </c>
      <c r="J74" s="5" t="s">
        <v>38</v>
      </c>
      <c r="K74" s="5" t="s">
        <v>31</v>
      </c>
      <c r="L74" s="5" t="s">
        <v>23</v>
      </c>
      <c r="M74" s="7" t="str">
        <f t="shared" si="1"/>
        <v>OK</v>
      </c>
      <c r="N74" s="7"/>
      <c r="O74" s="7"/>
      <c r="P74" s="7"/>
      <c r="Q74" s="7"/>
      <c r="R74" s="7"/>
      <c r="S74" s="7"/>
      <c r="T74" s="7"/>
      <c r="U74" s="7"/>
      <c r="V74" s="7"/>
      <c r="W74" s="7"/>
      <c r="X74" s="7"/>
      <c r="Y74" s="7"/>
      <c r="Z74" s="7"/>
    </row>
    <row r="75" ht="15.75" customHeight="1">
      <c r="A75" s="8" t="s">
        <v>400</v>
      </c>
      <c r="B75" s="5" t="s">
        <v>14</v>
      </c>
      <c r="C75" s="5" t="s">
        <v>15</v>
      </c>
      <c r="D75" s="5" t="s">
        <v>401</v>
      </c>
      <c r="E75" s="5" t="s">
        <v>402</v>
      </c>
      <c r="F75" s="5" t="s">
        <v>403</v>
      </c>
      <c r="G75" s="5" t="s">
        <v>404</v>
      </c>
      <c r="H75" s="5" t="s">
        <v>404</v>
      </c>
      <c r="I75" s="5" t="s">
        <v>74</v>
      </c>
      <c r="J75" s="5" t="s">
        <v>45</v>
      </c>
      <c r="K75" s="5" t="s">
        <v>68</v>
      </c>
      <c r="L75" s="5" t="s">
        <v>75</v>
      </c>
      <c r="M75" s="7" t="str">
        <f t="shared" si="1"/>
        <v>OK</v>
      </c>
      <c r="N75" s="7"/>
      <c r="O75" s="7"/>
      <c r="P75" s="7"/>
      <c r="Q75" s="7"/>
      <c r="R75" s="7"/>
      <c r="S75" s="7"/>
      <c r="T75" s="7"/>
      <c r="U75" s="7"/>
      <c r="V75" s="7"/>
      <c r="W75" s="7"/>
      <c r="X75" s="7"/>
      <c r="Y75" s="7"/>
      <c r="Z75" s="7"/>
    </row>
    <row r="76" ht="15.75" customHeight="1">
      <c r="A76" s="8" t="s">
        <v>405</v>
      </c>
      <c r="B76" s="5" t="s">
        <v>14</v>
      </c>
      <c r="C76" s="5" t="s">
        <v>15</v>
      </c>
      <c r="D76" s="5" t="s">
        <v>406</v>
      </c>
      <c r="E76" s="5" t="s">
        <v>407</v>
      </c>
      <c r="F76" s="5" t="s">
        <v>408</v>
      </c>
      <c r="G76" s="5" t="s">
        <v>409</v>
      </c>
      <c r="H76" s="5" t="s">
        <v>409</v>
      </c>
      <c r="I76" s="5" t="s">
        <v>38</v>
      </c>
      <c r="J76" s="5" t="s">
        <v>37</v>
      </c>
      <c r="K76" s="5" t="s">
        <v>23</v>
      </c>
      <c r="L76" s="5" t="s">
        <v>39</v>
      </c>
      <c r="M76" s="7" t="str">
        <f t="shared" si="1"/>
        <v>OK</v>
      </c>
      <c r="N76" s="7"/>
      <c r="O76" s="7"/>
      <c r="P76" s="7"/>
      <c r="Q76" s="7"/>
      <c r="R76" s="7"/>
      <c r="S76" s="7"/>
      <c r="T76" s="7"/>
      <c r="U76" s="7"/>
      <c r="V76" s="7"/>
      <c r="W76" s="7"/>
      <c r="X76" s="7"/>
      <c r="Y76" s="7"/>
      <c r="Z76" s="7"/>
    </row>
    <row r="77" ht="15.75" customHeight="1">
      <c r="A77" s="8" t="s">
        <v>410</v>
      </c>
      <c r="B77" s="5" t="s">
        <v>14</v>
      </c>
      <c r="C77" s="5" t="s">
        <v>15</v>
      </c>
      <c r="D77" s="5" t="s">
        <v>411</v>
      </c>
      <c r="E77" s="5" t="s">
        <v>412</v>
      </c>
      <c r="F77" s="5" t="s">
        <v>413</v>
      </c>
      <c r="G77" s="5" t="s">
        <v>414</v>
      </c>
      <c r="H77" s="5" t="s">
        <v>414</v>
      </c>
      <c r="I77" s="5" t="s">
        <v>38</v>
      </c>
      <c r="J77" s="5" t="s">
        <v>51</v>
      </c>
      <c r="K77" s="5" t="s">
        <v>23</v>
      </c>
      <c r="L77" s="5" t="s">
        <v>31</v>
      </c>
      <c r="M77" s="7" t="str">
        <f t="shared" si="1"/>
        <v>OK</v>
      </c>
      <c r="N77" s="7"/>
      <c r="O77" s="7"/>
      <c r="P77" s="7"/>
      <c r="Q77" s="7"/>
      <c r="R77" s="7"/>
      <c r="S77" s="7"/>
      <c r="T77" s="7"/>
      <c r="U77" s="7"/>
      <c r="V77" s="7"/>
      <c r="W77" s="7"/>
      <c r="X77" s="7"/>
      <c r="Y77" s="7"/>
      <c r="Z77" s="7"/>
    </row>
    <row r="78" ht="15.75" customHeight="1">
      <c r="A78" s="8" t="s">
        <v>415</v>
      </c>
      <c r="B78" s="5" t="s">
        <v>14</v>
      </c>
      <c r="C78" s="5" t="s">
        <v>15</v>
      </c>
      <c r="D78" s="5" t="s">
        <v>416</v>
      </c>
      <c r="E78" s="5" t="s">
        <v>417</v>
      </c>
      <c r="F78" s="5" t="s">
        <v>418</v>
      </c>
      <c r="G78" s="5" t="s">
        <v>419</v>
      </c>
      <c r="H78" s="5" t="s">
        <v>419</v>
      </c>
      <c r="I78" s="5" t="s">
        <v>37</v>
      </c>
      <c r="J78" s="5" t="s">
        <v>74</v>
      </c>
      <c r="K78" s="5" t="s">
        <v>22</v>
      </c>
      <c r="L78" s="5" t="s">
        <v>23</v>
      </c>
      <c r="M78" s="7" t="str">
        <f t="shared" si="1"/>
        <v>OK</v>
      </c>
      <c r="N78" s="7"/>
      <c r="O78" s="7"/>
      <c r="P78" s="7"/>
      <c r="Q78" s="7"/>
      <c r="R78" s="7"/>
      <c r="S78" s="7"/>
      <c r="T78" s="7"/>
      <c r="U78" s="7"/>
      <c r="V78" s="7"/>
      <c r="W78" s="7"/>
      <c r="X78" s="7"/>
      <c r="Y78" s="7"/>
      <c r="Z78" s="7"/>
    </row>
    <row r="79" ht="15.75" customHeight="1">
      <c r="A79" s="8" t="s">
        <v>420</v>
      </c>
      <c r="B79" s="5" t="s">
        <v>14</v>
      </c>
      <c r="C79" s="5" t="s">
        <v>15</v>
      </c>
      <c r="D79" s="5" t="s">
        <v>421</v>
      </c>
      <c r="E79" s="5" t="s">
        <v>422</v>
      </c>
      <c r="F79" s="5" t="s">
        <v>423</v>
      </c>
      <c r="G79" s="5" t="s">
        <v>424</v>
      </c>
      <c r="H79" s="5" t="s">
        <v>424</v>
      </c>
      <c r="I79" s="5" t="s">
        <v>51</v>
      </c>
      <c r="J79" s="5" t="s">
        <v>20</v>
      </c>
      <c r="K79" s="5" t="s">
        <v>23</v>
      </c>
      <c r="L79" s="5" t="s">
        <v>31</v>
      </c>
      <c r="M79" s="7" t="str">
        <f t="shared" si="1"/>
        <v>OK</v>
      </c>
      <c r="N79" s="7"/>
      <c r="O79" s="7"/>
      <c r="P79" s="7"/>
      <c r="Q79" s="7"/>
      <c r="R79" s="7"/>
      <c r="S79" s="7"/>
      <c r="T79" s="7"/>
      <c r="U79" s="7"/>
      <c r="V79" s="7"/>
      <c r="W79" s="7"/>
      <c r="X79" s="7"/>
      <c r="Y79" s="7"/>
      <c r="Z79" s="7"/>
    </row>
    <row r="80" ht="15.75" customHeight="1">
      <c r="A80" s="8" t="s">
        <v>425</v>
      </c>
      <c r="B80" s="5" t="s">
        <v>14</v>
      </c>
      <c r="C80" s="5" t="s">
        <v>15</v>
      </c>
      <c r="D80" s="5" t="s">
        <v>426</v>
      </c>
      <c r="E80" s="5" t="s">
        <v>427</v>
      </c>
      <c r="F80" s="5" t="s">
        <v>428</v>
      </c>
      <c r="G80" s="5" t="s">
        <v>429</v>
      </c>
      <c r="H80" s="5" t="s">
        <v>429</v>
      </c>
      <c r="I80" s="5" t="s">
        <v>37</v>
      </c>
      <c r="J80" s="5" t="s">
        <v>20</v>
      </c>
      <c r="K80" s="5" t="s">
        <v>68</v>
      </c>
      <c r="L80" s="5" t="s">
        <v>23</v>
      </c>
      <c r="M80" s="7" t="str">
        <f t="shared" si="1"/>
        <v>OK</v>
      </c>
      <c r="N80" s="7"/>
      <c r="O80" s="7"/>
      <c r="P80" s="7"/>
      <c r="Q80" s="7"/>
      <c r="R80" s="7"/>
      <c r="S80" s="7"/>
      <c r="T80" s="7"/>
      <c r="U80" s="7"/>
      <c r="V80" s="7"/>
      <c r="W80" s="7"/>
      <c r="X80" s="7"/>
      <c r="Y80" s="7"/>
      <c r="Z80" s="7"/>
    </row>
    <row r="81" ht="15.75" customHeight="1">
      <c r="A81" s="8" t="s">
        <v>430</v>
      </c>
      <c r="B81" s="5" t="s">
        <v>14</v>
      </c>
      <c r="C81" s="5" t="s">
        <v>15</v>
      </c>
      <c r="D81" s="5" t="s">
        <v>431</v>
      </c>
      <c r="E81" s="5" t="s">
        <v>432</v>
      </c>
      <c r="F81" s="5" t="s">
        <v>433</v>
      </c>
      <c r="G81" s="5" t="s">
        <v>434</v>
      </c>
      <c r="H81" s="5" t="s">
        <v>434</v>
      </c>
      <c r="I81" s="5" t="s">
        <v>45</v>
      </c>
      <c r="J81" s="5" t="s">
        <v>51</v>
      </c>
      <c r="K81" s="5" t="s">
        <v>52</v>
      </c>
      <c r="L81" s="5" t="s">
        <v>22</v>
      </c>
      <c r="M81" s="7" t="str">
        <f t="shared" si="1"/>
        <v>OK</v>
      </c>
      <c r="N81" s="7"/>
      <c r="O81" s="7"/>
      <c r="P81" s="7"/>
      <c r="Q81" s="7"/>
      <c r="R81" s="7"/>
      <c r="S81" s="7"/>
      <c r="T81" s="7"/>
      <c r="U81" s="7"/>
      <c r="V81" s="7"/>
      <c r="W81" s="7"/>
      <c r="X81" s="7"/>
      <c r="Y81" s="7"/>
      <c r="Z81" s="7"/>
    </row>
    <row r="82" ht="15.75" customHeight="1">
      <c r="A82" s="8" t="s">
        <v>435</v>
      </c>
      <c r="B82" s="5" t="s">
        <v>14</v>
      </c>
      <c r="C82" s="5" t="s">
        <v>15</v>
      </c>
      <c r="D82" s="5" t="s">
        <v>436</v>
      </c>
      <c r="E82" s="5" t="s">
        <v>437</v>
      </c>
      <c r="F82" s="5" t="s">
        <v>438</v>
      </c>
      <c r="G82" s="5" t="s">
        <v>439</v>
      </c>
      <c r="H82" s="5" t="s">
        <v>439</v>
      </c>
      <c r="I82" s="5" t="s">
        <v>29</v>
      </c>
      <c r="J82" s="5" t="s">
        <v>21</v>
      </c>
      <c r="K82" s="5" t="s">
        <v>22</v>
      </c>
      <c r="L82" s="5" t="s">
        <v>30</v>
      </c>
      <c r="M82" s="7" t="str">
        <f t="shared" si="1"/>
        <v>OK</v>
      </c>
      <c r="N82" s="7"/>
      <c r="O82" s="7"/>
      <c r="P82" s="7"/>
      <c r="Q82" s="7"/>
      <c r="R82" s="7"/>
      <c r="S82" s="7"/>
      <c r="T82" s="7"/>
      <c r="U82" s="7"/>
      <c r="V82" s="7"/>
      <c r="W82" s="7"/>
      <c r="X82" s="7"/>
      <c r="Y82" s="7"/>
      <c r="Z82" s="7"/>
    </row>
    <row r="83" ht="15.75" customHeight="1">
      <c r="A83" s="8" t="s">
        <v>440</v>
      </c>
      <c r="B83" s="5" t="s">
        <v>14</v>
      </c>
      <c r="C83" s="5" t="s">
        <v>15</v>
      </c>
      <c r="D83" s="5" t="s">
        <v>441</v>
      </c>
      <c r="E83" s="5" t="s">
        <v>442</v>
      </c>
      <c r="F83" s="5" t="s">
        <v>443</v>
      </c>
      <c r="G83" s="5" t="s">
        <v>444</v>
      </c>
      <c r="H83" s="5" t="s">
        <v>444</v>
      </c>
      <c r="I83" s="5" t="s">
        <v>51</v>
      </c>
      <c r="J83" s="5" t="s">
        <v>20</v>
      </c>
      <c r="K83" s="5" t="s">
        <v>68</v>
      </c>
      <c r="L83" s="5" t="s">
        <v>39</v>
      </c>
      <c r="M83" s="7" t="str">
        <f t="shared" si="1"/>
        <v>OK</v>
      </c>
      <c r="N83" s="7"/>
      <c r="O83" s="7"/>
      <c r="P83" s="7"/>
      <c r="Q83" s="7"/>
      <c r="R83" s="7"/>
      <c r="S83" s="7"/>
      <c r="T83" s="7"/>
      <c r="U83" s="7"/>
      <c r="V83" s="7"/>
      <c r="W83" s="7"/>
      <c r="X83" s="7"/>
      <c r="Y83" s="7"/>
      <c r="Z83" s="7"/>
    </row>
    <row r="84" ht="15.75" customHeight="1">
      <c r="A84" s="8" t="s">
        <v>445</v>
      </c>
      <c r="B84" s="5" t="s">
        <v>14</v>
      </c>
      <c r="C84" s="5" t="s">
        <v>15</v>
      </c>
      <c r="D84" s="5" t="s">
        <v>446</v>
      </c>
      <c r="E84" s="5" t="s">
        <v>447</v>
      </c>
      <c r="F84" s="5" t="s">
        <v>448</v>
      </c>
      <c r="G84" s="5" t="s">
        <v>449</v>
      </c>
      <c r="H84" s="5" t="s">
        <v>449</v>
      </c>
      <c r="I84" s="5" t="s">
        <v>29</v>
      </c>
      <c r="J84" s="5" t="s">
        <v>20</v>
      </c>
      <c r="K84" s="5" t="s">
        <v>31</v>
      </c>
      <c r="L84" s="5" t="s">
        <v>39</v>
      </c>
      <c r="M84" s="7" t="str">
        <f t="shared" si="1"/>
        <v>OK</v>
      </c>
      <c r="N84" s="7"/>
      <c r="O84" s="7"/>
      <c r="P84" s="7"/>
      <c r="Q84" s="7"/>
      <c r="R84" s="7"/>
      <c r="S84" s="7"/>
      <c r="T84" s="7"/>
      <c r="U84" s="7"/>
      <c r="V84" s="7"/>
      <c r="W84" s="7"/>
      <c r="X84" s="7"/>
      <c r="Y84" s="7"/>
      <c r="Z84" s="7"/>
    </row>
    <row r="85" ht="15.75" customHeight="1">
      <c r="A85" s="8" t="s">
        <v>450</v>
      </c>
      <c r="B85" s="5" t="s">
        <v>14</v>
      </c>
      <c r="C85" s="5" t="s">
        <v>15</v>
      </c>
      <c r="D85" s="5" t="s">
        <v>451</v>
      </c>
      <c r="E85" s="5" t="s">
        <v>452</v>
      </c>
      <c r="F85" s="5" t="s">
        <v>453</v>
      </c>
      <c r="G85" s="5" t="s">
        <v>454</v>
      </c>
      <c r="H85" s="5" t="s">
        <v>454</v>
      </c>
      <c r="I85" s="5" t="s">
        <v>51</v>
      </c>
      <c r="J85" s="5" t="s">
        <v>37</v>
      </c>
      <c r="K85" s="5" t="s">
        <v>75</v>
      </c>
      <c r="L85" s="5" t="s">
        <v>31</v>
      </c>
      <c r="M85" s="7" t="str">
        <f t="shared" si="1"/>
        <v>OK</v>
      </c>
      <c r="N85" s="7"/>
      <c r="O85" s="7"/>
      <c r="P85" s="7"/>
      <c r="Q85" s="7"/>
      <c r="R85" s="7"/>
      <c r="S85" s="7"/>
      <c r="T85" s="7"/>
      <c r="U85" s="7"/>
      <c r="V85" s="7"/>
      <c r="W85" s="7"/>
      <c r="X85" s="7"/>
      <c r="Y85" s="7"/>
      <c r="Z85" s="7"/>
    </row>
    <row r="86" ht="15.75" customHeight="1">
      <c r="A86" s="8" t="s">
        <v>455</v>
      </c>
      <c r="B86" s="5" t="s">
        <v>14</v>
      </c>
      <c r="C86" s="5" t="s">
        <v>15</v>
      </c>
      <c r="D86" s="5" t="s">
        <v>456</v>
      </c>
      <c r="E86" s="5" t="s">
        <v>457</v>
      </c>
      <c r="F86" s="6" t="s">
        <v>458</v>
      </c>
      <c r="G86" s="6" t="s">
        <v>459</v>
      </c>
      <c r="H86" s="5" t="s">
        <v>457</v>
      </c>
      <c r="I86" s="5" t="s">
        <v>38</v>
      </c>
      <c r="J86" s="5" t="s">
        <v>20</v>
      </c>
      <c r="K86" s="5" t="s">
        <v>31</v>
      </c>
      <c r="L86" s="5" t="s">
        <v>30</v>
      </c>
      <c r="M86" s="7" t="str">
        <f t="shared" si="1"/>
        <v>OK</v>
      </c>
      <c r="N86" s="7"/>
      <c r="O86" s="7"/>
      <c r="P86" s="7"/>
      <c r="Q86" s="7"/>
      <c r="R86" s="7"/>
      <c r="S86" s="7"/>
      <c r="T86" s="7"/>
      <c r="U86" s="7"/>
      <c r="V86" s="7"/>
      <c r="W86" s="7"/>
      <c r="X86" s="7"/>
      <c r="Y86" s="7"/>
      <c r="Z86" s="7"/>
    </row>
    <row r="87" ht="15.75" customHeight="1">
      <c r="A87" s="8" t="s">
        <v>460</v>
      </c>
      <c r="B87" s="5" t="s">
        <v>14</v>
      </c>
      <c r="C87" s="5" t="s">
        <v>15</v>
      </c>
      <c r="D87" s="5" t="s">
        <v>461</v>
      </c>
      <c r="E87" s="6" t="s">
        <v>462</v>
      </c>
      <c r="F87" s="6" t="s">
        <v>463</v>
      </c>
      <c r="G87" s="5" t="s">
        <v>464</v>
      </c>
      <c r="H87" s="5" t="s">
        <v>464</v>
      </c>
      <c r="I87" s="5" t="s">
        <v>45</v>
      </c>
      <c r="J87" s="5" t="s">
        <v>38</v>
      </c>
      <c r="K87" s="5" t="s">
        <v>75</v>
      </c>
      <c r="L87" s="5" t="s">
        <v>39</v>
      </c>
      <c r="M87" s="7" t="str">
        <f t="shared" si="1"/>
        <v>OK</v>
      </c>
      <c r="N87" s="7"/>
      <c r="O87" s="7"/>
      <c r="P87" s="7"/>
      <c r="Q87" s="7"/>
      <c r="R87" s="7"/>
      <c r="S87" s="7"/>
      <c r="T87" s="7"/>
      <c r="U87" s="7"/>
      <c r="V87" s="7"/>
      <c r="W87" s="7"/>
      <c r="X87" s="7"/>
      <c r="Y87" s="7"/>
      <c r="Z87" s="7"/>
    </row>
    <row r="88" ht="15.75" customHeight="1">
      <c r="A88" s="8" t="s">
        <v>465</v>
      </c>
      <c r="B88" s="5" t="s">
        <v>14</v>
      </c>
      <c r="C88" s="5" t="s">
        <v>15</v>
      </c>
      <c r="D88" s="5" t="s">
        <v>466</v>
      </c>
      <c r="E88" s="6" t="s">
        <v>467</v>
      </c>
      <c r="F88" s="6" t="s">
        <v>468</v>
      </c>
      <c r="G88" s="5" t="s">
        <v>469</v>
      </c>
      <c r="H88" s="5" t="s">
        <v>469</v>
      </c>
      <c r="I88" s="5" t="s">
        <v>74</v>
      </c>
      <c r="J88" s="5" t="s">
        <v>45</v>
      </c>
      <c r="K88" s="5" t="s">
        <v>68</v>
      </c>
      <c r="L88" s="5" t="s">
        <v>39</v>
      </c>
      <c r="M88" s="7" t="str">
        <f t="shared" si="1"/>
        <v>OK</v>
      </c>
      <c r="N88" s="7"/>
      <c r="O88" s="7"/>
      <c r="P88" s="7"/>
      <c r="Q88" s="7"/>
      <c r="R88" s="7"/>
      <c r="S88" s="7"/>
      <c r="T88" s="7"/>
      <c r="U88" s="7"/>
      <c r="V88" s="7"/>
      <c r="W88" s="7"/>
      <c r="X88" s="7"/>
      <c r="Y88" s="7"/>
      <c r="Z88" s="7"/>
    </row>
    <row r="89" ht="15.75" customHeight="1">
      <c r="A89" s="8" t="s">
        <v>470</v>
      </c>
      <c r="B89" s="5" t="s">
        <v>14</v>
      </c>
      <c r="C89" s="5" t="s">
        <v>15</v>
      </c>
      <c r="D89" s="5" t="s">
        <v>471</v>
      </c>
      <c r="E89" s="6" t="s">
        <v>472</v>
      </c>
      <c r="F89" s="6" t="s">
        <v>473</v>
      </c>
      <c r="G89" s="5" t="s">
        <v>474</v>
      </c>
      <c r="H89" s="5" t="s">
        <v>474</v>
      </c>
      <c r="I89" s="5" t="s">
        <v>51</v>
      </c>
      <c r="J89" s="5" t="s">
        <v>20</v>
      </c>
      <c r="K89" s="5" t="s">
        <v>52</v>
      </c>
      <c r="L89" s="5" t="s">
        <v>39</v>
      </c>
      <c r="M89" s="7" t="str">
        <f t="shared" si="1"/>
        <v>OK</v>
      </c>
      <c r="N89" s="7"/>
      <c r="O89" s="7"/>
      <c r="P89" s="7"/>
      <c r="Q89" s="7"/>
      <c r="R89" s="7"/>
      <c r="S89" s="7"/>
      <c r="T89" s="7"/>
      <c r="U89" s="7"/>
      <c r="V89" s="7"/>
      <c r="W89" s="7"/>
      <c r="X89" s="7"/>
      <c r="Y89" s="7"/>
      <c r="Z89" s="7"/>
    </row>
    <row r="90" ht="15.75" customHeight="1">
      <c r="A90" s="8" t="s">
        <v>475</v>
      </c>
      <c r="B90" s="5" t="s">
        <v>14</v>
      </c>
      <c r="C90" s="5" t="s">
        <v>15</v>
      </c>
      <c r="D90" s="5" t="s">
        <v>476</v>
      </c>
      <c r="E90" s="6" t="s">
        <v>477</v>
      </c>
      <c r="F90" s="6" t="s">
        <v>478</v>
      </c>
      <c r="G90" s="5" t="s">
        <v>479</v>
      </c>
      <c r="H90" s="5" t="s">
        <v>479</v>
      </c>
      <c r="I90" s="5" t="s">
        <v>38</v>
      </c>
      <c r="J90" s="5" t="s">
        <v>51</v>
      </c>
      <c r="K90" s="5" t="s">
        <v>31</v>
      </c>
      <c r="L90" s="5" t="s">
        <v>39</v>
      </c>
      <c r="M90" s="7" t="str">
        <f t="shared" si="1"/>
        <v>OK</v>
      </c>
      <c r="N90" s="7"/>
      <c r="O90" s="7"/>
      <c r="P90" s="7"/>
      <c r="Q90" s="7"/>
      <c r="R90" s="7"/>
      <c r="S90" s="7"/>
      <c r="T90" s="7"/>
      <c r="U90" s="7"/>
      <c r="V90" s="7"/>
      <c r="W90" s="7"/>
      <c r="X90" s="7"/>
      <c r="Y90" s="7"/>
      <c r="Z90" s="7"/>
    </row>
    <row r="91" ht="15.75" customHeight="1">
      <c r="A91" s="8" t="s">
        <v>480</v>
      </c>
      <c r="B91" s="5" t="s">
        <v>14</v>
      </c>
      <c r="C91" s="5" t="s">
        <v>15</v>
      </c>
      <c r="D91" s="5" t="s">
        <v>481</v>
      </c>
      <c r="E91" s="6" t="s">
        <v>482</v>
      </c>
      <c r="F91" s="6" t="s">
        <v>483</v>
      </c>
      <c r="G91" s="5" t="s">
        <v>484</v>
      </c>
      <c r="H91" s="5" t="s">
        <v>484</v>
      </c>
      <c r="I91" s="5" t="s">
        <v>51</v>
      </c>
      <c r="J91" s="5" t="s">
        <v>38</v>
      </c>
      <c r="K91" s="5" t="s">
        <v>31</v>
      </c>
      <c r="L91" s="5" t="s">
        <v>39</v>
      </c>
      <c r="M91" s="7" t="str">
        <f t="shared" si="1"/>
        <v>OK</v>
      </c>
      <c r="N91" s="7"/>
      <c r="O91" s="7"/>
      <c r="P91" s="7"/>
      <c r="Q91" s="7"/>
      <c r="R91" s="7"/>
      <c r="S91" s="7"/>
      <c r="T91" s="7"/>
      <c r="U91" s="7"/>
      <c r="V91" s="7"/>
      <c r="W91" s="7"/>
      <c r="X91" s="7"/>
      <c r="Y91" s="7"/>
      <c r="Z91" s="7"/>
    </row>
    <row r="92" ht="15.75" customHeight="1">
      <c r="A92" s="8" t="s">
        <v>485</v>
      </c>
      <c r="B92" s="5" t="s">
        <v>14</v>
      </c>
      <c r="C92" s="5" t="s">
        <v>15</v>
      </c>
      <c r="D92" s="5" t="s">
        <v>486</v>
      </c>
      <c r="E92" s="6" t="s">
        <v>487</v>
      </c>
      <c r="F92" s="6" t="s">
        <v>488</v>
      </c>
      <c r="G92" s="5" t="s">
        <v>489</v>
      </c>
      <c r="H92" s="5" t="s">
        <v>489</v>
      </c>
      <c r="I92" s="5" t="s">
        <v>51</v>
      </c>
      <c r="J92" s="5" t="s">
        <v>20</v>
      </c>
      <c r="K92" s="5" t="s">
        <v>30</v>
      </c>
      <c r="L92" s="5" t="s">
        <v>31</v>
      </c>
      <c r="M92" s="7" t="str">
        <f t="shared" si="1"/>
        <v>OK</v>
      </c>
      <c r="N92" s="7"/>
      <c r="O92" s="7"/>
      <c r="P92" s="7"/>
      <c r="Q92" s="7"/>
      <c r="R92" s="7"/>
      <c r="S92" s="7"/>
      <c r="T92" s="7"/>
      <c r="U92" s="7"/>
      <c r="V92" s="7"/>
      <c r="W92" s="7"/>
      <c r="X92" s="7"/>
      <c r="Y92" s="7"/>
      <c r="Z92" s="7"/>
    </row>
    <row r="93" ht="15.75" customHeight="1">
      <c r="A93" s="8" t="s">
        <v>490</v>
      </c>
      <c r="B93" s="5" t="s">
        <v>14</v>
      </c>
      <c r="C93" s="5" t="s">
        <v>15</v>
      </c>
      <c r="D93" s="5" t="s">
        <v>491</v>
      </c>
      <c r="E93" s="5" t="s">
        <v>492</v>
      </c>
      <c r="F93" s="6" t="s">
        <v>493</v>
      </c>
      <c r="G93" s="5" t="s">
        <v>494</v>
      </c>
      <c r="H93" s="5" t="s">
        <v>494</v>
      </c>
      <c r="I93" s="5" t="s">
        <v>38</v>
      </c>
      <c r="J93" s="5" t="s">
        <v>51</v>
      </c>
      <c r="K93" s="5" t="s">
        <v>31</v>
      </c>
      <c r="L93" s="5" t="s">
        <v>23</v>
      </c>
      <c r="M93" s="7" t="str">
        <f t="shared" si="1"/>
        <v>OK</v>
      </c>
      <c r="N93" s="7"/>
      <c r="O93" s="7"/>
      <c r="P93" s="7"/>
      <c r="Q93" s="7"/>
      <c r="R93" s="7"/>
      <c r="S93" s="7"/>
      <c r="T93" s="7"/>
      <c r="U93" s="7"/>
      <c r="V93" s="7"/>
      <c r="W93" s="7"/>
      <c r="X93" s="7"/>
      <c r="Y93" s="7"/>
      <c r="Z93" s="7"/>
    </row>
    <row r="94">
      <c r="A94" s="10" t="s">
        <v>495</v>
      </c>
      <c r="B94" s="5" t="s">
        <v>14</v>
      </c>
      <c r="C94" s="5" t="s">
        <v>15</v>
      </c>
      <c r="D94" s="6" t="s">
        <v>496</v>
      </c>
      <c r="E94" s="5" t="s">
        <v>497</v>
      </c>
      <c r="F94" s="6" t="s">
        <v>498</v>
      </c>
      <c r="G94" s="6" t="s">
        <v>499</v>
      </c>
      <c r="H94" s="5" t="s">
        <v>497</v>
      </c>
      <c r="I94" s="5" t="s">
        <v>37</v>
      </c>
      <c r="J94" s="5" t="s">
        <v>20</v>
      </c>
      <c r="K94" s="5" t="s">
        <v>22</v>
      </c>
      <c r="L94" s="5" t="s">
        <v>30</v>
      </c>
      <c r="M94" s="7" t="str">
        <f t="shared" si="1"/>
        <v>OK</v>
      </c>
    </row>
    <row r="95" ht="15.75" customHeight="1">
      <c r="A95" s="8" t="s">
        <v>500</v>
      </c>
      <c r="B95" s="5" t="s">
        <v>14</v>
      </c>
      <c r="C95" s="5" t="s">
        <v>15</v>
      </c>
      <c r="D95" s="5" t="s">
        <v>501</v>
      </c>
      <c r="E95" s="6" t="s">
        <v>502</v>
      </c>
      <c r="F95" s="6" t="s">
        <v>503</v>
      </c>
      <c r="G95" s="5" t="s">
        <v>504</v>
      </c>
      <c r="H95" s="5" t="s">
        <v>504</v>
      </c>
      <c r="I95" s="5" t="s">
        <v>38</v>
      </c>
      <c r="J95" s="5" t="s">
        <v>51</v>
      </c>
      <c r="K95" s="5" t="s">
        <v>75</v>
      </c>
      <c r="L95" s="5" t="s">
        <v>39</v>
      </c>
      <c r="M95" s="7" t="str">
        <f t="shared" si="1"/>
        <v>OK</v>
      </c>
      <c r="N95" s="7"/>
      <c r="O95" s="7"/>
      <c r="P95" s="7"/>
      <c r="Q95" s="7"/>
      <c r="R95" s="7"/>
      <c r="S95" s="7"/>
      <c r="T95" s="7"/>
      <c r="U95" s="7"/>
      <c r="V95" s="7"/>
      <c r="W95" s="7"/>
      <c r="X95" s="7"/>
      <c r="Y95" s="7"/>
      <c r="Z95" s="7"/>
    </row>
    <row r="96" ht="15.75" customHeight="1">
      <c r="A96" s="8" t="s">
        <v>505</v>
      </c>
      <c r="B96" s="5" t="s">
        <v>14</v>
      </c>
      <c r="C96" s="5" t="s">
        <v>15</v>
      </c>
      <c r="D96" s="5" t="s">
        <v>506</v>
      </c>
      <c r="E96" s="5" t="s">
        <v>507</v>
      </c>
      <c r="F96" s="6" t="s">
        <v>508</v>
      </c>
      <c r="G96" s="6" t="s">
        <v>509</v>
      </c>
      <c r="H96" s="5" t="s">
        <v>507</v>
      </c>
      <c r="I96" s="5" t="s">
        <v>37</v>
      </c>
      <c r="J96" s="5" t="s">
        <v>20</v>
      </c>
      <c r="K96" s="5" t="s">
        <v>68</v>
      </c>
      <c r="L96" s="5" t="s">
        <v>22</v>
      </c>
      <c r="M96" s="7" t="str">
        <f t="shared" si="1"/>
        <v>OK</v>
      </c>
      <c r="N96" s="7"/>
      <c r="O96" s="7"/>
      <c r="P96" s="7"/>
      <c r="Q96" s="7"/>
      <c r="R96" s="7"/>
      <c r="S96" s="7"/>
      <c r="T96" s="7"/>
      <c r="U96" s="7"/>
      <c r="V96" s="7"/>
      <c r="W96" s="7"/>
      <c r="X96" s="7"/>
      <c r="Y96" s="7"/>
      <c r="Z96" s="7"/>
    </row>
    <row r="97" ht="15.75" customHeight="1">
      <c r="A97" s="8" t="s">
        <v>510</v>
      </c>
      <c r="B97" s="5" t="s">
        <v>14</v>
      </c>
      <c r="C97" s="5" t="s">
        <v>15</v>
      </c>
      <c r="D97" s="5" t="s">
        <v>511</v>
      </c>
      <c r="E97" s="6" t="s">
        <v>512</v>
      </c>
      <c r="F97" s="5" t="s">
        <v>513</v>
      </c>
      <c r="G97" s="6" t="s">
        <v>514</v>
      </c>
      <c r="H97" s="5" t="s">
        <v>513</v>
      </c>
      <c r="I97" s="5" t="s">
        <v>37</v>
      </c>
      <c r="J97" s="5" t="s">
        <v>51</v>
      </c>
      <c r="K97" s="5" t="s">
        <v>30</v>
      </c>
      <c r="L97" s="5" t="s">
        <v>22</v>
      </c>
      <c r="M97" s="7" t="str">
        <f t="shared" si="1"/>
        <v>OK</v>
      </c>
      <c r="N97" s="7"/>
      <c r="O97" s="7"/>
      <c r="P97" s="7"/>
      <c r="Q97" s="7"/>
      <c r="R97" s="7"/>
      <c r="S97" s="7"/>
      <c r="T97" s="7"/>
      <c r="U97" s="7"/>
      <c r="V97" s="7"/>
      <c r="W97" s="7"/>
      <c r="X97" s="7"/>
      <c r="Y97" s="7"/>
      <c r="Z97" s="7"/>
    </row>
    <row r="98" ht="15.75" customHeight="1">
      <c r="A98" s="8" t="s">
        <v>515</v>
      </c>
      <c r="B98" s="5" t="s">
        <v>14</v>
      </c>
      <c r="C98" s="5" t="s">
        <v>15</v>
      </c>
      <c r="D98" s="5" t="s">
        <v>516</v>
      </c>
      <c r="E98" s="6" t="s">
        <v>517</v>
      </c>
      <c r="F98" s="6" t="s">
        <v>518</v>
      </c>
      <c r="G98" s="5" t="s">
        <v>519</v>
      </c>
      <c r="H98" s="5" t="s">
        <v>519</v>
      </c>
      <c r="I98" s="5" t="s">
        <v>29</v>
      </c>
      <c r="J98" s="5" t="s">
        <v>74</v>
      </c>
      <c r="K98" s="5" t="s">
        <v>23</v>
      </c>
      <c r="L98" s="5" t="s">
        <v>22</v>
      </c>
      <c r="M98" s="7" t="str">
        <f t="shared" si="1"/>
        <v>OK</v>
      </c>
      <c r="N98" s="7"/>
      <c r="O98" s="7"/>
      <c r="P98" s="7"/>
      <c r="Q98" s="7"/>
      <c r="R98" s="7"/>
      <c r="S98" s="7"/>
      <c r="T98" s="7"/>
      <c r="U98" s="7"/>
      <c r="V98" s="7"/>
      <c r="W98" s="7"/>
      <c r="X98" s="7"/>
      <c r="Y98" s="7"/>
      <c r="Z98" s="7"/>
    </row>
    <row r="99" ht="15.75" customHeight="1">
      <c r="A99" s="8" t="s">
        <v>520</v>
      </c>
      <c r="B99" s="5" t="s">
        <v>14</v>
      </c>
      <c r="C99" s="5" t="s">
        <v>15</v>
      </c>
      <c r="D99" s="5" t="s">
        <v>521</v>
      </c>
      <c r="E99" s="6" t="s">
        <v>522</v>
      </c>
      <c r="F99" s="6" t="s">
        <v>523</v>
      </c>
      <c r="G99" s="6" t="s">
        <v>524</v>
      </c>
      <c r="H99" s="6" t="s">
        <v>524</v>
      </c>
      <c r="I99" s="5" t="s">
        <v>37</v>
      </c>
      <c r="J99" s="5" t="s">
        <v>74</v>
      </c>
      <c r="K99" s="5" t="s">
        <v>22</v>
      </c>
      <c r="L99" s="5" t="s">
        <v>30</v>
      </c>
      <c r="M99" s="7" t="str">
        <f t="shared" si="1"/>
        <v>OK</v>
      </c>
      <c r="N99" s="7"/>
      <c r="O99" s="7"/>
      <c r="P99" s="7"/>
      <c r="Q99" s="7"/>
      <c r="R99" s="7"/>
      <c r="S99" s="7"/>
      <c r="T99" s="7"/>
      <c r="U99" s="7"/>
      <c r="V99" s="7"/>
      <c r="W99" s="7"/>
      <c r="X99" s="7"/>
      <c r="Y99" s="7"/>
      <c r="Z99" s="7"/>
    </row>
    <row r="100" ht="15.75" customHeight="1">
      <c r="A100" s="8" t="s">
        <v>525</v>
      </c>
      <c r="B100" s="5" t="s">
        <v>14</v>
      </c>
      <c r="C100" s="5" t="s">
        <v>15</v>
      </c>
      <c r="D100" s="5" t="s">
        <v>526</v>
      </c>
      <c r="E100" s="6" t="s">
        <v>527</v>
      </c>
      <c r="F100" s="6" t="s">
        <v>528</v>
      </c>
      <c r="G100" s="5" t="s">
        <v>529</v>
      </c>
      <c r="H100" s="5" t="s">
        <v>529</v>
      </c>
      <c r="I100" s="5" t="s">
        <v>37</v>
      </c>
      <c r="J100" s="5" t="s">
        <v>51</v>
      </c>
      <c r="K100" s="5" t="s">
        <v>39</v>
      </c>
      <c r="L100" s="5" t="s">
        <v>52</v>
      </c>
      <c r="M100" s="7" t="str">
        <f t="shared" si="1"/>
        <v>OK</v>
      </c>
      <c r="N100" s="7"/>
      <c r="O100" s="7"/>
      <c r="P100" s="7"/>
      <c r="Q100" s="7"/>
      <c r="R100" s="7"/>
      <c r="S100" s="7"/>
      <c r="T100" s="7"/>
      <c r="U100" s="7"/>
      <c r="V100" s="7"/>
      <c r="W100" s="7"/>
      <c r="X100" s="7"/>
      <c r="Y100" s="7"/>
      <c r="Z100" s="7"/>
    </row>
    <row r="101" ht="15.75" customHeight="1">
      <c r="A101" s="8" t="s">
        <v>530</v>
      </c>
      <c r="B101" s="5" t="s">
        <v>14</v>
      </c>
      <c r="C101" s="5" t="s">
        <v>15</v>
      </c>
      <c r="D101" s="5" t="s">
        <v>531</v>
      </c>
      <c r="E101" s="6" t="s">
        <v>532</v>
      </c>
      <c r="F101" s="5" t="s">
        <v>533</v>
      </c>
      <c r="G101" s="6" t="s">
        <v>534</v>
      </c>
      <c r="H101" s="5" t="s">
        <v>533</v>
      </c>
      <c r="I101" s="5" t="s">
        <v>37</v>
      </c>
      <c r="J101" s="5" t="s">
        <v>51</v>
      </c>
      <c r="K101" s="5" t="s">
        <v>52</v>
      </c>
      <c r="L101" s="5" t="s">
        <v>39</v>
      </c>
      <c r="M101" s="7" t="str">
        <f t="shared" si="1"/>
        <v>OK</v>
      </c>
      <c r="N101" s="7"/>
      <c r="O101" s="7"/>
      <c r="P101" s="7"/>
      <c r="Q101" s="7"/>
      <c r="R101" s="7"/>
      <c r="S101" s="7"/>
      <c r="T101" s="7"/>
      <c r="U101" s="7"/>
      <c r="V101" s="7"/>
      <c r="W101" s="7"/>
      <c r="X101" s="7"/>
      <c r="Y101" s="7"/>
      <c r="Z101" s="7"/>
    </row>
    <row r="102" ht="15.75" customHeight="1">
      <c r="A102" s="8" t="s">
        <v>535</v>
      </c>
      <c r="B102" s="5" t="s">
        <v>14</v>
      </c>
      <c r="C102" s="5" t="s">
        <v>15</v>
      </c>
      <c r="D102" s="5" t="s">
        <v>536</v>
      </c>
      <c r="E102" s="6" t="s">
        <v>537</v>
      </c>
      <c r="F102" s="5" t="s">
        <v>538</v>
      </c>
      <c r="G102" s="6" t="s">
        <v>539</v>
      </c>
      <c r="H102" s="5" t="s">
        <v>538</v>
      </c>
      <c r="I102" s="5" t="s">
        <v>37</v>
      </c>
      <c r="J102" s="5" t="s">
        <v>51</v>
      </c>
      <c r="K102" s="5" t="s">
        <v>52</v>
      </c>
      <c r="L102" s="5" t="s">
        <v>22</v>
      </c>
      <c r="M102" s="7" t="str">
        <f t="shared" si="1"/>
        <v>OK</v>
      </c>
      <c r="N102" s="7"/>
      <c r="O102" s="7"/>
      <c r="P102" s="7"/>
      <c r="Q102" s="7"/>
      <c r="R102" s="7"/>
      <c r="S102" s="7"/>
      <c r="T102" s="7"/>
      <c r="U102" s="7"/>
      <c r="V102" s="7"/>
      <c r="W102" s="7"/>
      <c r="X102" s="7"/>
      <c r="Y102" s="7"/>
      <c r="Z102" s="7"/>
    </row>
    <row r="103" ht="15.75" customHeight="1">
      <c r="A103" s="8" t="s">
        <v>540</v>
      </c>
      <c r="B103" s="5" t="s">
        <v>14</v>
      </c>
      <c r="C103" s="5" t="s">
        <v>15</v>
      </c>
      <c r="D103" s="5" t="s">
        <v>541</v>
      </c>
      <c r="E103" s="5" t="s">
        <v>542</v>
      </c>
      <c r="F103" s="6" t="s">
        <v>543</v>
      </c>
      <c r="G103" s="6" t="s">
        <v>544</v>
      </c>
      <c r="H103" s="5" t="s">
        <v>542</v>
      </c>
      <c r="I103" s="5" t="s">
        <v>29</v>
      </c>
      <c r="J103" s="5" t="s">
        <v>74</v>
      </c>
      <c r="K103" s="5" t="s">
        <v>68</v>
      </c>
      <c r="L103" s="5" t="s">
        <v>31</v>
      </c>
      <c r="M103" s="7" t="str">
        <f t="shared" si="1"/>
        <v>OK</v>
      </c>
      <c r="N103" s="7"/>
      <c r="O103" s="7"/>
      <c r="P103" s="7"/>
      <c r="Q103" s="7"/>
      <c r="R103" s="7"/>
      <c r="S103" s="7"/>
      <c r="T103" s="7"/>
      <c r="U103" s="7"/>
      <c r="V103" s="7"/>
      <c r="W103" s="7"/>
      <c r="X103" s="7"/>
      <c r="Y103" s="7"/>
      <c r="Z103" s="7"/>
    </row>
    <row r="104" ht="15.75" customHeight="1">
      <c r="A104" s="8" t="s">
        <v>545</v>
      </c>
      <c r="B104" s="5" t="s">
        <v>14</v>
      </c>
      <c r="C104" s="5" t="s">
        <v>15</v>
      </c>
      <c r="D104" s="5" t="s">
        <v>546</v>
      </c>
      <c r="E104" s="6" t="s">
        <v>547</v>
      </c>
      <c r="F104" s="5" t="s">
        <v>548</v>
      </c>
      <c r="G104" s="6" t="s">
        <v>549</v>
      </c>
      <c r="H104" s="5" t="s">
        <v>548</v>
      </c>
      <c r="I104" s="5" t="s">
        <v>45</v>
      </c>
      <c r="J104" s="5" t="s">
        <v>37</v>
      </c>
      <c r="K104" s="5" t="s">
        <v>22</v>
      </c>
      <c r="L104" s="5" t="s">
        <v>39</v>
      </c>
      <c r="M104" s="7" t="str">
        <f t="shared" si="1"/>
        <v>OK</v>
      </c>
      <c r="N104" s="7"/>
      <c r="O104" s="7"/>
      <c r="P104" s="7"/>
      <c r="Q104" s="7"/>
      <c r="R104" s="7"/>
      <c r="S104" s="7"/>
      <c r="T104" s="7"/>
      <c r="U104" s="7"/>
      <c r="V104" s="7"/>
      <c r="W104" s="7"/>
      <c r="X104" s="7"/>
      <c r="Y104" s="7"/>
      <c r="Z104" s="7"/>
    </row>
    <row r="105" ht="15.75" customHeight="1">
      <c r="A105" s="8" t="s">
        <v>550</v>
      </c>
      <c r="B105" s="5" t="s">
        <v>14</v>
      </c>
      <c r="C105" s="5" t="s">
        <v>15</v>
      </c>
      <c r="D105" s="5" t="s">
        <v>551</v>
      </c>
      <c r="E105" s="6" t="s">
        <v>552</v>
      </c>
      <c r="F105" s="6" t="s">
        <v>553</v>
      </c>
      <c r="G105" s="5" t="s">
        <v>554</v>
      </c>
      <c r="H105" s="5" t="s">
        <v>554</v>
      </c>
      <c r="I105" s="5" t="s">
        <v>37</v>
      </c>
      <c r="J105" s="5" t="s">
        <v>74</v>
      </c>
      <c r="K105" s="5" t="s">
        <v>75</v>
      </c>
      <c r="L105" s="5" t="s">
        <v>30</v>
      </c>
      <c r="M105" s="7" t="str">
        <f t="shared" si="1"/>
        <v>OK</v>
      </c>
      <c r="N105" s="7"/>
      <c r="O105" s="7"/>
      <c r="P105" s="7"/>
      <c r="Q105" s="7"/>
      <c r="R105" s="7"/>
      <c r="S105" s="7"/>
      <c r="T105" s="7"/>
      <c r="U105" s="7"/>
      <c r="V105" s="7"/>
      <c r="W105" s="7"/>
      <c r="X105" s="7"/>
      <c r="Y105" s="7"/>
      <c r="Z105" s="7"/>
    </row>
    <row r="106" ht="15.75" customHeight="1">
      <c r="A106" s="8" t="s">
        <v>555</v>
      </c>
      <c r="B106" s="5" t="s">
        <v>14</v>
      </c>
      <c r="C106" s="5" t="s">
        <v>15</v>
      </c>
      <c r="D106" s="5" t="s">
        <v>556</v>
      </c>
      <c r="E106" s="5" t="s">
        <v>557</v>
      </c>
      <c r="F106" s="6" t="s">
        <v>558</v>
      </c>
      <c r="G106" s="6" t="s">
        <v>559</v>
      </c>
      <c r="H106" s="5" t="s">
        <v>557</v>
      </c>
      <c r="I106" s="5" t="s">
        <v>38</v>
      </c>
      <c r="J106" s="5" t="s">
        <v>20</v>
      </c>
      <c r="K106" s="5" t="s">
        <v>52</v>
      </c>
      <c r="L106" s="5" t="s">
        <v>39</v>
      </c>
      <c r="M106" s="7" t="str">
        <f t="shared" si="1"/>
        <v>OK</v>
      </c>
      <c r="N106" s="7"/>
      <c r="O106" s="7"/>
      <c r="P106" s="7"/>
      <c r="Q106" s="7"/>
      <c r="R106" s="7"/>
      <c r="S106" s="7"/>
      <c r="T106" s="7"/>
      <c r="U106" s="7"/>
      <c r="V106" s="7"/>
      <c r="W106" s="7"/>
      <c r="X106" s="7"/>
      <c r="Y106" s="7"/>
      <c r="Z106" s="7"/>
    </row>
    <row r="107" ht="15.75" customHeight="1">
      <c r="A107" s="8" t="s">
        <v>560</v>
      </c>
      <c r="B107" s="5" t="s">
        <v>14</v>
      </c>
      <c r="C107" s="5" t="s">
        <v>15</v>
      </c>
      <c r="D107" s="5" t="s">
        <v>561</v>
      </c>
      <c r="E107" s="5" t="s">
        <v>562</v>
      </c>
      <c r="F107" s="6" t="s">
        <v>563</v>
      </c>
      <c r="G107" s="6" t="s">
        <v>564</v>
      </c>
      <c r="H107" s="5" t="s">
        <v>562</v>
      </c>
      <c r="I107" s="5" t="s">
        <v>45</v>
      </c>
      <c r="J107" s="5" t="s">
        <v>20</v>
      </c>
      <c r="K107" s="5" t="s">
        <v>52</v>
      </c>
      <c r="L107" s="5" t="s">
        <v>22</v>
      </c>
      <c r="M107" s="7" t="str">
        <f t="shared" si="1"/>
        <v>OK</v>
      </c>
      <c r="N107" s="7"/>
      <c r="O107" s="7"/>
      <c r="P107" s="7"/>
      <c r="Q107" s="7"/>
      <c r="R107" s="7"/>
      <c r="S107" s="7"/>
      <c r="T107" s="7"/>
      <c r="U107" s="7"/>
      <c r="V107" s="7"/>
      <c r="W107" s="7"/>
      <c r="X107" s="7"/>
      <c r="Y107" s="7"/>
      <c r="Z107" s="7"/>
    </row>
    <row r="108" ht="15.75" customHeight="1">
      <c r="A108" s="8" t="s">
        <v>565</v>
      </c>
      <c r="B108" s="5" t="s">
        <v>14</v>
      </c>
      <c r="C108" s="5" t="s">
        <v>15</v>
      </c>
      <c r="D108" s="5" t="s">
        <v>566</v>
      </c>
      <c r="E108" s="6" t="s">
        <v>567</v>
      </c>
      <c r="F108" s="6" t="s">
        <v>568</v>
      </c>
      <c r="G108" s="5" t="s">
        <v>569</v>
      </c>
      <c r="H108" s="5" t="s">
        <v>569</v>
      </c>
      <c r="I108" s="5" t="s">
        <v>45</v>
      </c>
      <c r="J108" s="5" t="s">
        <v>20</v>
      </c>
      <c r="K108" s="5" t="s">
        <v>111</v>
      </c>
      <c r="L108" s="5" t="s">
        <v>30</v>
      </c>
      <c r="M108" s="7" t="str">
        <f t="shared" si="1"/>
        <v>OK</v>
      </c>
      <c r="N108" s="7"/>
      <c r="O108" s="7"/>
      <c r="P108" s="7"/>
      <c r="Q108" s="7"/>
      <c r="R108" s="7"/>
      <c r="S108" s="7"/>
      <c r="T108" s="7"/>
      <c r="U108" s="7"/>
      <c r="V108" s="7"/>
      <c r="W108" s="7"/>
      <c r="X108" s="7"/>
      <c r="Y108" s="7"/>
      <c r="Z108" s="7"/>
    </row>
    <row r="109" ht="15.75" customHeight="1">
      <c r="A109" s="8" t="s">
        <v>570</v>
      </c>
      <c r="B109" s="5" t="s">
        <v>14</v>
      </c>
      <c r="C109" s="5" t="s">
        <v>15</v>
      </c>
      <c r="D109" s="5" t="s">
        <v>571</v>
      </c>
      <c r="E109" s="6" t="s">
        <v>572</v>
      </c>
      <c r="F109" s="5" t="s">
        <v>573</v>
      </c>
      <c r="G109" s="6" t="s">
        <v>574</v>
      </c>
      <c r="H109" s="5" t="s">
        <v>573</v>
      </c>
      <c r="I109" s="5" t="s">
        <v>37</v>
      </c>
      <c r="J109" s="5" t="s">
        <v>20</v>
      </c>
      <c r="K109" s="5" t="s">
        <v>111</v>
      </c>
      <c r="L109" s="5" t="s">
        <v>23</v>
      </c>
      <c r="M109" s="7" t="str">
        <f t="shared" si="1"/>
        <v>OK</v>
      </c>
      <c r="N109" s="7"/>
      <c r="O109" s="7"/>
      <c r="P109" s="7"/>
      <c r="Q109" s="7"/>
      <c r="R109" s="7"/>
      <c r="S109" s="7"/>
      <c r="T109" s="7"/>
      <c r="U109" s="7"/>
      <c r="V109" s="7"/>
      <c r="W109" s="7"/>
      <c r="X109" s="7"/>
      <c r="Y109" s="7"/>
      <c r="Z109" s="7"/>
    </row>
    <row r="110" ht="15.75" customHeight="1">
      <c r="A110" s="8" t="s">
        <v>575</v>
      </c>
      <c r="B110" s="5" t="s">
        <v>14</v>
      </c>
      <c r="C110" s="5" t="s">
        <v>15</v>
      </c>
      <c r="D110" s="5" t="s">
        <v>576</v>
      </c>
      <c r="E110" s="6" t="s">
        <v>577</v>
      </c>
      <c r="F110" s="6" t="s">
        <v>578</v>
      </c>
      <c r="G110" s="5" t="s">
        <v>579</v>
      </c>
      <c r="H110" s="5" t="s">
        <v>579</v>
      </c>
      <c r="I110" s="5" t="s">
        <v>21</v>
      </c>
      <c r="J110" s="5" t="s">
        <v>51</v>
      </c>
      <c r="K110" s="5" t="s">
        <v>31</v>
      </c>
      <c r="L110" s="5" t="s">
        <v>23</v>
      </c>
      <c r="M110" s="7" t="str">
        <f t="shared" si="1"/>
        <v>OK</v>
      </c>
      <c r="N110" s="7"/>
      <c r="O110" s="7"/>
      <c r="P110" s="7"/>
      <c r="Q110" s="7"/>
      <c r="R110" s="7"/>
      <c r="S110" s="7"/>
      <c r="T110" s="7"/>
      <c r="U110" s="7"/>
      <c r="V110" s="7"/>
      <c r="W110" s="7"/>
      <c r="X110" s="7"/>
      <c r="Y110" s="7"/>
      <c r="Z110" s="7"/>
    </row>
    <row r="111" ht="15.75" customHeight="1">
      <c r="A111" s="8" t="s">
        <v>580</v>
      </c>
      <c r="B111" s="5" t="s">
        <v>14</v>
      </c>
      <c r="C111" s="5" t="s">
        <v>15</v>
      </c>
      <c r="D111" s="5" t="s">
        <v>581</v>
      </c>
      <c r="E111" s="5" t="s">
        <v>582</v>
      </c>
      <c r="F111" s="6" t="s">
        <v>583</v>
      </c>
      <c r="G111" s="6" t="s">
        <v>584</v>
      </c>
      <c r="H111" s="5" t="s">
        <v>582</v>
      </c>
      <c r="I111" s="5" t="s">
        <v>51</v>
      </c>
      <c r="J111" s="5" t="s">
        <v>21</v>
      </c>
      <c r="K111" s="5" t="s">
        <v>23</v>
      </c>
      <c r="L111" s="5" t="s">
        <v>39</v>
      </c>
      <c r="M111" s="7" t="str">
        <f t="shared" si="1"/>
        <v>OK</v>
      </c>
      <c r="N111" s="7"/>
      <c r="O111" s="7"/>
      <c r="P111" s="7"/>
      <c r="Q111" s="7"/>
      <c r="R111" s="7"/>
      <c r="S111" s="7"/>
      <c r="T111" s="7"/>
      <c r="U111" s="7"/>
      <c r="V111" s="7"/>
      <c r="W111" s="7"/>
      <c r="X111" s="7"/>
      <c r="Y111" s="7"/>
      <c r="Z111" s="7"/>
    </row>
    <row r="112" ht="15.75" customHeight="1">
      <c r="A112" s="8" t="s">
        <v>585</v>
      </c>
      <c r="B112" s="5" t="s">
        <v>14</v>
      </c>
      <c r="C112" s="5" t="s">
        <v>15</v>
      </c>
      <c r="D112" s="5" t="s">
        <v>586</v>
      </c>
      <c r="E112" s="5" t="s">
        <v>587</v>
      </c>
      <c r="F112" s="6" t="s">
        <v>588</v>
      </c>
      <c r="G112" s="6" t="s">
        <v>589</v>
      </c>
      <c r="H112" s="5" t="s">
        <v>587</v>
      </c>
      <c r="I112" s="5" t="s">
        <v>29</v>
      </c>
      <c r="J112" s="5" t="s">
        <v>37</v>
      </c>
      <c r="K112" s="5" t="s">
        <v>22</v>
      </c>
      <c r="L112" s="5" t="s">
        <v>30</v>
      </c>
      <c r="M112" s="7" t="str">
        <f t="shared" si="1"/>
        <v>OK</v>
      </c>
      <c r="N112" s="7"/>
      <c r="O112" s="7"/>
      <c r="P112" s="7"/>
      <c r="Q112" s="7"/>
      <c r="R112" s="7"/>
      <c r="S112" s="7"/>
      <c r="T112" s="7"/>
      <c r="U112" s="7"/>
      <c r="V112" s="7"/>
      <c r="W112" s="7"/>
      <c r="X112" s="7"/>
      <c r="Y112" s="7"/>
      <c r="Z112" s="7"/>
    </row>
    <row r="113" ht="15.75" customHeight="1">
      <c r="A113" s="8" t="s">
        <v>590</v>
      </c>
      <c r="B113" s="5" t="s">
        <v>14</v>
      </c>
      <c r="C113" s="5" t="s">
        <v>15</v>
      </c>
      <c r="D113" s="5" t="s">
        <v>591</v>
      </c>
      <c r="E113" s="6" t="s">
        <v>592</v>
      </c>
      <c r="F113" s="5" t="s">
        <v>593</v>
      </c>
      <c r="G113" s="6" t="s">
        <v>594</v>
      </c>
      <c r="H113" s="5" t="s">
        <v>593</v>
      </c>
      <c r="I113" s="5" t="s">
        <v>51</v>
      </c>
      <c r="J113" s="5" t="s">
        <v>37</v>
      </c>
      <c r="K113" s="5" t="s">
        <v>30</v>
      </c>
      <c r="L113" s="5" t="s">
        <v>22</v>
      </c>
      <c r="M113" s="7" t="str">
        <f t="shared" si="1"/>
        <v>OK</v>
      </c>
      <c r="N113" s="7"/>
      <c r="O113" s="7"/>
      <c r="P113" s="7"/>
      <c r="Q113" s="7"/>
      <c r="R113" s="7"/>
      <c r="S113" s="7"/>
      <c r="T113" s="7"/>
      <c r="U113" s="7"/>
      <c r="V113" s="7"/>
      <c r="W113" s="7"/>
      <c r="X113" s="7"/>
      <c r="Y113" s="7"/>
      <c r="Z113" s="7"/>
    </row>
    <row r="114" ht="15.75" customHeight="1">
      <c r="A114" s="8" t="s">
        <v>595</v>
      </c>
      <c r="B114" s="5" t="s">
        <v>14</v>
      </c>
      <c r="C114" s="5" t="s">
        <v>15</v>
      </c>
      <c r="D114" s="5" t="s">
        <v>596</v>
      </c>
      <c r="E114" s="6" t="s">
        <v>597</v>
      </c>
      <c r="F114" s="6" t="s">
        <v>598</v>
      </c>
      <c r="G114" s="5" t="s">
        <v>599</v>
      </c>
      <c r="H114" s="5" t="s">
        <v>599</v>
      </c>
      <c r="I114" s="5" t="s">
        <v>45</v>
      </c>
      <c r="J114" s="5" t="s">
        <v>74</v>
      </c>
      <c r="K114" s="5" t="s">
        <v>68</v>
      </c>
      <c r="L114" s="5" t="s">
        <v>39</v>
      </c>
      <c r="M114" s="7" t="str">
        <f t="shared" si="1"/>
        <v>OK</v>
      </c>
      <c r="N114" s="7"/>
      <c r="O114" s="7"/>
      <c r="P114" s="7"/>
      <c r="Q114" s="7"/>
      <c r="R114" s="7"/>
      <c r="S114" s="7"/>
      <c r="T114" s="7"/>
      <c r="U114" s="7"/>
      <c r="V114" s="7"/>
      <c r="W114" s="7"/>
      <c r="X114" s="7"/>
      <c r="Y114" s="7"/>
      <c r="Z114" s="7"/>
    </row>
    <row r="115" ht="15.75" customHeight="1">
      <c r="A115" s="8" t="s">
        <v>600</v>
      </c>
      <c r="B115" s="5" t="s">
        <v>14</v>
      </c>
      <c r="C115" s="5" t="s">
        <v>15</v>
      </c>
      <c r="D115" s="5" t="s">
        <v>601</v>
      </c>
      <c r="E115" s="6" t="s">
        <v>602</v>
      </c>
      <c r="F115" s="6" t="s">
        <v>603</v>
      </c>
      <c r="G115" s="5" t="s">
        <v>604</v>
      </c>
      <c r="H115" s="5" t="s">
        <v>604</v>
      </c>
      <c r="I115" s="5" t="s">
        <v>37</v>
      </c>
      <c r="J115" s="5" t="s">
        <v>74</v>
      </c>
      <c r="K115" s="5" t="s">
        <v>31</v>
      </c>
      <c r="L115" s="5" t="s">
        <v>39</v>
      </c>
      <c r="M115" s="7" t="str">
        <f t="shared" si="1"/>
        <v>OK</v>
      </c>
      <c r="N115" s="7"/>
      <c r="O115" s="7"/>
      <c r="P115" s="7"/>
      <c r="Q115" s="7"/>
      <c r="R115" s="7"/>
      <c r="S115" s="7"/>
      <c r="T115" s="7"/>
      <c r="U115" s="7"/>
      <c r="V115" s="7"/>
      <c r="W115" s="7"/>
      <c r="X115" s="7"/>
      <c r="Y115" s="7"/>
      <c r="Z115" s="7"/>
    </row>
    <row r="116" ht="15.75" customHeight="1">
      <c r="A116" s="8" t="s">
        <v>605</v>
      </c>
      <c r="B116" s="5" t="s">
        <v>14</v>
      </c>
      <c r="C116" s="5" t="s">
        <v>15</v>
      </c>
      <c r="D116" s="5" t="s">
        <v>606</v>
      </c>
      <c r="E116" s="6" t="s">
        <v>607</v>
      </c>
      <c r="F116" s="6" t="s">
        <v>608</v>
      </c>
      <c r="G116" s="6" t="s">
        <v>609</v>
      </c>
      <c r="H116" s="6" t="s">
        <v>609</v>
      </c>
      <c r="I116" s="5" t="s">
        <v>45</v>
      </c>
      <c r="J116" s="5" t="s">
        <v>37</v>
      </c>
      <c r="K116" s="5" t="s">
        <v>22</v>
      </c>
      <c r="L116" s="5" t="s">
        <v>30</v>
      </c>
      <c r="M116" s="7" t="str">
        <f t="shared" si="1"/>
        <v>OK</v>
      </c>
      <c r="N116" s="7"/>
      <c r="O116" s="7"/>
      <c r="P116" s="7"/>
      <c r="Q116" s="7"/>
      <c r="R116" s="7"/>
      <c r="S116" s="7"/>
      <c r="T116" s="7"/>
      <c r="U116" s="7"/>
      <c r="V116" s="7"/>
      <c r="W116" s="7"/>
      <c r="X116" s="7"/>
      <c r="Y116" s="7"/>
      <c r="Z116" s="7"/>
    </row>
    <row r="117" ht="15.75" customHeight="1">
      <c r="A117" s="8" t="s">
        <v>610</v>
      </c>
      <c r="B117" s="5" t="s">
        <v>14</v>
      </c>
      <c r="C117" s="5" t="s">
        <v>15</v>
      </c>
      <c r="D117" s="5" t="s">
        <v>611</v>
      </c>
      <c r="E117" s="6" t="s">
        <v>612</v>
      </c>
      <c r="F117" s="6" t="s">
        <v>613</v>
      </c>
      <c r="G117" s="5" t="s">
        <v>614</v>
      </c>
      <c r="H117" s="5" t="s">
        <v>614</v>
      </c>
      <c r="I117" s="5" t="s">
        <v>38</v>
      </c>
      <c r="J117" s="5" t="s">
        <v>20</v>
      </c>
      <c r="K117" s="5" t="s">
        <v>31</v>
      </c>
      <c r="L117" s="5" t="s">
        <v>39</v>
      </c>
      <c r="M117" s="7" t="str">
        <f t="shared" si="1"/>
        <v>OK</v>
      </c>
      <c r="N117" s="7"/>
      <c r="O117" s="7"/>
      <c r="P117" s="7"/>
      <c r="Q117" s="7"/>
      <c r="R117" s="7"/>
      <c r="S117" s="7"/>
      <c r="T117" s="7"/>
      <c r="U117" s="7"/>
      <c r="V117" s="7"/>
      <c r="W117" s="7"/>
      <c r="X117" s="7"/>
      <c r="Y117" s="7"/>
      <c r="Z117" s="7"/>
    </row>
    <row r="118" ht="15.75" customHeight="1">
      <c r="A118" s="8" t="s">
        <v>615</v>
      </c>
      <c r="B118" s="5" t="s">
        <v>14</v>
      </c>
      <c r="C118" s="5" t="s">
        <v>15</v>
      </c>
      <c r="D118" s="5" t="s">
        <v>616</v>
      </c>
      <c r="E118" s="6" t="s">
        <v>617</v>
      </c>
      <c r="F118" s="6" t="s">
        <v>618</v>
      </c>
      <c r="G118" s="5" t="s">
        <v>619</v>
      </c>
      <c r="H118" s="5" t="s">
        <v>619</v>
      </c>
      <c r="I118" s="5" t="s">
        <v>20</v>
      </c>
      <c r="J118" s="5" t="s">
        <v>38</v>
      </c>
      <c r="K118" s="5" t="s">
        <v>31</v>
      </c>
      <c r="L118" s="5" t="s">
        <v>23</v>
      </c>
      <c r="M118" s="7" t="str">
        <f t="shared" si="1"/>
        <v>OK</v>
      </c>
      <c r="N118" s="7"/>
      <c r="O118" s="7"/>
      <c r="P118" s="7"/>
      <c r="Q118" s="7"/>
      <c r="R118" s="7"/>
      <c r="S118" s="7"/>
      <c r="T118" s="7"/>
      <c r="U118" s="7"/>
      <c r="V118" s="7"/>
      <c r="W118" s="7"/>
      <c r="X118" s="7"/>
      <c r="Y118" s="7"/>
      <c r="Z118" s="7"/>
    </row>
    <row r="119" ht="15.75" customHeight="1">
      <c r="A119" s="8" t="s">
        <v>620</v>
      </c>
      <c r="B119" s="5" t="s">
        <v>14</v>
      </c>
      <c r="C119" s="5" t="s">
        <v>15</v>
      </c>
      <c r="D119" s="5" t="s">
        <v>621</v>
      </c>
      <c r="E119" s="6" t="s">
        <v>622</v>
      </c>
      <c r="F119" s="5" t="s">
        <v>623</v>
      </c>
      <c r="G119" s="6" t="s">
        <v>624</v>
      </c>
      <c r="H119" s="5" t="s">
        <v>623</v>
      </c>
      <c r="I119" s="5" t="s">
        <v>37</v>
      </c>
      <c r="J119" s="5" t="s">
        <v>45</v>
      </c>
      <c r="K119" s="5" t="s">
        <v>75</v>
      </c>
      <c r="L119" s="5" t="s">
        <v>39</v>
      </c>
      <c r="M119" s="7" t="str">
        <f t="shared" si="1"/>
        <v>OK</v>
      </c>
      <c r="N119" s="7"/>
      <c r="O119" s="7"/>
      <c r="P119" s="7"/>
      <c r="Q119" s="7"/>
      <c r="R119" s="7"/>
      <c r="S119" s="7"/>
      <c r="T119" s="7"/>
      <c r="U119" s="7"/>
      <c r="V119" s="7"/>
      <c r="W119" s="7"/>
      <c r="X119" s="7"/>
      <c r="Y119" s="7"/>
      <c r="Z119" s="7"/>
    </row>
    <row r="120" ht="15.75" customHeight="1">
      <c r="A120" s="8" t="s">
        <v>625</v>
      </c>
      <c r="B120" s="5" t="s">
        <v>14</v>
      </c>
      <c r="C120" s="5" t="s">
        <v>15</v>
      </c>
      <c r="D120" s="5" t="s">
        <v>626</v>
      </c>
      <c r="E120" s="6" t="s">
        <v>627</v>
      </c>
      <c r="F120" s="6" t="s">
        <v>628</v>
      </c>
      <c r="G120" s="5" t="s">
        <v>629</v>
      </c>
      <c r="H120" s="5" t="s">
        <v>629</v>
      </c>
      <c r="I120" s="5" t="s">
        <v>37</v>
      </c>
      <c r="J120" s="5" t="s">
        <v>21</v>
      </c>
      <c r="K120" s="5" t="s">
        <v>52</v>
      </c>
      <c r="L120" s="5" t="s">
        <v>39</v>
      </c>
      <c r="M120" s="7" t="str">
        <f t="shared" si="1"/>
        <v>OK</v>
      </c>
      <c r="N120" s="7"/>
      <c r="O120" s="7"/>
      <c r="P120" s="7"/>
      <c r="Q120" s="7"/>
      <c r="R120" s="7"/>
      <c r="S120" s="7"/>
      <c r="T120" s="7"/>
      <c r="U120" s="7"/>
      <c r="V120" s="7"/>
      <c r="W120" s="7"/>
      <c r="X120" s="7"/>
      <c r="Y120" s="7"/>
      <c r="Z120" s="7"/>
    </row>
    <row r="121" ht="15.75" customHeight="1">
      <c r="A121" s="8" t="s">
        <v>630</v>
      </c>
      <c r="B121" s="5" t="s">
        <v>14</v>
      </c>
      <c r="C121" s="5" t="s">
        <v>15</v>
      </c>
      <c r="D121" s="5" t="s">
        <v>631</v>
      </c>
      <c r="E121" s="5" t="s">
        <v>632</v>
      </c>
      <c r="F121" s="6" t="s">
        <v>633</v>
      </c>
      <c r="G121" s="6" t="s">
        <v>634</v>
      </c>
      <c r="H121" s="5" t="s">
        <v>632</v>
      </c>
      <c r="I121" s="5" t="s">
        <v>21</v>
      </c>
      <c r="J121" s="5" t="s">
        <v>74</v>
      </c>
      <c r="K121" s="5" t="s">
        <v>39</v>
      </c>
      <c r="L121" s="5" t="s">
        <v>23</v>
      </c>
      <c r="M121" s="7" t="str">
        <f t="shared" si="1"/>
        <v>OK</v>
      </c>
      <c r="N121" s="7"/>
      <c r="O121" s="7"/>
      <c r="P121" s="7"/>
      <c r="Q121" s="7"/>
      <c r="R121" s="7"/>
      <c r="S121" s="7"/>
      <c r="T121" s="7"/>
      <c r="U121" s="7"/>
      <c r="V121" s="7"/>
      <c r="W121" s="7"/>
      <c r="X121" s="7"/>
      <c r="Y121" s="7"/>
      <c r="Z121" s="7"/>
    </row>
    <row r="122" ht="15.75" customHeight="1">
      <c r="A122" s="8" t="s">
        <v>635</v>
      </c>
      <c r="B122" s="5" t="s">
        <v>14</v>
      </c>
      <c r="C122" s="5" t="s">
        <v>15</v>
      </c>
      <c r="D122" s="5" t="s">
        <v>636</v>
      </c>
      <c r="E122" s="6" t="s">
        <v>637</v>
      </c>
      <c r="F122" s="5" t="s">
        <v>638</v>
      </c>
      <c r="G122" s="6" t="s">
        <v>639</v>
      </c>
      <c r="H122" s="5" t="s">
        <v>638</v>
      </c>
      <c r="I122" s="5" t="s">
        <v>38</v>
      </c>
      <c r="J122" s="5" t="s">
        <v>20</v>
      </c>
      <c r="K122" s="5" t="s">
        <v>30</v>
      </c>
      <c r="L122" s="5" t="s">
        <v>22</v>
      </c>
      <c r="M122" s="7" t="str">
        <f t="shared" si="1"/>
        <v>OK</v>
      </c>
      <c r="N122" s="7"/>
      <c r="O122" s="7"/>
      <c r="P122" s="7"/>
      <c r="Q122" s="7"/>
      <c r="R122" s="7"/>
      <c r="S122" s="7"/>
      <c r="T122" s="7"/>
      <c r="U122" s="7"/>
      <c r="V122" s="7"/>
      <c r="W122" s="7"/>
      <c r="X122" s="7"/>
      <c r="Y122" s="7"/>
      <c r="Z122" s="7"/>
    </row>
    <row r="123" ht="15.75" customHeight="1">
      <c r="A123" s="8" t="s">
        <v>640</v>
      </c>
      <c r="B123" s="5" t="s">
        <v>14</v>
      </c>
      <c r="C123" s="5" t="s">
        <v>15</v>
      </c>
      <c r="D123" s="5" t="s">
        <v>641</v>
      </c>
      <c r="E123" s="6" t="s">
        <v>642</v>
      </c>
      <c r="F123" s="6" t="s">
        <v>643</v>
      </c>
      <c r="G123" s="6" t="s">
        <v>644</v>
      </c>
      <c r="H123" s="6" t="s">
        <v>642</v>
      </c>
      <c r="I123" s="5" t="s">
        <v>37</v>
      </c>
      <c r="J123" s="5" t="s">
        <v>45</v>
      </c>
      <c r="K123" s="5" t="s">
        <v>22</v>
      </c>
      <c r="L123" s="5" t="s">
        <v>39</v>
      </c>
      <c r="M123" s="7" t="str">
        <f t="shared" si="1"/>
        <v>OK</v>
      </c>
      <c r="N123" s="7"/>
      <c r="O123" s="7"/>
      <c r="P123" s="7"/>
      <c r="Q123" s="7"/>
      <c r="R123" s="7"/>
      <c r="S123" s="7"/>
      <c r="T123" s="7"/>
      <c r="U123" s="7"/>
      <c r="V123" s="7"/>
      <c r="W123" s="7"/>
      <c r="X123" s="7"/>
      <c r="Y123" s="7"/>
      <c r="Z123" s="7"/>
    </row>
    <row r="124" ht="15.75" customHeight="1">
      <c r="A124" s="8" t="s">
        <v>645</v>
      </c>
      <c r="B124" s="5" t="s">
        <v>14</v>
      </c>
      <c r="C124" s="5" t="s">
        <v>15</v>
      </c>
      <c r="D124" s="5" t="s">
        <v>646</v>
      </c>
      <c r="E124" s="6" t="s">
        <v>647</v>
      </c>
      <c r="F124" s="6" t="s">
        <v>648</v>
      </c>
      <c r="G124" s="6" t="s">
        <v>649</v>
      </c>
      <c r="H124" s="6" t="s">
        <v>648</v>
      </c>
      <c r="I124" s="5" t="s">
        <v>37</v>
      </c>
      <c r="J124" s="5" t="s">
        <v>45</v>
      </c>
      <c r="K124" s="5" t="s">
        <v>23</v>
      </c>
      <c r="L124" s="5" t="s">
        <v>39</v>
      </c>
      <c r="M124" s="7" t="str">
        <f t="shared" si="1"/>
        <v>OK</v>
      </c>
      <c r="N124" s="7"/>
      <c r="O124" s="7"/>
      <c r="P124" s="7"/>
      <c r="Q124" s="7"/>
      <c r="R124" s="7"/>
      <c r="S124" s="7"/>
      <c r="T124" s="7"/>
      <c r="U124" s="7"/>
      <c r="V124" s="7"/>
      <c r="W124" s="7"/>
      <c r="X124" s="7"/>
      <c r="Y124" s="7"/>
      <c r="Z124" s="7"/>
    </row>
    <row r="125" ht="15.75" customHeight="1">
      <c r="A125" s="8" t="s">
        <v>650</v>
      </c>
      <c r="B125" s="5" t="s">
        <v>14</v>
      </c>
      <c r="C125" s="5" t="s">
        <v>15</v>
      </c>
      <c r="D125" s="5" t="s">
        <v>651</v>
      </c>
      <c r="E125" s="6" t="s">
        <v>652</v>
      </c>
      <c r="F125" s="6" t="s">
        <v>653</v>
      </c>
      <c r="G125" s="6" t="s">
        <v>654</v>
      </c>
      <c r="H125" s="6" t="s">
        <v>654</v>
      </c>
      <c r="I125" s="5" t="s">
        <v>38</v>
      </c>
      <c r="J125" s="5" t="s">
        <v>74</v>
      </c>
      <c r="K125" s="5" t="s">
        <v>31</v>
      </c>
      <c r="L125" s="5" t="s">
        <v>23</v>
      </c>
      <c r="M125" s="7" t="str">
        <f t="shared" si="1"/>
        <v>OK</v>
      </c>
      <c r="N125" s="7"/>
      <c r="O125" s="7"/>
      <c r="P125" s="7"/>
      <c r="Q125" s="7"/>
      <c r="R125" s="7"/>
      <c r="S125" s="7"/>
      <c r="T125" s="7"/>
      <c r="U125" s="7"/>
      <c r="V125" s="7"/>
      <c r="W125" s="7"/>
      <c r="X125" s="7"/>
      <c r="Y125" s="7"/>
      <c r="Z125" s="7"/>
    </row>
    <row r="126" ht="15.75" customHeight="1">
      <c r="A126" s="8" t="s">
        <v>655</v>
      </c>
      <c r="B126" s="5" t="s">
        <v>14</v>
      </c>
      <c r="C126" s="5" t="s">
        <v>15</v>
      </c>
      <c r="D126" s="5" t="s">
        <v>656</v>
      </c>
      <c r="E126" s="6" t="s">
        <v>657</v>
      </c>
      <c r="F126" s="6" t="s">
        <v>658</v>
      </c>
      <c r="G126" s="6" t="s">
        <v>659</v>
      </c>
      <c r="H126" s="6" t="s">
        <v>660</v>
      </c>
      <c r="I126" s="5" t="s">
        <v>37</v>
      </c>
      <c r="J126" s="5" t="s">
        <v>45</v>
      </c>
      <c r="K126" s="5" t="s">
        <v>52</v>
      </c>
      <c r="L126" s="5" t="s">
        <v>39</v>
      </c>
      <c r="M126" s="7" t="str">
        <f t="shared" si="1"/>
        <v>OK</v>
      </c>
      <c r="N126" s="7"/>
      <c r="O126" s="7"/>
      <c r="P126" s="7"/>
      <c r="Q126" s="7"/>
      <c r="R126" s="7"/>
      <c r="S126" s="7"/>
      <c r="T126" s="7"/>
      <c r="U126" s="7"/>
      <c r="V126" s="7"/>
      <c r="W126" s="7"/>
      <c r="X126" s="7"/>
      <c r="Y126" s="7"/>
      <c r="Z126" s="7"/>
    </row>
    <row r="127" ht="15.75" customHeight="1">
      <c r="A127" s="8" t="s">
        <v>661</v>
      </c>
      <c r="B127" s="5" t="s">
        <v>14</v>
      </c>
      <c r="C127" s="5" t="s">
        <v>15</v>
      </c>
      <c r="D127" s="5" t="s">
        <v>662</v>
      </c>
      <c r="E127" s="6" t="s">
        <v>663</v>
      </c>
      <c r="F127" s="6" t="s">
        <v>664</v>
      </c>
      <c r="G127" s="6" t="s">
        <v>665</v>
      </c>
      <c r="H127" s="6" t="s">
        <v>663</v>
      </c>
      <c r="I127" s="5" t="s">
        <v>51</v>
      </c>
      <c r="J127" s="5" t="s">
        <v>20</v>
      </c>
      <c r="K127" s="5" t="s">
        <v>31</v>
      </c>
      <c r="L127" s="5" t="s">
        <v>39</v>
      </c>
      <c r="M127" s="7" t="str">
        <f t="shared" si="1"/>
        <v>OK</v>
      </c>
      <c r="N127" s="7"/>
      <c r="O127" s="7"/>
      <c r="P127" s="7"/>
      <c r="Q127" s="7"/>
      <c r="R127" s="7"/>
      <c r="S127" s="7"/>
      <c r="T127" s="7"/>
      <c r="U127" s="7"/>
      <c r="V127" s="7"/>
      <c r="W127" s="7"/>
      <c r="X127" s="7"/>
      <c r="Y127" s="7"/>
      <c r="Z127" s="7"/>
    </row>
    <row r="128" ht="15.75" customHeight="1">
      <c r="A128" s="8" t="s">
        <v>666</v>
      </c>
      <c r="B128" s="5" t="s">
        <v>14</v>
      </c>
      <c r="C128" s="5" t="s">
        <v>15</v>
      </c>
      <c r="D128" s="5" t="s">
        <v>667</v>
      </c>
      <c r="E128" s="6" t="s">
        <v>668</v>
      </c>
      <c r="F128" s="6" t="s">
        <v>669</v>
      </c>
      <c r="G128" s="6" t="s">
        <v>670</v>
      </c>
      <c r="H128" s="6" t="s">
        <v>670</v>
      </c>
      <c r="I128" s="5" t="s">
        <v>74</v>
      </c>
      <c r="J128" s="5" t="s">
        <v>51</v>
      </c>
      <c r="K128" s="5" t="s">
        <v>31</v>
      </c>
      <c r="L128" s="5" t="s">
        <v>23</v>
      </c>
      <c r="M128" s="7" t="str">
        <f t="shared" si="1"/>
        <v>OK</v>
      </c>
      <c r="N128" s="7"/>
      <c r="O128" s="7"/>
      <c r="P128" s="7"/>
      <c r="Q128" s="7"/>
      <c r="R128" s="7"/>
      <c r="S128" s="7"/>
      <c r="T128" s="7"/>
      <c r="U128" s="7"/>
      <c r="V128" s="7"/>
      <c r="W128" s="7"/>
      <c r="X128" s="7"/>
      <c r="Y128" s="7"/>
      <c r="Z128" s="7"/>
    </row>
    <row r="129" ht="15.75" customHeight="1">
      <c r="A129" s="8" t="s">
        <v>671</v>
      </c>
      <c r="B129" s="5" t="s">
        <v>14</v>
      </c>
      <c r="C129" s="5" t="s">
        <v>15</v>
      </c>
      <c r="D129" s="5" t="s">
        <v>672</v>
      </c>
      <c r="E129" s="6" t="s">
        <v>673</v>
      </c>
      <c r="F129" s="6" t="s">
        <v>674</v>
      </c>
      <c r="G129" s="6" t="s">
        <v>675</v>
      </c>
      <c r="H129" s="6" t="s">
        <v>675</v>
      </c>
      <c r="I129" s="5" t="s">
        <v>45</v>
      </c>
      <c r="J129" s="5" t="s">
        <v>20</v>
      </c>
      <c r="K129" s="5" t="s">
        <v>22</v>
      </c>
      <c r="L129" s="5" t="s">
        <v>23</v>
      </c>
      <c r="M129" s="7" t="str">
        <f t="shared" si="1"/>
        <v>OK</v>
      </c>
      <c r="N129" s="7"/>
      <c r="O129" s="7"/>
      <c r="P129" s="7"/>
      <c r="Q129" s="7"/>
      <c r="R129" s="7"/>
      <c r="S129" s="7"/>
      <c r="T129" s="7"/>
      <c r="U129" s="7"/>
      <c r="V129" s="7"/>
      <c r="W129" s="7"/>
      <c r="X129" s="7"/>
      <c r="Y129" s="7"/>
      <c r="Z129" s="7"/>
    </row>
    <row r="130" ht="15.75" customHeight="1">
      <c r="A130" s="8" t="s">
        <v>676</v>
      </c>
      <c r="B130" s="5" t="s">
        <v>14</v>
      </c>
      <c r="C130" s="5" t="s">
        <v>15</v>
      </c>
      <c r="D130" s="5" t="s">
        <v>677</v>
      </c>
      <c r="E130" s="6" t="s">
        <v>678</v>
      </c>
      <c r="F130" s="6" t="s">
        <v>679</v>
      </c>
      <c r="G130" s="6" t="s">
        <v>680</v>
      </c>
      <c r="H130" s="6" t="s">
        <v>680</v>
      </c>
      <c r="I130" s="5" t="s">
        <v>21</v>
      </c>
      <c r="J130" s="5" t="s">
        <v>20</v>
      </c>
      <c r="K130" s="5" t="s">
        <v>68</v>
      </c>
      <c r="L130" s="5" t="s">
        <v>39</v>
      </c>
      <c r="M130" s="7" t="str">
        <f t="shared" si="1"/>
        <v>OK</v>
      </c>
      <c r="N130" s="7"/>
      <c r="O130" s="7"/>
      <c r="P130" s="7"/>
      <c r="Q130" s="7"/>
      <c r="R130" s="7"/>
      <c r="S130" s="7"/>
      <c r="T130" s="7"/>
      <c r="U130" s="7"/>
      <c r="V130" s="7"/>
      <c r="W130" s="7"/>
      <c r="X130" s="7"/>
      <c r="Y130" s="7"/>
      <c r="Z130" s="7"/>
    </row>
    <row r="131" ht="15.75" customHeight="1">
      <c r="A131" s="8" t="s">
        <v>681</v>
      </c>
      <c r="B131" s="5" t="s">
        <v>14</v>
      </c>
      <c r="C131" s="5" t="s">
        <v>15</v>
      </c>
      <c r="D131" s="5" t="s">
        <v>682</v>
      </c>
      <c r="E131" s="6" t="s">
        <v>683</v>
      </c>
      <c r="F131" s="6" t="s">
        <v>684</v>
      </c>
      <c r="G131" s="6" t="s">
        <v>685</v>
      </c>
      <c r="H131" s="6" t="s">
        <v>684</v>
      </c>
      <c r="I131" s="5" t="s">
        <v>45</v>
      </c>
      <c r="J131" s="5" t="s">
        <v>21</v>
      </c>
      <c r="K131" s="5" t="s">
        <v>30</v>
      </c>
      <c r="L131" s="5" t="s">
        <v>31</v>
      </c>
      <c r="M131" s="7" t="str">
        <f t="shared" si="1"/>
        <v>OK</v>
      </c>
      <c r="N131" s="7"/>
      <c r="O131" s="7"/>
      <c r="P131" s="7"/>
      <c r="Q131" s="7"/>
      <c r="R131" s="7"/>
      <c r="S131" s="7"/>
      <c r="T131" s="7"/>
      <c r="U131" s="7"/>
      <c r="V131" s="7"/>
      <c r="W131" s="7"/>
      <c r="X131" s="7"/>
      <c r="Y131" s="7"/>
      <c r="Z131" s="7"/>
    </row>
    <row r="132" ht="15.75" customHeight="1">
      <c r="A132" s="8" t="s">
        <v>686</v>
      </c>
      <c r="B132" s="5" t="s">
        <v>14</v>
      </c>
      <c r="C132" s="5" t="s">
        <v>15</v>
      </c>
      <c r="D132" s="5" t="s">
        <v>687</v>
      </c>
      <c r="E132" s="6" t="s">
        <v>688</v>
      </c>
      <c r="F132" s="6" t="s">
        <v>689</v>
      </c>
      <c r="G132" s="6" t="s">
        <v>690</v>
      </c>
      <c r="H132" s="6" t="s">
        <v>688</v>
      </c>
      <c r="I132" s="5" t="s">
        <v>21</v>
      </c>
      <c r="J132" s="5" t="s">
        <v>38</v>
      </c>
      <c r="K132" s="5" t="s">
        <v>31</v>
      </c>
      <c r="L132" s="5" t="s">
        <v>30</v>
      </c>
      <c r="M132" s="7" t="str">
        <f t="shared" si="1"/>
        <v>OK</v>
      </c>
      <c r="N132" s="7"/>
      <c r="O132" s="7"/>
      <c r="P132" s="7"/>
      <c r="Q132" s="7"/>
      <c r="R132" s="7"/>
      <c r="S132" s="7"/>
      <c r="T132" s="7"/>
      <c r="U132" s="7"/>
      <c r="V132" s="7"/>
      <c r="W132" s="7"/>
      <c r="X132" s="7"/>
      <c r="Y132" s="7"/>
      <c r="Z132" s="7"/>
    </row>
    <row r="133" ht="15.75" customHeight="1">
      <c r="A133" s="8" t="s">
        <v>691</v>
      </c>
      <c r="B133" s="5" t="s">
        <v>14</v>
      </c>
      <c r="C133" s="5" t="s">
        <v>15</v>
      </c>
      <c r="D133" s="5" t="s">
        <v>692</v>
      </c>
      <c r="E133" s="6" t="s">
        <v>693</v>
      </c>
      <c r="F133" s="6" t="s">
        <v>694</v>
      </c>
      <c r="G133" s="6" t="s">
        <v>695</v>
      </c>
      <c r="H133" s="6" t="s">
        <v>695</v>
      </c>
      <c r="I133" s="5" t="s">
        <v>20</v>
      </c>
      <c r="J133" s="5" t="s">
        <v>51</v>
      </c>
      <c r="K133" s="5" t="s">
        <v>31</v>
      </c>
      <c r="L133" s="5" t="s">
        <v>39</v>
      </c>
      <c r="M133" s="7" t="str">
        <f t="shared" si="1"/>
        <v>OK</v>
      </c>
      <c r="N133" s="7"/>
      <c r="O133" s="7"/>
      <c r="P133" s="7"/>
      <c r="Q133" s="7"/>
      <c r="R133" s="7"/>
      <c r="S133" s="7"/>
      <c r="T133" s="7"/>
      <c r="U133" s="7"/>
      <c r="V133" s="7"/>
      <c r="W133" s="7"/>
      <c r="X133" s="7"/>
      <c r="Y133" s="7"/>
      <c r="Z133" s="7"/>
    </row>
    <row r="134" ht="15.75" customHeight="1">
      <c r="A134" s="8" t="s">
        <v>696</v>
      </c>
      <c r="B134" s="5" t="s">
        <v>14</v>
      </c>
      <c r="C134" s="5" t="s">
        <v>15</v>
      </c>
      <c r="D134" s="5" t="s">
        <v>697</v>
      </c>
      <c r="E134" s="6" t="s">
        <v>698</v>
      </c>
      <c r="F134" s="6" t="s">
        <v>699</v>
      </c>
      <c r="G134" s="6" t="s">
        <v>700</v>
      </c>
      <c r="H134" s="6" t="s">
        <v>698</v>
      </c>
      <c r="I134" s="5" t="s">
        <v>21</v>
      </c>
      <c r="J134" s="5" t="s">
        <v>74</v>
      </c>
      <c r="K134" s="5" t="s">
        <v>68</v>
      </c>
      <c r="L134" s="5" t="s">
        <v>31</v>
      </c>
      <c r="M134" s="7" t="str">
        <f t="shared" si="1"/>
        <v>OK</v>
      </c>
      <c r="N134" s="7"/>
      <c r="O134" s="7"/>
      <c r="P134" s="7"/>
      <c r="Q134" s="7"/>
      <c r="R134" s="7"/>
      <c r="S134" s="7"/>
      <c r="T134" s="7"/>
      <c r="U134" s="7"/>
      <c r="V134" s="7"/>
      <c r="W134" s="7"/>
      <c r="X134" s="7"/>
      <c r="Y134" s="7"/>
      <c r="Z134" s="7"/>
    </row>
    <row r="135" ht="15.75" customHeight="1">
      <c r="A135" s="8" t="s">
        <v>701</v>
      </c>
      <c r="B135" s="5" t="s">
        <v>14</v>
      </c>
      <c r="C135" s="5" t="s">
        <v>15</v>
      </c>
      <c r="D135" s="5" t="s">
        <v>702</v>
      </c>
      <c r="E135" s="6" t="s">
        <v>703</v>
      </c>
      <c r="F135" s="6" t="s">
        <v>704</v>
      </c>
      <c r="G135" s="6" t="s">
        <v>705</v>
      </c>
      <c r="H135" s="6" t="s">
        <v>705</v>
      </c>
      <c r="I135" s="5" t="s">
        <v>45</v>
      </c>
      <c r="J135" s="5" t="s">
        <v>51</v>
      </c>
      <c r="K135" s="5" t="s">
        <v>111</v>
      </c>
      <c r="L135" s="5" t="s">
        <v>31</v>
      </c>
      <c r="M135" s="7" t="str">
        <f t="shared" si="1"/>
        <v>OK</v>
      </c>
      <c r="N135" s="7"/>
      <c r="O135" s="7"/>
      <c r="P135" s="7"/>
      <c r="Q135" s="7"/>
      <c r="R135" s="7"/>
      <c r="S135" s="7"/>
      <c r="T135" s="7"/>
      <c r="U135" s="7"/>
      <c r="V135" s="7"/>
      <c r="W135" s="7"/>
      <c r="X135" s="7"/>
      <c r="Y135" s="7"/>
      <c r="Z135" s="7"/>
    </row>
    <row r="136" ht="15.75" customHeight="1">
      <c r="A136" s="8" t="s">
        <v>706</v>
      </c>
      <c r="B136" s="5" t="s">
        <v>14</v>
      </c>
      <c r="C136" s="5" t="s">
        <v>15</v>
      </c>
      <c r="D136" s="5" t="s">
        <v>707</v>
      </c>
      <c r="E136" s="6" t="s">
        <v>708</v>
      </c>
      <c r="F136" s="6" t="s">
        <v>709</v>
      </c>
      <c r="G136" s="6" t="s">
        <v>710</v>
      </c>
      <c r="H136" s="6" t="s">
        <v>710</v>
      </c>
      <c r="I136" s="5" t="s">
        <v>74</v>
      </c>
      <c r="J136" s="5" t="s">
        <v>51</v>
      </c>
      <c r="K136" s="5" t="s">
        <v>68</v>
      </c>
      <c r="L136" s="5" t="s">
        <v>31</v>
      </c>
      <c r="M136" s="7" t="str">
        <f t="shared" si="1"/>
        <v>OK</v>
      </c>
      <c r="N136" s="7"/>
      <c r="O136" s="7"/>
      <c r="P136" s="7"/>
      <c r="Q136" s="7"/>
      <c r="R136" s="7"/>
      <c r="S136" s="7"/>
      <c r="T136" s="7"/>
      <c r="U136" s="7"/>
      <c r="V136" s="7"/>
      <c r="W136" s="7"/>
      <c r="X136" s="7"/>
      <c r="Y136" s="7"/>
      <c r="Z136" s="7"/>
    </row>
    <row r="137" ht="15.75" customHeight="1">
      <c r="A137" s="8" t="s">
        <v>711</v>
      </c>
      <c r="B137" s="5" t="s">
        <v>14</v>
      </c>
      <c r="C137" s="5" t="s">
        <v>15</v>
      </c>
      <c r="D137" s="5" t="s">
        <v>712</v>
      </c>
      <c r="E137" s="6" t="s">
        <v>713</v>
      </c>
      <c r="F137" s="6" t="s">
        <v>714</v>
      </c>
      <c r="G137" s="6" t="s">
        <v>715</v>
      </c>
      <c r="H137" s="6" t="s">
        <v>714</v>
      </c>
      <c r="I137" s="5" t="s">
        <v>37</v>
      </c>
      <c r="J137" s="5" t="s">
        <v>38</v>
      </c>
      <c r="K137" s="5" t="s">
        <v>22</v>
      </c>
      <c r="L137" s="5" t="s">
        <v>30</v>
      </c>
      <c r="M137" s="7" t="str">
        <f t="shared" si="1"/>
        <v>OK</v>
      </c>
      <c r="N137" s="7"/>
      <c r="O137" s="7"/>
      <c r="P137" s="7"/>
      <c r="Q137" s="7"/>
      <c r="R137" s="7"/>
      <c r="S137" s="7"/>
      <c r="T137" s="7"/>
      <c r="U137" s="7"/>
      <c r="V137" s="7"/>
      <c r="W137" s="7"/>
      <c r="X137" s="7"/>
      <c r="Y137" s="7"/>
      <c r="Z137" s="7"/>
    </row>
    <row r="138" ht="15.75" customHeight="1">
      <c r="A138" s="8" t="s">
        <v>716</v>
      </c>
      <c r="B138" s="5" t="s">
        <v>14</v>
      </c>
      <c r="C138" s="5" t="s">
        <v>15</v>
      </c>
      <c r="D138" s="5" t="s">
        <v>717</v>
      </c>
      <c r="E138" s="6" t="s">
        <v>718</v>
      </c>
      <c r="F138" s="6" t="s">
        <v>719</v>
      </c>
      <c r="G138" s="6" t="s">
        <v>720</v>
      </c>
      <c r="H138" s="6" t="s">
        <v>720</v>
      </c>
      <c r="I138" s="5" t="s">
        <v>51</v>
      </c>
      <c r="J138" s="5" t="s">
        <v>38</v>
      </c>
      <c r="K138" s="5" t="s">
        <v>22</v>
      </c>
      <c r="L138" s="5" t="s">
        <v>39</v>
      </c>
      <c r="M138" s="7" t="str">
        <f t="shared" si="1"/>
        <v>OK</v>
      </c>
      <c r="N138" s="7"/>
      <c r="O138" s="7"/>
      <c r="P138" s="7"/>
      <c r="Q138" s="7"/>
      <c r="R138" s="7"/>
      <c r="S138" s="7"/>
      <c r="T138" s="7"/>
      <c r="U138" s="7"/>
      <c r="V138" s="7"/>
      <c r="W138" s="7"/>
      <c r="X138" s="7"/>
      <c r="Y138" s="7"/>
      <c r="Z138" s="7"/>
    </row>
    <row r="139" ht="15.75" customHeight="1">
      <c r="A139" s="8" t="s">
        <v>721</v>
      </c>
      <c r="B139" s="5" t="s">
        <v>14</v>
      </c>
      <c r="C139" s="5" t="s">
        <v>15</v>
      </c>
      <c r="D139" s="5" t="s">
        <v>722</v>
      </c>
      <c r="E139" s="6" t="s">
        <v>723</v>
      </c>
      <c r="F139" s="6" t="s">
        <v>724</v>
      </c>
      <c r="G139" s="6" t="s">
        <v>725</v>
      </c>
      <c r="H139" s="6" t="s">
        <v>725</v>
      </c>
      <c r="I139" s="5" t="s">
        <v>45</v>
      </c>
      <c r="J139" s="5" t="s">
        <v>21</v>
      </c>
      <c r="K139" s="5" t="s">
        <v>31</v>
      </c>
      <c r="L139" s="5" t="s">
        <v>23</v>
      </c>
      <c r="M139" s="7" t="str">
        <f t="shared" si="1"/>
        <v>OK</v>
      </c>
      <c r="N139" s="7"/>
      <c r="O139" s="7"/>
      <c r="P139" s="7"/>
      <c r="Q139" s="7"/>
      <c r="R139" s="7"/>
      <c r="S139" s="7"/>
      <c r="T139" s="7"/>
      <c r="U139" s="7"/>
      <c r="V139" s="7"/>
      <c r="W139" s="7"/>
      <c r="X139" s="7"/>
      <c r="Y139" s="7"/>
      <c r="Z139" s="7"/>
    </row>
    <row r="140" ht="15.75" customHeight="1">
      <c r="A140" s="8" t="s">
        <v>726</v>
      </c>
      <c r="B140" s="5" t="s">
        <v>14</v>
      </c>
      <c r="C140" s="5" t="s">
        <v>15</v>
      </c>
      <c r="D140" s="5" t="s">
        <v>727</v>
      </c>
      <c r="E140" s="6" t="s">
        <v>728</v>
      </c>
      <c r="F140" s="6" t="s">
        <v>729</v>
      </c>
      <c r="G140" s="6" t="s">
        <v>730</v>
      </c>
      <c r="H140" s="6" t="s">
        <v>729</v>
      </c>
      <c r="I140" s="5" t="s">
        <v>74</v>
      </c>
      <c r="J140" s="5" t="s">
        <v>20</v>
      </c>
      <c r="K140" s="5" t="s">
        <v>23</v>
      </c>
      <c r="L140" s="5" t="s">
        <v>31</v>
      </c>
      <c r="M140" s="7" t="str">
        <f t="shared" si="1"/>
        <v>OK</v>
      </c>
      <c r="N140" s="7"/>
      <c r="O140" s="7"/>
      <c r="P140" s="7"/>
      <c r="Q140" s="7"/>
      <c r="R140" s="7"/>
      <c r="S140" s="7"/>
      <c r="T140" s="7"/>
      <c r="U140" s="7"/>
      <c r="V140" s="7"/>
      <c r="W140" s="7"/>
      <c r="X140" s="7"/>
      <c r="Y140" s="7"/>
      <c r="Z140" s="7"/>
    </row>
    <row r="141" ht="15.75" customHeight="1">
      <c r="A141" s="8" t="s">
        <v>731</v>
      </c>
      <c r="B141" s="5" t="s">
        <v>14</v>
      </c>
      <c r="C141" s="5" t="s">
        <v>15</v>
      </c>
      <c r="D141" s="5" t="s">
        <v>732</v>
      </c>
      <c r="E141" s="6" t="s">
        <v>733</v>
      </c>
      <c r="F141" s="6" t="s">
        <v>734</v>
      </c>
      <c r="G141" s="6" t="s">
        <v>735</v>
      </c>
      <c r="H141" s="6" t="s">
        <v>735</v>
      </c>
      <c r="I141" s="5" t="s">
        <v>20</v>
      </c>
      <c r="J141" s="5" t="s">
        <v>38</v>
      </c>
      <c r="K141" s="5" t="s">
        <v>68</v>
      </c>
      <c r="L141" s="5" t="s">
        <v>30</v>
      </c>
      <c r="M141" s="7" t="str">
        <f t="shared" si="1"/>
        <v>OK</v>
      </c>
      <c r="N141" s="7"/>
      <c r="O141" s="7"/>
      <c r="P141" s="7"/>
      <c r="Q141" s="7"/>
      <c r="R141" s="7"/>
      <c r="S141" s="7"/>
      <c r="T141" s="7"/>
      <c r="U141" s="7"/>
      <c r="V141" s="7"/>
      <c r="W141" s="7"/>
      <c r="X141" s="7"/>
      <c r="Y141" s="7"/>
      <c r="Z141" s="7"/>
    </row>
    <row r="142" ht="15.75" customHeight="1">
      <c r="A142" s="8" t="s">
        <v>736</v>
      </c>
      <c r="B142" s="5" t="s">
        <v>14</v>
      </c>
      <c r="C142" s="5" t="s">
        <v>15</v>
      </c>
      <c r="D142" s="5" t="s">
        <v>737</v>
      </c>
      <c r="E142" s="6" t="s">
        <v>738</v>
      </c>
      <c r="F142" s="6" t="s">
        <v>739</v>
      </c>
      <c r="G142" s="6" t="s">
        <v>740</v>
      </c>
      <c r="H142" s="6" t="s">
        <v>740</v>
      </c>
      <c r="I142" s="5" t="s">
        <v>37</v>
      </c>
      <c r="J142" s="5" t="s">
        <v>20</v>
      </c>
      <c r="K142" s="5" t="s">
        <v>111</v>
      </c>
      <c r="L142" s="5" t="s">
        <v>30</v>
      </c>
      <c r="M142" s="7" t="str">
        <f t="shared" si="1"/>
        <v>OK</v>
      </c>
      <c r="N142" s="7"/>
      <c r="O142" s="7"/>
      <c r="P142" s="7"/>
      <c r="Q142" s="7"/>
      <c r="R142" s="7"/>
      <c r="S142" s="7"/>
      <c r="T142" s="7"/>
      <c r="U142" s="7"/>
      <c r="V142" s="7"/>
      <c r="W142" s="7"/>
      <c r="X142" s="7"/>
      <c r="Y142" s="7"/>
      <c r="Z142" s="7"/>
    </row>
    <row r="143" ht="15.75" customHeight="1">
      <c r="A143" s="8" t="s">
        <v>741</v>
      </c>
      <c r="B143" s="5" t="s">
        <v>14</v>
      </c>
      <c r="C143" s="5" t="s">
        <v>15</v>
      </c>
      <c r="D143" s="5" t="s">
        <v>742</v>
      </c>
      <c r="E143" s="6" t="s">
        <v>743</v>
      </c>
      <c r="F143" s="6" t="s">
        <v>744</v>
      </c>
      <c r="G143" s="6" t="s">
        <v>745</v>
      </c>
      <c r="H143" s="6" t="s">
        <v>744</v>
      </c>
      <c r="I143" s="5" t="s">
        <v>74</v>
      </c>
      <c r="J143" s="5" t="s">
        <v>51</v>
      </c>
      <c r="K143" s="5" t="s">
        <v>75</v>
      </c>
      <c r="L143" s="5" t="s">
        <v>68</v>
      </c>
      <c r="M143" s="7" t="str">
        <f t="shared" si="1"/>
        <v>OK</v>
      </c>
      <c r="N143" s="7"/>
      <c r="O143" s="7"/>
      <c r="P143" s="7"/>
      <c r="Q143" s="7"/>
      <c r="R143" s="7"/>
      <c r="S143" s="7"/>
      <c r="T143" s="7"/>
      <c r="U143" s="7"/>
      <c r="V143" s="7"/>
      <c r="W143" s="7"/>
      <c r="X143" s="7"/>
      <c r="Y143" s="7"/>
      <c r="Z143" s="7"/>
    </row>
    <row r="144" ht="15.75" customHeight="1">
      <c r="A144" s="8" t="s">
        <v>746</v>
      </c>
      <c r="B144" s="5" t="s">
        <v>14</v>
      </c>
      <c r="C144" s="5" t="s">
        <v>15</v>
      </c>
      <c r="D144" s="5" t="s">
        <v>747</v>
      </c>
      <c r="E144" s="6" t="s">
        <v>748</v>
      </c>
      <c r="F144" s="6" t="s">
        <v>749</v>
      </c>
      <c r="G144" s="6" t="s">
        <v>750</v>
      </c>
      <c r="H144" s="6" t="s">
        <v>748</v>
      </c>
      <c r="I144" s="5" t="s">
        <v>38</v>
      </c>
      <c r="J144" s="5" t="s">
        <v>74</v>
      </c>
      <c r="K144" s="5" t="s">
        <v>22</v>
      </c>
      <c r="L144" s="5" t="s">
        <v>31</v>
      </c>
      <c r="M144" s="7" t="str">
        <f t="shared" si="1"/>
        <v>OK</v>
      </c>
      <c r="N144" s="7"/>
      <c r="O144" s="7"/>
      <c r="P144" s="7"/>
      <c r="Q144" s="7"/>
      <c r="R144" s="7"/>
      <c r="S144" s="7"/>
      <c r="T144" s="7"/>
      <c r="U144" s="7"/>
      <c r="V144" s="7"/>
      <c r="W144" s="7"/>
      <c r="X144" s="7"/>
      <c r="Y144" s="7"/>
      <c r="Z144" s="7"/>
    </row>
    <row r="145" ht="15.75" customHeight="1">
      <c r="A145" s="8" t="s">
        <v>751</v>
      </c>
      <c r="B145" s="5" t="s">
        <v>14</v>
      </c>
      <c r="C145" s="5" t="s">
        <v>15</v>
      </c>
      <c r="D145" s="5" t="s">
        <v>752</v>
      </c>
      <c r="E145" s="6" t="s">
        <v>753</v>
      </c>
      <c r="F145" s="6" t="s">
        <v>754</v>
      </c>
      <c r="G145" s="6" t="s">
        <v>755</v>
      </c>
      <c r="H145" s="6" t="s">
        <v>753</v>
      </c>
      <c r="I145" s="5" t="s">
        <v>29</v>
      </c>
      <c r="J145" s="5" t="s">
        <v>51</v>
      </c>
      <c r="K145" s="5" t="s">
        <v>39</v>
      </c>
      <c r="L145" s="5" t="s">
        <v>75</v>
      </c>
      <c r="M145" s="7" t="str">
        <f t="shared" si="1"/>
        <v>OK</v>
      </c>
      <c r="N145" s="7"/>
      <c r="O145" s="7"/>
      <c r="P145" s="7"/>
      <c r="Q145" s="7"/>
      <c r="R145" s="7"/>
      <c r="S145" s="7"/>
      <c r="T145" s="7"/>
      <c r="U145" s="7"/>
      <c r="V145" s="7"/>
      <c r="W145" s="7"/>
      <c r="X145" s="7"/>
      <c r="Y145" s="7"/>
      <c r="Z145" s="7"/>
    </row>
    <row r="146" ht="15.75" customHeight="1">
      <c r="A146" s="8" t="s">
        <v>756</v>
      </c>
      <c r="B146" s="5" t="s">
        <v>133</v>
      </c>
      <c r="C146" s="5" t="s">
        <v>15</v>
      </c>
      <c r="D146" s="5" t="s">
        <v>757</v>
      </c>
      <c r="E146" s="5" t="s">
        <v>758</v>
      </c>
      <c r="F146" s="5" t="s">
        <v>759</v>
      </c>
      <c r="G146" s="5" t="s">
        <v>760</v>
      </c>
      <c r="H146" s="5" t="s">
        <v>760</v>
      </c>
      <c r="I146" s="5" t="s">
        <v>29</v>
      </c>
      <c r="J146" s="5" t="s">
        <v>37</v>
      </c>
      <c r="K146" s="5" t="s">
        <v>30</v>
      </c>
      <c r="L146" s="5" t="s">
        <v>22</v>
      </c>
      <c r="M146" s="7" t="str">
        <f t="shared" si="1"/>
        <v>OK</v>
      </c>
      <c r="N146" s="7"/>
      <c r="O146" s="7"/>
      <c r="P146" s="7"/>
      <c r="Q146" s="7"/>
      <c r="R146" s="7"/>
      <c r="S146" s="7"/>
      <c r="T146" s="7"/>
      <c r="U146" s="7"/>
      <c r="V146" s="7"/>
      <c r="W146" s="7"/>
      <c r="X146" s="7"/>
      <c r="Y146" s="7"/>
      <c r="Z146" s="7"/>
    </row>
    <row r="147" ht="15.75" customHeight="1">
      <c r="A147" s="11" t="s">
        <v>761</v>
      </c>
      <c r="B147" s="5" t="s">
        <v>133</v>
      </c>
      <c r="C147" s="5" t="s">
        <v>15</v>
      </c>
      <c r="D147" s="5" t="s">
        <v>762</v>
      </c>
      <c r="E147" s="5" t="s">
        <v>763</v>
      </c>
      <c r="F147" s="5" t="s">
        <v>764</v>
      </c>
      <c r="G147" s="5" t="s">
        <v>765</v>
      </c>
      <c r="H147" s="5" t="s">
        <v>765</v>
      </c>
      <c r="I147" s="5" t="s">
        <v>51</v>
      </c>
      <c r="J147" s="5" t="s">
        <v>74</v>
      </c>
      <c r="K147" s="5" t="s">
        <v>39</v>
      </c>
      <c r="L147" s="5" t="s">
        <v>68</v>
      </c>
      <c r="M147" s="7" t="str">
        <f t="shared" si="1"/>
        <v>OK</v>
      </c>
      <c r="N147" s="7"/>
      <c r="O147" s="7"/>
      <c r="P147" s="7"/>
      <c r="Q147" s="7"/>
      <c r="R147" s="7"/>
      <c r="S147" s="7"/>
      <c r="T147" s="7"/>
      <c r="U147" s="7"/>
      <c r="V147" s="7"/>
      <c r="W147" s="7"/>
      <c r="X147" s="7"/>
      <c r="Y147" s="7"/>
      <c r="Z147" s="7"/>
    </row>
    <row r="148" ht="15.75" customHeight="1">
      <c r="A148" s="11" t="s">
        <v>766</v>
      </c>
      <c r="B148" s="5" t="s">
        <v>133</v>
      </c>
      <c r="C148" s="5" t="s">
        <v>15</v>
      </c>
      <c r="D148" s="5" t="s">
        <v>767</v>
      </c>
      <c r="E148" s="5" t="s">
        <v>768</v>
      </c>
      <c r="F148" s="5" t="s">
        <v>769</v>
      </c>
      <c r="G148" s="5" t="s">
        <v>770</v>
      </c>
      <c r="H148" s="5" t="s">
        <v>770</v>
      </c>
      <c r="I148" s="5" t="s">
        <v>51</v>
      </c>
      <c r="J148" s="5" t="s">
        <v>45</v>
      </c>
      <c r="K148" s="5" t="s">
        <v>22</v>
      </c>
      <c r="L148" s="5" t="s">
        <v>30</v>
      </c>
      <c r="M148" s="7" t="str">
        <f t="shared" si="1"/>
        <v>OK</v>
      </c>
      <c r="N148" s="7"/>
      <c r="O148" s="7"/>
      <c r="P148" s="7"/>
      <c r="Q148" s="7"/>
      <c r="R148" s="7"/>
      <c r="S148" s="7"/>
      <c r="T148" s="7"/>
      <c r="U148" s="7"/>
      <c r="V148" s="7"/>
      <c r="W148" s="7"/>
      <c r="X148" s="7"/>
      <c r="Y148" s="7"/>
      <c r="Z148" s="7"/>
    </row>
    <row r="149" ht="15.75" customHeight="1">
      <c r="A149" s="11" t="s">
        <v>771</v>
      </c>
      <c r="B149" s="5" t="s">
        <v>133</v>
      </c>
      <c r="C149" s="5" t="s">
        <v>15</v>
      </c>
      <c r="D149" s="5" t="s">
        <v>772</v>
      </c>
      <c r="E149" s="5" t="s">
        <v>773</v>
      </c>
      <c r="F149" s="5" t="s">
        <v>774</v>
      </c>
      <c r="G149" s="5" t="s">
        <v>775</v>
      </c>
      <c r="H149" s="5" t="s">
        <v>774</v>
      </c>
      <c r="I149" s="5" t="s">
        <v>29</v>
      </c>
      <c r="J149" s="5" t="s">
        <v>74</v>
      </c>
      <c r="K149" s="5" t="s">
        <v>39</v>
      </c>
      <c r="L149" s="5" t="s">
        <v>52</v>
      </c>
      <c r="M149" s="7" t="str">
        <f t="shared" si="1"/>
        <v>OK</v>
      </c>
      <c r="N149" s="7"/>
      <c r="O149" s="7"/>
      <c r="P149" s="7"/>
      <c r="Q149" s="7"/>
      <c r="R149" s="7"/>
      <c r="S149" s="7"/>
      <c r="T149" s="7"/>
      <c r="U149" s="7"/>
      <c r="V149" s="7"/>
      <c r="W149" s="7"/>
      <c r="X149" s="7"/>
      <c r="Y149" s="7"/>
      <c r="Z149" s="7"/>
    </row>
    <row r="150" ht="15.75" customHeight="1">
      <c r="A150" s="11" t="s">
        <v>776</v>
      </c>
      <c r="B150" s="5" t="s">
        <v>133</v>
      </c>
      <c r="C150" s="5" t="s">
        <v>15</v>
      </c>
      <c r="D150" s="5" t="s">
        <v>777</v>
      </c>
      <c r="E150" s="5" t="s">
        <v>778</v>
      </c>
      <c r="F150" s="5" t="s">
        <v>779</v>
      </c>
      <c r="G150" s="5" t="s">
        <v>780</v>
      </c>
      <c r="H150" s="5" t="s">
        <v>780</v>
      </c>
      <c r="I150" s="5" t="s">
        <v>51</v>
      </c>
      <c r="J150" s="5" t="s">
        <v>37</v>
      </c>
      <c r="K150" s="5" t="s">
        <v>22</v>
      </c>
      <c r="L150" s="5" t="s">
        <v>39</v>
      </c>
      <c r="M150" s="7" t="str">
        <f t="shared" si="1"/>
        <v>OK</v>
      </c>
      <c r="N150" s="7"/>
      <c r="O150" s="7"/>
      <c r="P150" s="7"/>
      <c r="Q150" s="7"/>
      <c r="R150" s="7"/>
      <c r="S150" s="7"/>
      <c r="T150" s="7"/>
      <c r="U150" s="7"/>
      <c r="V150" s="7"/>
      <c r="W150" s="7"/>
      <c r="X150" s="7"/>
      <c r="Y150" s="7"/>
      <c r="Z150" s="7"/>
    </row>
    <row r="151" ht="15.75" customHeight="1">
      <c r="A151" s="11" t="s">
        <v>781</v>
      </c>
      <c r="B151" s="5" t="s">
        <v>133</v>
      </c>
      <c r="C151" s="5" t="s">
        <v>15</v>
      </c>
      <c r="D151" s="5" t="s">
        <v>782</v>
      </c>
      <c r="E151" s="5" t="s">
        <v>783</v>
      </c>
      <c r="F151" s="5" t="s">
        <v>784</v>
      </c>
      <c r="G151" s="5" t="s">
        <v>785</v>
      </c>
      <c r="H151" s="5" t="s">
        <v>785</v>
      </c>
      <c r="I151" s="5" t="s">
        <v>38</v>
      </c>
      <c r="J151" s="5" t="s">
        <v>51</v>
      </c>
      <c r="K151" s="5" t="s">
        <v>111</v>
      </c>
      <c r="L151" s="5" t="s">
        <v>30</v>
      </c>
      <c r="M151" s="7" t="str">
        <f t="shared" si="1"/>
        <v>OK</v>
      </c>
      <c r="N151" s="7"/>
      <c r="O151" s="7"/>
      <c r="P151" s="7"/>
      <c r="Q151" s="7"/>
      <c r="R151" s="7"/>
      <c r="S151" s="7"/>
      <c r="T151" s="7"/>
      <c r="U151" s="7"/>
      <c r="V151" s="7"/>
      <c r="W151" s="7"/>
      <c r="X151" s="7"/>
      <c r="Y151" s="7"/>
      <c r="Z151" s="7"/>
    </row>
    <row r="152" ht="15.75" customHeight="1">
      <c r="A152" s="11" t="s">
        <v>786</v>
      </c>
      <c r="B152" s="5" t="s">
        <v>133</v>
      </c>
      <c r="C152" s="5" t="s">
        <v>15</v>
      </c>
      <c r="D152" s="5" t="s">
        <v>787</v>
      </c>
      <c r="E152" s="5" t="s">
        <v>788</v>
      </c>
      <c r="F152" s="5" t="s">
        <v>789</v>
      </c>
      <c r="G152" s="5" t="s">
        <v>790</v>
      </c>
      <c r="H152" s="5" t="s">
        <v>789</v>
      </c>
      <c r="I152" s="5" t="s">
        <v>51</v>
      </c>
      <c r="J152" s="5" t="s">
        <v>38</v>
      </c>
      <c r="K152" s="5" t="s">
        <v>39</v>
      </c>
      <c r="L152" s="5" t="s">
        <v>31</v>
      </c>
      <c r="M152" s="7" t="str">
        <f t="shared" si="1"/>
        <v>OK</v>
      </c>
      <c r="N152" s="7"/>
      <c r="O152" s="7"/>
      <c r="P152" s="7"/>
      <c r="Q152" s="7"/>
      <c r="R152" s="7"/>
      <c r="S152" s="7"/>
      <c r="T152" s="7"/>
      <c r="U152" s="7"/>
      <c r="V152" s="7"/>
      <c r="W152" s="7"/>
      <c r="X152" s="7"/>
      <c r="Y152" s="7"/>
      <c r="Z152" s="7"/>
    </row>
    <row r="153" ht="15.75" customHeight="1">
      <c r="A153" s="11" t="s">
        <v>791</v>
      </c>
      <c r="B153" s="5" t="s">
        <v>133</v>
      </c>
      <c r="C153" s="5" t="s">
        <v>15</v>
      </c>
      <c r="D153" s="5" t="s">
        <v>792</v>
      </c>
      <c r="E153" s="5" t="s">
        <v>793</v>
      </c>
      <c r="F153" s="5" t="s">
        <v>794</v>
      </c>
      <c r="G153" s="5" t="s">
        <v>795</v>
      </c>
      <c r="H153" s="5" t="s">
        <v>795</v>
      </c>
      <c r="I153" s="5" t="s">
        <v>38</v>
      </c>
      <c r="J153" s="5" t="s">
        <v>37</v>
      </c>
      <c r="K153" s="5" t="s">
        <v>75</v>
      </c>
      <c r="L153" s="5" t="s">
        <v>68</v>
      </c>
      <c r="M153" s="7" t="str">
        <f t="shared" si="1"/>
        <v>OK</v>
      </c>
      <c r="N153" s="7"/>
      <c r="O153" s="7"/>
      <c r="P153" s="7"/>
      <c r="Q153" s="7"/>
      <c r="R153" s="7"/>
      <c r="S153" s="7"/>
      <c r="T153" s="7"/>
      <c r="U153" s="7"/>
      <c r="V153" s="7"/>
      <c r="W153" s="7"/>
      <c r="X153" s="7"/>
      <c r="Y153" s="7"/>
      <c r="Z153" s="7"/>
    </row>
    <row r="154" ht="15.75" customHeight="1">
      <c r="A154" s="11" t="s">
        <v>796</v>
      </c>
      <c r="B154" s="5" t="s">
        <v>133</v>
      </c>
      <c r="C154" s="5" t="s">
        <v>15</v>
      </c>
      <c r="D154" s="5" t="s">
        <v>797</v>
      </c>
      <c r="E154" s="5" t="s">
        <v>798</v>
      </c>
      <c r="F154" s="5" t="s">
        <v>799</v>
      </c>
      <c r="G154" s="5" t="s">
        <v>800</v>
      </c>
      <c r="H154" s="5" t="s">
        <v>800</v>
      </c>
      <c r="I154" s="5" t="s">
        <v>21</v>
      </c>
      <c r="J154" s="5" t="s">
        <v>20</v>
      </c>
      <c r="K154" s="5" t="s">
        <v>75</v>
      </c>
      <c r="L154" s="5" t="s">
        <v>39</v>
      </c>
      <c r="M154" s="7" t="str">
        <f t="shared" si="1"/>
        <v>OK</v>
      </c>
      <c r="N154" s="7"/>
      <c r="O154" s="7"/>
      <c r="P154" s="7"/>
      <c r="Q154" s="7"/>
      <c r="R154" s="7"/>
      <c r="S154" s="7"/>
      <c r="T154" s="7"/>
      <c r="U154" s="7"/>
      <c r="V154" s="7"/>
      <c r="W154" s="7"/>
      <c r="X154" s="7"/>
      <c r="Y154" s="7"/>
      <c r="Z154" s="7"/>
    </row>
    <row r="155" ht="15.75" customHeight="1">
      <c r="A155" s="11" t="s">
        <v>801</v>
      </c>
      <c r="B155" s="5" t="s">
        <v>133</v>
      </c>
      <c r="C155" s="5" t="s">
        <v>15</v>
      </c>
      <c r="D155" s="5" t="s">
        <v>802</v>
      </c>
      <c r="E155" s="5" t="s">
        <v>803</v>
      </c>
      <c r="F155" s="5" t="s">
        <v>804</v>
      </c>
      <c r="G155" s="5" t="s">
        <v>805</v>
      </c>
      <c r="H155" s="5" t="s">
        <v>804</v>
      </c>
      <c r="I155" s="5" t="s">
        <v>38</v>
      </c>
      <c r="J155" s="5" t="s">
        <v>37</v>
      </c>
      <c r="K155" s="5" t="s">
        <v>52</v>
      </c>
      <c r="L155" s="5" t="s">
        <v>31</v>
      </c>
      <c r="M155" s="7" t="str">
        <f t="shared" si="1"/>
        <v>OK</v>
      </c>
      <c r="N155" s="7"/>
      <c r="O155" s="7"/>
      <c r="P155" s="7"/>
      <c r="Q155" s="7"/>
      <c r="R155" s="7"/>
      <c r="S155" s="7"/>
      <c r="T155" s="7"/>
      <c r="U155" s="7"/>
      <c r="V155" s="7"/>
      <c r="W155" s="7"/>
      <c r="X155" s="7"/>
      <c r="Y155" s="7"/>
      <c r="Z155" s="7"/>
    </row>
    <row r="156" ht="15.75" customHeight="1">
      <c r="A156" s="11" t="s">
        <v>806</v>
      </c>
      <c r="B156" s="5" t="s">
        <v>133</v>
      </c>
      <c r="C156" s="5" t="s">
        <v>15</v>
      </c>
      <c r="D156" s="5" t="s">
        <v>807</v>
      </c>
      <c r="E156" s="5" t="s">
        <v>808</v>
      </c>
      <c r="F156" s="5" t="s">
        <v>809</v>
      </c>
      <c r="G156" s="5" t="s">
        <v>810</v>
      </c>
      <c r="H156" s="12" t="s">
        <v>810</v>
      </c>
      <c r="I156" s="5" t="s">
        <v>51</v>
      </c>
      <c r="J156" s="5" t="s">
        <v>51</v>
      </c>
      <c r="K156" s="5" t="s">
        <v>52</v>
      </c>
      <c r="L156" s="5" t="s">
        <v>30</v>
      </c>
      <c r="M156" s="7" t="str">
        <f t="shared" si="1"/>
        <v>OK</v>
      </c>
      <c r="N156" s="7"/>
      <c r="O156" s="7"/>
      <c r="P156" s="7"/>
      <c r="Q156" s="7"/>
      <c r="R156" s="7"/>
      <c r="S156" s="7"/>
      <c r="T156" s="7"/>
      <c r="U156" s="7"/>
      <c r="V156" s="7"/>
      <c r="W156" s="7"/>
      <c r="X156" s="7"/>
      <c r="Y156" s="7"/>
      <c r="Z156" s="7"/>
    </row>
    <row r="157" ht="15.75" customHeight="1">
      <c r="A157" s="11" t="s">
        <v>811</v>
      </c>
      <c r="B157" s="5" t="s">
        <v>133</v>
      </c>
      <c r="C157" s="5" t="s">
        <v>15</v>
      </c>
      <c r="D157" s="5" t="s">
        <v>812</v>
      </c>
      <c r="E157" s="5" t="s">
        <v>813</v>
      </c>
      <c r="F157" s="5" t="s">
        <v>814</v>
      </c>
      <c r="G157" s="5" t="s">
        <v>815</v>
      </c>
      <c r="H157" s="5" t="s">
        <v>815</v>
      </c>
      <c r="I157" s="5" t="s">
        <v>38</v>
      </c>
      <c r="J157" s="5" t="s">
        <v>51</v>
      </c>
      <c r="K157" s="5" t="s">
        <v>39</v>
      </c>
      <c r="L157" s="5" t="s">
        <v>31</v>
      </c>
      <c r="M157" s="7" t="str">
        <f t="shared" si="1"/>
        <v>OK</v>
      </c>
      <c r="N157" s="7"/>
      <c r="O157" s="7"/>
      <c r="P157" s="7"/>
      <c r="Q157" s="7"/>
      <c r="R157" s="7"/>
      <c r="S157" s="7"/>
      <c r="T157" s="7"/>
      <c r="U157" s="7"/>
      <c r="V157" s="7"/>
      <c r="W157" s="7"/>
      <c r="X157" s="7"/>
      <c r="Y157" s="7"/>
      <c r="Z157" s="7"/>
    </row>
    <row r="158" ht="15.75" customHeight="1">
      <c r="A158" s="11" t="s">
        <v>816</v>
      </c>
      <c r="B158" s="5" t="s">
        <v>133</v>
      </c>
      <c r="C158" s="5" t="s">
        <v>15</v>
      </c>
      <c r="D158" s="5" t="s">
        <v>817</v>
      </c>
      <c r="E158" s="5" t="s">
        <v>818</v>
      </c>
      <c r="F158" s="5" t="s">
        <v>819</v>
      </c>
      <c r="G158" s="5" t="s">
        <v>820</v>
      </c>
      <c r="H158" s="5" t="s">
        <v>821</v>
      </c>
      <c r="I158" s="5" t="s">
        <v>29</v>
      </c>
      <c r="J158" s="5" t="s">
        <v>20</v>
      </c>
      <c r="K158" s="5" t="s">
        <v>23</v>
      </c>
      <c r="L158" s="5" t="s">
        <v>39</v>
      </c>
      <c r="M158" s="7" t="str">
        <f t="shared" si="1"/>
        <v>OK</v>
      </c>
      <c r="N158" s="7"/>
      <c r="O158" s="7"/>
      <c r="P158" s="7"/>
      <c r="Q158" s="7"/>
      <c r="R158" s="7"/>
      <c r="S158" s="7"/>
      <c r="T158" s="7"/>
      <c r="U158" s="7"/>
      <c r="V158" s="7"/>
      <c r="W158" s="7"/>
      <c r="X158" s="7"/>
      <c r="Y158" s="7"/>
      <c r="Z158" s="7"/>
    </row>
    <row r="159" ht="15.75" customHeight="1">
      <c r="A159" s="11" t="s">
        <v>822</v>
      </c>
      <c r="B159" s="5" t="s">
        <v>133</v>
      </c>
      <c r="C159" s="5" t="s">
        <v>15</v>
      </c>
      <c r="D159" s="5" t="s">
        <v>823</v>
      </c>
      <c r="E159" s="5" t="s">
        <v>824</v>
      </c>
      <c r="F159" s="5" t="s">
        <v>825</v>
      </c>
      <c r="G159" s="5" t="s">
        <v>826</v>
      </c>
      <c r="H159" s="5" t="s">
        <v>826</v>
      </c>
      <c r="I159" s="5" t="s">
        <v>51</v>
      </c>
      <c r="J159" s="5" t="s">
        <v>74</v>
      </c>
      <c r="K159" s="5" t="s">
        <v>30</v>
      </c>
      <c r="L159" s="5" t="s">
        <v>22</v>
      </c>
      <c r="M159" s="7" t="str">
        <f t="shared" si="1"/>
        <v>OK</v>
      </c>
      <c r="N159" s="7"/>
      <c r="O159" s="7"/>
      <c r="P159" s="7"/>
      <c r="Q159" s="7"/>
      <c r="R159" s="7"/>
      <c r="S159" s="7"/>
      <c r="T159" s="7"/>
      <c r="U159" s="7"/>
      <c r="V159" s="7"/>
      <c r="W159" s="7"/>
      <c r="X159" s="7"/>
      <c r="Y159" s="7"/>
      <c r="Z159" s="7"/>
    </row>
    <row r="160" ht="15.75" customHeight="1">
      <c r="A160" s="11" t="s">
        <v>827</v>
      </c>
      <c r="B160" s="5" t="s">
        <v>133</v>
      </c>
      <c r="C160" s="5" t="s">
        <v>15</v>
      </c>
      <c r="D160" s="5" t="s">
        <v>828</v>
      </c>
      <c r="E160" s="5" t="s">
        <v>829</v>
      </c>
      <c r="F160" s="5" t="s">
        <v>830</v>
      </c>
      <c r="G160" s="5" t="s">
        <v>831</v>
      </c>
      <c r="H160" s="5" t="s">
        <v>830</v>
      </c>
      <c r="I160" s="5" t="s">
        <v>21</v>
      </c>
      <c r="J160" s="5" t="s">
        <v>37</v>
      </c>
      <c r="K160" s="5" t="s">
        <v>111</v>
      </c>
      <c r="L160" s="5" t="s">
        <v>30</v>
      </c>
      <c r="M160" s="7" t="str">
        <f t="shared" si="1"/>
        <v>OK</v>
      </c>
      <c r="N160" s="7"/>
      <c r="O160" s="7"/>
      <c r="P160" s="7"/>
      <c r="Q160" s="7"/>
      <c r="R160" s="7"/>
      <c r="S160" s="7"/>
      <c r="T160" s="7"/>
      <c r="U160" s="7"/>
      <c r="V160" s="7"/>
      <c r="W160" s="7"/>
      <c r="X160" s="7"/>
      <c r="Y160" s="7"/>
      <c r="Z160" s="7"/>
    </row>
    <row r="161" ht="15.75" customHeight="1">
      <c r="A161" s="11" t="s">
        <v>832</v>
      </c>
      <c r="B161" s="5" t="s">
        <v>133</v>
      </c>
      <c r="C161" s="5" t="s">
        <v>15</v>
      </c>
      <c r="D161" s="5" t="s">
        <v>833</v>
      </c>
      <c r="E161" s="5" t="s">
        <v>834</v>
      </c>
      <c r="F161" s="5" t="s">
        <v>835</v>
      </c>
      <c r="G161" s="5" t="s">
        <v>836</v>
      </c>
      <c r="H161" s="5" t="s">
        <v>836</v>
      </c>
      <c r="I161" s="5" t="s">
        <v>45</v>
      </c>
      <c r="J161" s="5" t="s">
        <v>51</v>
      </c>
      <c r="K161" s="5" t="s">
        <v>30</v>
      </c>
      <c r="L161" s="5" t="s">
        <v>22</v>
      </c>
      <c r="M161" s="7" t="str">
        <f t="shared" si="1"/>
        <v>OK</v>
      </c>
      <c r="N161" s="7"/>
      <c r="O161" s="7"/>
      <c r="P161" s="7"/>
      <c r="Q161" s="7"/>
      <c r="R161" s="7"/>
      <c r="S161" s="7"/>
      <c r="T161" s="7"/>
      <c r="U161" s="7"/>
      <c r="V161" s="7"/>
      <c r="W161" s="7"/>
      <c r="X161" s="7"/>
      <c r="Y161" s="7"/>
      <c r="Z161" s="7"/>
    </row>
    <row r="162" ht="15.75" customHeight="1">
      <c r="A162" s="11" t="s">
        <v>837</v>
      </c>
      <c r="B162" s="5" t="s">
        <v>133</v>
      </c>
      <c r="C162" s="5" t="s">
        <v>15</v>
      </c>
      <c r="D162" s="5" t="s">
        <v>838</v>
      </c>
      <c r="E162" s="5" t="s">
        <v>839</v>
      </c>
      <c r="F162" s="5" t="s">
        <v>840</v>
      </c>
      <c r="G162" s="5" t="s">
        <v>841</v>
      </c>
      <c r="H162" s="5" t="s">
        <v>840</v>
      </c>
      <c r="I162" s="5" t="s">
        <v>20</v>
      </c>
      <c r="J162" s="5" t="s">
        <v>38</v>
      </c>
      <c r="K162" s="5" t="s">
        <v>39</v>
      </c>
      <c r="L162" s="5" t="s">
        <v>23</v>
      </c>
      <c r="M162" s="7" t="str">
        <f t="shared" si="1"/>
        <v>OK</v>
      </c>
      <c r="N162" s="7"/>
      <c r="O162" s="7"/>
      <c r="P162" s="7"/>
      <c r="Q162" s="7"/>
      <c r="R162" s="7"/>
      <c r="S162" s="7"/>
      <c r="T162" s="7"/>
      <c r="U162" s="7"/>
      <c r="V162" s="7"/>
      <c r="W162" s="7"/>
      <c r="X162" s="7"/>
      <c r="Y162" s="7"/>
      <c r="Z162" s="7"/>
    </row>
    <row r="163" ht="15.75" customHeight="1">
      <c r="A163" s="11" t="s">
        <v>842</v>
      </c>
      <c r="B163" s="5" t="s">
        <v>133</v>
      </c>
      <c r="C163" s="5" t="s">
        <v>15</v>
      </c>
      <c r="D163" s="5" t="s">
        <v>843</v>
      </c>
      <c r="E163" s="5" t="s">
        <v>844</v>
      </c>
      <c r="F163" s="5" t="s">
        <v>845</v>
      </c>
      <c r="G163" s="5" t="s">
        <v>846</v>
      </c>
      <c r="H163" s="5" t="s">
        <v>846</v>
      </c>
      <c r="I163" s="5" t="s">
        <v>45</v>
      </c>
      <c r="J163" s="5" t="s">
        <v>51</v>
      </c>
      <c r="K163" s="5" t="s">
        <v>31</v>
      </c>
      <c r="L163" s="5" t="s">
        <v>23</v>
      </c>
      <c r="M163" s="7" t="str">
        <f t="shared" si="1"/>
        <v>OK</v>
      </c>
      <c r="N163" s="7"/>
      <c r="O163" s="7"/>
      <c r="P163" s="7"/>
      <c r="Q163" s="7"/>
      <c r="R163" s="7"/>
      <c r="S163" s="7"/>
      <c r="T163" s="7"/>
      <c r="U163" s="7"/>
      <c r="V163" s="7"/>
      <c r="W163" s="7"/>
      <c r="X163" s="7"/>
      <c r="Y163" s="7"/>
      <c r="Z163" s="7"/>
    </row>
    <row r="164" ht="15.75" customHeight="1">
      <c r="A164" s="11" t="s">
        <v>847</v>
      </c>
      <c r="B164" s="5" t="s">
        <v>133</v>
      </c>
      <c r="C164" s="5" t="s">
        <v>15</v>
      </c>
      <c r="D164" s="5" t="s">
        <v>848</v>
      </c>
      <c r="E164" s="5" t="s">
        <v>849</v>
      </c>
      <c r="F164" s="5" t="s">
        <v>850</v>
      </c>
      <c r="G164" s="5" t="s">
        <v>851</v>
      </c>
      <c r="H164" s="5" t="s">
        <v>850</v>
      </c>
      <c r="I164" s="5" t="s">
        <v>29</v>
      </c>
      <c r="J164" s="5" t="s">
        <v>38</v>
      </c>
      <c r="K164" s="5" t="s">
        <v>39</v>
      </c>
      <c r="L164" s="5" t="s">
        <v>31</v>
      </c>
      <c r="M164" s="7" t="str">
        <f t="shared" si="1"/>
        <v>OK</v>
      </c>
      <c r="N164" s="7"/>
      <c r="O164" s="7"/>
      <c r="P164" s="7"/>
      <c r="Q164" s="7"/>
      <c r="R164" s="7"/>
      <c r="S164" s="7"/>
      <c r="T164" s="7"/>
      <c r="U164" s="7"/>
      <c r="V164" s="7"/>
      <c r="W164" s="7"/>
      <c r="X164" s="7"/>
      <c r="Y164" s="7"/>
      <c r="Z164" s="7"/>
    </row>
    <row r="165" ht="15.75" customHeight="1">
      <c r="A165" s="11" t="s">
        <v>852</v>
      </c>
      <c r="B165" s="5" t="s">
        <v>133</v>
      </c>
      <c r="C165" s="5" t="s">
        <v>15</v>
      </c>
      <c r="D165" s="5" t="s">
        <v>853</v>
      </c>
      <c r="E165" s="5" t="s">
        <v>854</v>
      </c>
      <c r="F165" s="5" t="s">
        <v>855</v>
      </c>
      <c r="G165" s="5" t="s">
        <v>856</v>
      </c>
      <c r="H165" s="5" t="s">
        <v>855</v>
      </c>
      <c r="I165" s="5" t="s">
        <v>74</v>
      </c>
      <c r="J165" s="5" t="s">
        <v>37</v>
      </c>
      <c r="K165" s="5" t="s">
        <v>75</v>
      </c>
      <c r="L165" s="5" t="s">
        <v>68</v>
      </c>
      <c r="M165" s="7" t="str">
        <f t="shared" si="1"/>
        <v>OK</v>
      </c>
      <c r="N165" s="7"/>
      <c r="O165" s="7"/>
      <c r="P165" s="7"/>
      <c r="Q165" s="7"/>
      <c r="R165" s="7"/>
      <c r="S165" s="7"/>
      <c r="T165" s="7"/>
      <c r="U165" s="7"/>
      <c r="V165" s="7"/>
      <c r="W165" s="7"/>
      <c r="X165" s="7"/>
      <c r="Y165" s="7"/>
      <c r="Z165" s="7"/>
    </row>
    <row r="166" ht="15.75" customHeight="1">
      <c r="A166" s="11" t="s">
        <v>857</v>
      </c>
      <c r="B166" s="5" t="s">
        <v>133</v>
      </c>
      <c r="C166" s="5" t="s">
        <v>15</v>
      </c>
      <c r="D166" s="5" t="s">
        <v>858</v>
      </c>
      <c r="E166" s="5" t="s">
        <v>859</v>
      </c>
      <c r="F166" s="5" t="s">
        <v>860</v>
      </c>
      <c r="G166" s="5" t="s">
        <v>861</v>
      </c>
      <c r="H166" s="5" t="s">
        <v>859</v>
      </c>
      <c r="I166" s="5" t="s">
        <v>51</v>
      </c>
      <c r="J166" s="5"/>
      <c r="K166" s="5" t="s">
        <v>22</v>
      </c>
      <c r="L166" s="5"/>
      <c r="M166" s="7" t="str">
        <f t="shared" si="1"/>
        <v>OK</v>
      </c>
      <c r="N166" s="7"/>
      <c r="O166" s="7"/>
      <c r="P166" s="7"/>
      <c r="Q166" s="7"/>
      <c r="R166" s="7"/>
      <c r="S166" s="7"/>
      <c r="T166" s="7"/>
      <c r="U166" s="7"/>
      <c r="V166" s="7"/>
      <c r="W166" s="7"/>
      <c r="X166" s="7"/>
      <c r="Y166" s="7"/>
      <c r="Z166" s="7"/>
    </row>
    <row r="167" ht="15.75" customHeight="1">
      <c r="A167" s="11" t="s">
        <v>862</v>
      </c>
      <c r="B167" s="5" t="s">
        <v>133</v>
      </c>
      <c r="C167" s="5" t="s">
        <v>15</v>
      </c>
      <c r="D167" s="5" t="s">
        <v>863</v>
      </c>
      <c r="E167" s="5" t="s">
        <v>864</v>
      </c>
      <c r="F167" s="5" t="s">
        <v>865</v>
      </c>
      <c r="G167" s="5" t="s">
        <v>866</v>
      </c>
      <c r="H167" s="5" t="s">
        <v>866</v>
      </c>
      <c r="I167" s="5" t="s">
        <v>74</v>
      </c>
      <c r="J167" s="5"/>
      <c r="K167" s="5" t="s">
        <v>75</v>
      </c>
      <c r="L167" s="5"/>
      <c r="M167" s="7" t="str">
        <f t="shared" si="1"/>
        <v>OK</v>
      </c>
      <c r="N167" s="7"/>
      <c r="O167" s="7"/>
      <c r="P167" s="7"/>
      <c r="Q167" s="7"/>
      <c r="R167" s="7"/>
      <c r="S167" s="7"/>
      <c r="T167" s="7"/>
      <c r="U167" s="7"/>
      <c r="V167" s="7"/>
      <c r="W167" s="7"/>
      <c r="X167" s="7"/>
      <c r="Y167" s="7"/>
      <c r="Z167" s="7"/>
    </row>
    <row r="168" ht="15.75" customHeight="1">
      <c r="A168" s="11" t="s">
        <v>867</v>
      </c>
      <c r="B168" s="5" t="s">
        <v>133</v>
      </c>
      <c r="C168" s="5" t="s">
        <v>15</v>
      </c>
      <c r="D168" s="5" t="s">
        <v>868</v>
      </c>
      <c r="E168" s="5" t="s">
        <v>869</v>
      </c>
      <c r="F168" s="5" t="s">
        <v>870</v>
      </c>
      <c r="G168" s="5" t="s">
        <v>871</v>
      </c>
      <c r="H168" s="5" t="s">
        <v>871</v>
      </c>
      <c r="I168" s="5" t="s">
        <v>29</v>
      </c>
      <c r="J168" s="5"/>
      <c r="K168" s="5" t="s">
        <v>39</v>
      </c>
      <c r="L168" s="5"/>
      <c r="M168" s="7" t="str">
        <f t="shared" si="1"/>
        <v>OK</v>
      </c>
      <c r="N168" s="7"/>
      <c r="O168" s="7"/>
      <c r="P168" s="7"/>
      <c r="Q168" s="7"/>
      <c r="R168" s="7"/>
      <c r="S168" s="7"/>
      <c r="T168" s="7"/>
      <c r="U168" s="7"/>
      <c r="V168" s="7"/>
      <c r="W168" s="7"/>
      <c r="X168" s="7"/>
      <c r="Y168" s="7"/>
      <c r="Z168" s="7"/>
    </row>
    <row r="169" ht="15.75" customHeight="1">
      <c r="A169" s="11" t="s">
        <v>872</v>
      </c>
      <c r="B169" s="5" t="s">
        <v>133</v>
      </c>
      <c r="C169" s="5" t="s">
        <v>15</v>
      </c>
      <c r="D169" s="5" t="s">
        <v>873</v>
      </c>
      <c r="E169" s="5" t="s">
        <v>874</v>
      </c>
      <c r="F169" s="5" t="s">
        <v>875</v>
      </c>
      <c r="G169" s="5" t="s">
        <v>873</v>
      </c>
      <c r="H169" s="5" t="s">
        <v>873</v>
      </c>
      <c r="I169" s="5" t="s">
        <v>37</v>
      </c>
      <c r="J169" s="5"/>
      <c r="K169" s="5" t="s">
        <v>111</v>
      </c>
      <c r="L169" s="5"/>
      <c r="M169" s="7" t="str">
        <f t="shared" si="1"/>
        <v>OK</v>
      </c>
      <c r="N169" s="7"/>
      <c r="O169" s="7"/>
      <c r="P169" s="7"/>
      <c r="Q169" s="7"/>
      <c r="R169" s="7"/>
      <c r="S169" s="7"/>
      <c r="T169" s="7"/>
      <c r="U169" s="7"/>
      <c r="V169" s="7"/>
      <c r="W169" s="7"/>
      <c r="X169" s="7"/>
      <c r="Y169" s="7"/>
      <c r="Z169" s="7"/>
    </row>
    <row r="170" ht="15.75" customHeight="1">
      <c r="A170" s="11" t="s">
        <v>876</v>
      </c>
      <c r="B170" s="5" t="s">
        <v>133</v>
      </c>
      <c r="C170" s="5" t="s">
        <v>15</v>
      </c>
      <c r="D170" s="5" t="s">
        <v>877</v>
      </c>
      <c r="E170" s="5" t="s">
        <v>878</v>
      </c>
      <c r="F170" s="5" t="s">
        <v>879</v>
      </c>
      <c r="G170" s="5" t="s">
        <v>880</v>
      </c>
      <c r="H170" s="5" t="s">
        <v>880</v>
      </c>
      <c r="I170" s="5" t="s">
        <v>51</v>
      </c>
      <c r="J170" s="5"/>
      <c r="K170" s="5" t="s">
        <v>75</v>
      </c>
      <c r="L170" s="5"/>
      <c r="M170" s="7" t="str">
        <f t="shared" si="1"/>
        <v>OK</v>
      </c>
      <c r="N170" s="7"/>
      <c r="O170" s="7"/>
      <c r="P170" s="7"/>
      <c r="Q170" s="7"/>
      <c r="R170" s="7"/>
      <c r="S170" s="7"/>
      <c r="T170" s="7"/>
      <c r="U170" s="7"/>
      <c r="V170" s="7"/>
      <c r="W170" s="7"/>
      <c r="X170" s="7"/>
      <c r="Y170" s="7"/>
      <c r="Z170" s="7"/>
    </row>
    <row r="171" ht="15.75" customHeight="1">
      <c r="A171" s="11" t="s">
        <v>881</v>
      </c>
      <c r="B171" s="5" t="s">
        <v>133</v>
      </c>
      <c r="C171" s="5" t="s">
        <v>15</v>
      </c>
      <c r="D171" s="5" t="s">
        <v>882</v>
      </c>
      <c r="E171" s="5" t="s">
        <v>883</v>
      </c>
      <c r="F171" s="5" t="s">
        <v>884</v>
      </c>
      <c r="G171" s="5" t="s">
        <v>885</v>
      </c>
      <c r="H171" s="5" t="s">
        <v>883</v>
      </c>
      <c r="I171" s="5" t="s">
        <v>21</v>
      </c>
      <c r="J171" s="5"/>
      <c r="K171" s="5" t="s">
        <v>52</v>
      </c>
      <c r="L171" s="5"/>
      <c r="M171" s="7" t="str">
        <f t="shared" si="1"/>
        <v>OK</v>
      </c>
      <c r="N171" s="7"/>
      <c r="O171" s="7"/>
      <c r="P171" s="7"/>
      <c r="Q171" s="7"/>
      <c r="R171" s="7"/>
      <c r="S171" s="7"/>
      <c r="T171" s="7"/>
      <c r="U171" s="7"/>
      <c r="V171" s="7"/>
      <c r="W171" s="7"/>
      <c r="X171" s="7"/>
      <c r="Y171" s="7"/>
      <c r="Z171" s="7"/>
    </row>
    <row r="172" ht="15.75" customHeight="1">
      <c r="A172" s="11" t="s">
        <v>886</v>
      </c>
      <c r="B172" s="5" t="s">
        <v>133</v>
      </c>
      <c r="C172" s="5" t="s">
        <v>15</v>
      </c>
      <c r="D172" s="5" t="s">
        <v>887</v>
      </c>
      <c r="E172" s="5" t="s">
        <v>888</v>
      </c>
      <c r="F172" s="5" t="s">
        <v>889</v>
      </c>
      <c r="G172" s="5" t="s">
        <v>890</v>
      </c>
      <c r="H172" s="5" t="s">
        <v>890</v>
      </c>
      <c r="I172" s="5" t="s">
        <v>29</v>
      </c>
      <c r="J172" s="5"/>
      <c r="K172" s="5" t="s">
        <v>31</v>
      </c>
      <c r="L172" s="5"/>
      <c r="M172" s="7" t="str">
        <f t="shared" si="1"/>
        <v>OK</v>
      </c>
      <c r="N172" s="7"/>
      <c r="O172" s="7"/>
      <c r="P172" s="7"/>
      <c r="Q172" s="7"/>
      <c r="R172" s="7"/>
      <c r="S172" s="7"/>
      <c r="T172" s="7"/>
      <c r="U172" s="7"/>
      <c r="V172" s="7"/>
      <c r="W172" s="7"/>
      <c r="X172" s="7"/>
      <c r="Y172" s="7"/>
      <c r="Z172" s="7"/>
    </row>
    <row r="173" ht="15.75" customHeight="1">
      <c r="A173" s="11" t="s">
        <v>891</v>
      </c>
      <c r="B173" s="5" t="s">
        <v>133</v>
      </c>
      <c r="C173" s="5" t="s">
        <v>15</v>
      </c>
      <c r="D173" s="5" t="s">
        <v>892</v>
      </c>
      <c r="E173" s="5" t="s">
        <v>893</v>
      </c>
      <c r="F173" s="5" t="s">
        <v>894</v>
      </c>
      <c r="G173" s="5" t="s">
        <v>895</v>
      </c>
      <c r="H173" s="5" t="s">
        <v>894</v>
      </c>
      <c r="I173" s="5" t="s">
        <v>20</v>
      </c>
      <c r="J173" s="5"/>
      <c r="K173" s="5" t="s">
        <v>30</v>
      </c>
      <c r="L173" s="5"/>
      <c r="M173" s="7" t="str">
        <f t="shared" si="1"/>
        <v>OK</v>
      </c>
      <c r="N173" s="7"/>
      <c r="O173" s="7"/>
      <c r="P173" s="7"/>
      <c r="Q173" s="7"/>
      <c r="R173" s="7"/>
      <c r="S173" s="7"/>
      <c r="T173" s="7"/>
      <c r="U173" s="7"/>
      <c r="V173" s="7"/>
      <c r="W173" s="7"/>
      <c r="X173" s="7"/>
      <c r="Y173" s="7"/>
      <c r="Z173" s="7"/>
    </row>
    <row r="174" ht="15.75" customHeight="1">
      <c r="A174" s="11" t="s">
        <v>896</v>
      </c>
      <c r="B174" s="5" t="s">
        <v>133</v>
      </c>
      <c r="C174" s="5" t="s">
        <v>15</v>
      </c>
      <c r="D174" s="5" t="s">
        <v>897</v>
      </c>
      <c r="E174" s="5" t="s">
        <v>898</v>
      </c>
      <c r="F174" s="5" t="s">
        <v>899</v>
      </c>
      <c r="G174" s="5" t="s">
        <v>900</v>
      </c>
      <c r="H174" s="5" t="s">
        <v>900</v>
      </c>
      <c r="I174" s="5" t="s">
        <v>45</v>
      </c>
      <c r="J174" s="5"/>
      <c r="K174" s="5" t="s">
        <v>39</v>
      </c>
      <c r="L174" s="5"/>
      <c r="M174" s="7" t="str">
        <f t="shared" si="1"/>
        <v>OK</v>
      </c>
      <c r="N174" s="7"/>
      <c r="O174" s="7"/>
      <c r="P174" s="7"/>
      <c r="Q174" s="7"/>
      <c r="R174" s="7"/>
      <c r="S174" s="7"/>
      <c r="T174" s="7"/>
      <c r="U174" s="7"/>
      <c r="V174" s="7"/>
      <c r="W174" s="7"/>
      <c r="X174" s="7"/>
      <c r="Y174" s="7"/>
      <c r="Z174" s="7"/>
    </row>
    <row r="175" ht="15.75" customHeight="1">
      <c r="A175" s="11" t="s">
        <v>901</v>
      </c>
      <c r="B175" s="5" t="s">
        <v>133</v>
      </c>
      <c r="C175" s="5" t="s">
        <v>15</v>
      </c>
      <c r="D175" s="5" t="s">
        <v>902</v>
      </c>
      <c r="E175" s="5" t="s">
        <v>903</v>
      </c>
      <c r="F175" s="5" t="s">
        <v>904</v>
      </c>
      <c r="G175" s="5" t="s">
        <v>905</v>
      </c>
      <c r="H175" s="5" t="s">
        <v>905</v>
      </c>
      <c r="I175" s="5" t="s">
        <v>21</v>
      </c>
      <c r="J175" s="5"/>
      <c r="K175" s="5" t="s">
        <v>52</v>
      </c>
      <c r="L175" s="5"/>
      <c r="M175" s="7" t="str">
        <f t="shared" si="1"/>
        <v>OK</v>
      </c>
      <c r="N175" s="7"/>
      <c r="O175" s="7"/>
      <c r="P175" s="7"/>
      <c r="Q175" s="7"/>
      <c r="R175" s="7"/>
      <c r="S175" s="7"/>
      <c r="T175" s="7"/>
      <c r="U175" s="7"/>
      <c r="V175" s="7"/>
      <c r="W175" s="7"/>
      <c r="X175" s="7"/>
      <c r="Y175" s="7"/>
      <c r="Z175" s="7"/>
    </row>
    <row r="176" ht="15.75" customHeight="1">
      <c r="A176" s="11" t="s">
        <v>906</v>
      </c>
      <c r="B176" s="5" t="s">
        <v>133</v>
      </c>
      <c r="C176" s="5" t="s">
        <v>15</v>
      </c>
      <c r="D176" s="5" t="s">
        <v>907</v>
      </c>
      <c r="E176" s="5" t="s">
        <v>908</v>
      </c>
      <c r="F176" s="5" t="s">
        <v>909</v>
      </c>
      <c r="G176" s="5" t="s">
        <v>910</v>
      </c>
      <c r="H176" s="5" t="s">
        <v>910</v>
      </c>
      <c r="I176" s="5" t="s">
        <v>51</v>
      </c>
      <c r="J176" s="5"/>
      <c r="K176" s="5" t="s">
        <v>52</v>
      </c>
      <c r="L176" s="5"/>
      <c r="M176" s="7" t="str">
        <f t="shared" si="1"/>
        <v>OK</v>
      </c>
      <c r="N176" s="7"/>
      <c r="O176" s="7"/>
      <c r="P176" s="7"/>
      <c r="Q176" s="7"/>
      <c r="R176" s="7"/>
      <c r="S176" s="7"/>
      <c r="T176" s="7"/>
      <c r="U176" s="7"/>
      <c r="V176" s="7"/>
      <c r="W176" s="7"/>
      <c r="X176" s="7"/>
      <c r="Y176" s="7"/>
      <c r="Z176" s="7"/>
    </row>
    <row r="177" ht="15.75" customHeight="1">
      <c r="A177" s="11" t="s">
        <v>911</v>
      </c>
      <c r="B177" s="5" t="s">
        <v>133</v>
      </c>
      <c r="C177" s="5" t="s">
        <v>15</v>
      </c>
      <c r="D177" s="5" t="s">
        <v>912</v>
      </c>
      <c r="E177" s="5" t="s">
        <v>913</v>
      </c>
      <c r="F177" s="5" t="s">
        <v>914</v>
      </c>
      <c r="G177" s="5" t="s">
        <v>915</v>
      </c>
      <c r="H177" s="5" t="s">
        <v>914</v>
      </c>
      <c r="I177" s="5" t="s">
        <v>38</v>
      </c>
      <c r="J177" s="5"/>
      <c r="K177" s="5" t="s">
        <v>31</v>
      </c>
      <c r="L177" s="5"/>
      <c r="M177" s="7" t="str">
        <f t="shared" si="1"/>
        <v>OK</v>
      </c>
      <c r="N177" s="7"/>
      <c r="O177" s="7"/>
      <c r="P177" s="7"/>
      <c r="Q177" s="7"/>
      <c r="R177" s="7"/>
      <c r="S177" s="7"/>
      <c r="T177" s="7"/>
      <c r="U177" s="7"/>
      <c r="V177" s="7"/>
      <c r="W177" s="7"/>
      <c r="X177" s="7"/>
      <c r="Y177" s="7"/>
      <c r="Z177" s="7"/>
    </row>
    <row r="178" ht="15.75" customHeight="1">
      <c r="A178" s="11" t="s">
        <v>916</v>
      </c>
      <c r="B178" s="5" t="s">
        <v>133</v>
      </c>
      <c r="C178" s="5" t="s">
        <v>15</v>
      </c>
      <c r="D178" s="5" t="s">
        <v>917</v>
      </c>
      <c r="E178" s="5" t="s">
        <v>918</v>
      </c>
      <c r="F178" s="5" t="s">
        <v>919</v>
      </c>
      <c r="G178" s="5" t="s">
        <v>920</v>
      </c>
      <c r="H178" s="5" t="s">
        <v>920</v>
      </c>
      <c r="I178" s="5" t="s">
        <v>74</v>
      </c>
      <c r="J178" s="5"/>
      <c r="K178" s="5" t="s">
        <v>75</v>
      </c>
      <c r="L178" s="5"/>
      <c r="M178" s="7" t="str">
        <f t="shared" si="1"/>
        <v>OK</v>
      </c>
      <c r="N178" s="7"/>
      <c r="O178" s="7"/>
      <c r="P178" s="7"/>
      <c r="Q178" s="7"/>
      <c r="R178" s="7"/>
      <c r="S178" s="7"/>
      <c r="T178" s="7"/>
      <c r="U178" s="7"/>
      <c r="V178" s="7"/>
      <c r="W178" s="7"/>
      <c r="X178" s="7"/>
      <c r="Y178" s="7"/>
      <c r="Z178" s="7"/>
    </row>
    <row r="179" ht="15.75" customHeight="1">
      <c r="A179" s="11" t="s">
        <v>921</v>
      </c>
      <c r="B179" s="5" t="s">
        <v>133</v>
      </c>
      <c r="C179" s="5" t="s">
        <v>15</v>
      </c>
      <c r="D179" s="5" t="s">
        <v>922</v>
      </c>
      <c r="E179" s="5" t="s">
        <v>923</v>
      </c>
      <c r="F179" s="5" t="s">
        <v>924</v>
      </c>
      <c r="G179" s="5" t="s">
        <v>925</v>
      </c>
      <c r="H179" s="5" t="s">
        <v>924</v>
      </c>
      <c r="I179" s="5" t="s">
        <v>37</v>
      </c>
      <c r="J179" s="5"/>
      <c r="K179" s="5" t="s">
        <v>30</v>
      </c>
      <c r="L179" s="5"/>
      <c r="M179" s="7" t="str">
        <f t="shared" si="1"/>
        <v>OK</v>
      </c>
      <c r="N179" s="7"/>
      <c r="O179" s="7"/>
      <c r="P179" s="7"/>
      <c r="Q179" s="7"/>
      <c r="R179" s="7"/>
      <c r="S179" s="7"/>
      <c r="T179" s="7"/>
      <c r="U179" s="7"/>
      <c r="V179" s="7"/>
      <c r="W179" s="7"/>
      <c r="X179" s="7"/>
      <c r="Y179" s="7"/>
      <c r="Z179" s="7"/>
    </row>
    <row r="180" ht="15.75" customHeight="1">
      <c r="A180" s="11" t="s">
        <v>926</v>
      </c>
      <c r="B180" s="5" t="s">
        <v>133</v>
      </c>
      <c r="C180" s="5" t="s">
        <v>15</v>
      </c>
      <c r="D180" s="5" t="s">
        <v>927</v>
      </c>
      <c r="E180" s="5" t="s">
        <v>928</v>
      </c>
      <c r="F180" s="5" t="s">
        <v>929</v>
      </c>
      <c r="G180" s="5" t="s">
        <v>930</v>
      </c>
      <c r="H180" s="5" t="s">
        <v>930</v>
      </c>
      <c r="I180" s="5" t="s">
        <v>21</v>
      </c>
      <c r="J180" s="5"/>
      <c r="K180" s="5" t="s">
        <v>52</v>
      </c>
      <c r="L180" s="5"/>
      <c r="M180" s="7" t="str">
        <f t="shared" si="1"/>
        <v>OK</v>
      </c>
      <c r="N180" s="7"/>
      <c r="O180" s="7"/>
      <c r="P180" s="7"/>
      <c r="Q180" s="7"/>
      <c r="R180" s="7"/>
      <c r="S180" s="7"/>
      <c r="T180" s="7"/>
      <c r="U180" s="7"/>
      <c r="V180" s="7"/>
      <c r="W180" s="7"/>
      <c r="X180" s="7"/>
      <c r="Y180" s="7"/>
      <c r="Z180" s="7"/>
    </row>
    <row r="181" ht="15.75" customHeight="1">
      <c r="A181" s="11" t="s">
        <v>931</v>
      </c>
      <c r="B181" s="5" t="s">
        <v>133</v>
      </c>
      <c r="C181" s="5" t="s">
        <v>15</v>
      </c>
      <c r="D181" s="5" t="s">
        <v>932</v>
      </c>
      <c r="E181" s="5" t="s">
        <v>933</v>
      </c>
      <c r="F181" s="5" t="s">
        <v>934</v>
      </c>
      <c r="G181" s="5" t="s">
        <v>935</v>
      </c>
      <c r="H181" s="5" t="s">
        <v>936</v>
      </c>
      <c r="I181" s="5" t="s">
        <v>29</v>
      </c>
      <c r="J181" s="5"/>
      <c r="K181" s="5" t="s">
        <v>31</v>
      </c>
      <c r="L181" s="5"/>
      <c r="M181" s="7" t="str">
        <f t="shared" si="1"/>
        <v>OK</v>
      </c>
      <c r="N181" s="7"/>
      <c r="O181" s="7"/>
      <c r="P181" s="7"/>
      <c r="Q181" s="7"/>
      <c r="R181" s="7"/>
      <c r="S181" s="7"/>
      <c r="T181" s="7"/>
      <c r="U181" s="7"/>
      <c r="V181" s="7"/>
      <c r="W181" s="7"/>
      <c r="X181" s="7"/>
      <c r="Y181" s="7"/>
      <c r="Z181" s="7"/>
    </row>
    <row r="182" ht="15.75" customHeight="1">
      <c r="A182" s="11" t="s">
        <v>937</v>
      </c>
      <c r="B182" s="5" t="s">
        <v>133</v>
      </c>
      <c r="C182" s="5" t="s">
        <v>15</v>
      </c>
      <c r="D182" s="5" t="s">
        <v>938</v>
      </c>
      <c r="E182" s="5" t="s">
        <v>939</v>
      </c>
      <c r="F182" s="5" t="s">
        <v>940</v>
      </c>
      <c r="G182" s="5" t="s">
        <v>941</v>
      </c>
      <c r="H182" s="5" t="s">
        <v>939</v>
      </c>
      <c r="I182" s="5" t="s">
        <v>29</v>
      </c>
      <c r="J182" s="5"/>
      <c r="K182" s="5" t="s">
        <v>39</v>
      </c>
      <c r="L182" s="5"/>
      <c r="M182" s="7" t="str">
        <f t="shared" si="1"/>
        <v>OK</v>
      </c>
      <c r="N182" s="7"/>
      <c r="O182" s="7"/>
      <c r="P182" s="7"/>
      <c r="Q182" s="7"/>
      <c r="R182" s="7"/>
      <c r="S182" s="7"/>
      <c r="T182" s="7"/>
      <c r="U182" s="7"/>
      <c r="V182" s="7"/>
      <c r="W182" s="7"/>
      <c r="X182" s="7"/>
      <c r="Y182" s="7"/>
      <c r="Z182" s="7"/>
    </row>
    <row r="183" ht="15.75" customHeight="1">
      <c r="A183" s="11" t="s">
        <v>942</v>
      </c>
      <c r="B183" s="5" t="s">
        <v>133</v>
      </c>
      <c r="C183" s="5" t="s">
        <v>15</v>
      </c>
      <c r="D183" s="5" t="s">
        <v>943</v>
      </c>
      <c r="E183" s="5" t="s">
        <v>944</v>
      </c>
      <c r="F183" s="5" t="s">
        <v>945</v>
      </c>
      <c r="G183" s="5" t="s">
        <v>946</v>
      </c>
      <c r="H183" s="5" t="s">
        <v>946</v>
      </c>
      <c r="I183" s="5" t="s">
        <v>20</v>
      </c>
      <c r="J183" s="5"/>
      <c r="K183" s="5" t="s">
        <v>31</v>
      </c>
      <c r="L183" s="5"/>
      <c r="M183" s="7" t="str">
        <f t="shared" si="1"/>
        <v>OK</v>
      </c>
      <c r="N183" s="7"/>
      <c r="O183" s="7"/>
      <c r="P183" s="7"/>
      <c r="Q183" s="7"/>
      <c r="R183" s="7"/>
      <c r="S183" s="7"/>
      <c r="T183" s="7"/>
      <c r="U183" s="7"/>
      <c r="V183" s="7"/>
      <c r="W183" s="7"/>
      <c r="X183" s="7"/>
      <c r="Y183" s="7"/>
      <c r="Z183" s="7"/>
    </row>
    <row r="184" ht="15.75" customHeight="1">
      <c r="A184" s="11" t="s">
        <v>947</v>
      </c>
      <c r="B184" s="5" t="s">
        <v>133</v>
      </c>
      <c r="C184" s="5" t="s">
        <v>15</v>
      </c>
      <c r="D184" s="5" t="s">
        <v>948</v>
      </c>
      <c r="E184" s="5" t="s">
        <v>949</v>
      </c>
      <c r="F184" s="5" t="s">
        <v>950</v>
      </c>
      <c r="G184" s="5" t="s">
        <v>951</v>
      </c>
      <c r="H184" s="5" t="s">
        <v>950</v>
      </c>
      <c r="I184" s="5" t="s">
        <v>51</v>
      </c>
      <c r="J184" s="5"/>
      <c r="K184" s="5" t="s">
        <v>111</v>
      </c>
      <c r="L184" s="5"/>
      <c r="M184" s="7" t="str">
        <f t="shared" si="1"/>
        <v>OK</v>
      </c>
      <c r="N184" s="7"/>
      <c r="O184" s="7"/>
      <c r="P184" s="7"/>
      <c r="Q184" s="7"/>
      <c r="R184" s="7"/>
      <c r="S184" s="7"/>
      <c r="T184" s="7"/>
      <c r="U184" s="7"/>
      <c r="V184" s="7"/>
      <c r="W184" s="7"/>
      <c r="X184" s="7"/>
      <c r="Y184" s="7"/>
      <c r="Z184" s="7"/>
    </row>
    <row r="185" ht="15.75" customHeight="1">
      <c r="A185" s="11" t="s">
        <v>952</v>
      </c>
      <c r="B185" s="5" t="s">
        <v>133</v>
      </c>
      <c r="C185" s="5" t="s">
        <v>15</v>
      </c>
      <c r="D185" s="5" t="s">
        <v>953</v>
      </c>
      <c r="E185" s="5" t="s">
        <v>954</v>
      </c>
      <c r="F185" s="5" t="s">
        <v>955</v>
      </c>
      <c r="G185" s="5" t="s">
        <v>956</v>
      </c>
      <c r="H185" s="5" t="s">
        <v>956</v>
      </c>
      <c r="I185" s="5" t="s">
        <v>37</v>
      </c>
      <c r="J185" s="5"/>
      <c r="K185" s="5" t="s">
        <v>30</v>
      </c>
      <c r="L185" s="5"/>
      <c r="M185" s="7" t="str">
        <f t="shared" si="1"/>
        <v>OK</v>
      </c>
      <c r="N185" s="7"/>
      <c r="O185" s="7"/>
      <c r="P185" s="7"/>
      <c r="Q185" s="7"/>
      <c r="R185" s="7"/>
      <c r="S185" s="7"/>
      <c r="T185" s="7"/>
      <c r="U185" s="7"/>
      <c r="V185" s="7"/>
      <c r="W185" s="7"/>
      <c r="X185" s="7"/>
      <c r="Y185" s="7"/>
      <c r="Z185" s="7"/>
    </row>
    <row r="186" ht="15.75" customHeight="1">
      <c r="A186" s="11" t="s">
        <v>957</v>
      </c>
      <c r="B186" s="5" t="s">
        <v>133</v>
      </c>
      <c r="C186" s="5" t="s">
        <v>15</v>
      </c>
      <c r="D186" s="5" t="s">
        <v>958</v>
      </c>
      <c r="E186" s="5" t="s">
        <v>959</v>
      </c>
      <c r="F186" s="5" t="s">
        <v>960</v>
      </c>
      <c r="G186" s="5" t="s">
        <v>961</v>
      </c>
      <c r="H186" s="5" t="s">
        <v>961</v>
      </c>
      <c r="I186" s="5" t="s">
        <v>21</v>
      </c>
      <c r="J186" s="5"/>
      <c r="K186" s="5" t="s">
        <v>111</v>
      </c>
      <c r="L186" s="5"/>
      <c r="M186" s="7" t="str">
        <f t="shared" si="1"/>
        <v>OK</v>
      </c>
      <c r="N186" s="7"/>
      <c r="O186" s="7"/>
      <c r="P186" s="7"/>
      <c r="Q186" s="7"/>
      <c r="R186" s="7"/>
      <c r="S186" s="7"/>
      <c r="T186" s="7"/>
      <c r="U186" s="7"/>
      <c r="V186" s="7"/>
      <c r="W186" s="7"/>
      <c r="X186" s="7"/>
      <c r="Y186" s="7"/>
      <c r="Z186" s="7"/>
    </row>
    <row r="187" ht="15.75" customHeight="1">
      <c r="A187" s="11" t="s">
        <v>962</v>
      </c>
      <c r="B187" s="5" t="s">
        <v>133</v>
      </c>
      <c r="C187" s="5" t="s">
        <v>15</v>
      </c>
      <c r="D187" s="5" t="s">
        <v>963</v>
      </c>
      <c r="E187" s="5" t="s">
        <v>964</v>
      </c>
      <c r="F187" s="5" t="s">
        <v>965</v>
      </c>
      <c r="G187" s="5" t="s">
        <v>966</v>
      </c>
      <c r="H187" s="5" t="s">
        <v>964</v>
      </c>
      <c r="I187" s="5" t="s">
        <v>29</v>
      </c>
      <c r="J187" s="5"/>
      <c r="K187" s="5" t="s">
        <v>52</v>
      </c>
      <c r="L187" s="5"/>
      <c r="M187" s="7" t="str">
        <f t="shared" si="1"/>
        <v>OK</v>
      </c>
      <c r="N187" s="7"/>
      <c r="O187" s="7"/>
      <c r="P187" s="7"/>
      <c r="Q187" s="7"/>
      <c r="R187" s="7"/>
      <c r="S187" s="7"/>
      <c r="T187" s="7"/>
      <c r="U187" s="7"/>
      <c r="V187" s="7"/>
      <c r="W187" s="7"/>
      <c r="X187" s="7"/>
      <c r="Y187" s="7"/>
      <c r="Z187" s="7"/>
    </row>
    <row r="188" ht="15.75" customHeight="1">
      <c r="A188" s="8" t="s">
        <v>967</v>
      </c>
      <c r="B188" s="5" t="s">
        <v>14</v>
      </c>
      <c r="C188" s="5" t="s">
        <v>15</v>
      </c>
      <c r="D188" s="5" t="s">
        <v>968</v>
      </c>
      <c r="E188" s="6" t="s">
        <v>969</v>
      </c>
      <c r="F188" s="6" t="s">
        <v>970</v>
      </c>
      <c r="G188" s="6" t="s">
        <v>971</v>
      </c>
      <c r="H188" s="6" t="s">
        <v>971</v>
      </c>
      <c r="I188" s="5" t="s">
        <v>20</v>
      </c>
      <c r="J188" s="5" t="s">
        <v>51</v>
      </c>
      <c r="K188" s="5" t="s">
        <v>68</v>
      </c>
      <c r="L188" s="5" t="s">
        <v>23</v>
      </c>
      <c r="M188" s="7" t="str">
        <f t="shared" si="1"/>
        <v>OK</v>
      </c>
      <c r="N188" s="7"/>
      <c r="O188" s="7"/>
      <c r="P188" s="7"/>
      <c r="Q188" s="7"/>
      <c r="R188" s="7"/>
      <c r="S188" s="7"/>
      <c r="T188" s="7"/>
      <c r="U188" s="7"/>
      <c r="V188" s="7"/>
      <c r="W188" s="7"/>
      <c r="X188" s="7"/>
      <c r="Y188" s="7"/>
      <c r="Z188" s="7"/>
    </row>
    <row r="189" ht="15.75" customHeight="1">
      <c r="A189" s="8" t="s">
        <v>972</v>
      </c>
      <c r="B189" s="5" t="s">
        <v>14</v>
      </c>
      <c r="C189" s="5" t="s">
        <v>15</v>
      </c>
      <c r="D189" s="5" t="s">
        <v>973</v>
      </c>
      <c r="E189" s="6" t="s">
        <v>974</v>
      </c>
      <c r="F189" s="6" t="s">
        <v>975</v>
      </c>
      <c r="G189" s="6" t="s">
        <v>976</v>
      </c>
      <c r="H189" s="6" t="s">
        <v>976</v>
      </c>
      <c r="I189" s="5" t="s">
        <v>21</v>
      </c>
      <c r="J189" s="5" t="s">
        <v>51</v>
      </c>
      <c r="K189" s="5" t="s">
        <v>52</v>
      </c>
      <c r="L189" s="5" t="s">
        <v>22</v>
      </c>
      <c r="M189" s="7" t="str">
        <f t="shared" si="1"/>
        <v>OK</v>
      </c>
      <c r="N189" s="7"/>
      <c r="O189" s="7"/>
      <c r="P189" s="7"/>
      <c r="Q189" s="7"/>
      <c r="R189" s="7"/>
      <c r="S189" s="7"/>
      <c r="T189" s="7"/>
      <c r="U189" s="7"/>
      <c r="V189" s="7"/>
      <c r="W189" s="7"/>
      <c r="X189" s="7"/>
      <c r="Y189" s="7"/>
      <c r="Z189" s="7"/>
    </row>
    <row r="190" ht="15.75" customHeight="1">
      <c r="A190" s="8" t="s">
        <v>977</v>
      </c>
      <c r="B190" s="5" t="s">
        <v>14</v>
      </c>
      <c r="C190" s="5" t="s">
        <v>15</v>
      </c>
      <c r="D190" s="5" t="s">
        <v>978</v>
      </c>
      <c r="E190" s="6" t="s">
        <v>979</v>
      </c>
      <c r="F190" s="6" t="s">
        <v>980</v>
      </c>
      <c r="G190" s="6" t="s">
        <v>981</v>
      </c>
      <c r="H190" s="6" t="s">
        <v>980</v>
      </c>
      <c r="I190" s="5" t="s">
        <v>37</v>
      </c>
      <c r="J190" s="5" t="s">
        <v>38</v>
      </c>
      <c r="K190" s="5" t="s">
        <v>68</v>
      </c>
      <c r="L190" s="5" t="s">
        <v>39</v>
      </c>
      <c r="M190" s="7" t="str">
        <f t="shared" si="1"/>
        <v>OK</v>
      </c>
      <c r="N190" s="7"/>
      <c r="O190" s="7"/>
      <c r="P190" s="7"/>
      <c r="Q190" s="7"/>
      <c r="R190" s="7"/>
      <c r="S190" s="7"/>
      <c r="T190" s="7"/>
      <c r="U190" s="7"/>
      <c r="V190" s="7"/>
      <c r="W190" s="7"/>
      <c r="X190" s="7"/>
      <c r="Y190" s="7"/>
      <c r="Z190" s="7"/>
    </row>
    <row r="191" ht="15.75" customHeight="1">
      <c r="A191" s="8" t="s">
        <v>982</v>
      </c>
      <c r="B191" s="5" t="s">
        <v>14</v>
      </c>
      <c r="C191" s="5" t="s">
        <v>15</v>
      </c>
      <c r="D191" s="5" t="s">
        <v>983</v>
      </c>
      <c r="E191" s="6" t="s">
        <v>984</v>
      </c>
      <c r="F191" s="6" t="s">
        <v>985</v>
      </c>
      <c r="G191" s="6" t="s">
        <v>986</v>
      </c>
      <c r="H191" s="6" t="s">
        <v>984</v>
      </c>
      <c r="I191" s="5" t="s">
        <v>74</v>
      </c>
      <c r="J191" s="5" t="s">
        <v>38</v>
      </c>
      <c r="K191" s="5" t="s">
        <v>68</v>
      </c>
      <c r="L191" s="5" t="s">
        <v>30</v>
      </c>
      <c r="M191" s="7" t="str">
        <f t="shared" si="1"/>
        <v>OK</v>
      </c>
      <c r="N191" s="7"/>
      <c r="O191" s="7"/>
      <c r="P191" s="7"/>
      <c r="Q191" s="7"/>
      <c r="R191" s="7"/>
      <c r="S191" s="7"/>
      <c r="T191" s="7"/>
      <c r="U191" s="7"/>
      <c r="V191" s="7"/>
      <c r="W191" s="7"/>
      <c r="X191" s="7"/>
      <c r="Y191" s="7"/>
      <c r="Z191" s="7"/>
    </row>
    <row r="192" ht="15.75" customHeight="1">
      <c r="A192" s="4" t="s">
        <v>987</v>
      </c>
      <c r="B192" s="13" t="s">
        <v>14</v>
      </c>
      <c r="C192" s="13" t="s">
        <v>15</v>
      </c>
      <c r="D192" s="13" t="s">
        <v>988</v>
      </c>
      <c r="E192" s="14" t="s">
        <v>989</v>
      </c>
      <c r="F192" s="6" t="s">
        <v>990</v>
      </c>
      <c r="G192" s="6" t="s">
        <v>991</v>
      </c>
      <c r="H192" s="14" t="s">
        <v>989</v>
      </c>
      <c r="I192" s="13" t="s">
        <v>74</v>
      </c>
      <c r="J192" s="13" t="s">
        <v>38</v>
      </c>
      <c r="K192" s="13" t="s">
        <v>68</v>
      </c>
      <c r="L192" s="13" t="s">
        <v>31</v>
      </c>
      <c r="M192" s="15" t="str">
        <f t="shared" si="1"/>
        <v>OK</v>
      </c>
      <c r="N192" s="15"/>
      <c r="O192" s="15"/>
      <c r="P192" s="15"/>
      <c r="Q192" s="15"/>
      <c r="R192" s="15"/>
      <c r="S192" s="15"/>
      <c r="T192" s="15"/>
      <c r="U192" s="15"/>
      <c r="V192" s="15"/>
      <c r="W192" s="15"/>
      <c r="X192" s="15"/>
      <c r="Y192" s="15"/>
      <c r="Z192" s="15"/>
    </row>
    <row r="193" ht="15.75" customHeight="1">
      <c r="A193" s="8" t="s">
        <v>992</v>
      </c>
      <c r="B193" s="5" t="s">
        <v>14</v>
      </c>
      <c r="C193" s="5" t="s">
        <v>15</v>
      </c>
      <c r="D193" s="5" t="s">
        <v>993</v>
      </c>
      <c r="E193" s="6" t="s">
        <v>994</v>
      </c>
      <c r="F193" s="6" t="s">
        <v>995</v>
      </c>
      <c r="G193" s="6" t="s">
        <v>996</v>
      </c>
      <c r="H193" s="6" t="s">
        <v>995</v>
      </c>
      <c r="I193" s="5" t="s">
        <v>21</v>
      </c>
      <c r="J193" s="5" t="s">
        <v>38</v>
      </c>
      <c r="K193" s="5" t="s">
        <v>68</v>
      </c>
      <c r="L193" s="5" t="s">
        <v>23</v>
      </c>
      <c r="M193" s="7" t="str">
        <f t="shared" si="1"/>
        <v>OK</v>
      </c>
      <c r="N193" s="7"/>
      <c r="O193" s="7"/>
      <c r="P193" s="7"/>
      <c r="Q193" s="7"/>
      <c r="R193" s="7"/>
      <c r="S193" s="7"/>
      <c r="T193" s="7"/>
      <c r="U193" s="7"/>
      <c r="V193" s="7"/>
      <c r="W193" s="7"/>
      <c r="X193" s="7"/>
      <c r="Y193" s="7"/>
      <c r="Z193" s="7"/>
    </row>
    <row r="194" ht="15.75" customHeight="1">
      <c r="A194" s="8" t="s">
        <v>997</v>
      </c>
      <c r="B194" s="5" t="s">
        <v>14</v>
      </c>
      <c r="C194" s="5" t="s">
        <v>15</v>
      </c>
      <c r="D194" s="5" t="s">
        <v>998</v>
      </c>
      <c r="E194" s="6" t="s">
        <v>999</v>
      </c>
      <c r="F194" s="6" t="s">
        <v>1000</v>
      </c>
      <c r="G194" s="5" t="s">
        <v>1001</v>
      </c>
      <c r="H194" s="5" t="s">
        <v>1001</v>
      </c>
      <c r="I194" s="5" t="s">
        <v>29</v>
      </c>
      <c r="J194" s="5" t="s">
        <v>51</v>
      </c>
      <c r="K194" s="5" t="s">
        <v>39</v>
      </c>
      <c r="L194" s="5" t="s">
        <v>111</v>
      </c>
      <c r="M194" s="7" t="str">
        <f t="shared" si="1"/>
        <v>OK</v>
      </c>
      <c r="N194" s="7"/>
      <c r="O194" s="7"/>
      <c r="P194" s="7"/>
      <c r="Q194" s="7"/>
      <c r="R194" s="7"/>
      <c r="S194" s="7"/>
      <c r="T194" s="7"/>
      <c r="U194" s="7"/>
      <c r="V194" s="7"/>
      <c r="W194" s="7"/>
      <c r="X194" s="7"/>
      <c r="Y194" s="7"/>
      <c r="Z194" s="7"/>
    </row>
    <row r="195" ht="15.75" customHeight="1">
      <c r="A195" s="8" t="s">
        <v>1002</v>
      </c>
      <c r="B195" s="5" t="s">
        <v>14</v>
      </c>
      <c r="C195" s="5" t="s">
        <v>15</v>
      </c>
      <c r="D195" s="5" t="s">
        <v>1003</v>
      </c>
      <c r="E195" s="6" t="s">
        <v>1004</v>
      </c>
      <c r="F195" s="5" t="s">
        <v>1005</v>
      </c>
      <c r="G195" s="6" t="s">
        <v>1006</v>
      </c>
      <c r="H195" s="5" t="s">
        <v>1005</v>
      </c>
      <c r="I195" s="5" t="s">
        <v>21</v>
      </c>
      <c r="J195" s="5" t="s">
        <v>20</v>
      </c>
      <c r="K195" s="5" t="s">
        <v>68</v>
      </c>
      <c r="L195" s="5" t="s">
        <v>111</v>
      </c>
      <c r="M195" s="7" t="str">
        <f t="shared" si="1"/>
        <v>OK</v>
      </c>
      <c r="N195" s="7"/>
      <c r="O195" s="7"/>
      <c r="P195" s="7"/>
      <c r="Q195" s="7"/>
      <c r="R195" s="7"/>
      <c r="S195" s="7"/>
      <c r="T195" s="7"/>
      <c r="U195" s="7"/>
      <c r="V195" s="7"/>
      <c r="W195" s="7"/>
      <c r="X195" s="7"/>
      <c r="Y195" s="7"/>
      <c r="Z195" s="7"/>
    </row>
    <row r="196" ht="15.75" customHeight="1">
      <c r="A196" s="8" t="s">
        <v>1007</v>
      </c>
      <c r="B196" s="5" t="s">
        <v>14</v>
      </c>
      <c r="C196" s="5" t="s">
        <v>15</v>
      </c>
      <c r="D196" s="5" t="s">
        <v>1008</v>
      </c>
      <c r="E196" s="6" t="s">
        <v>1009</v>
      </c>
      <c r="F196" s="6" t="s">
        <v>1010</v>
      </c>
      <c r="G196" s="5" t="s">
        <v>1011</v>
      </c>
      <c r="H196" s="5" t="s">
        <v>1011</v>
      </c>
      <c r="I196" s="5" t="s">
        <v>74</v>
      </c>
      <c r="J196" s="5" t="s">
        <v>20</v>
      </c>
      <c r="K196" s="5" t="s">
        <v>68</v>
      </c>
      <c r="L196" s="5" t="s">
        <v>30</v>
      </c>
      <c r="M196" s="7" t="str">
        <f t="shared" si="1"/>
        <v>OK</v>
      </c>
      <c r="N196" s="7"/>
      <c r="O196" s="7"/>
      <c r="P196" s="7"/>
      <c r="Q196" s="7"/>
      <c r="R196" s="7"/>
      <c r="S196" s="7"/>
      <c r="T196" s="7"/>
      <c r="U196" s="7"/>
      <c r="V196" s="7"/>
      <c r="W196" s="7"/>
      <c r="X196" s="7"/>
      <c r="Y196" s="7"/>
      <c r="Z196" s="7"/>
    </row>
    <row r="197" ht="15.75" customHeight="1">
      <c r="A197" s="8" t="s">
        <v>1012</v>
      </c>
      <c r="B197" s="5" t="s">
        <v>14</v>
      </c>
      <c r="C197" s="5" t="s">
        <v>15</v>
      </c>
      <c r="D197" s="5" t="s">
        <v>1013</v>
      </c>
      <c r="E197" s="5" t="s">
        <v>1014</v>
      </c>
      <c r="F197" s="6" t="s">
        <v>1015</v>
      </c>
      <c r="G197" s="6" t="s">
        <v>1016</v>
      </c>
      <c r="H197" s="5" t="s">
        <v>1014</v>
      </c>
      <c r="I197" s="5" t="s">
        <v>21</v>
      </c>
      <c r="J197" s="5" t="s">
        <v>20</v>
      </c>
      <c r="K197" s="5" t="s">
        <v>75</v>
      </c>
      <c r="L197" s="5" t="s">
        <v>23</v>
      </c>
      <c r="M197" s="7" t="str">
        <f>IF(COUNTIF($A$2:A227, A197)&gt;1, "Dublet", "OK")</f>
        <v>OK</v>
      </c>
      <c r="N197" s="7"/>
      <c r="O197" s="7"/>
      <c r="P197" s="7"/>
      <c r="Q197" s="7"/>
      <c r="R197" s="7"/>
      <c r="S197" s="7"/>
      <c r="T197" s="7"/>
      <c r="U197" s="7"/>
      <c r="V197" s="7"/>
      <c r="W197" s="7"/>
      <c r="X197" s="7"/>
      <c r="Y197" s="7"/>
      <c r="Z197" s="7"/>
    </row>
    <row r="198" ht="15.75" customHeight="1">
      <c r="A198" s="8" t="s">
        <v>1017</v>
      </c>
      <c r="B198" s="5" t="s">
        <v>14</v>
      </c>
      <c r="C198" s="5" t="s">
        <v>15</v>
      </c>
      <c r="D198" s="5" t="s">
        <v>1018</v>
      </c>
      <c r="E198" s="6" t="s">
        <v>1019</v>
      </c>
      <c r="F198" s="5" t="s">
        <v>1020</v>
      </c>
      <c r="G198" s="6" t="s">
        <v>1021</v>
      </c>
      <c r="H198" s="5" t="s">
        <v>1020</v>
      </c>
      <c r="I198" s="5" t="s">
        <v>21</v>
      </c>
      <c r="J198" s="5" t="s">
        <v>37</v>
      </c>
      <c r="K198" s="5" t="s">
        <v>68</v>
      </c>
      <c r="L198" s="5" t="s">
        <v>31</v>
      </c>
      <c r="M198" s="7" t="str">
        <f t="shared" ref="M198:M267" si="2">IF(COUNTIF($A$2:A198, A198)&gt;1, "Dublet", "OK")</f>
        <v>OK</v>
      </c>
      <c r="N198" s="7"/>
      <c r="O198" s="7"/>
      <c r="P198" s="7"/>
      <c r="Q198" s="7"/>
      <c r="R198" s="7"/>
      <c r="S198" s="7"/>
      <c r="T198" s="7"/>
      <c r="U198" s="7"/>
      <c r="V198" s="7"/>
      <c r="W198" s="7"/>
      <c r="X198" s="7"/>
      <c r="Y198" s="7"/>
      <c r="Z198" s="7"/>
    </row>
    <row r="199" ht="15.75" customHeight="1">
      <c r="A199" s="8" t="s">
        <v>1022</v>
      </c>
      <c r="B199" s="5" t="s">
        <v>14</v>
      </c>
      <c r="C199" s="5" t="s">
        <v>15</v>
      </c>
      <c r="D199" s="5" t="s">
        <v>1023</v>
      </c>
      <c r="E199" s="6" t="s">
        <v>1024</v>
      </c>
      <c r="F199" s="6" t="s">
        <v>1025</v>
      </c>
      <c r="G199" s="5" t="s">
        <v>1026</v>
      </c>
      <c r="H199" s="5" t="s">
        <v>1026</v>
      </c>
      <c r="I199" s="5" t="s">
        <v>74</v>
      </c>
      <c r="J199" s="5" t="s">
        <v>38</v>
      </c>
      <c r="K199" s="5" t="s">
        <v>68</v>
      </c>
      <c r="L199" s="5" t="s">
        <v>23</v>
      </c>
      <c r="M199" s="7" t="str">
        <f t="shared" si="2"/>
        <v>OK</v>
      </c>
      <c r="N199" s="7"/>
      <c r="O199" s="7"/>
      <c r="P199" s="7"/>
      <c r="Q199" s="7"/>
      <c r="R199" s="7"/>
      <c r="S199" s="7"/>
      <c r="T199" s="7"/>
      <c r="U199" s="7"/>
      <c r="V199" s="7"/>
      <c r="W199" s="7"/>
      <c r="X199" s="7"/>
      <c r="Y199" s="7"/>
      <c r="Z199" s="7"/>
    </row>
    <row r="200" ht="15.75" customHeight="1">
      <c r="A200" s="8" t="s">
        <v>1027</v>
      </c>
      <c r="B200" s="5" t="s">
        <v>14</v>
      </c>
      <c r="C200" s="5" t="s">
        <v>15</v>
      </c>
      <c r="D200" s="5" t="s">
        <v>1028</v>
      </c>
      <c r="E200" s="5" t="s">
        <v>1029</v>
      </c>
      <c r="F200" s="6" t="s">
        <v>1030</v>
      </c>
      <c r="G200" s="6" t="s">
        <v>1031</v>
      </c>
      <c r="H200" s="5" t="s">
        <v>1029</v>
      </c>
      <c r="I200" s="5" t="s">
        <v>20</v>
      </c>
      <c r="J200" s="5" t="s">
        <v>37</v>
      </c>
      <c r="K200" s="5" t="s">
        <v>68</v>
      </c>
      <c r="L200" s="5" t="s">
        <v>22</v>
      </c>
      <c r="M200" s="7" t="str">
        <f t="shared" si="2"/>
        <v>OK</v>
      </c>
      <c r="N200" s="7"/>
      <c r="O200" s="7"/>
      <c r="P200" s="7"/>
      <c r="Q200" s="7"/>
      <c r="R200" s="7"/>
      <c r="S200" s="7"/>
      <c r="T200" s="7"/>
      <c r="U200" s="7"/>
      <c r="V200" s="7"/>
      <c r="W200" s="7"/>
      <c r="X200" s="7"/>
      <c r="Y200" s="7"/>
      <c r="Z200" s="7"/>
    </row>
    <row r="201" ht="15.75" customHeight="1">
      <c r="A201" s="4" t="s">
        <v>1032</v>
      </c>
      <c r="B201" s="13" t="s">
        <v>14</v>
      </c>
      <c r="C201" s="13" t="s">
        <v>15</v>
      </c>
      <c r="D201" s="13" t="s">
        <v>1033</v>
      </c>
      <c r="E201" s="13" t="s">
        <v>1034</v>
      </c>
      <c r="F201" s="13" t="s">
        <v>1035</v>
      </c>
      <c r="G201" s="13" t="s">
        <v>1036</v>
      </c>
      <c r="H201" s="13" t="s">
        <v>1035</v>
      </c>
      <c r="I201" s="13" t="s">
        <v>74</v>
      </c>
      <c r="J201" s="13" t="s">
        <v>51</v>
      </c>
      <c r="K201" s="13" t="s">
        <v>68</v>
      </c>
      <c r="L201" s="13" t="s">
        <v>31</v>
      </c>
      <c r="M201" s="15" t="str">
        <f t="shared" si="2"/>
        <v>OK</v>
      </c>
      <c r="N201" s="15"/>
      <c r="O201" s="15"/>
      <c r="P201" s="15"/>
      <c r="Q201" s="15"/>
      <c r="R201" s="15"/>
      <c r="S201" s="15"/>
      <c r="T201" s="15"/>
      <c r="U201" s="15"/>
      <c r="V201" s="15"/>
      <c r="W201" s="15"/>
      <c r="X201" s="15"/>
      <c r="Y201" s="15"/>
      <c r="Z201" s="15"/>
    </row>
    <row r="202" ht="15.75" customHeight="1">
      <c r="A202" s="8" t="s">
        <v>1037</v>
      </c>
      <c r="B202" s="5" t="s">
        <v>14</v>
      </c>
      <c r="C202" s="5" t="s">
        <v>15</v>
      </c>
      <c r="D202" s="5" t="s">
        <v>1038</v>
      </c>
      <c r="E202" s="6" t="s">
        <v>1039</v>
      </c>
      <c r="F202" s="6" t="s">
        <v>1040</v>
      </c>
      <c r="G202" s="6" t="s">
        <v>1041</v>
      </c>
      <c r="H202" s="6" t="s">
        <v>1041</v>
      </c>
      <c r="I202" s="5" t="s">
        <v>20</v>
      </c>
      <c r="J202" s="5" t="s">
        <v>37</v>
      </c>
      <c r="K202" s="5" t="s">
        <v>68</v>
      </c>
      <c r="L202" s="5" t="s">
        <v>22</v>
      </c>
      <c r="M202" s="7" t="str">
        <f t="shared" si="2"/>
        <v>OK</v>
      </c>
      <c r="N202" s="7"/>
      <c r="O202" s="7"/>
      <c r="P202" s="7"/>
      <c r="Q202" s="7"/>
      <c r="R202" s="7"/>
      <c r="S202" s="7"/>
      <c r="T202" s="7"/>
      <c r="U202" s="7"/>
      <c r="V202" s="7"/>
      <c r="W202" s="7"/>
      <c r="X202" s="7"/>
      <c r="Y202" s="7"/>
      <c r="Z202" s="7"/>
    </row>
    <row r="203" ht="15.75" customHeight="1">
      <c r="A203" s="8" t="s">
        <v>1042</v>
      </c>
      <c r="B203" s="5" t="s">
        <v>14</v>
      </c>
      <c r="C203" s="5" t="s">
        <v>15</v>
      </c>
      <c r="D203" s="5" t="s">
        <v>1043</v>
      </c>
      <c r="E203" s="6" t="s">
        <v>1044</v>
      </c>
      <c r="F203" s="6" t="s">
        <v>1045</v>
      </c>
      <c r="G203" s="6" t="s">
        <v>1046</v>
      </c>
      <c r="H203" s="6" t="s">
        <v>1044</v>
      </c>
      <c r="I203" s="5" t="s">
        <v>37</v>
      </c>
      <c r="J203" s="5" t="s">
        <v>20</v>
      </c>
      <c r="K203" s="5" t="s">
        <v>23</v>
      </c>
      <c r="L203" s="5" t="s">
        <v>68</v>
      </c>
      <c r="M203" s="7" t="str">
        <f t="shared" si="2"/>
        <v>OK</v>
      </c>
      <c r="N203" s="7"/>
      <c r="O203" s="7"/>
      <c r="P203" s="7"/>
      <c r="Q203" s="7"/>
      <c r="R203" s="7"/>
      <c r="S203" s="7"/>
      <c r="T203" s="7"/>
      <c r="U203" s="7"/>
      <c r="V203" s="7"/>
      <c r="W203" s="7"/>
      <c r="X203" s="7"/>
      <c r="Y203" s="7"/>
      <c r="Z203" s="7"/>
    </row>
    <row r="204" ht="15.75" customHeight="1">
      <c r="A204" s="8" t="s">
        <v>1047</v>
      </c>
      <c r="B204" s="5" t="s">
        <v>14</v>
      </c>
      <c r="C204" s="5" t="s">
        <v>15</v>
      </c>
      <c r="D204" s="5" t="s">
        <v>1048</v>
      </c>
      <c r="E204" s="6" t="s">
        <v>1049</v>
      </c>
      <c r="F204" s="6" t="s">
        <v>1050</v>
      </c>
      <c r="G204" s="6" t="s">
        <v>1051</v>
      </c>
      <c r="H204" s="6" t="s">
        <v>1049</v>
      </c>
      <c r="I204" s="5" t="s">
        <v>21</v>
      </c>
      <c r="J204" s="5" t="s">
        <v>45</v>
      </c>
      <c r="K204" s="5" t="s">
        <v>52</v>
      </c>
      <c r="L204" s="5" t="s">
        <v>39</v>
      </c>
      <c r="M204" s="7" t="str">
        <f t="shared" si="2"/>
        <v>OK</v>
      </c>
      <c r="N204" s="7"/>
      <c r="O204" s="7"/>
      <c r="P204" s="7"/>
      <c r="Q204" s="7"/>
      <c r="R204" s="7"/>
      <c r="S204" s="7"/>
      <c r="T204" s="7"/>
      <c r="U204" s="7"/>
      <c r="V204" s="7"/>
      <c r="W204" s="7"/>
      <c r="X204" s="7"/>
      <c r="Y204" s="7"/>
      <c r="Z204" s="7"/>
    </row>
    <row r="205" ht="15.75" customHeight="1">
      <c r="A205" s="8" t="s">
        <v>1052</v>
      </c>
      <c r="B205" s="5" t="s">
        <v>14</v>
      </c>
      <c r="C205" s="5" t="s">
        <v>15</v>
      </c>
      <c r="D205" s="5" t="s">
        <v>1053</v>
      </c>
      <c r="E205" s="6" t="s">
        <v>1054</v>
      </c>
      <c r="F205" s="6" t="s">
        <v>1055</v>
      </c>
      <c r="G205" s="6" t="s">
        <v>1056</v>
      </c>
      <c r="H205" s="6" t="s">
        <v>1054</v>
      </c>
      <c r="I205" s="5" t="s">
        <v>21</v>
      </c>
      <c r="J205" s="5" t="s">
        <v>20</v>
      </c>
      <c r="K205" s="5" t="s">
        <v>111</v>
      </c>
      <c r="L205" s="5" t="s">
        <v>31</v>
      </c>
      <c r="M205" s="7" t="str">
        <f t="shared" si="2"/>
        <v>OK</v>
      </c>
      <c r="N205" s="7"/>
      <c r="O205" s="7"/>
      <c r="P205" s="7"/>
      <c r="Q205" s="7"/>
      <c r="R205" s="7"/>
      <c r="S205" s="7"/>
      <c r="T205" s="7"/>
      <c r="U205" s="7"/>
      <c r="V205" s="7"/>
      <c r="W205" s="7"/>
      <c r="X205" s="7"/>
      <c r="Y205" s="7"/>
      <c r="Z205" s="7"/>
    </row>
    <row r="206" ht="15.75" customHeight="1">
      <c r="A206" s="8" t="s">
        <v>1057</v>
      </c>
      <c r="B206" s="5" t="s">
        <v>14</v>
      </c>
      <c r="C206" s="5" t="s">
        <v>15</v>
      </c>
      <c r="D206" s="5" t="s">
        <v>1058</v>
      </c>
      <c r="E206" s="6" t="s">
        <v>1059</v>
      </c>
      <c r="F206" s="6" t="s">
        <v>1060</v>
      </c>
      <c r="G206" s="6" t="s">
        <v>1061</v>
      </c>
      <c r="H206" s="6" t="s">
        <v>1060</v>
      </c>
      <c r="I206" s="5" t="s">
        <v>21</v>
      </c>
      <c r="J206" s="5" t="s">
        <v>45</v>
      </c>
      <c r="K206" s="5" t="s">
        <v>75</v>
      </c>
      <c r="L206" s="5" t="s">
        <v>31</v>
      </c>
      <c r="M206" s="7" t="str">
        <f t="shared" si="2"/>
        <v>OK</v>
      </c>
      <c r="N206" s="7"/>
      <c r="O206" s="7"/>
      <c r="P206" s="7"/>
      <c r="Q206" s="7"/>
      <c r="R206" s="7"/>
      <c r="S206" s="7"/>
      <c r="T206" s="7"/>
      <c r="U206" s="7"/>
      <c r="V206" s="7"/>
      <c r="W206" s="7"/>
      <c r="X206" s="7"/>
      <c r="Y206" s="7"/>
      <c r="Z206" s="7"/>
    </row>
    <row r="207" ht="15.75" customHeight="1">
      <c r="A207" s="8" t="s">
        <v>1062</v>
      </c>
      <c r="B207" s="5" t="s">
        <v>14</v>
      </c>
      <c r="C207" s="5" t="s">
        <v>15</v>
      </c>
      <c r="D207" s="5" t="s">
        <v>1063</v>
      </c>
      <c r="E207" s="6" t="s">
        <v>1064</v>
      </c>
      <c r="F207" s="5" t="s">
        <v>1065</v>
      </c>
      <c r="G207" s="6" t="s">
        <v>1066</v>
      </c>
      <c r="H207" s="5" t="s">
        <v>1065</v>
      </c>
      <c r="I207" s="5" t="s">
        <v>45</v>
      </c>
      <c r="J207" s="5" t="s">
        <v>21</v>
      </c>
      <c r="K207" s="5" t="s">
        <v>68</v>
      </c>
      <c r="L207" s="5" t="s">
        <v>23</v>
      </c>
      <c r="M207" s="7" t="str">
        <f t="shared" si="2"/>
        <v>OK</v>
      </c>
      <c r="N207" s="7"/>
      <c r="O207" s="7"/>
      <c r="P207" s="7"/>
      <c r="Q207" s="7"/>
      <c r="R207" s="7"/>
      <c r="S207" s="7"/>
      <c r="T207" s="7"/>
      <c r="U207" s="7"/>
      <c r="V207" s="7"/>
      <c r="W207" s="7"/>
      <c r="X207" s="7"/>
      <c r="Y207" s="7"/>
      <c r="Z207" s="7"/>
    </row>
    <row r="208" ht="15.75" customHeight="1">
      <c r="A208" s="8" t="s">
        <v>1067</v>
      </c>
      <c r="B208" s="5" t="s">
        <v>14</v>
      </c>
      <c r="C208" s="5" t="s">
        <v>15</v>
      </c>
      <c r="D208" s="5" t="s">
        <v>1068</v>
      </c>
      <c r="E208" s="6" t="s">
        <v>1069</v>
      </c>
      <c r="F208" s="6" t="s">
        <v>1070</v>
      </c>
      <c r="G208" s="5" t="s">
        <v>1071</v>
      </c>
      <c r="H208" s="5" t="s">
        <v>1071</v>
      </c>
      <c r="I208" s="5" t="s">
        <v>37</v>
      </c>
      <c r="J208" s="5" t="s">
        <v>38</v>
      </c>
      <c r="K208" s="5" t="s">
        <v>68</v>
      </c>
      <c r="L208" s="5" t="s">
        <v>23</v>
      </c>
      <c r="M208" s="7" t="str">
        <f t="shared" si="2"/>
        <v>OK</v>
      </c>
      <c r="N208" s="7"/>
      <c r="O208" s="7"/>
      <c r="P208" s="7"/>
      <c r="Q208" s="7"/>
      <c r="R208" s="7"/>
      <c r="S208" s="7"/>
      <c r="T208" s="7"/>
      <c r="U208" s="7"/>
      <c r="V208" s="7"/>
      <c r="W208" s="7"/>
      <c r="X208" s="7"/>
      <c r="Y208" s="7"/>
      <c r="Z208" s="7"/>
    </row>
    <row r="209" ht="15.75" customHeight="1">
      <c r="A209" s="8" t="s">
        <v>1072</v>
      </c>
      <c r="B209" s="5" t="s">
        <v>14</v>
      </c>
      <c r="C209" s="5" t="s">
        <v>15</v>
      </c>
      <c r="D209" s="5" t="s">
        <v>1073</v>
      </c>
      <c r="E209" s="6" t="s">
        <v>1074</v>
      </c>
      <c r="F209" s="5" t="s">
        <v>1075</v>
      </c>
      <c r="G209" s="6" t="s">
        <v>1076</v>
      </c>
      <c r="H209" s="5" t="s">
        <v>1075</v>
      </c>
      <c r="I209" s="5" t="s">
        <v>21</v>
      </c>
      <c r="J209" s="5" t="s">
        <v>45</v>
      </c>
      <c r="K209" s="5" t="s">
        <v>111</v>
      </c>
      <c r="L209" s="5" t="s">
        <v>23</v>
      </c>
      <c r="M209" s="7" t="str">
        <f t="shared" si="2"/>
        <v>OK</v>
      </c>
      <c r="N209" s="7"/>
      <c r="O209" s="7"/>
      <c r="P209" s="7"/>
      <c r="Q209" s="7"/>
      <c r="R209" s="7"/>
      <c r="S209" s="7"/>
      <c r="T209" s="7"/>
      <c r="U209" s="7"/>
      <c r="V209" s="7"/>
      <c r="W209" s="7"/>
      <c r="X209" s="7"/>
      <c r="Y209" s="7"/>
      <c r="Z209" s="7"/>
    </row>
    <row r="210" ht="15.75" customHeight="1">
      <c r="A210" s="8" t="s">
        <v>1077</v>
      </c>
      <c r="B210" s="5" t="s">
        <v>14</v>
      </c>
      <c r="C210" s="5" t="s">
        <v>15</v>
      </c>
      <c r="D210" s="5" t="s">
        <v>1078</v>
      </c>
      <c r="E210" s="6" t="s">
        <v>1079</v>
      </c>
      <c r="F210" s="6" t="s">
        <v>1080</v>
      </c>
      <c r="G210" s="5" t="s">
        <v>1081</v>
      </c>
      <c r="H210" s="5" t="s">
        <v>1081</v>
      </c>
      <c r="I210" s="5" t="s">
        <v>74</v>
      </c>
      <c r="J210" s="5" t="s">
        <v>51</v>
      </c>
      <c r="K210" s="5" t="s">
        <v>75</v>
      </c>
      <c r="L210" s="5" t="s">
        <v>52</v>
      </c>
      <c r="M210" s="7" t="str">
        <f t="shared" si="2"/>
        <v>OK</v>
      </c>
      <c r="N210" s="7"/>
      <c r="O210" s="7"/>
      <c r="P210" s="7"/>
      <c r="Q210" s="7"/>
      <c r="R210" s="7"/>
      <c r="S210" s="7"/>
      <c r="T210" s="7"/>
      <c r="U210" s="7"/>
      <c r="V210" s="7"/>
      <c r="W210" s="7"/>
      <c r="X210" s="7"/>
      <c r="Y210" s="7"/>
      <c r="Z210" s="7"/>
    </row>
    <row r="211" ht="15.75" customHeight="1">
      <c r="A211" s="8" t="s">
        <v>1082</v>
      </c>
      <c r="B211" s="5" t="s">
        <v>14</v>
      </c>
      <c r="C211" s="5" t="s">
        <v>15</v>
      </c>
      <c r="D211" s="5" t="s">
        <v>1083</v>
      </c>
      <c r="E211" s="6" t="s">
        <v>1084</v>
      </c>
      <c r="F211" s="6" t="s">
        <v>1085</v>
      </c>
      <c r="G211" s="5" t="s">
        <v>1086</v>
      </c>
      <c r="H211" s="5" t="s">
        <v>1086</v>
      </c>
      <c r="I211" s="5" t="s">
        <v>21</v>
      </c>
      <c r="J211" s="5" t="s">
        <v>20</v>
      </c>
      <c r="K211" s="5" t="s">
        <v>23</v>
      </c>
      <c r="L211" s="5" t="s">
        <v>39</v>
      </c>
      <c r="M211" s="7" t="str">
        <f t="shared" si="2"/>
        <v>OK</v>
      </c>
      <c r="N211" s="7"/>
      <c r="O211" s="7"/>
      <c r="P211" s="7"/>
      <c r="Q211" s="7"/>
      <c r="R211" s="7"/>
      <c r="S211" s="7"/>
      <c r="T211" s="7"/>
      <c r="U211" s="7"/>
      <c r="V211" s="7"/>
      <c r="W211" s="7"/>
      <c r="X211" s="7"/>
      <c r="Y211" s="7"/>
      <c r="Z211" s="7"/>
    </row>
    <row r="212" ht="15.75" customHeight="1">
      <c r="A212" s="8" t="s">
        <v>1087</v>
      </c>
      <c r="B212" s="5" t="s">
        <v>14</v>
      </c>
      <c r="C212" s="5" t="s">
        <v>15</v>
      </c>
      <c r="D212" s="5" t="s">
        <v>1088</v>
      </c>
      <c r="E212" s="6" t="s">
        <v>1089</v>
      </c>
      <c r="F212" s="6" t="s">
        <v>1090</v>
      </c>
      <c r="G212" s="6" t="s">
        <v>1091</v>
      </c>
      <c r="H212" s="6" t="s">
        <v>1090</v>
      </c>
      <c r="I212" s="5" t="s">
        <v>29</v>
      </c>
      <c r="J212" s="5" t="s">
        <v>51</v>
      </c>
      <c r="K212" s="5" t="s">
        <v>52</v>
      </c>
      <c r="L212" s="5" t="s">
        <v>31</v>
      </c>
      <c r="M212" s="7" t="str">
        <f t="shared" si="2"/>
        <v>OK</v>
      </c>
      <c r="N212" s="7"/>
      <c r="O212" s="7"/>
      <c r="P212" s="7"/>
      <c r="Q212" s="7"/>
      <c r="R212" s="7"/>
      <c r="S212" s="7"/>
      <c r="T212" s="7"/>
      <c r="U212" s="7"/>
      <c r="V212" s="7"/>
      <c r="W212" s="7"/>
      <c r="X212" s="7"/>
      <c r="Y212" s="7"/>
      <c r="Z212" s="7"/>
    </row>
    <row r="213" ht="15.75" customHeight="1">
      <c r="A213" s="8" t="s">
        <v>1092</v>
      </c>
      <c r="B213" s="5" t="s">
        <v>14</v>
      </c>
      <c r="C213" s="5" t="s">
        <v>15</v>
      </c>
      <c r="D213" s="5" t="s">
        <v>1093</v>
      </c>
      <c r="E213" s="6" t="s">
        <v>1094</v>
      </c>
      <c r="F213" s="6" t="s">
        <v>1095</v>
      </c>
      <c r="G213" s="6" t="s">
        <v>1096</v>
      </c>
      <c r="H213" s="6" t="s">
        <v>1096</v>
      </c>
      <c r="I213" s="5" t="s">
        <v>37</v>
      </c>
      <c r="J213" s="5" t="s">
        <v>38</v>
      </c>
      <c r="K213" s="5" t="s">
        <v>52</v>
      </c>
      <c r="L213" s="5" t="s">
        <v>30</v>
      </c>
      <c r="M213" s="7" t="str">
        <f t="shared" si="2"/>
        <v>OK</v>
      </c>
      <c r="N213" s="7"/>
      <c r="O213" s="7"/>
      <c r="P213" s="7"/>
      <c r="Q213" s="7"/>
      <c r="R213" s="7"/>
      <c r="S213" s="7"/>
      <c r="T213" s="7"/>
      <c r="U213" s="7"/>
      <c r="V213" s="7"/>
      <c r="W213" s="7"/>
      <c r="X213" s="7"/>
      <c r="Y213" s="7"/>
      <c r="Z213" s="7"/>
    </row>
    <row r="214" ht="15.75" customHeight="1">
      <c r="A214" s="8" t="s">
        <v>1097</v>
      </c>
      <c r="B214" s="5" t="s">
        <v>14</v>
      </c>
      <c r="C214" s="5" t="s">
        <v>15</v>
      </c>
      <c r="D214" s="5" t="s">
        <v>1098</v>
      </c>
      <c r="E214" s="6" t="s">
        <v>1099</v>
      </c>
      <c r="F214" s="6" t="s">
        <v>1100</v>
      </c>
      <c r="G214" s="6" t="s">
        <v>1101</v>
      </c>
      <c r="H214" s="6" t="s">
        <v>1101</v>
      </c>
      <c r="I214" s="5" t="s">
        <v>21</v>
      </c>
      <c r="J214" s="5" t="s">
        <v>38</v>
      </c>
      <c r="K214" s="5" t="s">
        <v>68</v>
      </c>
      <c r="L214" s="5" t="s">
        <v>31</v>
      </c>
      <c r="M214" s="7" t="str">
        <f t="shared" si="2"/>
        <v>OK</v>
      </c>
      <c r="N214" s="7"/>
      <c r="O214" s="7"/>
      <c r="P214" s="7"/>
      <c r="Q214" s="7"/>
      <c r="R214" s="7"/>
      <c r="S214" s="7"/>
      <c r="T214" s="7"/>
      <c r="U214" s="7"/>
      <c r="V214" s="7"/>
      <c r="W214" s="7"/>
      <c r="X214" s="7"/>
      <c r="Y214" s="7"/>
      <c r="Z214" s="7"/>
    </row>
    <row r="215" ht="15.75" customHeight="1">
      <c r="A215" s="8" t="s">
        <v>1102</v>
      </c>
      <c r="B215" s="5" t="s">
        <v>14</v>
      </c>
      <c r="C215" s="5" t="s">
        <v>15</v>
      </c>
      <c r="D215" s="5" t="s">
        <v>1103</v>
      </c>
      <c r="E215" s="6" t="s">
        <v>1104</v>
      </c>
      <c r="F215" s="6" t="s">
        <v>1105</v>
      </c>
      <c r="G215" s="6" t="s">
        <v>1106</v>
      </c>
      <c r="H215" s="6" t="s">
        <v>1106</v>
      </c>
      <c r="I215" s="5" t="s">
        <v>37</v>
      </c>
      <c r="J215" s="5" t="s">
        <v>38</v>
      </c>
      <c r="K215" s="5" t="s">
        <v>52</v>
      </c>
      <c r="L215" s="5" t="s">
        <v>22</v>
      </c>
      <c r="M215" s="7" t="str">
        <f t="shared" si="2"/>
        <v>OK</v>
      </c>
      <c r="N215" s="7"/>
      <c r="O215" s="7"/>
      <c r="P215" s="7"/>
      <c r="Q215" s="7"/>
      <c r="R215" s="7"/>
      <c r="S215" s="7"/>
      <c r="T215" s="7"/>
      <c r="U215" s="7"/>
      <c r="V215" s="7"/>
      <c r="W215" s="7"/>
      <c r="X215" s="7"/>
      <c r="Y215" s="7"/>
      <c r="Z215" s="7"/>
    </row>
    <row r="216" ht="15.75" customHeight="1">
      <c r="A216" s="8" t="s">
        <v>1107</v>
      </c>
      <c r="B216" s="5" t="s">
        <v>14</v>
      </c>
      <c r="C216" s="5" t="s">
        <v>15</v>
      </c>
      <c r="D216" s="5" t="s">
        <v>1108</v>
      </c>
      <c r="E216" s="6" t="s">
        <v>1109</v>
      </c>
      <c r="F216" s="6" t="s">
        <v>1110</v>
      </c>
      <c r="G216" s="6" t="s">
        <v>1111</v>
      </c>
      <c r="H216" s="6" t="s">
        <v>1110</v>
      </c>
      <c r="I216" s="5" t="s">
        <v>29</v>
      </c>
      <c r="J216" s="5" t="s">
        <v>21</v>
      </c>
      <c r="K216" s="5" t="s">
        <v>23</v>
      </c>
      <c r="L216" s="5" t="s">
        <v>39</v>
      </c>
      <c r="M216" s="7" t="str">
        <f t="shared" si="2"/>
        <v>OK</v>
      </c>
      <c r="N216" s="7"/>
      <c r="O216" s="7"/>
      <c r="P216" s="7"/>
      <c r="Q216" s="7"/>
      <c r="R216" s="7"/>
      <c r="S216" s="7"/>
      <c r="T216" s="7"/>
      <c r="U216" s="7"/>
      <c r="V216" s="7"/>
      <c r="W216" s="7"/>
      <c r="X216" s="7"/>
      <c r="Y216" s="7"/>
      <c r="Z216" s="7"/>
    </row>
    <row r="217" ht="15.75" customHeight="1">
      <c r="A217" s="8" t="s">
        <v>1112</v>
      </c>
      <c r="B217" s="5" t="s">
        <v>14</v>
      </c>
      <c r="C217" s="5" t="s">
        <v>15</v>
      </c>
      <c r="D217" s="5" t="s">
        <v>1113</v>
      </c>
      <c r="E217" s="5" t="s">
        <v>1114</v>
      </c>
      <c r="F217" s="6" t="s">
        <v>1115</v>
      </c>
      <c r="G217" s="6" t="s">
        <v>1116</v>
      </c>
      <c r="H217" s="6" t="s">
        <v>1116</v>
      </c>
      <c r="I217" s="5" t="s">
        <v>29</v>
      </c>
      <c r="J217" s="5" t="s">
        <v>51</v>
      </c>
      <c r="K217" s="5" t="s">
        <v>23</v>
      </c>
      <c r="L217" s="5" t="s">
        <v>39</v>
      </c>
      <c r="M217" s="7" t="str">
        <f t="shared" si="2"/>
        <v>OK</v>
      </c>
      <c r="N217" s="7"/>
      <c r="O217" s="7"/>
      <c r="P217" s="7"/>
      <c r="Q217" s="7"/>
      <c r="R217" s="7"/>
      <c r="S217" s="7"/>
      <c r="T217" s="7"/>
      <c r="U217" s="7"/>
      <c r="V217" s="7"/>
      <c r="W217" s="7"/>
      <c r="X217" s="7"/>
      <c r="Y217" s="7"/>
      <c r="Z217" s="7"/>
    </row>
    <row r="218" ht="15.75" customHeight="1">
      <c r="A218" s="8" t="s">
        <v>1117</v>
      </c>
      <c r="B218" s="5" t="s">
        <v>14</v>
      </c>
      <c r="C218" s="5" t="s">
        <v>15</v>
      </c>
      <c r="D218" s="5" t="s">
        <v>1118</v>
      </c>
      <c r="E218" s="5" t="s">
        <v>1119</v>
      </c>
      <c r="F218" s="5" t="s">
        <v>1120</v>
      </c>
      <c r="G218" s="5" t="s">
        <v>1121</v>
      </c>
      <c r="H218" s="5" t="s">
        <v>1121</v>
      </c>
      <c r="I218" s="5" t="s">
        <v>29</v>
      </c>
      <c r="J218" s="5" t="s">
        <v>21</v>
      </c>
      <c r="K218" s="5" t="s">
        <v>75</v>
      </c>
      <c r="L218" s="5" t="s">
        <v>23</v>
      </c>
      <c r="M218" s="7" t="str">
        <f t="shared" si="2"/>
        <v>OK</v>
      </c>
      <c r="N218" s="7"/>
      <c r="O218" s="7"/>
      <c r="P218" s="7"/>
      <c r="Q218" s="7"/>
      <c r="R218" s="7"/>
      <c r="S218" s="7"/>
      <c r="T218" s="7"/>
      <c r="U218" s="7"/>
      <c r="V218" s="7"/>
      <c r="W218" s="7"/>
      <c r="X218" s="7"/>
      <c r="Y218" s="7"/>
      <c r="Z218" s="7"/>
    </row>
    <row r="219" ht="15.75" customHeight="1">
      <c r="A219" s="8" t="s">
        <v>1122</v>
      </c>
      <c r="B219" s="5" t="s">
        <v>14</v>
      </c>
      <c r="C219" s="5" t="s">
        <v>15</v>
      </c>
      <c r="D219" s="5" t="s">
        <v>1123</v>
      </c>
      <c r="E219" s="6" t="s">
        <v>1124</v>
      </c>
      <c r="F219" s="6" t="s">
        <v>1125</v>
      </c>
      <c r="G219" s="5" t="s">
        <v>1126</v>
      </c>
      <c r="H219" s="5" t="s">
        <v>1126</v>
      </c>
      <c r="I219" s="5" t="s">
        <v>20</v>
      </c>
      <c r="J219" s="5" t="s">
        <v>37</v>
      </c>
      <c r="K219" s="5" t="s">
        <v>75</v>
      </c>
      <c r="L219" s="5" t="s">
        <v>52</v>
      </c>
      <c r="M219" s="7" t="str">
        <f t="shared" si="2"/>
        <v>OK</v>
      </c>
      <c r="N219" s="7"/>
      <c r="O219" s="7"/>
      <c r="P219" s="7"/>
      <c r="Q219" s="7"/>
      <c r="R219" s="7"/>
      <c r="S219" s="7"/>
      <c r="T219" s="7"/>
      <c r="U219" s="7"/>
      <c r="V219" s="7"/>
      <c r="W219" s="7"/>
      <c r="X219" s="7"/>
      <c r="Y219" s="7"/>
      <c r="Z219" s="7"/>
    </row>
    <row r="220" ht="15.75" customHeight="1">
      <c r="A220" s="8" t="s">
        <v>1127</v>
      </c>
      <c r="B220" s="5" t="s">
        <v>14</v>
      </c>
      <c r="C220" s="5" t="s">
        <v>15</v>
      </c>
      <c r="D220" s="5" t="s">
        <v>1128</v>
      </c>
      <c r="E220" s="6" t="s">
        <v>1129</v>
      </c>
      <c r="F220" s="6" t="s">
        <v>1130</v>
      </c>
      <c r="G220" s="5" t="s">
        <v>1131</v>
      </c>
      <c r="H220" s="5" t="s">
        <v>1131</v>
      </c>
      <c r="I220" s="5" t="s">
        <v>74</v>
      </c>
      <c r="J220" s="5" t="s">
        <v>38</v>
      </c>
      <c r="K220" s="5" t="s">
        <v>23</v>
      </c>
      <c r="L220" s="5" t="s">
        <v>31</v>
      </c>
      <c r="M220" s="7" t="str">
        <f t="shared" si="2"/>
        <v>OK</v>
      </c>
      <c r="N220" s="7"/>
      <c r="O220" s="7"/>
      <c r="P220" s="7"/>
      <c r="Q220" s="7"/>
      <c r="R220" s="7"/>
      <c r="S220" s="7"/>
      <c r="T220" s="7"/>
      <c r="U220" s="7"/>
      <c r="V220" s="7"/>
      <c r="W220" s="7"/>
      <c r="X220" s="7"/>
      <c r="Y220" s="7"/>
      <c r="Z220" s="7"/>
    </row>
    <row r="221" ht="15.75" customHeight="1">
      <c r="A221" s="8" t="s">
        <v>1132</v>
      </c>
      <c r="B221" s="5" t="s">
        <v>14</v>
      </c>
      <c r="C221" s="5" t="s">
        <v>15</v>
      </c>
      <c r="D221" s="5" t="s">
        <v>1133</v>
      </c>
      <c r="E221" s="6" t="s">
        <v>1134</v>
      </c>
      <c r="F221" s="6" t="s">
        <v>1135</v>
      </c>
      <c r="G221" s="6" t="s">
        <v>1136</v>
      </c>
      <c r="H221" s="6" t="s">
        <v>1136</v>
      </c>
      <c r="I221" s="5" t="s">
        <v>37</v>
      </c>
      <c r="J221" s="5" t="s">
        <v>20</v>
      </c>
      <c r="K221" s="5" t="s">
        <v>68</v>
      </c>
      <c r="L221" s="5" t="s">
        <v>39</v>
      </c>
      <c r="M221" s="7" t="str">
        <f t="shared" si="2"/>
        <v>OK</v>
      </c>
      <c r="N221" s="7"/>
      <c r="O221" s="7"/>
      <c r="P221" s="7"/>
      <c r="Q221" s="7"/>
      <c r="R221" s="7"/>
      <c r="S221" s="7"/>
      <c r="T221" s="7"/>
      <c r="U221" s="7"/>
      <c r="V221" s="7"/>
      <c r="W221" s="7"/>
      <c r="X221" s="7"/>
      <c r="Y221" s="7"/>
      <c r="Z221" s="7"/>
    </row>
    <row r="222" ht="15.75" customHeight="1">
      <c r="A222" s="8" t="s">
        <v>1137</v>
      </c>
      <c r="B222" s="5" t="s">
        <v>14</v>
      </c>
      <c r="C222" s="5" t="s">
        <v>15</v>
      </c>
      <c r="D222" s="5" t="s">
        <v>1138</v>
      </c>
      <c r="E222" s="5" t="s">
        <v>1139</v>
      </c>
      <c r="F222" s="6" t="s">
        <v>1140</v>
      </c>
      <c r="G222" s="5" t="s">
        <v>1141</v>
      </c>
      <c r="H222" s="6" t="s">
        <v>1140</v>
      </c>
      <c r="I222" s="5" t="s">
        <v>20</v>
      </c>
      <c r="J222" s="5" t="s">
        <v>37</v>
      </c>
      <c r="K222" s="5" t="s">
        <v>23</v>
      </c>
      <c r="L222" s="5" t="s">
        <v>68</v>
      </c>
      <c r="M222" s="7" t="str">
        <f t="shared" si="2"/>
        <v>OK</v>
      </c>
      <c r="N222" s="7"/>
      <c r="O222" s="7"/>
      <c r="P222" s="7"/>
      <c r="Q222" s="7"/>
      <c r="R222" s="7"/>
      <c r="S222" s="7"/>
      <c r="T222" s="7"/>
      <c r="U222" s="7"/>
      <c r="V222" s="7"/>
      <c r="W222" s="7"/>
      <c r="X222" s="7"/>
      <c r="Y222" s="7"/>
      <c r="Z222" s="7"/>
    </row>
    <row r="223" ht="15.75" customHeight="1">
      <c r="A223" s="8" t="s">
        <v>1142</v>
      </c>
      <c r="B223" s="5" t="s">
        <v>14</v>
      </c>
      <c r="C223" s="5" t="s">
        <v>15</v>
      </c>
      <c r="D223" s="5" t="s">
        <v>1143</v>
      </c>
      <c r="E223" s="5" t="s">
        <v>1144</v>
      </c>
      <c r="F223" s="6" t="s">
        <v>1145</v>
      </c>
      <c r="G223" s="6" t="s">
        <v>1146</v>
      </c>
      <c r="H223" s="6" t="s">
        <v>1146</v>
      </c>
      <c r="I223" s="5" t="s">
        <v>29</v>
      </c>
      <c r="J223" s="5" t="s">
        <v>38</v>
      </c>
      <c r="K223" s="5" t="s">
        <v>68</v>
      </c>
      <c r="L223" s="5" t="s">
        <v>23</v>
      </c>
      <c r="M223" s="7" t="str">
        <f t="shared" si="2"/>
        <v>OK</v>
      </c>
      <c r="N223" s="7"/>
      <c r="O223" s="7"/>
      <c r="P223" s="7"/>
      <c r="Q223" s="7"/>
      <c r="R223" s="7"/>
      <c r="S223" s="7"/>
      <c r="T223" s="7"/>
      <c r="U223" s="7"/>
      <c r="V223" s="7"/>
      <c r="W223" s="7"/>
      <c r="X223" s="7"/>
      <c r="Y223" s="7"/>
      <c r="Z223" s="7"/>
    </row>
    <row r="224" ht="15.75" customHeight="1">
      <c r="A224" s="8" t="s">
        <v>1147</v>
      </c>
      <c r="B224" s="5" t="s">
        <v>14</v>
      </c>
      <c r="C224" s="5" t="s">
        <v>15</v>
      </c>
      <c r="D224" s="5" t="s">
        <v>1148</v>
      </c>
      <c r="E224" s="6" t="s">
        <v>1149</v>
      </c>
      <c r="F224" s="6" t="s">
        <v>1150</v>
      </c>
      <c r="G224" s="6" t="s">
        <v>1151</v>
      </c>
      <c r="H224" s="6" t="s">
        <v>1151</v>
      </c>
      <c r="I224" s="5" t="s">
        <v>37</v>
      </c>
      <c r="J224" s="5" t="s">
        <v>51</v>
      </c>
      <c r="K224" s="5" t="s">
        <v>22</v>
      </c>
      <c r="L224" s="5" t="s">
        <v>52</v>
      </c>
      <c r="M224" s="7" t="str">
        <f t="shared" si="2"/>
        <v>OK</v>
      </c>
      <c r="N224" s="7"/>
      <c r="O224" s="7"/>
      <c r="P224" s="7"/>
      <c r="Q224" s="7"/>
      <c r="R224" s="7"/>
      <c r="S224" s="7"/>
      <c r="T224" s="7"/>
      <c r="U224" s="7"/>
      <c r="V224" s="7"/>
      <c r="W224" s="7"/>
      <c r="X224" s="7"/>
      <c r="Y224" s="7"/>
      <c r="Z224" s="7"/>
    </row>
    <row r="225" ht="15.75" customHeight="1">
      <c r="A225" s="8" t="s">
        <v>1152</v>
      </c>
      <c r="B225" s="5" t="s">
        <v>14</v>
      </c>
      <c r="C225" s="5" t="s">
        <v>15</v>
      </c>
      <c r="D225" s="5" t="s">
        <v>1153</v>
      </c>
      <c r="E225" s="6" t="s">
        <v>1154</v>
      </c>
      <c r="F225" s="6" t="s">
        <v>1155</v>
      </c>
      <c r="G225" s="6" t="s">
        <v>1156</v>
      </c>
      <c r="H225" s="6" t="s">
        <v>1156</v>
      </c>
      <c r="I225" s="5" t="s">
        <v>20</v>
      </c>
      <c r="J225" s="5" t="s">
        <v>38</v>
      </c>
      <c r="K225" s="5" t="s">
        <v>75</v>
      </c>
      <c r="L225" s="5" t="s">
        <v>31</v>
      </c>
      <c r="M225" s="7" t="str">
        <f t="shared" si="2"/>
        <v>OK</v>
      </c>
      <c r="N225" s="7"/>
      <c r="O225" s="7"/>
      <c r="P225" s="7"/>
      <c r="Q225" s="7"/>
      <c r="R225" s="7"/>
      <c r="S225" s="7"/>
      <c r="T225" s="7"/>
      <c r="U225" s="7"/>
      <c r="V225" s="7"/>
      <c r="W225" s="7"/>
      <c r="X225" s="7"/>
      <c r="Y225" s="7"/>
      <c r="Z225" s="7"/>
    </row>
    <row r="226" ht="15.75" customHeight="1">
      <c r="A226" s="8" t="s">
        <v>1157</v>
      </c>
      <c r="B226" s="5" t="s">
        <v>14</v>
      </c>
      <c r="C226" s="5" t="s">
        <v>15</v>
      </c>
      <c r="D226" s="5" t="s">
        <v>1158</v>
      </c>
      <c r="E226" s="6" t="s">
        <v>1159</v>
      </c>
      <c r="F226" s="6" t="s">
        <v>1160</v>
      </c>
      <c r="G226" s="6" t="s">
        <v>1161</v>
      </c>
      <c r="H226" s="6" t="s">
        <v>1161</v>
      </c>
      <c r="I226" s="5" t="s">
        <v>74</v>
      </c>
      <c r="J226" s="5" t="s">
        <v>45</v>
      </c>
      <c r="K226" s="5" t="s">
        <v>23</v>
      </c>
      <c r="L226" s="5" t="s">
        <v>31</v>
      </c>
      <c r="M226" s="7" t="str">
        <f t="shared" si="2"/>
        <v>OK</v>
      </c>
      <c r="N226" s="7"/>
      <c r="O226" s="7"/>
      <c r="P226" s="7"/>
      <c r="Q226" s="7"/>
      <c r="R226" s="7"/>
      <c r="S226" s="7"/>
      <c r="T226" s="7"/>
      <c r="U226" s="7"/>
      <c r="V226" s="7"/>
      <c r="W226" s="7"/>
      <c r="X226" s="7"/>
      <c r="Y226" s="7"/>
      <c r="Z226" s="7"/>
    </row>
    <row r="227" ht="15.75" customHeight="1">
      <c r="A227" s="8" t="s">
        <v>1162</v>
      </c>
      <c r="B227" s="5" t="s">
        <v>14</v>
      </c>
      <c r="C227" s="5" t="s">
        <v>15</v>
      </c>
      <c r="D227" s="5" t="s">
        <v>1163</v>
      </c>
      <c r="E227" s="5" t="s">
        <v>1164</v>
      </c>
      <c r="F227" s="5" t="s">
        <v>1165</v>
      </c>
      <c r="G227" s="6" t="s">
        <v>1166</v>
      </c>
      <c r="H227" s="5" t="s">
        <v>1165</v>
      </c>
      <c r="I227" s="5" t="s">
        <v>74</v>
      </c>
      <c r="J227" s="5" t="s">
        <v>45</v>
      </c>
      <c r="K227" s="5" t="s">
        <v>22</v>
      </c>
      <c r="L227" s="5" t="s">
        <v>30</v>
      </c>
      <c r="M227" s="7" t="str">
        <f t="shared" si="2"/>
        <v>OK</v>
      </c>
      <c r="N227" s="7"/>
      <c r="O227" s="7"/>
      <c r="P227" s="7"/>
      <c r="Q227" s="7"/>
      <c r="R227" s="7"/>
      <c r="S227" s="7"/>
      <c r="T227" s="7"/>
      <c r="U227" s="7"/>
      <c r="V227" s="7"/>
      <c r="W227" s="7"/>
      <c r="X227" s="7"/>
      <c r="Y227" s="7"/>
      <c r="Z227" s="7"/>
    </row>
    <row r="228">
      <c r="A228" s="10" t="s">
        <v>1167</v>
      </c>
      <c r="B228" s="5" t="s">
        <v>14</v>
      </c>
      <c r="C228" s="5" t="s">
        <v>15</v>
      </c>
      <c r="D228" s="6" t="s">
        <v>1168</v>
      </c>
      <c r="E228" s="6" t="s">
        <v>1169</v>
      </c>
      <c r="F228" s="6" t="s">
        <v>1170</v>
      </c>
      <c r="G228" s="6" t="s">
        <v>1171</v>
      </c>
      <c r="H228" s="6" t="s">
        <v>1171</v>
      </c>
      <c r="I228" s="5" t="s">
        <v>20</v>
      </c>
      <c r="J228" s="5" t="s">
        <v>37</v>
      </c>
      <c r="K228" s="5" t="s">
        <v>111</v>
      </c>
      <c r="L228" s="5" t="s">
        <v>30</v>
      </c>
      <c r="M228" s="7" t="str">
        <f t="shared" si="2"/>
        <v>OK</v>
      </c>
    </row>
    <row r="229">
      <c r="A229" s="10" t="s">
        <v>1172</v>
      </c>
      <c r="B229" s="5" t="s">
        <v>14</v>
      </c>
      <c r="C229" s="5" t="s">
        <v>15</v>
      </c>
      <c r="D229" s="6" t="s">
        <v>1173</v>
      </c>
      <c r="E229" s="6" t="s">
        <v>1174</v>
      </c>
      <c r="F229" s="6" t="s">
        <v>1175</v>
      </c>
      <c r="G229" s="6" t="s">
        <v>1176</v>
      </c>
      <c r="H229" s="6" t="s">
        <v>1176</v>
      </c>
      <c r="I229" s="5" t="s">
        <v>20</v>
      </c>
      <c r="J229" s="5" t="s">
        <v>51</v>
      </c>
      <c r="K229" s="5" t="s">
        <v>23</v>
      </c>
      <c r="L229" s="5" t="s">
        <v>31</v>
      </c>
      <c r="M229" s="7" t="str">
        <f t="shared" si="2"/>
        <v>OK</v>
      </c>
    </row>
    <row r="230">
      <c r="A230" s="10" t="s">
        <v>1177</v>
      </c>
      <c r="B230" s="5" t="s">
        <v>14</v>
      </c>
      <c r="C230" s="5" t="s">
        <v>15</v>
      </c>
      <c r="D230" s="6" t="s">
        <v>1178</v>
      </c>
      <c r="E230" s="6" t="s">
        <v>1179</v>
      </c>
      <c r="F230" s="6" t="s">
        <v>1180</v>
      </c>
      <c r="G230" s="6" t="s">
        <v>1181</v>
      </c>
      <c r="H230" s="6" t="s">
        <v>1181</v>
      </c>
      <c r="I230" s="5" t="s">
        <v>21</v>
      </c>
      <c r="J230" s="5" t="s">
        <v>45</v>
      </c>
      <c r="K230" s="5" t="s">
        <v>22</v>
      </c>
      <c r="L230" s="5" t="s">
        <v>23</v>
      </c>
      <c r="M230" s="7" t="str">
        <f t="shared" si="2"/>
        <v>OK</v>
      </c>
    </row>
    <row r="231">
      <c r="A231" s="10" t="s">
        <v>1182</v>
      </c>
      <c r="B231" s="5" t="s">
        <v>14</v>
      </c>
      <c r="C231" s="5" t="s">
        <v>15</v>
      </c>
      <c r="D231" s="6" t="s">
        <v>1183</v>
      </c>
      <c r="E231" s="6" t="s">
        <v>1184</v>
      </c>
      <c r="F231" s="6" t="s">
        <v>1185</v>
      </c>
      <c r="G231" s="6" t="s">
        <v>1186</v>
      </c>
      <c r="H231" s="6" t="s">
        <v>1186</v>
      </c>
      <c r="I231" s="5" t="s">
        <v>20</v>
      </c>
      <c r="J231" s="5" t="s">
        <v>37</v>
      </c>
      <c r="K231" s="5" t="s">
        <v>111</v>
      </c>
      <c r="L231" s="5" t="s">
        <v>30</v>
      </c>
      <c r="M231" s="7" t="str">
        <f t="shared" si="2"/>
        <v>OK</v>
      </c>
    </row>
    <row r="232">
      <c r="A232" s="10" t="s">
        <v>1187</v>
      </c>
      <c r="B232" s="5" t="s">
        <v>14</v>
      </c>
      <c r="C232" s="5" t="s">
        <v>15</v>
      </c>
      <c r="D232" s="6" t="s">
        <v>1188</v>
      </c>
      <c r="E232" s="6" t="s">
        <v>1189</v>
      </c>
      <c r="F232" s="6" t="s">
        <v>1190</v>
      </c>
      <c r="G232" s="6" t="s">
        <v>1191</v>
      </c>
      <c r="H232" s="6" t="s">
        <v>1190</v>
      </c>
      <c r="I232" s="5" t="s">
        <v>21</v>
      </c>
      <c r="J232" s="5" t="s">
        <v>38</v>
      </c>
      <c r="K232" s="5" t="s">
        <v>22</v>
      </c>
      <c r="L232" s="5" t="s">
        <v>30</v>
      </c>
      <c r="M232" s="7" t="str">
        <f t="shared" si="2"/>
        <v>OK</v>
      </c>
    </row>
    <row r="233">
      <c r="A233" s="10" t="s">
        <v>1192</v>
      </c>
      <c r="B233" s="5" t="s">
        <v>14</v>
      </c>
      <c r="C233" s="5" t="s">
        <v>15</v>
      </c>
      <c r="D233" s="6" t="s">
        <v>1193</v>
      </c>
      <c r="E233" s="6" t="s">
        <v>1194</v>
      </c>
      <c r="F233" s="6" t="s">
        <v>1195</v>
      </c>
      <c r="G233" s="6" t="s">
        <v>1196</v>
      </c>
      <c r="H233" s="6" t="s">
        <v>1196</v>
      </c>
      <c r="I233" s="5" t="s">
        <v>20</v>
      </c>
      <c r="J233" s="5" t="s">
        <v>45</v>
      </c>
      <c r="K233" s="5" t="s">
        <v>39</v>
      </c>
      <c r="L233" s="5" t="s">
        <v>31</v>
      </c>
      <c r="M233" s="7" t="str">
        <f t="shared" si="2"/>
        <v>OK</v>
      </c>
    </row>
    <row r="234">
      <c r="A234" s="10" t="s">
        <v>1197</v>
      </c>
      <c r="B234" s="5" t="s">
        <v>14</v>
      </c>
      <c r="C234" s="5" t="s">
        <v>15</v>
      </c>
      <c r="D234" s="6" t="s">
        <v>1198</v>
      </c>
      <c r="E234" s="6" t="s">
        <v>1199</v>
      </c>
      <c r="F234" s="6" t="s">
        <v>1200</v>
      </c>
      <c r="G234" s="6" t="s">
        <v>1201</v>
      </c>
      <c r="H234" s="6" t="s">
        <v>1201</v>
      </c>
      <c r="I234" s="5" t="s">
        <v>38</v>
      </c>
      <c r="J234" s="5" t="s">
        <v>51</v>
      </c>
      <c r="K234" s="5" t="s">
        <v>75</v>
      </c>
      <c r="L234" s="5" t="s">
        <v>39</v>
      </c>
      <c r="M234" s="7" t="str">
        <f t="shared" si="2"/>
        <v>OK</v>
      </c>
    </row>
    <row r="235">
      <c r="A235" s="10" t="s">
        <v>1202</v>
      </c>
      <c r="B235" s="5" t="s">
        <v>14</v>
      </c>
      <c r="C235" s="5" t="s">
        <v>15</v>
      </c>
      <c r="D235" s="6" t="s">
        <v>1203</v>
      </c>
      <c r="E235" s="6" t="s">
        <v>1204</v>
      </c>
      <c r="F235" s="6" t="s">
        <v>1205</v>
      </c>
      <c r="G235" s="6" t="s">
        <v>1206</v>
      </c>
      <c r="H235" s="6" t="s">
        <v>1206</v>
      </c>
      <c r="I235" s="5" t="s">
        <v>74</v>
      </c>
      <c r="J235" s="5" t="s">
        <v>37</v>
      </c>
      <c r="K235" s="5" t="s">
        <v>23</v>
      </c>
      <c r="L235" s="5" t="s">
        <v>111</v>
      </c>
      <c r="M235" s="7" t="str">
        <f t="shared" si="2"/>
        <v>OK</v>
      </c>
    </row>
    <row r="236">
      <c r="A236" s="10" t="s">
        <v>1207</v>
      </c>
      <c r="B236" s="5" t="s">
        <v>14</v>
      </c>
      <c r="C236" s="5" t="s">
        <v>15</v>
      </c>
      <c r="D236" s="6" t="s">
        <v>1208</v>
      </c>
      <c r="E236" s="6" t="s">
        <v>1209</v>
      </c>
      <c r="F236" s="6" t="s">
        <v>1210</v>
      </c>
      <c r="G236" s="6" t="s">
        <v>1211</v>
      </c>
      <c r="H236" s="6" t="s">
        <v>1211</v>
      </c>
      <c r="I236" s="5" t="s">
        <v>20</v>
      </c>
      <c r="J236" s="5" t="s">
        <v>37</v>
      </c>
      <c r="K236" s="5" t="s">
        <v>75</v>
      </c>
      <c r="L236" s="5" t="s">
        <v>39</v>
      </c>
      <c r="M236" s="7" t="str">
        <f t="shared" si="2"/>
        <v>OK</v>
      </c>
    </row>
    <row r="237" ht="15.75" customHeight="1">
      <c r="A237" s="8" t="s">
        <v>1212</v>
      </c>
      <c r="B237" s="5" t="s">
        <v>14</v>
      </c>
      <c r="C237" s="5" t="s">
        <v>15</v>
      </c>
      <c r="D237" s="5" t="s">
        <v>1213</v>
      </c>
      <c r="E237" s="5" t="s">
        <v>1214</v>
      </c>
      <c r="F237" s="5" t="s">
        <v>1215</v>
      </c>
      <c r="G237" s="5" t="s">
        <v>1216</v>
      </c>
      <c r="H237" s="5" t="s">
        <v>1216</v>
      </c>
      <c r="I237" s="5" t="s">
        <v>20</v>
      </c>
      <c r="J237" s="5" t="s">
        <v>51</v>
      </c>
      <c r="K237" s="5" t="s">
        <v>52</v>
      </c>
      <c r="L237" s="5" t="s">
        <v>30</v>
      </c>
      <c r="M237" s="7" t="str">
        <f t="shared" si="2"/>
        <v>OK</v>
      </c>
      <c r="N237" s="7"/>
      <c r="O237" s="7"/>
      <c r="P237" s="7"/>
      <c r="Q237" s="7"/>
      <c r="R237" s="7"/>
      <c r="S237" s="7"/>
      <c r="T237" s="7"/>
      <c r="U237" s="7"/>
      <c r="V237" s="7"/>
      <c r="W237" s="7"/>
      <c r="X237" s="7"/>
      <c r="Y237" s="7"/>
      <c r="Z237" s="7"/>
    </row>
    <row r="238" ht="15.75" customHeight="1">
      <c r="A238" s="8" t="s">
        <v>1217</v>
      </c>
      <c r="B238" s="5" t="s">
        <v>14</v>
      </c>
      <c r="C238" s="5" t="s">
        <v>15</v>
      </c>
      <c r="D238" s="5" t="s">
        <v>1218</v>
      </c>
      <c r="E238" s="5" t="s">
        <v>1219</v>
      </c>
      <c r="F238" s="5" t="s">
        <v>1220</v>
      </c>
      <c r="G238" s="5" t="s">
        <v>1221</v>
      </c>
      <c r="H238" s="5" t="s">
        <v>1221</v>
      </c>
      <c r="I238" s="5" t="s">
        <v>74</v>
      </c>
      <c r="J238" s="5" t="s">
        <v>37</v>
      </c>
      <c r="K238" s="5" t="s">
        <v>68</v>
      </c>
      <c r="L238" s="5" t="s">
        <v>31</v>
      </c>
      <c r="M238" s="7" t="str">
        <f t="shared" si="2"/>
        <v>OK</v>
      </c>
      <c r="N238" s="7"/>
      <c r="O238" s="7"/>
      <c r="P238" s="7"/>
      <c r="Q238" s="7"/>
      <c r="R238" s="7"/>
      <c r="S238" s="7"/>
      <c r="T238" s="7"/>
      <c r="U238" s="7"/>
      <c r="V238" s="7"/>
      <c r="W238" s="7"/>
      <c r="X238" s="7"/>
      <c r="Y238" s="7"/>
      <c r="Z238" s="7"/>
    </row>
    <row r="239" ht="15.75" customHeight="1">
      <c r="A239" s="8" t="s">
        <v>1222</v>
      </c>
      <c r="B239" s="5" t="s">
        <v>14</v>
      </c>
      <c r="C239" s="5" t="s">
        <v>15</v>
      </c>
      <c r="D239" s="5" t="s">
        <v>1223</v>
      </c>
      <c r="E239" s="5" t="s">
        <v>1224</v>
      </c>
      <c r="F239" s="5" t="s">
        <v>1225</v>
      </c>
      <c r="G239" s="5" t="s">
        <v>1226</v>
      </c>
      <c r="H239" s="5" t="s">
        <v>1225</v>
      </c>
      <c r="I239" s="5" t="s">
        <v>20</v>
      </c>
      <c r="J239" s="5" t="s">
        <v>37</v>
      </c>
      <c r="K239" s="5" t="s">
        <v>23</v>
      </c>
      <c r="L239" s="5" t="s">
        <v>39</v>
      </c>
      <c r="M239" s="7" t="str">
        <f t="shared" si="2"/>
        <v>OK</v>
      </c>
      <c r="N239" s="7"/>
      <c r="O239" s="7"/>
      <c r="P239" s="7"/>
      <c r="Q239" s="7"/>
      <c r="R239" s="7"/>
      <c r="S239" s="7"/>
      <c r="T239" s="7"/>
      <c r="U239" s="7"/>
      <c r="V239" s="7"/>
      <c r="W239" s="7"/>
      <c r="X239" s="7"/>
      <c r="Y239" s="7"/>
      <c r="Z239" s="7"/>
    </row>
    <row r="240" ht="15.75" customHeight="1">
      <c r="A240" s="8" t="s">
        <v>1227</v>
      </c>
      <c r="B240" s="5" t="s">
        <v>14</v>
      </c>
      <c r="C240" s="5" t="s">
        <v>15</v>
      </c>
      <c r="D240" s="5" t="s">
        <v>1228</v>
      </c>
      <c r="E240" s="5" t="s">
        <v>1229</v>
      </c>
      <c r="F240" s="5" t="s">
        <v>1230</v>
      </c>
      <c r="G240" s="5" t="s">
        <v>1231</v>
      </c>
      <c r="H240" s="5" t="s">
        <v>1230</v>
      </c>
      <c r="I240" s="5" t="s">
        <v>37</v>
      </c>
      <c r="J240" s="5" t="s">
        <v>51</v>
      </c>
      <c r="K240" s="5" t="s">
        <v>22</v>
      </c>
      <c r="L240" s="5" t="s">
        <v>52</v>
      </c>
      <c r="M240" s="7" t="str">
        <f t="shared" si="2"/>
        <v>OK</v>
      </c>
      <c r="N240" s="7"/>
      <c r="O240" s="7"/>
      <c r="P240" s="7"/>
      <c r="Q240" s="7"/>
      <c r="R240" s="7"/>
      <c r="S240" s="7"/>
      <c r="T240" s="7"/>
      <c r="U240" s="7"/>
      <c r="V240" s="7"/>
      <c r="W240" s="7"/>
      <c r="X240" s="7"/>
      <c r="Y240" s="7"/>
      <c r="Z240" s="7"/>
    </row>
    <row r="241" ht="15.75" customHeight="1">
      <c r="A241" s="8" t="s">
        <v>1232</v>
      </c>
      <c r="B241" s="5" t="s">
        <v>14</v>
      </c>
      <c r="C241" s="5" t="s">
        <v>15</v>
      </c>
      <c r="D241" s="5" t="s">
        <v>1233</v>
      </c>
      <c r="E241" s="5" t="s">
        <v>1234</v>
      </c>
      <c r="F241" s="5" t="s">
        <v>1235</v>
      </c>
      <c r="G241" s="5" t="s">
        <v>1236</v>
      </c>
      <c r="H241" s="5" t="s">
        <v>1236</v>
      </c>
      <c r="I241" s="5" t="s">
        <v>21</v>
      </c>
      <c r="J241" s="5" t="s">
        <v>37</v>
      </c>
      <c r="K241" s="5" t="s">
        <v>22</v>
      </c>
      <c r="L241" s="5" t="s">
        <v>23</v>
      </c>
      <c r="M241" s="7" t="str">
        <f t="shared" si="2"/>
        <v>OK</v>
      </c>
      <c r="N241" s="7"/>
      <c r="O241" s="7"/>
      <c r="P241" s="7"/>
      <c r="Q241" s="7"/>
      <c r="R241" s="7"/>
      <c r="S241" s="7"/>
      <c r="T241" s="7"/>
      <c r="U241" s="7"/>
      <c r="V241" s="7"/>
      <c r="W241" s="7"/>
      <c r="X241" s="7"/>
      <c r="Y241" s="7"/>
      <c r="Z241" s="7"/>
    </row>
    <row r="242" ht="15.75" customHeight="1">
      <c r="A242" s="8" t="s">
        <v>1237</v>
      </c>
      <c r="B242" s="5" t="s">
        <v>14</v>
      </c>
      <c r="C242" s="5" t="s">
        <v>15</v>
      </c>
      <c r="D242" s="5" t="s">
        <v>1238</v>
      </c>
      <c r="E242" s="5" t="s">
        <v>1239</v>
      </c>
      <c r="F242" s="5" t="s">
        <v>1240</v>
      </c>
      <c r="G242" s="5" t="s">
        <v>1241</v>
      </c>
      <c r="H242" s="5" t="s">
        <v>1239</v>
      </c>
      <c r="I242" s="5" t="s">
        <v>20</v>
      </c>
      <c r="J242" s="5" t="s">
        <v>38</v>
      </c>
      <c r="K242" s="5" t="s">
        <v>31</v>
      </c>
      <c r="L242" s="5" t="s">
        <v>23</v>
      </c>
      <c r="M242" s="7" t="str">
        <f t="shared" si="2"/>
        <v>OK</v>
      </c>
      <c r="N242" s="7"/>
      <c r="O242" s="7"/>
      <c r="P242" s="7"/>
      <c r="Q242" s="7"/>
      <c r="R242" s="7"/>
      <c r="S242" s="7"/>
      <c r="T242" s="7"/>
      <c r="U242" s="7"/>
      <c r="V242" s="7"/>
      <c r="W242" s="7"/>
      <c r="X242" s="7"/>
      <c r="Y242" s="7"/>
      <c r="Z242" s="7"/>
    </row>
    <row r="243" ht="15.75" customHeight="1">
      <c r="A243" s="5" t="s">
        <v>1242</v>
      </c>
      <c r="B243" s="5" t="s">
        <v>14</v>
      </c>
      <c r="C243" s="5" t="s">
        <v>15</v>
      </c>
      <c r="D243" s="5" t="s">
        <v>1243</v>
      </c>
      <c r="E243" s="5" t="s">
        <v>1244</v>
      </c>
      <c r="F243" s="5" t="s">
        <v>1245</v>
      </c>
      <c r="G243" s="5" t="s">
        <v>1246</v>
      </c>
      <c r="H243" s="5" t="s">
        <v>1246</v>
      </c>
      <c r="I243" s="5" t="s">
        <v>74</v>
      </c>
      <c r="J243" s="5" t="s">
        <v>51</v>
      </c>
      <c r="K243" s="5" t="s">
        <v>52</v>
      </c>
      <c r="L243" s="5" t="s">
        <v>23</v>
      </c>
      <c r="M243" s="7" t="str">
        <f t="shared" si="2"/>
        <v>OK</v>
      </c>
      <c r="N243" s="7"/>
      <c r="O243" s="7"/>
      <c r="P243" s="7"/>
      <c r="Q243" s="7"/>
      <c r="R243" s="7"/>
      <c r="S243" s="7"/>
      <c r="T243" s="7"/>
      <c r="U243" s="7"/>
      <c r="V243" s="7"/>
      <c r="W243" s="7"/>
      <c r="X243" s="7"/>
      <c r="Y243" s="7"/>
      <c r="Z243" s="7"/>
    </row>
    <row r="244" ht="15.75" customHeight="1">
      <c r="A244" s="5" t="s">
        <v>1247</v>
      </c>
      <c r="B244" s="5" t="s">
        <v>14</v>
      </c>
      <c r="C244" s="5" t="s">
        <v>15</v>
      </c>
      <c r="D244" s="5" t="s">
        <v>1248</v>
      </c>
      <c r="E244" s="5" t="s">
        <v>1249</v>
      </c>
      <c r="F244" s="5" t="s">
        <v>1250</v>
      </c>
      <c r="G244" s="5" t="s">
        <v>1251</v>
      </c>
      <c r="H244" s="5" t="s">
        <v>1251</v>
      </c>
      <c r="I244" s="5" t="s">
        <v>51</v>
      </c>
      <c r="J244" s="5" t="s">
        <v>37</v>
      </c>
      <c r="K244" s="5" t="s">
        <v>22</v>
      </c>
      <c r="L244" s="5" t="s">
        <v>30</v>
      </c>
      <c r="M244" s="7" t="str">
        <f t="shared" si="2"/>
        <v>OK</v>
      </c>
      <c r="N244" s="7"/>
      <c r="O244" s="7"/>
      <c r="P244" s="7"/>
      <c r="Q244" s="7"/>
      <c r="R244" s="7"/>
      <c r="S244" s="7"/>
      <c r="T244" s="7"/>
      <c r="U244" s="7"/>
      <c r="V244" s="7"/>
      <c r="W244" s="7"/>
      <c r="X244" s="7"/>
      <c r="Y244" s="7"/>
      <c r="Z244" s="7"/>
    </row>
    <row r="245" ht="15.75" customHeight="1">
      <c r="A245" s="5" t="s">
        <v>1252</v>
      </c>
      <c r="B245" s="5" t="s">
        <v>14</v>
      </c>
      <c r="C245" s="5" t="s">
        <v>15</v>
      </c>
      <c r="D245" s="5" t="s">
        <v>1253</v>
      </c>
      <c r="E245" s="5" t="s">
        <v>1254</v>
      </c>
      <c r="F245" s="5" t="s">
        <v>1255</v>
      </c>
      <c r="G245" s="5" t="s">
        <v>1256</v>
      </c>
      <c r="H245" s="5" t="s">
        <v>1256</v>
      </c>
      <c r="I245" s="5" t="s">
        <v>29</v>
      </c>
      <c r="J245" s="5" t="s">
        <v>51</v>
      </c>
      <c r="K245" s="5" t="s">
        <v>23</v>
      </c>
      <c r="L245" s="5" t="s">
        <v>39</v>
      </c>
      <c r="M245" s="7" t="str">
        <f t="shared" si="2"/>
        <v>OK</v>
      </c>
      <c r="N245" s="7"/>
      <c r="O245" s="7"/>
      <c r="P245" s="7"/>
      <c r="Q245" s="7"/>
      <c r="R245" s="7"/>
      <c r="S245" s="7"/>
      <c r="T245" s="7"/>
      <c r="U245" s="7"/>
      <c r="V245" s="7"/>
      <c r="W245" s="7"/>
      <c r="X245" s="7"/>
      <c r="Y245" s="7"/>
      <c r="Z245" s="7"/>
    </row>
    <row r="246" ht="15.75" customHeight="1">
      <c r="A246" s="5" t="s">
        <v>1257</v>
      </c>
      <c r="B246" s="5" t="s">
        <v>14</v>
      </c>
      <c r="C246" s="5" t="s">
        <v>15</v>
      </c>
      <c r="D246" s="5" t="s">
        <v>1258</v>
      </c>
      <c r="E246" s="5" t="s">
        <v>1259</v>
      </c>
      <c r="F246" s="5" t="s">
        <v>1260</v>
      </c>
      <c r="G246" s="5" t="s">
        <v>1261</v>
      </c>
      <c r="H246" s="5" t="s">
        <v>1259</v>
      </c>
      <c r="I246" s="5" t="s">
        <v>29</v>
      </c>
      <c r="J246" s="5" t="s">
        <v>74</v>
      </c>
      <c r="K246" s="5" t="s">
        <v>23</v>
      </c>
      <c r="L246" s="5" t="s">
        <v>31</v>
      </c>
      <c r="M246" s="7" t="str">
        <f t="shared" si="2"/>
        <v>OK</v>
      </c>
      <c r="N246" s="7"/>
      <c r="O246" s="7"/>
      <c r="P246" s="7"/>
      <c r="Q246" s="7"/>
      <c r="R246" s="7"/>
      <c r="S246" s="7"/>
      <c r="T246" s="7"/>
      <c r="U246" s="7"/>
      <c r="V246" s="7"/>
      <c r="W246" s="7"/>
      <c r="X246" s="7"/>
      <c r="Y246" s="7"/>
      <c r="Z246" s="7"/>
    </row>
    <row r="247" ht="15.75" customHeight="1">
      <c r="A247" s="8" t="s">
        <v>1262</v>
      </c>
      <c r="B247" s="5" t="s">
        <v>14</v>
      </c>
      <c r="C247" s="5" t="s">
        <v>15</v>
      </c>
      <c r="D247" s="5" t="s">
        <v>1263</v>
      </c>
      <c r="E247" s="5" t="s">
        <v>1264</v>
      </c>
      <c r="F247" s="5" t="s">
        <v>1265</v>
      </c>
      <c r="G247" s="5" t="s">
        <v>1266</v>
      </c>
      <c r="H247" s="5" t="s">
        <v>1264</v>
      </c>
      <c r="I247" s="5" t="s">
        <v>74</v>
      </c>
      <c r="J247" s="5" t="s">
        <v>20</v>
      </c>
      <c r="K247" s="5" t="s">
        <v>52</v>
      </c>
      <c r="L247" s="5" t="s">
        <v>39</v>
      </c>
      <c r="M247" s="7" t="str">
        <f t="shared" si="2"/>
        <v>OK</v>
      </c>
      <c r="N247" s="7"/>
      <c r="O247" s="7"/>
      <c r="P247" s="7"/>
      <c r="Q247" s="7"/>
      <c r="R247" s="7"/>
      <c r="S247" s="7"/>
      <c r="T247" s="7"/>
      <c r="U247" s="7"/>
      <c r="V247" s="7"/>
      <c r="W247" s="7"/>
      <c r="X247" s="7"/>
      <c r="Y247" s="7"/>
      <c r="Z247" s="7"/>
    </row>
    <row r="248" ht="15.75" customHeight="1">
      <c r="A248" s="8" t="s">
        <v>1267</v>
      </c>
      <c r="B248" s="5" t="s">
        <v>14</v>
      </c>
      <c r="C248" s="5" t="s">
        <v>15</v>
      </c>
      <c r="D248" s="5" t="s">
        <v>1268</v>
      </c>
      <c r="E248" s="5" t="s">
        <v>1269</v>
      </c>
      <c r="F248" s="5" t="s">
        <v>1270</v>
      </c>
      <c r="G248" s="5" t="s">
        <v>1271</v>
      </c>
      <c r="H248" s="5" t="s">
        <v>1269</v>
      </c>
      <c r="I248" s="5" t="s">
        <v>74</v>
      </c>
      <c r="J248" s="5" t="s">
        <v>45</v>
      </c>
      <c r="K248" s="5" t="s">
        <v>22</v>
      </c>
      <c r="L248" s="5" t="s">
        <v>68</v>
      </c>
      <c r="M248" s="7" t="str">
        <f t="shared" si="2"/>
        <v>OK</v>
      </c>
      <c r="N248" s="7"/>
      <c r="O248" s="7"/>
      <c r="P248" s="7"/>
      <c r="Q248" s="7"/>
      <c r="R248" s="7"/>
      <c r="S248" s="7"/>
      <c r="T248" s="7"/>
      <c r="U248" s="7"/>
      <c r="V248" s="7"/>
      <c r="W248" s="7"/>
      <c r="X248" s="7"/>
      <c r="Y248" s="7"/>
      <c r="Z248" s="7"/>
    </row>
    <row r="249" ht="15.75" customHeight="1">
      <c r="A249" s="8" t="s">
        <v>1272</v>
      </c>
      <c r="B249" s="5" t="s">
        <v>14</v>
      </c>
      <c r="C249" s="5" t="s">
        <v>15</v>
      </c>
      <c r="D249" s="5" t="s">
        <v>1273</v>
      </c>
      <c r="E249" s="5" t="s">
        <v>1274</v>
      </c>
      <c r="F249" s="5" t="s">
        <v>1275</v>
      </c>
      <c r="G249" s="5" t="s">
        <v>1276</v>
      </c>
      <c r="H249" s="5" t="s">
        <v>1275</v>
      </c>
      <c r="I249" s="5" t="s">
        <v>20</v>
      </c>
      <c r="J249" s="5" t="s">
        <v>37</v>
      </c>
      <c r="K249" s="5" t="s">
        <v>52</v>
      </c>
      <c r="L249" s="5" t="s">
        <v>22</v>
      </c>
      <c r="M249" s="7" t="str">
        <f t="shared" si="2"/>
        <v>OK</v>
      </c>
      <c r="N249" s="7"/>
      <c r="O249" s="7"/>
      <c r="P249" s="7"/>
      <c r="Q249" s="7"/>
      <c r="R249" s="7"/>
      <c r="S249" s="7"/>
      <c r="T249" s="7"/>
      <c r="U249" s="7"/>
      <c r="V249" s="7"/>
      <c r="W249" s="7"/>
      <c r="X249" s="7"/>
      <c r="Y249" s="7"/>
      <c r="Z249" s="7"/>
    </row>
    <row r="250" ht="15.75" customHeight="1">
      <c r="A250" s="8" t="s">
        <v>1277</v>
      </c>
      <c r="B250" s="5" t="s">
        <v>14</v>
      </c>
      <c r="C250" s="5" t="s">
        <v>15</v>
      </c>
      <c r="D250" s="5" t="s">
        <v>1278</v>
      </c>
      <c r="E250" s="5" t="s">
        <v>1279</v>
      </c>
      <c r="F250" s="5" t="s">
        <v>1280</v>
      </c>
      <c r="G250" s="5" t="s">
        <v>1281</v>
      </c>
      <c r="H250" s="5" t="s">
        <v>1280</v>
      </c>
      <c r="I250" s="5" t="s">
        <v>74</v>
      </c>
      <c r="J250" s="5" t="s">
        <v>37</v>
      </c>
      <c r="K250" s="5" t="s">
        <v>68</v>
      </c>
      <c r="L250" s="5" t="s">
        <v>75</v>
      </c>
      <c r="M250" s="7" t="str">
        <f t="shared" si="2"/>
        <v>OK</v>
      </c>
      <c r="N250" s="7"/>
      <c r="O250" s="7"/>
      <c r="P250" s="7"/>
      <c r="Q250" s="7"/>
      <c r="R250" s="7"/>
      <c r="S250" s="7"/>
      <c r="T250" s="7"/>
      <c r="U250" s="7"/>
      <c r="V250" s="7"/>
      <c r="W250" s="7"/>
      <c r="X250" s="7"/>
      <c r="Y250" s="7"/>
      <c r="Z250" s="7"/>
    </row>
    <row r="251" ht="15.75" customHeight="1">
      <c r="A251" s="8" t="s">
        <v>1282</v>
      </c>
      <c r="B251" s="5" t="s">
        <v>14</v>
      </c>
      <c r="C251" s="5" t="s">
        <v>15</v>
      </c>
      <c r="D251" s="5" t="s">
        <v>1283</v>
      </c>
      <c r="E251" s="5" t="s">
        <v>1284</v>
      </c>
      <c r="F251" s="5" t="s">
        <v>1285</v>
      </c>
      <c r="G251" s="5" t="s">
        <v>1286</v>
      </c>
      <c r="H251" s="5" t="s">
        <v>1286</v>
      </c>
      <c r="I251" s="5" t="s">
        <v>38</v>
      </c>
      <c r="J251" s="5" t="s">
        <v>37</v>
      </c>
      <c r="K251" s="5" t="s">
        <v>22</v>
      </c>
      <c r="L251" s="5" t="s">
        <v>23</v>
      </c>
      <c r="M251" s="7" t="str">
        <f t="shared" si="2"/>
        <v>OK</v>
      </c>
      <c r="N251" s="7"/>
      <c r="O251" s="7"/>
      <c r="P251" s="7"/>
      <c r="Q251" s="7"/>
      <c r="R251" s="7"/>
      <c r="S251" s="7"/>
      <c r="T251" s="7"/>
      <c r="U251" s="7"/>
      <c r="V251" s="7"/>
      <c r="W251" s="7"/>
      <c r="X251" s="7"/>
      <c r="Y251" s="7"/>
      <c r="Z251" s="7"/>
    </row>
    <row r="252" ht="15.75" customHeight="1">
      <c r="A252" s="8" t="s">
        <v>1287</v>
      </c>
      <c r="B252" s="5" t="s">
        <v>14</v>
      </c>
      <c r="C252" s="5" t="s">
        <v>15</v>
      </c>
      <c r="D252" s="5" t="s">
        <v>1288</v>
      </c>
      <c r="E252" s="5" t="s">
        <v>1289</v>
      </c>
      <c r="F252" s="5" t="s">
        <v>1290</v>
      </c>
      <c r="G252" s="5" t="s">
        <v>1291</v>
      </c>
      <c r="H252" s="5" t="s">
        <v>1291</v>
      </c>
      <c r="I252" s="5" t="s">
        <v>74</v>
      </c>
      <c r="J252" s="5" t="s">
        <v>51</v>
      </c>
      <c r="K252" s="5" t="s">
        <v>22</v>
      </c>
      <c r="L252" s="5" t="s">
        <v>31</v>
      </c>
      <c r="M252" s="7" t="str">
        <f t="shared" si="2"/>
        <v>OK</v>
      </c>
      <c r="N252" s="7"/>
      <c r="O252" s="7"/>
      <c r="P252" s="7"/>
      <c r="Q252" s="7"/>
      <c r="R252" s="7"/>
      <c r="S252" s="7"/>
      <c r="T252" s="7"/>
      <c r="U252" s="7"/>
      <c r="V252" s="7"/>
      <c r="W252" s="7"/>
      <c r="X252" s="7"/>
      <c r="Y252" s="7"/>
      <c r="Z252" s="7"/>
    </row>
    <row r="253" ht="15.75" customHeight="1">
      <c r="A253" s="8" t="s">
        <v>1292</v>
      </c>
      <c r="B253" s="5" t="s">
        <v>14</v>
      </c>
      <c r="C253" s="5" t="s">
        <v>15</v>
      </c>
      <c r="D253" s="5" t="s">
        <v>1293</v>
      </c>
      <c r="E253" s="5" t="s">
        <v>1294</v>
      </c>
      <c r="F253" s="5" t="s">
        <v>1295</v>
      </c>
      <c r="G253" s="5" t="s">
        <v>1296</v>
      </c>
      <c r="H253" s="5" t="s">
        <v>1296</v>
      </c>
      <c r="I253" s="5" t="s">
        <v>29</v>
      </c>
      <c r="J253" s="5" t="s">
        <v>45</v>
      </c>
      <c r="K253" s="5" t="s">
        <v>23</v>
      </c>
      <c r="L253" s="5" t="s">
        <v>30</v>
      </c>
      <c r="M253" s="7" t="str">
        <f t="shared" si="2"/>
        <v>OK</v>
      </c>
      <c r="N253" s="7"/>
      <c r="O253" s="7"/>
      <c r="P253" s="7"/>
      <c r="Q253" s="7"/>
      <c r="R253" s="7"/>
      <c r="S253" s="7"/>
      <c r="T253" s="7"/>
      <c r="U253" s="7"/>
      <c r="V253" s="7"/>
      <c r="W253" s="7"/>
      <c r="X253" s="7"/>
      <c r="Y253" s="7"/>
      <c r="Z253" s="7"/>
    </row>
    <row r="254" ht="116.25" customHeight="1">
      <c r="A254" s="8" t="s">
        <v>1297</v>
      </c>
      <c r="B254" s="5" t="s">
        <v>14</v>
      </c>
      <c r="C254" s="5" t="s">
        <v>15</v>
      </c>
      <c r="D254" s="5" t="s">
        <v>1298</v>
      </c>
      <c r="E254" s="5" t="s">
        <v>1299</v>
      </c>
      <c r="F254" s="5" t="s">
        <v>1300</v>
      </c>
      <c r="G254" s="5" t="s">
        <v>1301</v>
      </c>
      <c r="H254" s="5" t="s">
        <v>1301</v>
      </c>
      <c r="I254" s="5" t="s">
        <v>29</v>
      </c>
      <c r="J254" s="5" t="s">
        <v>74</v>
      </c>
      <c r="K254" s="5" t="s">
        <v>23</v>
      </c>
      <c r="L254" s="5" t="s">
        <v>39</v>
      </c>
      <c r="M254" s="7" t="str">
        <f t="shared" si="2"/>
        <v>OK</v>
      </c>
      <c r="N254" s="7"/>
      <c r="O254" s="7"/>
      <c r="P254" s="7"/>
      <c r="Q254" s="7"/>
      <c r="R254" s="7"/>
      <c r="S254" s="7"/>
      <c r="T254" s="7"/>
      <c r="U254" s="7"/>
      <c r="V254" s="7"/>
      <c r="W254" s="7"/>
      <c r="X254" s="7"/>
      <c r="Y254" s="7"/>
      <c r="Z254" s="7"/>
    </row>
    <row r="255" ht="15.75" customHeight="1">
      <c r="A255" s="8" t="s">
        <v>1302</v>
      </c>
      <c r="B255" s="5" t="s">
        <v>14</v>
      </c>
      <c r="C255" s="5" t="s">
        <v>15</v>
      </c>
      <c r="D255" s="5" t="s">
        <v>1303</v>
      </c>
      <c r="E255" s="5" t="s">
        <v>1304</v>
      </c>
      <c r="F255" s="5" t="s">
        <v>1305</v>
      </c>
      <c r="G255" s="5" t="s">
        <v>1306</v>
      </c>
      <c r="H255" s="5" t="s">
        <v>1306</v>
      </c>
      <c r="I255" s="5" t="s">
        <v>21</v>
      </c>
      <c r="J255" s="5" t="s">
        <v>51</v>
      </c>
      <c r="K255" s="5" t="s">
        <v>68</v>
      </c>
      <c r="L255" s="5" t="s">
        <v>75</v>
      </c>
      <c r="M255" s="7" t="str">
        <f t="shared" si="2"/>
        <v>OK</v>
      </c>
      <c r="N255" s="7"/>
      <c r="O255" s="7"/>
      <c r="P255" s="7"/>
      <c r="Q255" s="7"/>
      <c r="R255" s="7"/>
      <c r="S255" s="7"/>
      <c r="T255" s="7"/>
      <c r="U255" s="7"/>
      <c r="V255" s="7"/>
      <c r="W255" s="7"/>
      <c r="X255" s="7"/>
      <c r="Y255" s="7"/>
      <c r="Z255" s="7"/>
    </row>
    <row r="256" ht="15.75" customHeight="1">
      <c r="A256" s="8" t="s">
        <v>1307</v>
      </c>
      <c r="B256" s="5" t="s">
        <v>14</v>
      </c>
      <c r="C256" s="5" t="s">
        <v>15</v>
      </c>
      <c r="D256" s="5" t="s">
        <v>1308</v>
      </c>
      <c r="E256" s="5" t="s">
        <v>1309</v>
      </c>
      <c r="F256" s="5" t="s">
        <v>1310</v>
      </c>
      <c r="G256" s="5" t="s">
        <v>1311</v>
      </c>
      <c r="H256" s="5" t="s">
        <v>1311</v>
      </c>
      <c r="I256" s="5" t="s">
        <v>20</v>
      </c>
      <c r="J256" s="5" t="s">
        <v>37</v>
      </c>
      <c r="K256" s="5" t="s">
        <v>68</v>
      </c>
      <c r="L256" s="5" t="s">
        <v>23</v>
      </c>
      <c r="M256" s="7" t="str">
        <f t="shared" si="2"/>
        <v>OK</v>
      </c>
      <c r="N256" s="7"/>
      <c r="O256" s="7"/>
      <c r="P256" s="7"/>
      <c r="Q256" s="7"/>
      <c r="R256" s="7"/>
      <c r="S256" s="7"/>
      <c r="T256" s="7"/>
      <c r="U256" s="7"/>
      <c r="V256" s="7"/>
      <c r="W256" s="7"/>
      <c r="X256" s="7"/>
      <c r="Y256" s="7"/>
      <c r="Z256" s="7"/>
    </row>
    <row r="257" ht="15.75" customHeight="1">
      <c r="A257" s="8" t="s">
        <v>1312</v>
      </c>
      <c r="B257" s="5" t="s">
        <v>14</v>
      </c>
      <c r="C257" s="5" t="s">
        <v>15</v>
      </c>
      <c r="D257" s="5" t="s">
        <v>1313</v>
      </c>
      <c r="E257" s="5" t="s">
        <v>1314</v>
      </c>
      <c r="F257" s="5" t="s">
        <v>1315</v>
      </c>
      <c r="G257" s="5" t="s">
        <v>1316</v>
      </c>
      <c r="H257" s="5" t="s">
        <v>1316</v>
      </c>
      <c r="I257" s="5" t="s">
        <v>20</v>
      </c>
      <c r="J257" s="5" t="s">
        <v>37</v>
      </c>
      <c r="K257" s="5" t="s">
        <v>68</v>
      </c>
      <c r="L257" s="5" t="s">
        <v>30</v>
      </c>
      <c r="M257" s="7" t="str">
        <f t="shared" si="2"/>
        <v>OK</v>
      </c>
      <c r="N257" s="7"/>
      <c r="O257" s="7"/>
      <c r="P257" s="7"/>
      <c r="Q257" s="7"/>
      <c r="R257" s="7"/>
      <c r="S257" s="7"/>
      <c r="T257" s="7"/>
      <c r="U257" s="7"/>
      <c r="V257" s="7"/>
      <c r="W257" s="7"/>
      <c r="X257" s="7"/>
      <c r="Y257" s="7"/>
      <c r="Z257" s="7"/>
    </row>
    <row r="258" ht="15.75" customHeight="1">
      <c r="A258" s="8" t="s">
        <v>1317</v>
      </c>
      <c r="B258" s="5" t="s">
        <v>14</v>
      </c>
      <c r="C258" s="5" t="s">
        <v>15</v>
      </c>
      <c r="D258" s="5" t="s">
        <v>1318</v>
      </c>
      <c r="E258" s="6" t="s">
        <v>1319</v>
      </c>
      <c r="F258" s="5" t="s">
        <v>1320</v>
      </c>
      <c r="G258" s="5" t="s">
        <v>1321</v>
      </c>
      <c r="H258" s="5" t="s">
        <v>1321</v>
      </c>
      <c r="I258" s="5" t="s">
        <v>20</v>
      </c>
      <c r="J258" s="5" t="s">
        <v>37</v>
      </c>
      <c r="K258" s="5" t="s">
        <v>68</v>
      </c>
      <c r="L258" s="5" t="s">
        <v>75</v>
      </c>
      <c r="M258" s="7" t="str">
        <f t="shared" si="2"/>
        <v>OK</v>
      </c>
      <c r="N258" s="7"/>
      <c r="O258" s="7"/>
      <c r="P258" s="7"/>
      <c r="Q258" s="7"/>
      <c r="R258" s="7"/>
      <c r="S258" s="7"/>
      <c r="T258" s="7"/>
      <c r="U258" s="7"/>
      <c r="V258" s="7"/>
      <c r="W258" s="7"/>
      <c r="X258" s="7"/>
      <c r="Y258" s="7"/>
      <c r="Z258" s="7"/>
    </row>
    <row r="259" ht="15.75" customHeight="1">
      <c r="A259" s="16" t="s">
        <v>1322</v>
      </c>
      <c r="B259" s="17" t="s">
        <v>14</v>
      </c>
      <c r="C259" s="17" t="s">
        <v>15</v>
      </c>
      <c r="D259" s="17" t="s">
        <v>1323</v>
      </c>
      <c r="E259" s="17" t="s">
        <v>1324</v>
      </c>
      <c r="F259" s="17" t="s">
        <v>1325</v>
      </c>
      <c r="G259" s="17" t="s">
        <v>1326</v>
      </c>
      <c r="H259" s="17" t="s">
        <v>1326</v>
      </c>
      <c r="I259" s="17" t="s">
        <v>20</v>
      </c>
      <c r="J259" s="17" t="s">
        <v>74</v>
      </c>
      <c r="K259" s="17" t="s">
        <v>75</v>
      </c>
      <c r="L259" s="17" t="s">
        <v>23</v>
      </c>
      <c r="M259" s="18" t="str">
        <f t="shared" si="2"/>
        <v>OK</v>
      </c>
      <c r="N259" s="18"/>
      <c r="O259" s="18"/>
      <c r="P259" s="18"/>
      <c r="Q259" s="18"/>
      <c r="R259" s="18"/>
      <c r="S259" s="18"/>
      <c r="T259" s="18"/>
      <c r="U259" s="18"/>
      <c r="V259" s="18"/>
      <c r="W259" s="18"/>
      <c r="X259" s="18"/>
      <c r="Y259" s="18"/>
      <c r="Z259" s="18"/>
    </row>
    <row r="260" ht="15.75" customHeight="1">
      <c r="A260" s="16" t="s">
        <v>1327</v>
      </c>
      <c r="B260" s="17" t="s">
        <v>14</v>
      </c>
      <c r="C260" s="17" t="s">
        <v>15</v>
      </c>
      <c r="D260" s="17" t="s">
        <v>1328</v>
      </c>
      <c r="E260" s="19" t="s">
        <v>1329</v>
      </c>
      <c r="F260" s="19" t="s">
        <v>1330</v>
      </c>
      <c r="G260" s="17" t="s">
        <v>1331</v>
      </c>
      <c r="H260" s="17" t="s">
        <v>1331</v>
      </c>
      <c r="I260" s="17" t="s">
        <v>20</v>
      </c>
      <c r="J260" s="17" t="s">
        <v>37</v>
      </c>
      <c r="K260" s="17" t="s">
        <v>68</v>
      </c>
      <c r="L260" s="17" t="s">
        <v>39</v>
      </c>
      <c r="M260" s="18" t="str">
        <f t="shared" si="2"/>
        <v>OK</v>
      </c>
      <c r="N260" s="18"/>
      <c r="O260" s="18"/>
      <c r="P260" s="18"/>
      <c r="Q260" s="18"/>
      <c r="R260" s="18"/>
      <c r="S260" s="18"/>
      <c r="T260" s="18"/>
      <c r="U260" s="18"/>
      <c r="V260" s="18"/>
      <c r="W260" s="18"/>
      <c r="X260" s="18"/>
      <c r="Y260" s="18"/>
      <c r="Z260" s="18"/>
    </row>
    <row r="261" ht="15.75" customHeight="1">
      <c r="A261" s="8" t="s">
        <v>1332</v>
      </c>
      <c r="B261" s="5" t="s">
        <v>14</v>
      </c>
      <c r="C261" s="5" t="s">
        <v>15</v>
      </c>
      <c r="D261" s="5" t="s">
        <v>1333</v>
      </c>
      <c r="E261" s="5" t="s">
        <v>1334</v>
      </c>
      <c r="F261" s="5" t="s">
        <v>1335</v>
      </c>
      <c r="G261" s="5" t="s">
        <v>1336</v>
      </c>
      <c r="H261" s="5" t="s">
        <v>1336</v>
      </c>
      <c r="I261" s="5" t="s">
        <v>51</v>
      </c>
      <c r="J261" s="5" t="s">
        <v>20</v>
      </c>
      <c r="K261" s="5" t="s">
        <v>68</v>
      </c>
      <c r="L261" s="5" t="s">
        <v>30</v>
      </c>
      <c r="M261" s="7" t="str">
        <f t="shared" si="2"/>
        <v>OK</v>
      </c>
      <c r="N261" s="7"/>
      <c r="O261" s="7"/>
      <c r="P261" s="7"/>
      <c r="Q261" s="7"/>
      <c r="R261" s="7"/>
      <c r="S261" s="7"/>
      <c r="T261" s="7"/>
      <c r="U261" s="7"/>
      <c r="V261" s="7"/>
      <c r="W261" s="7"/>
      <c r="X261" s="7"/>
      <c r="Y261" s="7"/>
      <c r="Z261" s="7"/>
    </row>
    <row r="262" ht="15.75" customHeight="1">
      <c r="A262" s="8" t="s">
        <v>1337</v>
      </c>
      <c r="B262" s="5" t="s">
        <v>14</v>
      </c>
      <c r="C262" s="5" t="s">
        <v>15</v>
      </c>
      <c r="D262" s="5" t="s">
        <v>1338</v>
      </c>
      <c r="E262" s="5" t="s">
        <v>1339</v>
      </c>
      <c r="F262" s="5" t="s">
        <v>1340</v>
      </c>
      <c r="G262" s="5" t="s">
        <v>1341</v>
      </c>
      <c r="H262" s="5" t="s">
        <v>1341</v>
      </c>
      <c r="I262" s="5" t="s">
        <v>20</v>
      </c>
      <c r="J262" s="5" t="s">
        <v>51</v>
      </c>
      <c r="K262" s="5" t="s">
        <v>23</v>
      </c>
      <c r="L262" s="5" t="s">
        <v>31</v>
      </c>
      <c r="M262" s="7" t="str">
        <f t="shared" si="2"/>
        <v>OK</v>
      </c>
      <c r="N262" s="7"/>
      <c r="O262" s="7"/>
      <c r="P262" s="7"/>
      <c r="Q262" s="7"/>
      <c r="R262" s="7"/>
      <c r="S262" s="7"/>
      <c r="T262" s="7"/>
      <c r="U262" s="7"/>
      <c r="V262" s="7"/>
      <c r="W262" s="7"/>
      <c r="X262" s="7"/>
      <c r="Y262" s="7"/>
      <c r="Z262" s="7"/>
    </row>
    <row r="263" ht="15.75" customHeight="1">
      <c r="A263" s="8" t="s">
        <v>1342</v>
      </c>
      <c r="B263" s="5" t="s">
        <v>14</v>
      </c>
      <c r="C263" s="5" t="s">
        <v>15</v>
      </c>
      <c r="D263" s="5" t="s">
        <v>1343</v>
      </c>
      <c r="E263" s="5" t="s">
        <v>1344</v>
      </c>
      <c r="F263" s="5" t="s">
        <v>1345</v>
      </c>
      <c r="G263" s="5" t="s">
        <v>1346</v>
      </c>
      <c r="H263" s="5" t="s">
        <v>1346</v>
      </c>
      <c r="I263" s="5" t="s">
        <v>21</v>
      </c>
      <c r="J263" s="5" t="s">
        <v>51</v>
      </c>
      <c r="K263" s="5" t="s">
        <v>22</v>
      </c>
      <c r="L263" s="5" t="s">
        <v>23</v>
      </c>
      <c r="M263" s="7" t="str">
        <f t="shared" si="2"/>
        <v>OK</v>
      </c>
      <c r="N263" s="7"/>
      <c r="O263" s="7"/>
      <c r="P263" s="7"/>
      <c r="Q263" s="7"/>
      <c r="R263" s="7"/>
      <c r="S263" s="7"/>
      <c r="T263" s="7"/>
      <c r="U263" s="7"/>
      <c r="V263" s="7"/>
      <c r="W263" s="7"/>
      <c r="X263" s="7"/>
      <c r="Y263" s="7"/>
      <c r="Z263" s="7"/>
    </row>
    <row r="264" ht="15.75" customHeight="1">
      <c r="A264" s="8" t="s">
        <v>1347</v>
      </c>
      <c r="B264" s="5" t="s">
        <v>14</v>
      </c>
      <c r="C264" s="5" t="s">
        <v>15</v>
      </c>
      <c r="D264" s="5" t="s">
        <v>1348</v>
      </c>
      <c r="E264" s="5" t="s">
        <v>1349</v>
      </c>
      <c r="F264" s="5" t="s">
        <v>1350</v>
      </c>
      <c r="G264" s="5" t="s">
        <v>1351</v>
      </c>
      <c r="H264" s="5" t="s">
        <v>1351</v>
      </c>
      <c r="I264" s="5" t="s">
        <v>74</v>
      </c>
      <c r="J264" s="5" t="s">
        <v>51</v>
      </c>
      <c r="K264" s="5" t="s">
        <v>75</v>
      </c>
      <c r="L264" s="5" t="s">
        <v>39</v>
      </c>
      <c r="M264" s="7" t="str">
        <f t="shared" si="2"/>
        <v>OK</v>
      </c>
      <c r="N264" s="7"/>
      <c r="O264" s="7"/>
      <c r="P264" s="7"/>
      <c r="Q264" s="7"/>
      <c r="R264" s="7"/>
      <c r="S264" s="7"/>
      <c r="T264" s="7"/>
      <c r="U264" s="7"/>
      <c r="V264" s="7"/>
      <c r="W264" s="7"/>
      <c r="X264" s="7"/>
      <c r="Y264" s="7"/>
      <c r="Z264" s="7"/>
    </row>
    <row r="265" ht="15.75" customHeight="1">
      <c r="A265" s="8" t="s">
        <v>1352</v>
      </c>
      <c r="B265" s="5" t="s">
        <v>14</v>
      </c>
      <c r="C265" s="5" t="s">
        <v>15</v>
      </c>
      <c r="D265" s="5" t="s">
        <v>1353</v>
      </c>
      <c r="E265" s="5" t="s">
        <v>1354</v>
      </c>
      <c r="F265" s="5" t="s">
        <v>1355</v>
      </c>
      <c r="G265" s="5" t="s">
        <v>1356</v>
      </c>
      <c r="H265" s="5" t="s">
        <v>1356</v>
      </c>
      <c r="I265" s="5" t="s">
        <v>74</v>
      </c>
      <c r="J265" s="5" t="s">
        <v>37</v>
      </c>
      <c r="K265" s="5" t="s">
        <v>75</v>
      </c>
      <c r="L265" s="5" t="s">
        <v>31</v>
      </c>
      <c r="M265" s="7" t="str">
        <f t="shared" si="2"/>
        <v>OK</v>
      </c>
      <c r="N265" s="7"/>
      <c r="O265" s="7"/>
      <c r="P265" s="7"/>
      <c r="Q265" s="7"/>
      <c r="R265" s="7"/>
      <c r="S265" s="7"/>
      <c r="T265" s="7"/>
      <c r="U265" s="7"/>
      <c r="V265" s="7"/>
      <c r="W265" s="7"/>
      <c r="X265" s="7"/>
      <c r="Y265" s="7"/>
      <c r="Z265" s="7"/>
    </row>
    <row r="266" ht="15.75" customHeight="1">
      <c r="A266" s="8" t="s">
        <v>1357</v>
      </c>
      <c r="B266" s="5" t="s">
        <v>14</v>
      </c>
      <c r="C266" s="5" t="s">
        <v>15</v>
      </c>
      <c r="D266" s="5" t="s">
        <v>1358</v>
      </c>
      <c r="E266" s="5" t="s">
        <v>1359</v>
      </c>
      <c r="F266" s="5" t="s">
        <v>1360</v>
      </c>
      <c r="G266" s="5" t="s">
        <v>1361</v>
      </c>
      <c r="H266" s="5" t="s">
        <v>1361</v>
      </c>
      <c r="I266" s="5" t="s">
        <v>74</v>
      </c>
      <c r="J266" s="5" t="s">
        <v>20</v>
      </c>
      <c r="K266" s="5" t="s">
        <v>68</v>
      </c>
      <c r="L266" s="5" t="s">
        <v>31</v>
      </c>
      <c r="M266" s="7" t="str">
        <f t="shared" si="2"/>
        <v>OK</v>
      </c>
      <c r="N266" s="7"/>
      <c r="O266" s="7"/>
      <c r="P266" s="7"/>
      <c r="Q266" s="7"/>
      <c r="R266" s="7"/>
      <c r="S266" s="7"/>
      <c r="T266" s="7"/>
      <c r="U266" s="7"/>
      <c r="V266" s="7"/>
      <c r="W266" s="7"/>
      <c r="X266" s="7"/>
      <c r="Y266" s="7"/>
      <c r="Z266" s="7"/>
    </row>
    <row r="267" ht="15.75" customHeight="1">
      <c r="A267" s="8" t="s">
        <v>1362</v>
      </c>
      <c r="B267" s="5" t="s">
        <v>14</v>
      </c>
      <c r="C267" s="5" t="s">
        <v>15</v>
      </c>
      <c r="D267" s="5" t="s">
        <v>1363</v>
      </c>
      <c r="E267" s="5" t="s">
        <v>1364</v>
      </c>
      <c r="F267" s="5" t="s">
        <v>1365</v>
      </c>
      <c r="G267" s="5" t="s">
        <v>1366</v>
      </c>
      <c r="H267" s="5" t="s">
        <v>1366</v>
      </c>
      <c r="I267" s="5" t="s">
        <v>45</v>
      </c>
      <c r="J267" s="5" t="s">
        <v>37</v>
      </c>
      <c r="K267" s="5" t="s">
        <v>68</v>
      </c>
      <c r="L267" s="5" t="s">
        <v>30</v>
      </c>
      <c r="M267" s="7" t="str">
        <f t="shared" si="2"/>
        <v>OK</v>
      </c>
      <c r="N267" s="7"/>
      <c r="O267" s="7"/>
      <c r="P267" s="7"/>
      <c r="Q267" s="7"/>
      <c r="R267" s="7"/>
      <c r="S267" s="7"/>
      <c r="T267" s="7"/>
      <c r="U267" s="7"/>
      <c r="V267" s="7"/>
      <c r="W267" s="7"/>
      <c r="X267" s="7"/>
      <c r="Y267" s="7"/>
      <c r="Z267" s="7"/>
    </row>
    <row r="268" ht="15.75" customHeight="1">
      <c r="A268" s="8" t="s">
        <v>1367</v>
      </c>
      <c r="B268" s="5" t="s">
        <v>14</v>
      </c>
      <c r="C268" s="5" t="s">
        <v>15</v>
      </c>
      <c r="D268" s="5" t="s">
        <v>1368</v>
      </c>
      <c r="E268" s="5" t="s">
        <v>1369</v>
      </c>
      <c r="F268" s="5" t="s">
        <v>1370</v>
      </c>
      <c r="G268" s="5" t="s">
        <v>1371</v>
      </c>
      <c r="H268" s="5" t="s">
        <v>1371</v>
      </c>
      <c r="I268" s="5" t="s">
        <v>38</v>
      </c>
      <c r="J268" s="5" t="s">
        <v>74</v>
      </c>
      <c r="K268" s="5" t="s">
        <v>68</v>
      </c>
      <c r="L268" s="5" t="s">
        <v>39</v>
      </c>
      <c r="M268" s="7"/>
      <c r="N268" s="7"/>
      <c r="O268" s="7"/>
      <c r="P268" s="7"/>
      <c r="Q268" s="7"/>
      <c r="R268" s="7"/>
      <c r="S268" s="7"/>
      <c r="T268" s="7"/>
      <c r="U268" s="7"/>
      <c r="V268" s="7"/>
      <c r="W268" s="7"/>
      <c r="X268" s="7"/>
      <c r="Y268" s="7"/>
      <c r="Z268" s="7"/>
    </row>
    <row r="269" ht="15.75" customHeight="1">
      <c r="A269" s="8" t="s">
        <v>1372</v>
      </c>
      <c r="B269" s="5" t="s">
        <v>14</v>
      </c>
      <c r="C269" s="5" t="s">
        <v>15</v>
      </c>
      <c r="D269" s="5" t="s">
        <v>1373</v>
      </c>
      <c r="E269" s="5" t="s">
        <v>1374</v>
      </c>
      <c r="F269" s="5" t="s">
        <v>1375</v>
      </c>
      <c r="G269" s="5" t="s">
        <v>1376</v>
      </c>
      <c r="H269" s="5" t="s">
        <v>1376</v>
      </c>
      <c r="I269" s="5" t="s">
        <v>29</v>
      </c>
      <c r="J269" s="5" t="s">
        <v>51</v>
      </c>
      <c r="K269" s="5" t="s">
        <v>22</v>
      </c>
      <c r="L269" s="5" t="s">
        <v>23</v>
      </c>
      <c r="M269" s="7" t="str">
        <f t="shared" ref="M269:M503" si="3">IF(COUNTIF($A$2:A269, A269)&gt;1, "Dublet", "OK")</f>
        <v>OK</v>
      </c>
      <c r="N269" s="7"/>
      <c r="O269" s="7"/>
      <c r="P269" s="7"/>
      <c r="Q269" s="7"/>
      <c r="R269" s="7"/>
      <c r="S269" s="7"/>
      <c r="T269" s="7"/>
      <c r="U269" s="7"/>
      <c r="V269" s="7"/>
      <c r="W269" s="7"/>
      <c r="X269" s="7"/>
      <c r="Y269" s="7"/>
      <c r="Z269" s="7"/>
    </row>
    <row r="270" ht="15.75" customHeight="1">
      <c r="A270" s="8" t="s">
        <v>1377</v>
      </c>
      <c r="B270" s="5" t="s">
        <v>133</v>
      </c>
      <c r="C270" s="5" t="s">
        <v>15</v>
      </c>
      <c r="D270" s="5" t="s">
        <v>1378</v>
      </c>
      <c r="E270" s="5" t="s">
        <v>1379</v>
      </c>
      <c r="F270" s="5" t="s">
        <v>1380</v>
      </c>
      <c r="G270" s="5" t="s">
        <v>1381</v>
      </c>
      <c r="H270" s="5" t="s">
        <v>1381</v>
      </c>
      <c r="I270" s="5" t="s">
        <v>51</v>
      </c>
      <c r="J270" s="5"/>
      <c r="K270" s="5" t="s">
        <v>39</v>
      </c>
      <c r="L270" s="5"/>
      <c r="M270" s="7" t="str">
        <f t="shared" si="3"/>
        <v>OK</v>
      </c>
      <c r="N270" s="7"/>
      <c r="O270" s="7"/>
      <c r="P270" s="7"/>
      <c r="Q270" s="7"/>
      <c r="R270" s="7"/>
      <c r="S270" s="7"/>
      <c r="T270" s="7"/>
      <c r="U270" s="7"/>
      <c r="V270" s="7"/>
      <c r="W270" s="7"/>
      <c r="X270" s="7"/>
      <c r="Y270" s="7"/>
      <c r="Z270" s="7"/>
    </row>
    <row r="271" ht="15.75" customHeight="1">
      <c r="A271" s="8" t="s">
        <v>1382</v>
      </c>
      <c r="B271" s="5" t="s">
        <v>133</v>
      </c>
      <c r="C271" s="5" t="s">
        <v>15</v>
      </c>
      <c r="D271" s="5" t="s">
        <v>1383</v>
      </c>
      <c r="E271" s="5" t="s">
        <v>1384</v>
      </c>
      <c r="F271" s="5" t="s">
        <v>1385</v>
      </c>
      <c r="G271" s="5" t="s">
        <v>1386</v>
      </c>
      <c r="H271" s="5" t="s">
        <v>1384</v>
      </c>
      <c r="I271" s="5" t="s">
        <v>51</v>
      </c>
      <c r="J271" s="5"/>
      <c r="K271" s="5" t="s">
        <v>52</v>
      </c>
      <c r="L271" s="5"/>
      <c r="M271" s="7" t="str">
        <f t="shared" si="3"/>
        <v>OK</v>
      </c>
      <c r="N271" s="7"/>
      <c r="O271" s="7"/>
      <c r="P271" s="7"/>
      <c r="Q271" s="7"/>
      <c r="R271" s="7"/>
      <c r="S271" s="7"/>
      <c r="T271" s="7"/>
      <c r="U271" s="7"/>
      <c r="V271" s="7"/>
      <c r="W271" s="7"/>
      <c r="X271" s="7"/>
      <c r="Y271" s="7"/>
      <c r="Z271" s="7"/>
    </row>
    <row r="272" ht="15.75" customHeight="1">
      <c r="A272" s="8" t="s">
        <v>1387</v>
      </c>
      <c r="B272" s="5" t="s">
        <v>133</v>
      </c>
      <c r="C272" s="5" t="s">
        <v>15</v>
      </c>
      <c r="D272" s="5" t="s">
        <v>1388</v>
      </c>
      <c r="E272" s="5" t="s">
        <v>1389</v>
      </c>
      <c r="F272" s="5" t="s">
        <v>1390</v>
      </c>
      <c r="G272" s="5" t="s">
        <v>1391</v>
      </c>
      <c r="H272" s="5" t="s">
        <v>1389</v>
      </c>
      <c r="I272" s="5" t="s">
        <v>29</v>
      </c>
      <c r="J272" s="5"/>
      <c r="K272" s="5" t="s">
        <v>39</v>
      </c>
      <c r="L272" s="5"/>
      <c r="M272" s="7" t="str">
        <f t="shared" si="3"/>
        <v>OK</v>
      </c>
      <c r="N272" s="7"/>
      <c r="O272" s="7"/>
      <c r="P272" s="7"/>
      <c r="Q272" s="7"/>
      <c r="R272" s="7"/>
      <c r="S272" s="7"/>
      <c r="T272" s="7"/>
      <c r="U272" s="7"/>
      <c r="V272" s="7"/>
      <c r="W272" s="7"/>
      <c r="X272" s="7"/>
      <c r="Y272" s="7"/>
      <c r="Z272" s="7"/>
    </row>
    <row r="273" ht="15.75" customHeight="1">
      <c r="A273" s="8" t="s">
        <v>1392</v>
      </c>
      <c r="B273" s="5" t="s">
        <v>133</v>
      </c>
      <c r="C273" s="5" t="s">
        <v>15</v>
      </c>
      <c r="D273" s="5" t="s">
        <v>1393</v>
      </c>
      <c r="E273" s="5" t="s">
        <v>1394</v>
      </c>
      <c r="F273" s="5" t="s">
        <v>1395</v>
      </c>
      <c r="G273" s="5" t="s">
        <v>1396</v>
      </c>
      <c r="H273" s="5" t="s">
        <v>1396</v>
      </c>
      <c r="I273" s="5" t="s">
        <v>38</v>
      </c>
      <c r="J273" s="5"/>
      <c r="K273" s="5" t="s">
        <v>39</v>
      </c>
      <c r="L273" s="5"/>
      <c r="M273" s="7" t="str">
        <f t="shared" si="3"/>
        <v>OK</v>
      </c>
      <c r="N273" s="7"/>
      <c r="O273" s="7"/>
      <c r="P273" s="7"/>
      <c r="Q273" s="7"/>
      <c r="R273" s="7"/>
      <c r="S273" s="7"/>
      <c r="T273" s="7"/>
      <c r="U273" s="7"/>
      <c r="V273" s="7"/>
      <c r="W273" s="7"/>
      <c r="X273" s="7"/>
      <c r="Y273" s="7"/>
      <c r="Z273" s="7"/>
    </row>
    <row r="274" ht="15.75" customHeight="1">
      <c r="A274" s="8" t="s">
        <v>1397</v>
      </c>
      <c r="B274" s="5" t="s">
        <v>133</v>
      </c>
      <c r="C274" s="5" t="s">
        <v>15</v>
      </c>
      <c r="D274" s="5" t="s">
        <v>1398</v>
      </c>
      <c r="E274" s="5" t="s">
        <v>1399</v>
      </c>
      <c r="F274" s="5" t="s">
        <v>1400</v>
      </c>
      <c r="G274" s="5" t="s">
        <v>1401</v>
      </c>
      <c r="H274" s="5" t="s">
        <v>1401</v>
      </c>
      <c r="I274" s="5" t="s">
        <v>29</v>
      </c>
      <c r="J274" s="5"/>
      <c r="K274" s="5" t="s">
        <v>39</v>
      </c>
      <c r="L274" s="5"/>
      <c r="M274" s="7" t="str">
        <f t="shared" si="3"/>
        <v>OK</v>
      </c>
      <c r="N274" s="7"/>
      <c r="O274" s="7"/>
      <c r="P274" s="7"/>
      <c r="Q274" s="7"/>
      <c r="R274" s="7"/>
      <c r="S274" s="7"/>
      <c r="T274" s="7"/>
      <c r="U274" s="7"/>
      <c r="V274" s="7"/>
      <c r="W274" s="7"/>
      <c r="X274" s="7"/>
      <c r="Y274" s="7"/>
      <c r="Z274" s="7"/>
    </row>
    <row r="275" ht="15.75" customHeight="1">
      <c r="A275" s="8" t="s">
        <v>1402</v>
      </c>
      <c r="B275" s="5" t="s">
        <v>133</v>
      </c>
      <c r="C275" s="5" t="s">
        <v>15</v>
      </c>
      <c r="D275" s="5" t="s">
        <v>1403</v>
      </c>
      <c r="E275" s="5" t="s">
        <v>1404</v>
      </c>
      <c r="F275" s="5" t="s">
        <v>1405</v>
      </c>
      <c r="G275" s="5" t="s">
        <v>1406</v>
      </c>
      <c r="H275" s="5" t="s">
        <v>1407</v>
      </c>
      <c r="I275" s="5" t="s">
        <v>38</v>
      </c>
      <c r="J275" s="5"/>
      <c r="K275" s="5" t="s">
        <v>68</v>
      </c>
      <c r="L275" s="5"/>
      <c r="M275" s="7" t="str">
        <f t="shared" si="3"/>
        <v>OK</v>
      </c>
      <c r="N275" s="7"/>
      <c r="O275" s="7"/>
      <c r="P275" s="7"/>
      <c r="Q275" s="7"/>
      <c r="R275" s="7"/>
      <c r="S275" s="7"/>
      <c r="T275" s="7"/>
      <c r="U275" s="7"/>
      <c r="V275" s="7"/>
      <c r="W275" s="7"/>
      <c r="X275" s="7"/>
      <c r="Y275" s="7"/>
      <c r="Z275" s="7"/>
    </row>
    <row r="276" ht="15.75" customHeight="1">
      <c r="A276" s="8" t="s">
        <v>1408</v>
      </c>
      <c r="B276" s="5" t="s">
        <v>133</v>
      </c>
      <c r="C276" s="5" t="s">
        <v>15</v>
      </c>
      <c r="D276" s="5" t="s">
        <v>1409</v>
      </c>
      <c r="E276" s="5" t="s">
        <v>1410</v>
      </c>
      <c r="F276" s="5" t="s">
        <v>1411</v>
      </c>
      <c r="G276" s="5" t="s">
        <v>1412</v>
      </c>
      <c r="H276" s="5" t="s">
        <v>1413</v>
      </c>
      <c r="I276" s="5" t="s">
        <v>20</v>
      </c>
      <c r="J276" s="5"/>
      <c r="K276" s="5" t="s">
        <v>75</v>
      </c>
      <c r="L276" s="5"/>
      <c r="M276" s="7" t="str">
        <f t="shared" si="3"/>
        <v>OK</v>
      </c>
      <c r="N276" s="7"/>
      <c r="O276" s="7"/>
      <c r="P276" s="7"/>
      <c r="Q276" s="7"/>
      <c r="R276" s="7"/>
      <c r="S276" s="7"/>
      <c r="T276" s="7"/>
      <c r="U276" s="7"/>
      <c r="V276" s="7"/>
      <c r="W276" s="7"/>
      <c r="X276" s="7"/>
      <c r="Y276" s="7"/>
      <c r="Z276" s="7"/>
    </row>
    <row r="277" ht="15.75" customHeight="1">
      <c r="A277" s="8" t="s">
        <v>1414</v>
      </c>
      <c r="B277" s="5" t="s">
        <v>133</v>
      </c>
      <c r="C277" s="5" t="s">
        <v>15</v>
      </c>
      <c r="D277" s="5" t="s">
        <v>1415</v>
      </c>
      <c r="E277" s="5" t="s">
        <v>1416</v>
      </c>
      <c r="F277" s="5" t="s">
        <v>1417</v>
      </c>
      <c r="G277" s="5" t="s">
        <v>1418</v>
      </c>
      <c r="H277" s="5" t="s">
        <v>1419</v>
      </c>
      <c r="I277" s="5" t="s">
        <v>45</v>
      </c>
      <c r="J277" s="5"/>
      <c r="K277" s="5" t="s">
        <v>52</v>
      </c>
      <c r="L277" s="5"/>
      <c r="M277" s="7" t="str">
        <f t="shared" si="3"/>
        <v>OK</v>
      </c>
      <c r="N277" s="7"/>
      <c r="O277" s="7"/>
      <c r="P277" s="7"/>
      <c r="Q277" s="7"/>
      <c r="R277" s="7"/>
      <c r="S277" s="7"/>
      <c r="T277" s="7"/>
      <c r="U277" s="7"/>
      <c r="V277" s="7"/>
      <c r="W277" s="7"/>
      <c r="X277" s="7"/>
      <c r="Y277" s="7"/>
      <c r="Z277" s="7"/>
    </row>
    <row r="278" ht="15.75" customHeight="1">
      <c r="A278" s="8" t="s">
        <v>1420</v>
      </c>
      <c r="B278" s="5" t="s">
        <v>133</v>
      </c>
      <c r="C278" s="5" t="s">
        <v>15</v>
      </c>
      <c r="D278" s="5" t="s">
        <v>1421</v>
      </c>
      <c r="E278" s="5" t="s">
        <v>1422</v>
      </c>
      <c r="F278" s="5" t="s">
        <v>1423</v>
      </c>
      <c r="G278" s="5" t="s">
        <v>1424</v>
      </c>
      <c r="H278" s="5" t="s">
        <v>1423</v>
      </c>
      <c r="I278" s="5" t="s">
        <v>20</v>
      </c>
      <c r="J278" s="5"/>
      <c r="K278" s="5" t="s">
        <v>30</v>
      </c>
      <c r="L278" s="5"/>
      <c r="M278" s="7" t="str">
        <f t="shared" si="3"/>
        <v>OK</v>
      </c>
      <c r="N278" s="7"/>
      <c r="O278" s="7"/>
      <c r="P278" s="7"/>
      <c r="Q278" s="7"/>
      <c r="R278" s="7"/>
      <c r="S278" s="7"/>
      <c r="T278" s="7"/>
      <c r="U278" s="7"/>
      <c r="V278" s="7"/>
      <c r="W278" s="7"/>
      <c r="X278" s="7"/>
      <c r="Y278" s="7"/>
      <c r="Z278" s="7"/>
    </row>
    <row r="279" ht="15.75" customHeight="1">
      <c r="A279" s="8" t="s">
        <v>1425</v>
      </c>
      <c r="B279" s="5" t="s">
        <v>133</v>
      </c>
      <c r="C279" s="5" t="s">
        <v>15</v>
      </c>
      <c r="D279" s="5" t="s">
        <v>1426</v>
      </c>
      <c r="E279" s="5" t="s">
        <v>1427</v>
      </c>
      <c r="F279" s="5" t="s">
        <v>1428</v>
      </c>
      <c r="G279" s="5" t="s">
        <v>1429</v>
      </c>
      <c r="H279" s="5" t="s">
        <v>1427</v>
      </c>
      <c r="I279" s="5" t="s">
        <v>20</v>
      </c>
      <c r="J279" s="5"/>
      <c r="K279" s="5" t="s">
        <v>22</v>
      </c>
      <c r="L279" s="5"/>
      <c r="M279" s="7" t="str">
        <f t="shared" si="3"/>
        <v>OK</v>
      </c>
      <c r="N279" s="7"/>
      <c r="O279" s="7"/>
      <c r="P279" s="7"/>
      <c r="Q279" s="7"/>
      <c r="R279" s="7"/>
      <c r="S279" s="7"/>
      <c r="T279" s="7"/>
      <c r="U279" s="7"/>
      <c r="V279" s="7"/>
      <c r="W279" s="7"/>
      <c r="X279" s="7"/>
      <c r="Y279" s="7"/>
      <c r="Z279" s="7"/>
    </row>
    <row r="280" ht="15.75" customHeight="1">
      <c r="A280" s="8" t="s">
        <v>1430</v>
      </c>
      <c r="B280" s="5" t="s">
        <v>133</v>
      </c>
      <c r="C280" s="5" t="s">
        <v>15</v>
      </c>
      <c r="D280" s="5" t="s">
        <v>1431</v>
      </c>
      <c r="E280" s="5" t="s">
        <v>1432</v>
      </c>
      <c r="F280" s="5" t="s">
        <v>1433</v>
      </c>
      <c r="G280" s="5" t="s">
        <v>1434</v>
      </c>
      <c r="H280" s="5" t="s">
        <v>1433</v>
      </c>
      <c r="I280" s="5" t="s">
        <v>51</v>
      </c>
      <c r="J280" s="5"/>
      <c r="K280" s="5" t="s">
        <v>22</v>
      </c>
      <c r="L280" s="5"/>
      <c r="M280" s="7" t="str">
        <f t="shared" si="3"/>
        <v>OK</v>
      </c>
      <c r="N280" s="7"/>
      <c r="O280" s="7"/>
      <c r="P280" s="7"/>
      <c r="Q280" s="7"/>
      <c r="R280" s="7"/>
      <c r="S280" s="7"/>
      <c r="T280" s="7"/>
      <c r="U280" s="7"/>
      <c r="V280" s="7"/>
      <c r="W280" s="7"/>
      <c r="X280" s="7"/>
      <c r="Y280" s="7"/>
      <c r="Z280" s="7"/>
    </row>
    <row r="281" ht="15.75" customHeight="1">
      <c r="A281" s="8" t="s">
        <v>1435</v>
      </c>
      <c r="B281" s="5" t="s">
        <v>133</v>
      </c>
      <c r="C281" s="5" t="s">
        <v>15</v>
      </c>
      <c r="D281" s="5" t="s">
        <v>1436</v>
      </c>
      <c r="E281" s="5" t="s">
        <v>1437</v>
      </c>
      <c r="F281" s="5" t="s">
        <v>1438</v>
      </c>
      <c r="G281" s="5" t="s">
        <v>1439</v>
      </c>
      <c r="H281" s="5" t="s">
        <v>1437</v>
      </c>
      <c r="I281" s="5" t="s">
        <v>74</v>
      </c>
      <c r="J281" s="5"/>
      <c r="K281" s="5" t="s">
        <v>111</v>
      </c>
      <c r="L281" s="5"/>
      <c r="M281" s="7" t="str">
        <f t="shared" si="3"/>
        <v>OK</v>
      </c>
      <c r="N281" s="7"/>
      <c r="O281" s="7"/>
      <c r="P281" s="7"/>
      <c r="Q281" s="7"/>
      <c r="R281" s="7"/>
      <c r="S281" s="7"/>
      <c r="T281" s="7"/>
      <c r="U281" s="7"/>
      <c r="V281" s="7"/>
      <c r="W281" s="7"/>
      <c r="X281" s="7"/>
      <c r="Y281" s="7"/>
      <c r="Z281" s="7"/>
    </row>
    <row r="282" ht="15.75" customHeight="1">
      <c r="A282" s="8" t="s">
        <v>1440</v>
      </c>
      <c r="B282" s="5" t="s">
        <v>133</v>
      </c>
      <c r="C282" s="5" t="s">
        <v>15</v>
      </c>
      <c r="D282" s="5" t="s">
        <v>1441</v>
      </c>
      <c r="E282" s="5" t="s">
        <v>1442</v>
      </c>
      <c r="F282" s="5" t="s">
        <v>1443</v>
      </c>
      <c r="G282" s="5" t="s">
        <v>1444</v>
      </c>
      <c r="H282" s="5" t="s">
        <v>1444</v>
      </c>
      <c r="I282" s="5" t="s">
        <v>21</v>
      </c>
      <c r="J282" s="5"/>
      <c r="K282" s="5" t="s">
        <v>52</v>
      </c>
      <c r="L282" s="5"/>
      <c r="M282" s="7" t="str">
        <f t="shared" si="3"/>
        <v>OK</v>
      </c>
      <c r="N282" s="7"/>
      <c r="O282" s="7"/>
      <c r="P282" s="7"/>
      <c r="Q282" s="7"/>
      <c r="R282" s="7"/>
      <c r="S282" s="7"/>
      <c r="T282" s="7"/>
      <c r="U282" s="7"/>
      <c r="V282" s="7"/>
      <c r="W282" s="7"/>
      <c r="X282" s="7"/>
      <c r="Y282" s="7"/>
      <c r="Z282" s="7"/>
    </row>
    <row r="283" ht="15.75" customHeight="1">
      <c r="A283" s="8" t="s">
        <v>1445</v>
      </c>
      <c r="B283" s="5" t="s">
        <v>133</v>
      </c>
      <c r="C283" s="5" t="s">
        <v>15</v>
      </c>
      <c r="D283" s="5" t="s">
        <v>1446</v>
      </c>
      <c r="E283" s="5" t="s">
        <v>1447</v>
      </c>
      <c r="F283" s="5" t="s">
        <v>1448</v>
      </c>
      <c r="G283" s="5" t="s">
        <v>1449</v>
      </c>
      <c r="H283" s="5" t="s">
        <v>1447</v>
      </c>
      <c r="I283" s="5" t="s">
        <v>38</v>
      </c>
      <c r="J283" s="5"/>
      <c r="K283" s="5" t="s">
        <v>30</v>
      </c>
      <c r="L283" s="5"/>
      <c r="M283" s="7" t="str">
        <f t="shared" si="3"/>
        <v>OK</v>
      </c>
      <c r="N283" s="7"/>
      <c r="O283" s="7"/>
      <c r="P283" s="7"/>
      <c r="Q283" s="7"/>
      <c r="R283" s="7"/>
      <c r="S283" s="7"/>
      <c r="T283" s="7"/>
      <c r="U283" s="7"/>
      <c r="V283" s="7"/>
      <c r="W283" s="7"/>
      <c r="X283" s="7"/>
      <c r="Y283" s="7"/>
      <c r="Z283" s="7"/>
    </row>
    <row r="284" ht="15.75" customHeight="1">
      <c r="A284" s="8" t="s">
        <v>1450</v>
      </c>
      <c r="B284" s="5" t="s">
        <v>133</v>
      </c>
      <c r="C284" s="5" t="s">
        <v>15</v>
      </c>
      <c r="D284" s="5" t="s">
        <v>1451</v>
      </c>
      <c r="E284" s="5" t="s">
        <v>1452</v>
      </c>
      <c r="F284" s="5" t="s">
        <v>1453</v>
      </c>
      <c r="G284" s="5" t="s">
        <v>1454</v>
      </c>
      <c r="H284" s="5" t="s">
        <v>1453</v>
      </c>
      <c r="I284" s="5" t="s">
        <v>20</v>
      </c>
      <c r="J284" s="5"/>
      <c r="K284" s="5" t="s">
        <v>75</v>
      </c>
      <c r="L284" s="5"/>
      <c r="M284" s="7" t="str">
        <f t="shared" si="3"/>
        <v>OK</v>
      </c>
      <c r="N284" s="7"/>
      <c r="O284" s="7"/>
      <c r="P284" s="7"/>
      <c r="Q284" s="7"/>
      <c r="R284" s="7"/>
      <c r="S284" s="7"/>
      <c r="T284" s="7"/>
      <c r="U284" s="7"/>
      <c r="V284" s="7"/>
      <c r="W284" s="7"/>
      <c r="X284" s="7"/>
      <c r="Y284" s="7"/>
      <c r="Z284" s="7"/>
    </row>
    <row r="285" ht="15.75" customHeight="1">
      <c r="A285" s="8" t="s">
        <v>1455</v>
      </c>
      <c r="B285" s="5" t="s">
        <v>133</v>
      </c>
      <c r="C285" s="5" t="s">
        <v>15</v>
      </c>
      <c r="D285" s="5" t="s">
        <v>1456</v>
      </c>
      <c r="E285" s="5" t="s">
        <v>1457</v>
      </c>
      <c r="F285" s="5" t="s">
        <v>1458</v>
      </c>
      <c r="G285" s="5" t="s">
        <v>1459</v>
      </c>
      <c r="H285" s="5" t="s">
        <v>1459</v>
      </c>
      <c r="I285" s="5" t="s">
        <v>38</v>
      </c>
      <c r="J285" s="5"/>
      <c r="K285" s="5" t="s">
        <v>68</v>
      </c>
      <c r="L285" s="5"/>
      <c r="M285" s="7" t="str">
        <f t="shared" si="3"/>
        <v>OK</v>
      </c>
      <c r="N285" s="7"/>
      <c r="O285" s="7"/>
      <c r="P285" s="7"/>
      <c r="Q285" s="7"/>
      <c r="R285" s="7"/>
      <c r="S285" s="7"/>
      <c r="T285" s="7"/>
      <c r="U285" s="7"/>
      <c r="V285" s="7"/>
      <c r="W285" s="7"/>
      <c r="X285" s="7"/>
      <c r="Y285" s="7"/>
      <c r="Z285" s="7"/>
    </row>
    <row r="286" ht="15.75" customHeight="1">
      <c r="A286" s="8" t="s">
        <v>1460</v>
      </c>
      <c r="B286" s="5" t="s">
        <v>133</v>
      </c>
      <c r="C286" s="5" t="s">
        <v>15</v>
      </c>
      <c r="D286" s="5" t="s">
        <v>1461</v>
      </c>
      <c r="E286" s="5" t="s">
        <v>1462</v>
      </c>
      <c r="F286" s="5" t="s">
        <v>1463</v>
      </c>
      <c r="G286" s="5" t="s">
        <v>1464</v>
      </c>
      <c r="H286" s="5" t="s">
        <v>1463</v>
      </c>
      <c r="I286" s="5" t="s">
        <v>29</v>
      </c>
      <c r="J286" s="5"/>
      <c r="K286" s="5" t="s">
        <v>39</v>
      </c>
      <c r="L286" s="5"/>
      <c r="M286" s="7" t="str">
        <f t="shared" si="3"/>
        <v>OK</v>
      </c>
      <c r="N286" s="7"/>
      <c r="O286" s="7"/>
      <c r="P286" s="7"/>
      <c r="Q286" s="7"/>
      <c r="R286" s="7"/>
      <c r="S286" s="7"/>
      <c r="T286" s="7"/>
      <c r="U286" s="7"/>
      <c r="V286" s="7"/>
      <c r="W286" s="7"/>
      <c r="X286" s="7"/>
      <c r="Y286" s="7"/>
      <c r="Z286" s="7"/>
    </row>
    <row r="287" ht="15.75" customHeight="1">
      <c r="A287" s="8" t="s">
        <v>1465</v>
      </c>
      <c r="B287" s="5" t="s">
        <v>133</v>
      </c>
      <c r="C287" s="5" t="s">
        <v>15</v>
      </c>
      <c r="D287" s="5" t="s">
        <v>1466</v>
      </c>
      <c r="E287" s="5" t="s">
        <v>1467</v>
      </c>
      <c r="F287" s="5" t="s">
        <v>1468</v>
      </c>
      <c r="G287" s="5" t="s">
        <v>1469</v>
      </c>
      <c r="H287" s="5" t="s">
        <v>1467</v>
      </c>
      <c r="I287" s="5" t="s">
        <v>21</v>
      </c>
      <c r="J287" s="5"/>
      <c r="K287" s="5" t="s">
        <v>31</v>
      </c>
      <c r="L287" s="5"/>
      <c r="M287" s="7" t="str">
        <f t="shared" si="3"/>
        <v>OK</v>
      </c>
      <c r="N287" s="7"/>
      <c r="O287" s="7"/>
      <c r="P287" s="7"/>
      <c r="Q287" s="7"/>
      <c r="R287" s="7"/>
      <c r="S287" s="7"/>
      <c r="T287" s="7"/>
      <c r="U287" s="7"/>
      <c r="V287" s="7"/>
      <c r="W287" s="7"/>
      <c r="X287" s="7"/>
      <c r="Y287" s="7"/>
      <c r="Z287" s="7"/>
    </row>
    <row r="288" ht="15.75" customHeight="1">
      <c r="A288" s="8" t="s">
        <v>1470</v>
      </c>
      <c r="B288" s="5" t="s">
        <v>133</v>
      </c>
      <c r="C288" s="5" t="s">
        <v>15</v>
      </c>
      <c r="D288" s="5" t="s">
        <v>1471</v>
      </c>
      <c r="E288" s="5" t="s">
        <v>1472</v>
      </c>
      <c r="F288" s="5" t="s">
        <v>1473</v>
      </c>
      <c r="G288" s="5" t="s">
        <v>1474</v>
      </c>
      <c r="H288" s="5" t="s">
        <v>1473</v>
      </c>
      <c r="I288" s="5" t="s">
        <v>38</v>
      </c>
      <c r="J288" s="5"/>
      <c r="K288" s="5" t="s">
        <v>31</v>
      </c>
      <c r="L288" s="5"/>
      <c r="M288" s="7" t="str">
        <f t="shared" si="3"/>
        <v>OK</v>
      </c>
      <c r="N288" s="7"/>
      <c r="O288" s="7"/>
      <c r="P288" s="7"/>
      <c r="Q288" s="7"/>
      <c r="R288" s="7"/>
      <c r="S288" s="7"/>
      <c r="T288" s="7"/>
      <c r="U288" s="7"/>
      <c r="V288" s="7"/>
      <c r="W288" s="7"/>
      <c r="X288" s="7"/>
      <c r="Y288" s="7"/>
      <c r="Z288" s="7"/>
    </row>
    <row r="289" ht="15.75" customHeight="1">
      <c r="A289" s="8" t="s">
        <v>1475</v>
      </c>
      <c r="B289" s="5" t="s">
        <v>133</v>
      </c>
      <c r="C289" s="5" t="s">
        <v>15</v>
      </c>
      <c r="D289" s="5" t="s">
        <v>1476</v>
      </c>
      <c r="E289" s="5" t="s">
        <v>1477</v>
      </c>
      <c r="F289" s="5" t="s">
        <v>1478</v>
      </c>
      <c r="G289" s="5" t="s">
        <v>1479</v>
      </c>
      <c r="H289" s="5" t="s">
        <v>1477</v>
      </c>
      <c r="I289" s="5" t="s">
        <v>45</v>
      </c>
      <c r="J289" s="5"/>
      <c r="K289" s="5" t="s">
        <v>68</v>
      </c>
      <c r="L289" s="5"/>
      <c r="M289" s="7" t="str">
        <f t="shared" si="3"/>
        <v>OK</v>
      </c>
      <c r="N289" s="7"/>
      <c r="O289" s="7"/>
      <c r="P289" s="7"/>
      <c r="Q289" s="7"/>
      <c r="R289" s="7"/>
      <c r="S289" s="7"/>
      <c r="T289" s="7"/>
      <c r="U289" s="7"/>
      <c r="V289" s="7"/>
      <c r="W289" s="7"/>
      <c r="X289" s="7"/>
      <c r="Y289" s="7"/>
      <c r="Z289" s="7"/>
    </row>
    <row r="290" ht="15.75" customHeight="1">
      <c r="A290" s="8" t="s">
        <v>1480</v>
      </c>
      <c r="B290" s="5" t="s">
        <v>133</v>
      </c>
      <c r="C290" s="5" t="s">
        <v>15</v>
      </c>
      <c r="D290" s="5" t="s">
        <v>1481</v>
      </c>
      <c r="E290" s="5" t="s">
        <v>1482</v>
      </c>
      <c r="F290" s="5" t="s">
        <v>1483</v>
      </c>
      <c r="G290" s="5" t="s">
        <v>1484</v>
      </c>
      <c r="H290" s="5" t="s">
        <v>1482</v>
      </c>
      <c r="I290" s="5" t="s">
        <v>20</v>
      </c>
      <c r="J290" s="5"/>
      <c r="K290" s="5" t="s">
        <v>75</v>
      </c>
      <c r="L290" s="5"/>
      <c r="M290" s="7" t="str">
        <f t="shared" si="3"/>
        <v>OK</v>
      </c>
      <c r="N290" s="7"/>
      <c r="O290" s="7"/>
      <c r="P290" s="7"/>
      <c r="Q290" s="7"/>
      <c r="R290" s="7"/>
      <c r="S290" s="7"/>
      <c r="T290" s="7"/>
      <c r="U290" s="7"/>
      <c r="V290" s="7"/>
      <c r="W290" s="7"/>
      <c r="X290" s="7"/>
      <c r="Y290" s="7"/>
      <c r="Z290" s="7"/>
    </row>
    <row r="291" ht="15.75" customHeight="1">
      <c r="A291" s="8" t="s">
        <v>1485</v>
      </c>
      <c r="B291" s="5" t="s">
        <v>133</v>
      </c>
      <c r="C291" s="5" t="s">
        <v>15</v>
      </c>
      <c r="D291" s="5" t="s">
        <v>1486</v>
      </c>
      <c r="E291" s="5" t="s">
        <v>1487</v>
      </c>
      <c r="F291" s="5" t="s">
        <v>1488</v>
      </c>
      <c r="G291" s="5" t="s">
        <v>1489</v>
      </c>
      <c r="H291" s="5" t="s">
        <v>1488</v>
      </c>
      <c r="I291" s="5" t="s">
        <v>45</v>
      </c>
      <c r="J291" s="5"/>
      <c r="K291" s="5" t="s">
        <v>31</v>
      </c>
      <c r="L291" s="5"/>
      <c r="M291" s="7" t="str">
        <f t="shared" si="3"/>
        <v>OK</v>
      </c>
      <c r="N291" s="7"/>
      <c r="O291" s="7"/>
      <c r="P291" s="7"/>
      <c r="Q291" s="7"/>
      <c r="R291" s="7"/>
      <c r="S291" s="7"/>
      <c r="T291" s="7"/>
      <c r="U291" s="7"/>
      <c r="V291" s="7"/>
      <c r="W291" s="7"/>
      <c r="X291" s="7"/>
      <c r="Y291" s="7"/>
      <c r="Z291" s="7"/>
    </row>
    <row r="292" ht="15.75" customHeight="1">
      <c r="A292" s="8" t="s">
        <v>1490</v>
      </c>
      <c r="B292" s="5" t="s">
        <v>133</v>
      </c>
      <c r="C292" s="5" t="s">
        <v>15</v>
      </c>
      <c r="D292" s="5" t="s">
        <v>1491</v>
      </c>
      <c r="E292" s="5" t="s">
        <v>1492</v>
      </c>
      <c r="F292" s="5" t="s">
        <v>1493</v>
      </c>
      <c r="G292" s="5" t="s">
        <v>1494</v>
      </c>
      <c r="H292" s="5" t="s">
        <v>1492</v>
      </c>
      <c r="I292" s="5" t="s">
        <v>74</v>
      </c>
      <c r="J292" s="5"/>
      <c r="K292" s="5" t="s">
        <v>39</v>
      </c>
      <c r="L292" s="5"/>
      <c r="M292" s="7" t="str">
        <f t="shared" si="3"/>
        <v>OK</v>
      </c>
      <c r="N292" s="7"/>
      <c r="O292" s="7"/>
      <c r="P292" s="7"/>
      <c r="Q292" s="7"/>
      <c r="R292" s="7"/>
      <c r="S292" s="7"/>
      <c r="T292" s="7"/>
      <c r="U292" s="7"/>
      <c r="V292" s="7"/>
      <c r="W292" s="7"/>
      <c r="X292" s="7"/>
      <c r="Y292" s="7"/>
      <c r="Z292" s="7"/>
    </row>
    <row r="293" ht="15.75" customHeight="1">
      <c r="A293" s="8" t="s">
        <v>1495</v>
      </c>
      <c r="B293" s="5" t="s">
        <v>133</v>
      </c>
      <c r="C293" s="5" t="s">
        <v>15</v>
      </c>
      <c r="D293" s="5" t="s">
        <v>1496</v>
      </c>
      <c r="E293" s="5" t="s">
        <v>1497</v>
      </c>
      <c r="F293" s="5" t="s">
        <v>1498</v>
      </c>
      <c r="G293" s="5" t="s">
        <v>1499</v>
      </c>
      <c r="H293" s="5" t="s">
        <v>1497</v>
      </c>
      <c r="I293" s="5" t="s">
        <v>74</v>
      </c>
      <c r="J293" s="5"/>
      <c r="K293" s="5" t="s">
        <v>52</v>
      </c>
      <c r="L293" s="5"/>
      <c r="M293" s="7" t="str">
        <f t="shared" si="3"/>
        <v>OK</v>
      </c>
      <c r="N293" s="7"/>
      <c r="O293" s="7"/>
      <c r="P293" s="7"/>
      <c r="Q293" s="7"/>
      <c r="R293" s="7"/>
      <c r="S293" s="7"/>
      <c r="T293" s="7"/>
      <c r="U293" s="7"/>
      <c r="V293" s="7"/>
      <c r="W293" s="7"/>
      <c r="X293" s="7"/>
      <c r="Y293" s="7"/>
      <c r="Z293" s="7"/>
    </row>
    <row r="294" ht="15.75" customHeight="1">
      <c r="A294" s="8" t="s">
        <v>1500</v>
      </c>
      <c r="B294" s="5" t="s">
        <v>133</v>
      </c>
      <c r="C294" s="5" t="s">
        <v>15</v>
      </c>
      <c r="D294" s="5" t="s">
        <v>1501</v>
      </c>
      <c r="E294" s="5" t="s">
        <v>1502</v>
      </c>
      <c r="F294" s="5" t="s">
        <v>1503</v>
      </c>
      <c r="G294" s="5" t="s">
        <v>1504</v>
      </c>
      <c r="H294" s="5" t="s">
        <v>1502</v>
      </c>
      <c r="I294" s="5" t="s">
        <v>21</v>
      </c>
      <c r="J294" s="5"/>
      <c r="K294" s="5" t="s">
        <v>75</v>
      </c>
      <c r="L294" s="5"/>
      <c r="M294" s="7" t="str">
        <f t="shared" si="3"/>
        <v>OK</v>
      </c>
      <c r="N294" s="7"/>
      <c r="O294" s="7"/>
      <c r="P294" s="7"/>
      <c r="Q294" s="7"/>
      <c r="R294" s="7"/>
      <c r="S294" s="7"/>
      <c r="T294" s="7"/>
      <c r="U294" s="7"/>
      <c r="V294" s="7"/>
      <c r="W294" s="7"/>
      <c r="X294" s="7"/>
      <c r="Y294" s="7"/>
      <c r="Z294" s="7"/>
    </row>
    <row r="295" ht="15.75" customHeight="1">
      <c r="A295" s="8" t="s">
        <v>1505</v>
      </c>
      <c r="B295" s="5" t="s">
        <v>133</v>
      </c>
      <c r="C295" s="5" t="s">
        <v>15</v>
      </c>
      <c r="D295" s="5" t="s">
        <v>1506</v>
      </c>
      <c r="E295" s="5" t="s">
        <v>1507</v>
      </c>
      <c r="F295" s="5" t="s">
        <v>1508</v>
      </c>
      <c r="G295" s="5" t="s">
        <v>1509</v>
      </c>
      <c r="H295" s="5" t="s">
        <v>1507</v>
      </c>
      <c r="I295" s="5" t="s">
        <v>51</v>
      </c>
      <c r="J295" s="5"/>
      <c r="K295" s="5" t="s">
        <v>68</v>
      </c>
      <c r="L295" s="5"/>
      <c r="M295" s="7" t="str">
        <f t="shared" si="3"/>
        <v>OK</v>
      </c>
      <c r="N295" s="7"/>
      <c r="O295" s="7"/>
      <c r="P295" s="7"/>
      <c r="Q295" s="7"/>
      <c r="R295" s="7"/>
      <c r="S295" s="7"/>
      <c r="T295" s="7"/>
      <c r="U295" s="7"/>
      <c r="V295" s="7"/>
      <c r="W295" s="7"/>
      <c r="X295" s="7"/>
      <c r="Y295" s="7"/>
      <c r="Z295" s="7"/>
    </row>
    <row r="296" ht="15.75" customHeight="1">
      <c r="A296" s="8" t="s">
        <v>1510</v>
      </c>
      <c r="B296" s="5" t="s">
        <v>133</v>
      </c>
      <c r="C296" s="5" t="s">
        <v>15</v>
      </c>
      <c r="D296" s="5" t="s">
        <v>1511</v>
      </c>
      <c r="E296" s="5" t="s">
        <v>1512</v>
      </c>
      <c r="F296" s="5" t="s">
        <v>1513</v>
      </c>
      <c r="G296" s="5" t="s">
        <v>1514</v>
      </c>
      <c r="H296" s="5" t="s">
        <v>1512</v>
      </c>
      <c r="I296" s="5" t="s">
        <v>74</v>
      </c>
      <c r="J296" s="5"/>
      <c r="K296" s="5" t="s">
        <v>30</v>
      </c>
      <c r="L296" s="5"/>
      <c r="M296" s="7" t="str">
        <f t="shared" si="3"/>
        <v>OK</v>
      </c>
      <c r="N296" s="7"/>
      <c r="O296" s="7"/>
      <c r="P296" s="7"/>
      <c r="Q296" s="7"/>
      <c r="R296" s="7"/>
      <c r="S296" s="7"/>
      <c r="T296" s="7"/>
      <c r="U296" s="7"/>
      <c r="V296" s="7"/>
      <c r="W296" s="7"/>
      <c r="X296" s="7"/>
      <c r="Y296" s="7"/>
      <c r="Z296" s="7"/>
    </row>
    <row r="297" ht="15.75" customHeight="1">
      <c r="A297" s="8" t="s">
        <v>1515</v>
      </c>
      <c r="B297" s="5" t="s">
        <v>133</v>
      </c>
      <c r="C297" s="5" t="s">
        <v>15</v>
      </c>
      <c r="D297" s="5" t="s">
        <v>1516</v>
      </c>
      <c r="E297" s="5" t="s">
        <v>1517</v>
      </c>
      <c r="F297" s="5" t="s">
        <v>1518</v>
      </c>
      <c r="G297" s="5" t="s">
        <v>1519</v>
      </c>
      <c r="H297" s="5" t="s">
        <v>1519</v>
      </c>
      <c r="I297" s="5" t="s">
        <v>45</v>
      </c>
      <c r="J297" s="5"/>
      <c r="K297" s="5" t="s">
        <v>111</v>
      </c>
      <c r="L297" s="5"/>
      <c r="M297" s="7" t="str">
        <f t="shared" si="3"/>
        <v>OK</v>
      </c>
      <c r="N297" s="7"/>
      <c r="O297" s="7"/>
      <c r="P297" s="7"/>
      <c r="Q297" s="7"/>
      <c r="R297" s="7"/>
      <c r="S297" s="7"/>
      <c r="T297" s="7"/>
      <c r="U297" s="7"/>
      <c r="V297" s="7"/>
      <c r="W297" s="7"/>
      <c r="X297" s="7"/>
      <c r="Y297" s="7"/>
      <c r="Z297" s="7"/>
    </row>
    <row r="298" ht="15.75" customHeight="1">
      <c r="A298" s="8" t="s">
        <v>1520</v>
      </c>
      <c r="B298" s="5" t="s">
        <v>133</v>
      </c>
      <c r="C298" s="5" t="s">
        <v>15</v>
      </c>
      <c r="D298" s="5" t="s">
        <v>1521</v>
      </c>
      <c r="E298" s="5" t="s">
        <v>1522</v>
      </c>
      <c r="F298" s="5" t="s">
        <v>1523</v>
      </c>
      <c r="G298" s="5" t="s">
        <v>1524</v>
      </c>
      <c r="H298" s="5" t="s">
        <v>1523</v>
      </c>
      <c r="I298" s="5" t="s">
        <v>45</v>
      </c>
      <c r="J298" s="5"/>
      <c r="K298" s="5" t="s">
        <v>111</v>
      </c>
      <c r="L298" s="5"/>
      <c r="M298" s="7" t="str">
        <f t="shared" si="3"/>
        <v>OK</v>
      </c>
      <c r="N298" s="7"/>
      <c r="O298" s="7"/>
      <c r="P298" s="7"/>
      <c r="Q298" s="7"/>
      <c r="R298" s="7"/>
      <c r="S298" s="7"/>
      <c r="T298" s="7"/>
      <c r="U298" s="7"/>
      <c r="V298" s="7"/>
      <c r="W298" s="7"/>
      <c r="X298" s="7"/>
      <c r="Y298" s="7"/>
      <c r="Z298" s="7"/>
    </row>
    <row r="299" ht="15.75" customHeight="1">
      <c r="A299" s="8" t="s">
        <v>1525</v>
      </c>
      <c r="B299" s="5" t="s">
        <v>133</v>
      </c>
      <c r="C299" s="5" t="s">
        <v>15</v>
      </c>
      <c r="D299" s="5" t="s">
        <v>1526</v>
      </c>
      <c r="E299" s="5" t="s">
        <v>1527</v>
      </c>
      <c r="F299" s="5" t="s">
        <v>1528</v>
      </c>
      <c r="G299" s="5" t="s">
        <v>1529</v>
      </c>
      <c r="H299" s="5" t="s">
        <v>1528</v>
      </c>
      <c r="I299" s="5" t="s">
        <v>20</v>
      </c>
      <c r="J299" s="5"/>
      <c r="K299" s="5" t="s">
        <v>75</v>
      </c>
      <c r="L299" s="5"/>
      <c r="M299" s="7" t="str">
        <f t="shared" si="3"/>
        <v>OK</v>
      </c>
      <c r="N299" s="7"/>
      <c r="O299" s="7"/>
      <c r="P299" s="7"/>
      <c r="Q299" s="7"/>
      <c r="R299" s="7"/>
      <c r="S299" s="7"/>
      <c r="T299" s="7"/>
      <c r="U299" s="7"/>
      <c r="V299" s="7"/>
      <c r="W299" s="7"/>
      <c r="X299" s="7"/>
      <c r="Y299" s="7"/>
      <c r="Z299" s="7"/>
    </row>
    <row r="300" ht="15.75" customHeight="1">
      <c r="A300" s="8" t="s">
        <v>1530</v>
      </c>
      <c r="B300" s="5" t="s">
        <v>133</v>
      </c>
      <c r="C300" s="5" t="s">
        <v>15</v>
      </c>
      <c r="D300" s="5" t="s">
        <v>1531</v>
      </c>
      <c r="E300" s="5" t="s">
        <v>1532</v>
      </c>
      <c r="F300" s="5" t="s">
        <v>1533</v>
      </c>
      <c r="G300" s="5" t="s">
        <v>1534</v>
      </c>
      <c r="H300" s="5" t="s">
        <v>1532</v>
      </c>
      <c r="I300" s="5" t="s">
        <v>38</v>
      </c>
      <c r="J300" s="5"/>
      <c r="K300" s="5" t="s">
        <v>30</v>
      </c>
      <c r="L300" s="5"/>
      <c r="M300" s="7" t="str">
        <f t="shared" si="3"/>
        <v>OK</v>
      </c>
      <c r="N300" s="7"/>
      <c r="O300" s="7"/>
      <c r="P300" s="7"/>
      <c r="Q300" s="7"/>
      <c r="R300" s="7"/>
      <c r="S300" s="7"/>
      <c r="T300" s="7"/>
      <c r="U300" s="7"/>
      <c r="V300" s="7"/>
      <c r="W300" s="7"/>
      <c r="X300" s="7"/>
      <c r="Y300" s="7"/>
      <c r="Z300" s="7"/>
    </row>
    <row r="301" ht="15.75" customHeight="1">
      <c r="A301" s="8" t="s">
        <v>1535</v>
      </c>
      <c r="B301" s="5" t="s">
        <v>133</v>
      </c>
      <c r="C301" s="5" t="s">
        <v>15</v>
      </c>
      <c r="D301" s="5" t="s">
        <v>1536</v>
      </c>
      <c r="E301" s="5" t="s">
        <v>1537</v>
      </c>
      <c r="F301" s="5" t="s">
        <v>1538</v>
      </c>
      <c r="G301" s="5" t="s">
        <v>1539</v>
      </c>
      <c r="H301" s="5" t="s">
        <v>1537</v>
      </c>
      <c r="I301" s="5" t="s">
        <v>20</v>
      </c>
      <c r="J301" s="5"/>
      <c r="K301" s="5" t="s">
        <v>22</v>
      </c>
      <c r="L301" s="5"/>
      <c r="M301" s="7" t="str">
        <f t="shared" si="3"/>
        <v>OK</v>
      </c>
      <c r="N301" s="7"/>
      <c r="O301" s="7"/>
      <c r="P301" s="7"/>
      <c r="Q301" s="7"/>
      <c r="R301" s="7"/>
      <c r="S301" s="7"/>
      <c r="T301" s="7"/>
      <c r="U301" s="7"/>
      <c r="V301" s="7"/>
      <c r="W301" s="7"/>
      <c r="X301" s="7"/>
      <c r="Y301" s="7"/>
      <c r="Z301" s="7"/>
    </row>
    <row r="302" ht="15.75" customHeight="1">
      <c r="A302" s="8" t="s">
        <v>1540</v>
      </c>
      <c r="B302" s="5" t="s">
        <v>133</v>
      </c>
      <c r="C302" s="5" t="s">
        <v>15</v>
      </c>
      <c r="D302" s="5" t="s">
        <v>1541</v>
      </c>
      <c r="E302" s="5" t="s">
        <v>1542</v>
      </c>
      <c r="F302" s="5" t="s">
        <v>1543</v>
      </c>
      <c r="G302" s="5" t="s">
        <v>1544</v>
      </c>
      <c r="H302" s="5" t="s">
        <v>1543</v>
      </c>
      <c r="I302" s="5" t="s">
        <v>20</v>
      </c>
      <c r="J302" s="5"/>
      <c r="K302" s="5" t="s">
        <v>30</v>
      </c>
      <c r="L302" s="5"/>
      <c r="M302" s="7" t="str">
        <f t="shared" si="3"/>
        <v>OK</v>
      </c>
      <c r="N302" s="7"/>
      <c r="O302" s="7"/>
      <c r="P302" s="7"/>
      <c r="Q302" s="7"/>
      <c r="R302" s="7"/>
      <c r="S302" s="7"/>
      <c r="T302" s="7"/>
      <c r="U302" s="7"/>
      <c r="V302" s="7"/>
      <c r="W302" s="7"/>
      <c r="X302" s="7"/>
      <c r="Y302" s="7"/>
      <c r="Z302" s="7"/>
    </row>
    <row r="303" ht="15.75" customHeight="1">
      <c r="A303" s="8" t="s">
        <v>1545</v>
      </c>
      <c r="B303" s="5" t="s">
        <v>133</v>
      </c>
      <c r="C303" s="5" t="s">
        <v>15</v>
      </c>
      <c r="D303" s="5" t="s">
        <v>1546</v>
      </c>
      <c r="E303" s="5" t="s">
        <v>1547</v>
      </c>
      <c r="F303" s="5" t="s">
        <v>1548</v>
      </c>
      <c r="G303" s="5" t="s">
        <v>1549</v>
      </c>
      <c r="H303" s="5" t="s">
        <v>1548</v>
      </c>
      <c r="I303" s="5" t="s">
        <v>45</v>
      </c>
      <c r="J303" s="5"/>
      <c r="K303" s="5" t="s">
        <v>111</v>
      </c>
      <c r="L303" s="5"/>
      <c r="M303" s="7" t="str">
        <f t="shared" si="3"/>
        <v>OK</v>
      </c>
      <c r="N303" s="7"/>
      <c r="O303" s="7"/>
      <c r="P303" s="7"/>
      <c r="Q303" s="7"/>
      <c r="R303" s="7"/>
      <c r="S303" s="7"/>
      <c r="T303" s="7"/>
      <c r="U303" s="7"/>
      <c r="V303" s="7"/>
      <c r="W303" s="7"/>
      <c r="X303" s="7"/>
      <c r="Y303" s="7"/>
      <c r="Z303" s="7"/>
    </row>
    <row r="304" ht="15.75" customHeight="1">
      <c r="A304" s="8" t="s">
        <v>1550</v>
      </c>
      <c r="B304" s="5" t="s">
        <v>133</v>
      </c>
      <c r="C304" s="5" t="s">
        <v>15</v>
      </c>
      <c r="D304" s="5" t="s">
        <v>1551</v>
      </c>
      <c r="E304" s="5" t="s">
        <v>1552</v>
      </c>
      <c r="F304" s="5" t="s">
        <v>1553</v>
      </c>
      <c r="G304" s="5" t="s">
        <v>1554</v>
      </c>
      <c r="H304" s="5" t="s">
        <v>1552</v>
      </c>
      <c r="I304" s="5" t="s">
        <v>20</v>
      </c>
      <c r="J304" s="5"/>
      <c r="K304" s="5" t="s">
        <v>111</v>
      </c>
      <c r="L304" s="5"/>
      <c r="M304" s="7" t="str">
        <f t="shared" si="3"/>
        <v>OK</v>
      </c>
      <c r="N304" s="7"/>
      <c r="O304" s="7"/>
      <c r="P304" s="7"/>
      <c r="Q304" s="7"/>
      <c r="R304" s="7"/>
      <c r="S304" s="7"/>
      <c r="T304" s="7"/>
      <c r="U304" s="7"/>
      <c r="V304" s="7"/>
      <c r="W304" s="7"/>
      <c r="X304" s="7"/>
      <c r="Y304" s="7"/>
      <c r="Z304" s="7"/>
    </row>
    <row r="305" ht="15.75" customHeight="1">
      <c r="A305" s="8" t="s">
        <v>1555</v>
      </c>
      <c r="B305" s="5" t="s">
        <v>133</v>
      </c>
      <c r="C305" s="5" t="s">
        <v>15</v>
      </c>
      <c r="D305" s="5" t="s">
        <v>1556</v>
      </c>
      <c r="E305" s="5" t="s">
        <v>1557</v>
      </c>
      <c r="F305" s="5" t="s">
        <v>1558</v>
      </c>
      <c r="G305" s="5" t="s">
        <v>1559</v>
      </c>
      <c r="H305" s="5" t="s">
        <v>1557</v>
      </c>
      <c r="I305" s="5" t="s">
        <v>37</v>
      </c>
      <c r="J305" s="5"/>
      <c r="K305" s="5" t="s">
        <v>30</v>
      </c>
      <c r="L305" s="5"/>
      <c r="M305" s="7" t="str">
        <f t="shared" si="3"/>
        <v>OK</v>
      </c>
      <c r="N305" s="7"/>
      <c r="O305" s="7"/>
      <c r="P305" s="7"/>
      <c r="Q305" s="7"/>
      <c r="R305" s="7"/>
      <c r="S305" s="7"/>
      <c r="T305" s="7"/>
      <c r="U305" s="7"/>
      <c r="V305" s="7"/>
      <c r="W305" s="7"/>
      <c r="X305" s="7"/>
      <c r="Y305" s="7"/>
      <c r="Z305" s="7"/>
    </row>
    <row r="306" ht="15.75" customHeight="1">
      <c r="A306" s="8" t="s">
        <v>1560</v>
      </c>
      <c r="B306" s="5" t="s">
        <v>133</v>
      </c>
      <c r="C306" s="5" t="s">
        <v>15</v>
      </c>
      <c r="D306" s="5" t="s">
        <v>1561</v>
      </c>
      <c r="E306" s="5" t="s">
        <v>1562</v>
      </c>
      <c r="F306" s="5" t="s">
        <v>1563</v>
      </c>
      <c r="G306" s="5" t="s">
        <v>1564</v>
      </c>
      <c r="H306" s="5" t="s">
        <v>1563</v>
      </c>
      <c r="I306" s="5" t="s">
        <v>38</v>
      </c>
      <c r="J306" s="5"/>
      <c r="K306" s="5" t="s">
        <v>75</v>
      </c>
      <c r="L306" s="5"/>
      <c r="M306" s="7" t="str">
        <f t="shared" si="3"/>
        <v>OK</v>
      </c>
      <c r="N306" s="7"/>
      <c r="O306" s="7"/>
      <c r="P306" s="7"/>
      <c r="Q306" s="7"/>
      <c r="R306" s="7"/>
      <c r="S306" s="7"/>
      <c r="T306" s="7"/>
      <c r="U306" s="7"/>
      <c r="V306" s="7"/>
      <c r="W306" s="7"/>
      <c r="X306" s="7"/>
      <c r="Y306" s="7"/>
      <c r="Z306" s="7"/>
    </row>
    <row r="307" ht="15.75" customHeight="1">
      <c r="A307" s="8" t="s">
        <v>1565</v>
      </c>
      <c r="B307" s="5" t="s">
        <v>133</v>
      </c>
      <c r="C307" s="5" t="s">
        <v>15</v>
      </c>
      <c r="D307" s="5" t="s">
        <v>1566</v>
      </c>
      <c r="E307" s="5" t="s">
        <v>1567</v>
      </c>
      <c r="F307" s="5" t="s">
        <v>1568</v>
      </c>
      <c r="G307" s="5" t="s">
        <v>1569</v>
      </c>
      <c r="H307" s="5" t="s">
        <v>1569</v>
      </c>
      <c r="I307" s="5" t="s">
        <v>74</v>
      </c>
      <c r="J307" s="5"/>
      <c r="K307" s="5" t="s">
        <v>111</v>
      </c>
      <c r="L307" s="5"/>
      <c r="M307" s="7" t="str">
        <f t="shared" si="3"/>
        <v>OK</v>
      </c>
      <c r="N307" s="7"/>
      <c r="O307" s="7"/>
      <c r="P307" s="7"/>
      <c r="Q307" s="7"/>
      <c r="R307" s="7"/>
      <c r="S307" s="7"/>
      <c r="T307" s="7"/>
      <c r="U307" s="7"/>
      <c r="V307" s="7"/>
      <c r="W307" s="7"/>
      <c r="X307" s="7"/>
      <c r="Y307" s="7"/>
      <c r="Z307" s="7"/>
    </row>
    <row r="308" ht="15.75" customHeight="1">
      <c r="A308" s="8" t="s">
        <v>1570</v>
      </c>
      <c r="B308" s="5" t="s">
        <v>133</v>
      </c>
      <c r="C308" s="5" t="s">
        <v>15</v>
      </c>
      <c r="D308" s="5" t="s">
        <v>1571</v>
      </c>
      <c r="E308" s="5" t="s">
        <v>1572</v>
      </c>
      <c r="F308" s="5" t="s">
        <v>1573</v>
      </c>
      <c r="G308" s="5" t="s">
        <v>1574</v>
      </c>
      <c r="H308" s="5" t="s">
        <v>1574</v>
      </c>
      <c r="I308" s="5" t="s">
        <v>29</v>
      </c>
      <c r="J308" s="5"/>
      <c r="K308" s="5" t="s">
        <v>52</v>
      </c>
      <c r="L308" s="5"/>
      <c r="M308" s="7" t="str">
        <f t="shared" si="3"/>
        <v>OK</v>
      </c>
      <c r="N308" s="7"/>
      <c r="O308" s="7"/>
      <c r="P308" s="7"/>
      <c r="Q308" s="7"/>
      <c r="R308" s="7"/>
      <c r="S308" s="7"/>
      <c r="T308" s="7"/>
      <c r="U308" s="7"/>
      <c r="V308" s="7"/>
      <c r="W308" s="7"/>
      <c r="X308" s="7"/>
      <c r="Y308" s="7"/>
      <c r="Z308" s="7"/>
    </row>
    <row r="309" ht="15.75" customHeight="1">
      <c r="A309" s="8" t="s">
        <v>1575</v>
      </c>
      <c r="B309" s="5" t="s">
        <v>133</v>
      </c>
      <c r="C309" s="5" t="s">
        <v>15</v>
      </c>
      <c r="D309" s="5" t="s">
        <v>1576</v>
      </c>
      <c r="E309" s="5" t="s">
        <v>1577</v>
      </c>
      <c r="F309" s="5" t="s">
        <v>1578</v>
      </c>
      <c r="G309" s="5" t="s">
        <v>1579</v>
      </c>
      <c r="H309" s="5" t="s">
        <v>1577</v>
      </c>
      <c r="I309" s="5" t="s">
        <v>21</v>
      </c>
      <c r="J309" s="5"/>
      <c r="K309" s="5" t="s">
        <v>30</v>
      </c>
      <c r="L309" s="5"/>
      <c r="M309" s="7" t="str">
        <f t="shared" si="3"/>
        <v>OK</v>
      </c>
      <c r="N309" s="7"/>
      <c r="O309" s="7"/>
      <c r="P309" s="7"/>
      <c r="Q309" s="7"/>
      <c r="R309" s="7"/>
      <c r="S309" s="7"/>
      <c r="T309" s="7"/>
      <c r="U309" s="7"/>
      <c r="V309" s="7"/>
      <c r="W309" s="7"/>
      <c r="X309" s="7"/>
      <c r="Y309" s="7"/>
      <c r="Z309" s="7"/>
    </row>
    <row r="310" ht="15.75" customHeight="1">
      <c r="A310" s="8" t="s">
        <v>1580</v>
      </c>
      <c r="B310" s="5" t="s">
        <v>133</v>
      </c>
      <c r="C310" s="5" t="s">
        <v>15</v>
      </c>
      <c r="D310" s="5" t="s">
        <v>1581</v>
      </c>
      <c r="E310" s="5" t="s">
        <v>1582</v>
      </c>
      <c r="F310" s="5" t="s">
        <v>1583</v>
      </c>
      <c r="G310" s="5" t="s">
        <v>1584</v>
      </c>
      <c r="H310" s="5" t="s">
        <v>1584</v>
      </c>
      <c r="I310" s="5" t="s">
        <v>29</v>
      </c>
      <c r="J310" s="5"/>
      <c r="K310" s="5" t="s">
        <v>23</v>
      </c>
      <c r="L310" s="5"/>
      <c r="M310" s="7" t="str">
        <f t="shared" si="3"/>
        <v>OK</v>
      </c>
      <c r="N310" s="7"/>
      <c r="O310" s="7"/>
      <c r="P310" s="7"/>
      <c r="Q310" s="7"/>
      <c r="R310" s="7"/>
      <c r="S310" s="7"/>
      <c r="T310" s="7"/>
      <c r="U310" s="7"/>
      <c r="V310" s="7"/>
      <c r="W310" s="7"/>
      <c r="X310" s="7"/>
      <c r="Y310" s="7"/>
      <c r="Z310" s="7"/>
    </row>
    <row r="311" ht="15.75" customHeight="1">
      <c r="A311" s="8" t="s">
        <v>1585</v>
      </c>
      <c r="B311" s="5" t="s">
        <v>133</v>
      </c>
      <c r="C311" s="5" t="s">
        <v>15</v>
      </c>
      <c r="D311" s="5" t="s">
        <v>1586</v>
      </c>
      <c r="E311" s="5" t="s">
        <v>1587</v>
      </c>
      <c r="F311" s="5" t="s">
        <v>1588</v>
      </c>
      <c r="G311" s="5" t="s">
        <v>1589</v>
      </c>
      <c r="H311" s="5" t="s">
        <v>1588</v>
      </c>
      <c r="I311" s="5" t="s">
        <v>45</v>
      </c>
      <c r="J311" s="5"/>
      <c r="K311" s="5" t="s">
        <v>52</v>
      </c>
      <c r="L311" s="5"/>
      <c r="M311" s="7" t="str">
        <f t="shared" si="3"/>
        <v>OK</v>
      </c>
      <c r="N311" s="7"/>
      <c r="O311" s="7"/>
      <c r="P311" s="7"/>
      <c r="Q311" s="7"/>
      <c r="R311" s="7"/>
      <c r="S311" s="7"/>
      <c r="T311" s="7"/>
      <c r="U311" s="7"/>
      <c r="V311" s="7"/>
      <c r="W311" s="7"/>
      <c r="X311" s="7"/>
      <c r="Y311" s="7"/>
      <c r="Z311" s="7"/>
    </row>
    <row r="312" ht="15.75" customHeight="1">
      <c r="A312" s="8" t="s">
        <v>1590</v>
      </c>
      <c r="B312" s="5" t="s">
        <v>133</v>
      </c>
      <c r="C312" s="5" t="s">
        <v>15</v>
      </c>
      <c r="D312" s="5" t="s">
        <v>1591</v>
      </c>
      <c r="E312" s="5" t="s">
        <v>1592</v>
      </c>
      <c r="F312" s="5" t="s">
        <v>1593</v>
      </c>
      <c r="G312" s="5" t="s">
        <v>1594</v>
      </c>
      <c r="H312" s="5" t="s">
        <v>1594</v>
      </c>
      <c r="I312" s="5" t="s">
        <v>38</v>
      </c>
      <c r="J312" s="5"/>
      <c r="K312" s="5" t="s">
        <v>111</v>
      </c>
      <c r="L312" s="5"/>
      <c r="M312" s="7" t="str">
        <f t="shared" si="3"/>
        <v>OK</v>
      </c>
      <c r="N312" s="7"/>
      <c r="O312" s="7"/>
      <c r="P312" s="7"/>
      <c r="Q312" s="7"/>
      <c r="R312" s="7"/>
      <c r="S312" s="7"/>
      <c r="T312" s="7"/>
      <c r="U312" s="7"/>
      <c r="V312" s="7"/>
      <c r="W312" s="7"/>
      <c r="X312" s="7"/>
      <c r="Y312" s="7"/>
      <c r="Z312" s="7"/>
    </row>
    <row r="313" ht="15.75" customHeight="1">
      <c r="A313" s="8" t="s">
        <v>1595</v>
      </c>
      <c r="B313" s="5" t="s">
        <v>133</v>
      </c>
      <c r="C313" s="5" t="s">
        <v>15</v>
      </c>
      <c r="D313" s="5" t="s">
        <v>1596</v>
      </c>
      <c r="E313" s="5" t="s">
        <v>1597</v>
      </c>
      <c r="F313" s="5" t="s">
        <v>1598</v>
      </c>
      <c r="G313" s="5" t="s">
        <v>1599</v>
      </c>
      <c r="H313" s="5" t="s">
        <v>1598</v>
      </c>
      <c r="I313" s="5" t="s">
        <v>45</v>
      </c>
      <c r="J313" s="5"/>
      <c r="K313" s="5" t="s">
        <v>31</v>
      </c>
      <c r="L313" s="5"/>
      <c r="M313" s="7" t="str">
        <f t="shared" si="3"/>
        <v>OK</v>
      </c>
      <c r="N313" s="7"/>
      <c r="O313" s="7"/>
      <c r="P313" s="7"/>
      <c r="Q313" s="7"/>
      <c r="R313" s="7"/>
      <c r="S313" s="7"/>
      <c r="T313" s="7"/>
      <c r="U313" s="7"/>
      <c r="V313" s="7"/>
      <c r="W313" s="7"/>
      <c r="X313" s="7"/>
      <c r="Y313" s="7"/>
      <c r="Z313" s="7"/>
    </row>
    <row r="314" ht="15.75" customHeight="1">
      <c r="A314" s="8" t="s">
        <v>1600</v>
      </c>
      <c r="B314" s="5" t="s">
        <v>133</v>
      </c>
      <c r="C314" s="5" t="s">
        <v>15</v>
      </c>
      <c r="D314" s="5" t="s">
        <v>1601</v>
      </c>
      <c r="E314" s="5" t="s">
        <v>1602</v>
      </c>
      <c r="F314" s="5" t="s">
        <v>1603</v>
      </c>
      <c r="G314" s="5" t="s">
        <v>1604</v>
      </c>
      <c r="H314" s="5" t="s">
        <v>1602</v>
      </c>
      <c r="I314" s="5" t="s">
        <v>45</v>
      </c>
      <c r="J314" s="5"/>
      <c r="K314" s="5" t="s">
        <v>68</v>
      </c>
      <c r="L314" s="5"/>
      <c r="M314" s="7" t="str">
        <f t="shared" si="3"/>
        <v>OK</v>
      </c>
      <c r="N314" s="7"/>
      <c r="O314" s="7"/>
      <c r="P314" s="7"/>
      <c r="Q314" s="7"/>
      <c r="R314" s="7"/>
      <c r="S314" s="7"/>
      <c r="T314" s="7"/>
      <c r="U314" s="7"/>
      <c r="V314" s="7"/>
      <c r="W314" s="7"/>
      <c r="X314" s="7"/>
      <c r="Y314" s="7"/>
      <c r="Z314" s="7"/>
    </row>
    <row r="315" ht="15.75" customHeight="1">
      <c r="A315" s="8" t="s">
        <v>1605</v>
      </c>
      <c r="B315" s="5" t="s">
        <v>133</v>
      </c>
      <c r="C315" s="5" t="s">
        <v>15</v>
      </c>
      <c r="D315" s="5" t="s">
        <v>1606</v>
      </c>
      <c r="E315" s="5" t="s">
        <v>1607</v>
      </c>
      <c r="F315" s="5" t="s">
        <v>1608</v>
      </c>
      <c r="G315" s="5" t="s">
        <v>1609</v>
      </c>
      <c r="H315" s="5" t="s">
        <v>1607</v>
      </c>
      <c r="I315" s="5" t="s">
        <v>45</v>
      </c>
      <c r="J315" s="5"/>
      <c r="K315" s="5" t="s">
        <v>111</v>
      </c>
      <c r="L315" s="5"/>
      <c r="M315" s="7" t="str">
        <f t="shared" si="3"/>
        <v>OK</v>
      </c>
      <c r="N315" s="7"/>
      <c r="O315" s="7"/>
      <c r="P315" s="7"/>
      <c r="Q315" s="7"/>
      <c r="R315" s="7"/>
      <c r="S315" s="7"/>
      <c r="T315" s="7"/>
      <c r="U315" s="7"/>
      <c r="V315" s="7"/>
      <c r="W315" s="7"/>
      <c r="X315" s="7"/>
      <c r="Y315" s="7"/>
      <c r="Z315" s="7"/>
    </row>
    <row r="316" ht="15.75" customHeight="1">
      <c r="A316" s="8" t="s">
        <v>1610</v>
      </c>
      <c r="B316" s="5" t="s">
        <v>133</v>
      </c>
      <c r="C316" s="5" t="s">
        <v>15</v>
      </c>
      <c r="D316" s="5" t="s">
        <v>1611</v>
      </c>
      <c r="E316" s="5" t="s">
        <v>1612</v>
      </c>
      <c r="F316" s="5" t="s">
        <v>1613</v>
      </c>
      <c r="G316" s="5" t="s">
        <v>1614</v>
      </c>
      <c r="H316" s="5" t="s">
        <v>1612</v>
      </c>
      <c r="I316" s="5" t="s">
        <v>21</v>
      </c>
      <c r="J316" s="5"/>
      <c r="K316" s="5" t="s">
        <v>68</v>
      </c>
      <c r="L316" s="5"/>
      <c r="M316" s="7" t="str">
        <f t="shared" si="3"/>
        <v>OK</v>
      </c>
      <c r="N316" s="7"/>
      <c r="O316" s="7"/>
      <c r="P316" s="7"/>
      <c r="Q316" s="7"/>
      <c r="R316" s="7"/>
      <c r="S316" s="7"/>
      <c r="T316" s="7"/>
      <c r="U316" s="7"/>
      <c r="V316" s="7"/>
      <c r="W316" s="7"/>
      <c r="X316" s="7"/>
      <c r="Y316" s="7"/>
      <c r="Z316" s="7"/>
    </row>
    <row r="317" ht="15.75" customHeight="1">
      <c r="A317" s="8" t="s">
        <v>1615</v>
      </c>
      <c r="B317" s="5" t="s">
        <v>133</v>
      </c>
      <c r="C317" s="5" t="s">
        <v>15</v>
      </c>
      <c r="D317" s="5" t="s">
        <v>1616</v>
      </c>
      <c r="E317" s="5" t="s">
        <v>1617</v>
      </c>
      <c r="F317" s="5" t="s">
        <v>1618</v>
      </c>
      <c r="G317" s="5" t="s">
        <v>1619</v>
      </c>
      <c r="H317" s="5" t="s">
        <v>1619</v>
      </c>
      <c r="I317" s="5" t="s">
        <v>38</v>
      </c>
      <c r="J317" s="5"/>
      <c r="K317" s="5" t="s">
        <v>39</v>
      </c>
      <c r="L317" s="5"/>
      <c r="M317" s="7" t="str">
        <f t="shared" si="3"/>
        <v>OK</v>
      </c>
      <c r="N317" s="7"/>
      <c r="O317" s="7"/>
      <c r="P317" s="7"/>
      <c r="Q317" s="7"/>
      <c r="R317" s="7"/>
      <c r="S317" s="7"/>
      <c r="T317" s="7"/>
      <c r="U317" s="7"/>
      <c r="V317" s="7"/>
      <c r="W317" s="7"/>
      <c r="X317" s="7"/>
      <c r="Y317" s="7"/>
      <c r="Z317" s="7"/>
    </row>
    <row r="318" ht="21.0" customHeight="1">
      <c r="A318" s="8" t="s">
        <v>1620</v>
      </c>
      <c r="B318" s="5" t="s">
        <v>133</v>
      </c>
      <c r="C318" s="5" t="s">
        <v>15</v>
      </c>
      <c r="D318" s="5" t="s">
        <v>1621</v>
      </c>
      <c r="E318" s="5" t="s">
        <v>1622</v>
      </c>
      <c r="F318" s="5" t="s">
        <v>1623</v>
      </c>
      <c r="G318" s="5" t="s">
        <v>1624</v>
      </c>
      <c r="H318" s="5" t="s">
        <v>1623</v>
      </c>
      <c r="I318" s="5" t="s">
        <v>74</v>
      </c>
      <c r="J318" s="5"/>
      <c r="K318" s="5" t="s">
        <v>111</v>
      </c>
      <c r="L318" s="5"/>
      <c r="M318" s="7" t="str">
        <f t="shared" si="3"/>
        <v>OK</v>
      </c>
      <c r="N318" s="7"/>
      <c r="O318" s="7"/>
      <c r="P318" s="7"/>
      <c r="Q318" s="7"/>
      <c r="R318" s="7"/>
      <c r="S318" s="7"/>
      <c r="T318" s="7"/>
      <c r="U318" s="7"/>
      <c r="V318" s="7"/>
      <c r="W318" s="7"/>
      <c r="X318" s="7"/>
      <c r="Y318" s="7"/>
      <c r="Z318" s="7"/>
    </row>
    <row r="319" ht="108.75" customHeight="1">
      <c r="A319" s="20" t="s">
        <v>1625</v>
      </c>
      <c r="B319" s="10" t="s">
        <v>14</v>
      </c>
      <c r="C319" s="21" t="s">
        <v>15</v>
      </c>
      <c r="D319" s="21" t="s">
        <v>1626</v>
      </c>
      <c r="E319" s="21" t="s">
        <v>1627</v>
      </c>
      <c r="F319" s="21" t="s">
        <v>1628</v>
      </c>
      <c r="G319" s="10" t="s">
        <v>1629</v>
      </c>
      <c r="H319" s="10" t="s">
        <v>1629</v>
      </c>
      <c r="I319" s="21" t="s">
        <v>21</v>
      </c>
      <c r="J319" s="10" t="s">
        <v>20</v>
      </c>
      <c r="K319" s="21" t="s">
        <v>23</v>
      </c>
      <c r="L319" s="10" t="s">
        <v>31</v>
      </c>
      <c r="M319" s="21" t="str">
        <f t="shared" si="3"/>
        <v>OK</v>
      </c>
      <c r="N319" s="22"/>
      <c r="O319" s="22"/>
      <c r="P319" s="22"/>
      <c r="Q319" s="22"/>
      <c r="R319" s="22"/>
      <c r="S319" s="22"/>
      <c r="T319" s="22"/>
      <c r="U319" s="22"/>
      <c r="V319" s="22"/>
      <c r="W319" s="22"/>
      <c r="X319" s="22"/>
      <c r="Y319" s="22"/>
      <c r="Z319" s="22"/>
    </row>
    <row r="320" ht="15.75" customHeight="1">
      <c r="A320" s="8" t="s">
        <v>1630</v>
      </c>
      <c r="B320" s="5" t="s">
        <v>14</v>
      </c>
      <c r="C320" s="5" t="s">
        <v>15</v>
      </c>
      <c r="D320" s="8" t="s">
        <v>1631</v>
      </c>
      <c r="E320" s="5" t="s">
        <v>1632</v>
      </c>
      <c r="F320" s="8" t="s">
        <v>1633</v>
      </c>
      <c r="G320" s="8" t="s">
        <v>1634</v>
      </c>
      <c r="H320" s="5" t="s">
        <v>1632</v>
      </c>
      <c r="I320" s="5" t="s">
        <v>38</v>
      </c>
      <c r="J320" s="5" t="s">
        <v>20</v>
      </c>
      <c r="K320" s="5" t="s">
        <v>30</v>
      </c>
      <c r="L320" s="5" t="s">
        <v>31</v>
      </c>
      <c r="M320" s="7" t="str">
        <f t="shared" si="3"/>
        <v>OK</v>
      </c>
      <c r="N320" s="7"/>
      <c r="O320" s="7"/>
      <c r="P320" s="7"/>
      <c r="Q320" s="7"/>
      <c r="R320" s="7"/>
      <c r="S320" s="7"/>
      <c r="T320" s="7"/>
      <c r="U320" s="7"/>
      <c r="V320" s="7"/>
      <c r="W320" s="7"/>
      <c r="X320" s="7"/>
      <c r="Y320" s="7"/>
      <c r="Z320" s="7"/>
    </row>
    <row r="321" ht="15.75" customHeight="1">
      <c r="A321" s="11" t="s">
        <v>1635</v>
      </c>
      <c r="B321" s="5" t="s">
        <v>14</v>
      </c>
      <c r="C321" s="5" t="s">
        <v>15</v>
      </c>
      <c r="D321" s="8" t="s">
        <v>1636</v>
      </c>
      <c r="E321" s="16" t="s">
        <v>1637</v>
      </c>
      <c r="F321" s="5" t="s">
        <v>1638</v>
      </c>
      <c r="G321" s="8" t="s">
        <v>1639</v>
      </c>
      <c r="H321" s="5" t="s">
        <v>1638</v>
      </c>
      <c r="I321" s="5" t="s">
        <v>38</v>
      </c>
      <c r="J321" s="5" t="s">
        <v>20</v>
      </c>
      <c r="K321" s="5" t="s">
        <v>39</v>
      </c>
      <c r="L321" s="5" t="s">
        <v>31</v>
      </c>
      <c r="M321" s="7" t="str">
        <f t="shared" si="3"/>
        <v>OK</v>
      </c>
      <c r="N321" s="7"/>
      <c r="O321" s="7"/>
      <c r="P321" s="7"/>
      <c r="Q321" s="7"/>
      <c r="R321" s="7"/>
      <c r="S321" s="7"/>
      <c r="T321" s="7"/>
      <c r="U321" s="7"/>
      <c r="V321" s="7"/>
      <c r="W321" s="7"/>
      <c r="X321" s="7"/>
      <c r="Y321" s="7"/>
      <c r="Z321" s="7"/>
    </row>
    <row r="322" ht="15.75" customHeight="1">
      <c r="A322" s="11" t="s">
        <v>1640</v>
      </c>
      <c r="B322" s="5" t="s">
        <v>14</v>
      </c>
      <c r="C322" s="5" t="s">
        <v>15</v>
      </c>
      <c r="D322" s="8" t="s">
        <v>1641</v>
      </c>
      <c r="E322" s="8" t="s">
        <v>1642</v>
      </c>
      <c r="F322" s="8" t="s">
        <v>1643</v>
      </c>
      <c r="G322" s="5" t="s">
        <v>1644</v>
      </c>
      <c r="H322" s="5" t="s">
        <v>1644</v>
      </c>
      <c r="I322" s="5" t="s">
        <v>37</v>
      </c>
      <c r="J322" s="5" t="s">
        <v>38</v>
      </c>
      <c r="K322" s="5" t="s">
        <v>22</v>
      </c>
      <c r="L322" s="5" t="s">
        <v>30</v>
      </c>
      <c r="M322" s="7" t="str">
        <f t="shared" si="3"/>
        <v>OK</v>
      </c>
      <c r="N322" s="7"/>
      <c r="O322" s="7"/>
      <c r="P322" s="7"/>
      <c r="Q322" s="7"/>
      <c r="R322" s="7"/>
      <c r="S322" s="7"/>
      <c r="T322" s="7"/>
      <c r="U322" s="7"/>
      <c r="V322" s="7"/>
      <c r="W322" s="7"/>
      <c r="X322" s="7"/>
      <c r="Y322" s="7"/>
      <c r="Z322" s="7"/>
    </row>
    <row r="323" ht="15.75" customHeight="1">
      <c r="A323" s="11" t="s">
        <v>1645</v>
      </c>
      <c r="B323" s="5" t="s">
        <v>14</v>
      </c>
      <c r="C323" s="5" t="s">
        <v>15</v>
      </c>
      <c r="D323" s="8" t="s">
        <v>1646</v>
      </c>
      <c r="E323" s="8" t="s">
        <v>1647</v>
      </c>
      <c r="F323" s="8" t="s">
        <v>1648</v>
      </c>
      <c r="G323" s="5" t="s">
        <v>1649</v>
      </c>
      <c r="H323" s="5" t="s">
        <v>1649</v>
      </c>
      <c r="I323" s="5" t="s">
        <v>74</v>
      </c>
      <c r="J323" s="5" t="s">
        <v>51</v>
      </c>
      <c r="K323" s="5" t="s">
        <v>68</v>
      </c>
      <c r="L323" s="5" t="s">
        <v>52</v>
      </c>
      <c r="M323" s="7" t="str">
        <f t="shared" si="3"/>
        <v>OK</v>
      </c>
      <c r="N323" s="7"/>
      <c r="O323" s="7"/>
      <c r="P323" s="7"/>
      <c r="Q323" s="7"/>
      <c r="R323" s="7"/>
      <c r="S323" s="7"/>
      <c r="T323" s="7"/>
      <c r="U323" s="7"/>
      <c r="V323" s="7"/>
      <c r="W323" s="7"/>
      <c r="X323" s="7"/>
      <c r="Y323" s="7"/>
      <c r="Z323" s="7"/>
    </row>
    <row r="324" ht="15.75" customHeight="1">
      <c r="A324" s="11" t="s">
        <v>1650</v>
      </c>
      <c r="B324" s="5" t="s">
        <v>14</v>
      </c>
      <c r="C324" s="5" t="s">
        <v>15</v>
      </c>
      <c r="D324" s="8" t="s">
        <v>1651</v>
      </c>
      <c r="E324" s="8" t="s">
        <v>1652</v>
      </c>
      <c r="F324" s="5" t="s">
        <v>1653</v>
      </c>
      <c r="G324" s="8" t="s">
        <v>1654</v>
      </c>
      <c r="H324" s="5" t="s">
        <v>1653</v>
      </c>
      <c r="I324" s="5" t="s">
        <v>21</v>
      </c>
      <c r="J324" s="5" t="s">
        <v>45</v>
      </c>
      <c r="K324" s="5" t="s">
        <v>23</v>
      </c>
      <c r="L324" s="5" t="s">
        <v>39</v>
      </c>
      <c r="M324" s="7" t="str">
        <f t="shared" si="3"/>
        <v>OK</v>
      </c>
      <c r="N324" s="7"/>
      <c r="O324" s="7"/>
      <c r="P324" s="7"/>
      <c r="Q324" s="7"/>
      <c r="R324" s="7"/>
      <c r="S324" s="7"/>
      <c r="T324" s="7"/>
      <c r="U324" s="7"/>
      <c r="V324" s="7"/>
      <c r="W324" s="7"/>
      <c r="X324" s="7"/>
      <c r="Y324" s="7"/>
      <c r="Z324" s="7"/>
    </row>
    <row r="325" ht="15.75" customHeight="1">
      <c r="A325" s="11" t="s">
        <v>1655</v>
      </c>
      <c r="B325" s="5" t="s">
        <v>14</v>
      </c>
      <c r="C325" s="5" t="s">
        <v>15</v>
      </c>
      <c r="D325" s="8" t="s">
        <v>1656</v>
      </c>
      <c r="E325" s="8" t="s">
        <v>1657</v>
      </c>
      <c r="F325" s="5" t="s">
        <v>1658</v>
      </c>
      <c r="G325" s="8" t="s">
        <v>1659</v>
      </c>
      <c r="H325" s="5" t="s">
        <v>1658</v>
      </c>
      <c r="I325" s="5" t="s">
        <v>51</v>
      </c>
      <c r="J325" s="5" t="s">
        <v>20</v>
      </c>
      <c r="K325" s="5" t="s">
        <v>30</v>
      </c>
      <c r="L325" s="5" t="s">
        <v>31</v>
      </c>
      <c r="M325" s="7" t="str">
        <f t="shared" si="3"/>
        <v>OK</v>
      </c>
      <c r="N325" s="7"/>
      <c r="O325" s="7"/>
      <c r="P325" s="7"/>
      <c r="Q325" s="7"/>
      <c r="R325" s="7"/>
      <c r="S325" s="7"/>
      <c r="T325" s="7"/>
      <c r="U325" s="7"/>
      <c r="V325" s="7"/>
      <c r="W325" s="7"/>
      <c r="X325" s="7"/>
      <c r="Y325" s="7"/>
      <c r="Z325" s="7"/>
    </row>
    <row r="326" ht="15.75" customHeight="1">
      <c r="A326" s="11" t="s">
        <v>1660</v>
      </c>
      <c r="B326" s="5" t="s">
        <v>14</v>
      </c>
      <c r="C326" s="5" t="s">
        <v>15</v>
      </c>
      <c r="D326" s="8" t="s">
        <v>1661</v>
      </c>
      <c r="E326" s="8" t="s">
        <v>1662</v>
      </c>
      <c r="F326" s="5" t="s">
        <v>1663</v>
      </c>
      <c r="G326" s="8" t="s">
        <v>1664</v>
      </c>
      <c r="H326" s="5" t="s">
        <v>1663</v>
      </c>
      <c r="I326" s="5" t="s">
        <v>51</v>
      </c>
      <c r="J326" s="5" t="s">
        <v>45</v>
      </c>
      <c r="K326" s="5" t="s">
        <v>39</v>
      </c>
      <c r="L326" s="5" t="s">
        <v>31</v>
      </c>
      <c r="M326" s="7" t="str">
        <f t="shared" si="3"/>
        <v>OK</v>
      </c>
      <c r="N326" s="7"/>
      <c r="O326" s="7"/>
      <c r="P326" s="7"/>
      <c r="Q326" s="7"/>
      <c r="R326" s="7"/>
      <c r="S326" s="7"/>
      <c r="T326" s="7"/>
      <c r="U326" s="7"/>
      <c r="V326" s="7"/>
      <c r="W326" s="7"/>
      <c r="X326" s="7"/>
      <c r="Y326" s="7"/>
      <c r="Z326" s="7"/>
    </row>
    <row r="327" ht="15.75" customHeight="1">
      <c r="A327" s="11" t="s">
        <v>1665</v>
      </c>
      <c r="B327" s="5" t="s">
        <v>14</v>
      </c>
      <c r="C327" s="5" t="s">
        <v>15</v>
      </c>
      <c r="D327" s="8" t="s">
        <v>1666</v>
      </c>
      <c r="E327" s="8" t="s">
        <v>1666</v>
      </c>
      <c r="F327" s="8" t="s">
        <v>1667</v>
      </c>
      <c r="G327" s="8" t="s">
        <v>1668</v>
      </c>
      <c r="H327" s="5" t="s">
        <v>1669</v>
      </c>
      <c r="I327" s="5" t="s">
        <v>21</v>
      </c>
      <c r="J327" s="5" t="s">
        <v>20</v>
      </c>
      <c r="K327" s="5" t="s">
        <v>75</v>
      </c>
      <c r="L327" s="5" t="s">
        <v>39</v>
      </c>
      <c r="M327" s="7" t="str">
        <f t="shared" si="3"/>
        <v>OK</v>
      </c>
      <c r="N327" s="7"/>
      <c r="O327" s="7"/>
      <c r="P327" s="7"/>
      <c r="Q327" s="7"/>
      <c r="R327" s="7"/>
      <c r="S327" s="7"/>
      <c r="T327" s="7"/>
      <c r="U327" s="7"/>
      <c r="V327" s="7"/>
      <c r="W327" s="7"/>
      <c r="X327" s="7"/>
      <c r="Y327" s="7"/>
      <c r="Z327" s="7"/>
    </row>
    <row r="328" ht="15.75" customHeight="1">
      <c r="A328" s="11" t="s">
        <v>1670</v>
      </c>
      <c r="B328" s="5" t="s">
        <v>14</v>
      </c>
      <c r="C328" s="5" t="s">
        <v>15</v>
      </c>
      <c r="D328" s="8" t="s">
        <v>1671</v>
      </c>
      <c r="E328" s="8" t="s">
        <v>1672</v>
      </c>
      <c r="F328" s="5" t="s">
        <v>1673</v>
      </c>
      <c r="G328" s="8" t="s">
        <v>1674</v>
      </c>
      <c r="H328" s="5" t="s">
        <v>1673</v>
      </c>
      <c r="I328" s="5" t="s">
        <v>51</v>
      </c>
      <c r="J328" s="5" t="s">
        <v>37</v>
      </c>
      <c r="K328" s="5" t="s">
        <v>31</v>
      </c>
      <c r="L328" s="5" t="s">
        <v>39</v>
      </c>
      <c r="M328" s="7" t="str">
        <f t="shared" si="3"/>
        <v>OK</v>
      </c>
      <c r="N328" s="7"/>
      <c r="O328" s="7"/>
      <c r="P328" s="7"/>
      <c r="Q328" s="7"/>
      <c r="R328" s="7"/>
      <c r="S328" s="7"/>
      <c r="T328" s="7"/>
      <c r="U328" s="7"/>
      <c r="V328" s="7"/>
      <c r="W328" s="7"/>
      <c r="X328" s="7"/>
      <c r="Y328" s="7"/>
      <c r="Z328" s="7"/>
    </row>
    <row r="329" ht="15.75" customHeight="1">
      <c r="A329" s="11" t="s">
        <v>1675</v>
      </c>
      <c r="B329" s="5" t="s">
        <v>14</v>
      </c>
      <c r="C329" s="5" t="s">
        <v>15</v>
      </c>
      <c r="D329" s="8" t="s">
        <v>1676</v>
      </c>
      <c r="E329" s="5" t="s">
        <v>1677</v>
      </c>
      <c r="F329" s="8" t="s">
        <v>1678</v>
      </c>
      <c r="G329" s="8" t="s">
        <v>1679</v>
      </c>
      <c r="H329" s="5" t="s">
        <v>1677</v>
      </c>
      <c r="I329" s="5" t="s">
        <v>21</v>
      </c>
      <c r="J329" s="5" t="s">
        <v>51</v>
      </c>
      <c r="K329" s="5" t="s">
        <v>111</v>
      </c>
      <c r="L329" s="5" t="s">
        <v>30</v>
      </c>
      <c r="M329" s="7" t="str">
        <f t="shared" si="3"/>
        <v>OK</v>
      </c>
      <c r="N329" s="7"/>
      <c r="O329" s="7"/>
      <c r="P329" s="7"/>
      <c r="Q329" s="7"/>
      <c r="R329" s="7"/>
      <c r="S329" s="7"/>
      <c r="T329" s="7"/>
      <c r="U329" s="7"/>
      <c r="V329" s="7"/>
      <c r="W329" s="7"/>
      <c r="X329" s="7"/>
      <c r="Y329" s="7"/>
      <c r="Z329" s="7"/>
    </row>
    <row r="330" ht="15.75" customHeight="1">
      <c r="A330" s="11" t="s">
        <v>1680</v>
      </c>
      <c r="B330" s="5" t="s">
        <v>14</v>
      </c>
      <c r="C330" s="5" t="s">
        <v>15</v>
      </c>
      <c r="D330" s="8" t="s">
        <v>1681</v>
      </c>
      <c r="E330" s="8" t="s">
        <v>1682</v>
      </c>
      <c r="F330" s="8" t="s">
        <v>1683</v>
      </c>
      <c r="G330" s="5" t="s">
        <v>1684</v>
      </c>
      <c r="H330" s="5" t="s">
        <v>1684</v>
      </c>
      <c r="I330" s="5" t="s">
        <v>38</v>
      </c>
      <c r="J330" s="5" t="s">
        <v>37</v>
      </c>
      <c r="K330" s="5" t="s">
        <v>75</v>
      </c>
      <c r="L330" s="5" t="s">
        <v>31</v>
      </c>
      <c r="M330" s="7" t="str">
        <f t="shared" si="3"/>
        <v>OK</v>
      </c>
      <c r="N330" s="7"/>
      <c r="O330" s="7"/>
      <c r="P330" s="7"/>
      <c r="Q330" s="7"/>
      <c r="R330" s="7"/>
      <c r="S330" s="7"/>
      <c r="T330" s="7"/>
      <c r="U330" s="7"/>
      <c r="V330" s="7"/>
      <c r="W330" s="7"/>
      <c r="X330" s="7"/>
      <c r="Y330" s="7"/>
      <c r="Z330" s="7"/>
    </row>
    <row r="331" ht="15.75" customHeight="1">
      <c r="A331" s="11" t="s">
        <v>1685</v>
      </c>
      <c r="B331" s="5" t="s">
        <v>14</v>
      </c>
      <c r="C331" s="5" t="s">
        <v>15</v>
      </c>
      <c r="D331" s="8" t="s">
        <v>1686</v>
      </c>
      <c r="E331" s="8" t="s">
        <v>1687</v>
      </c>
      <c r="F331" s="8" t="s">
        <v>1688</v>
      </c>
      <c r="G331" s="5" t="s">
        <v>1689</v>
      </c>
      <c r="H331" s="5" t="s">
        <v>1689</v>
      </c>
      <c r="I331" s="5" t="s">
        <v>21</v>
      </c>
      <c r="J331" s="5" t="s">
        <v>37</v>
      </c>
      <c r="K331" s="5" t="s">
        <v>22</v>
      </c>
      <c r="L331" s="5" t="s">
        <v>30</v>
      </c>
      <c r="M331" s="7" t="str">
        <f t="shared" si="3"/>
        <v>OK</v>
      </c>
      <c r="N331" s="7"/>
      <c r="O331" s="7"/>
      <c r="P331" s="7"/>
      <c r="Q331" s="7"/>
      <c r="R331" s="7"/>
      <c r="S331" s="7"/>
      <c r="T331" s="7"/>
      <c r="U331" s="7"/>
      <c r="V331" s="7"/>
      <c r="W331" s="7"/>
      <c r="X331" s="7"/>
      <c r="Y331" s="7"/>
      <c r="Z331" s="7"/>
    </row>
    <row r="332" ht="15.75" customHeight="1">
      <c r="A332" s="23" t="s">
        <v>1690</v>
      </c>
      <c r="B332" s="13" t="s">
        <v>14</v>
      </c>
      <c r="C332" s="13" t="s">
        <v>15</v>
      </c>
      <c r="D332" s="4" t="s">
        <v>1691</v>
      </c>
      <c r="E332" s="4" t="s">
        <v>1692</v>
      </c>
      <c r="F332" s="4" t="s">
        <v>1693</v>
      </c>
      <c r="G332" s="13" t="s">
        <v>1694</v>
      </c>
      <c r="H332" s="13" t="s">
        <v>1694</v>
      </c>
      <c r="I332" s="13" t="s">
        <v>20</v>
      </c>
      <c r="J332" s="13" t="s">
        <v>74</v>
      </c>
      <c r="K332" s="13" t="s">
        <v>22</v>
      </c>
      <c r="L332" s="13" t="s">
        <v>31</v>
      </c>
      <c r="M332" s="15" t="str">
        <f t="shared" si="3"/>
        <v>OK</v>
      </c>
      <c r="N332" s="15"/>
      <c r="O332" s="15"/>
      <c r="P332" s="15"/>
      <c r="Q332" s="15"/>
      <c r="R332" s="15"/>
      <c r="S332" s="15"/>
      <c r="T332" s="15"/>
      <c r="U332" s="15"/>
      <c r="V332" s="15"/>
      <c r="W332" s="15"/>
      <c r="X332" s="15"/>
      <c r="Y332" s="15"/>
      <c r="Z332" s="15"/>
    </row>
    <row r="333" ht="15.75" customHeight="1">
      <c r="A333" s="11" t="s">
        <v>1695</v>
      </c>
      <c r="B333" s="5" t="s">
        <v>14</v>
      </c>
      <c r="C333" s="5" t="s">
        <v>15</v>
      </c>
      <c r="D333" s="8" t="s">
        <v>1696</v>
      </c>
      <c r="E333" s="8" t="s">
        <v>1697</v>
      </c>
      <c r="F333" s="8" t="s">
        <v>1698</v>
      </c>
      <c r="G333" s="5" t="s">
        <v>1699</v>
      </c>
      <c r="H333" s="5" t="s">
        <v>1699</v>
      </c>
      <c r="I333" s="5" t="s">
        <v>51</v>
      </c>
      <c r="J333" s="5" t="s">
        <v>21</v>
      </c>
      <c r="K333" s="5" t="s">
        <v>22</v>
      </c>
      <c r="L333" s="5" t="s">
        <v>23</v>
      </c>
      <c r="M333" s="7" t="str">
        <f t="shared" si="3"/>
        <v>OK</v>
      </c>
      <c r="N333" s="7"/>
      <c r="O333" s="7"/>
      <c r="P333" s="7"/>
      <c r="Q333" s="7"/>
      <c r="R333" s="7"/>
      <c r="S333" s="7"/>
      <c r="T333" s="7"/>
      <c r="U333" s="7"/>
      <c r="V333" s="7"/>
      <c r="W333" s="7"/>
      <c r="X333" s="7"/>
      <c r="Y333" s="7"/>
      <c r="Z333" s="7"/>
    </row>
    <row r="334" ht="15.75" customHeight="1">
      <c r="A334" s="23" t="s">
        <v>1700</v>
      </c>
      <c r="B334" s="13" t="s">
        <v>14</v>
      </c>
      <c r="C334" s="13" t="s">
        <v>15</v>
      </c>
      <c r="D334" s="4" t="s">
        <v>1701</v>
      </c>
      <c r="E334" s="4" t="s">
        <v>1702</v>
      </c>
      <c r="F334" s="4" t="s">
        <v>1703</v>
      </c>
      <c r="G334" s="13" t="s">
        <v>1704</v>
      </c>
      <c r="H334" s="13" t="s">
        <v>1704</v>
      </c>
      <c r="I334" s="13" t="s">
        <v>74</v>
      </c>
      <c r="J334" s="13" t="s">
        <v>37</v>
      </c>
      <c r="K334" s="13" t="s">
        <v>52</v>
      </c>
      <c r="L334" s="13" t="s">
        <v>39</v>
      </c>
      <c r="M334" s="15" t="str">
        <f t="shared" si="3"/>
        <v>OK</v>
      </c>
      <c r="N334" s="15"/>
      <c r="O334" s="15"/>
      <c r="P334" s="15"/>
      <c r="Q334" s="15"/>
      <c r="R334" s="15"/>
      <c r="S334" s="15"/>
      <c r="T334" s="15"/>
      <c r="U334" s="15"/>
      <c r="V334" s="15"/>
      <c r="W334" s="15"/>
      <c r="X334" s="15"/>
      <c r="Y334" s="15"/>
      <c r="Z334" s="15"/>
    </row>
    <row r="335" ht="15.75" customHeight="1">
      <c r="A335" s="11" t="s">
        <v>1705</v>
      </c>
      <c r="B335" s="5" t="s">
        <v>14</v>
      </c>
      <c r="C335" s="5" t="s">
        <v>15</v>
      </c>
      <c r="D335" s="8" t="s">
        <v>1706</v>
      </c>
      <c r="E335" s="8" t="s">
        <v>1707</v>
      </c>
      <c r="F335" s="8" t="s">
        <v>1708</v>
      </c>
      <c r="G335" s="5" t="s">
        <v>1709</v>
      </c>
      <c r="H335" s="5" t="s">
        <v>1709</v>
      </c>
      <c r="I335" s="5" t="s">
        <v>38</v>
      </c>
      <c r="J335" s="5" t="s">
        <v>37</v>
      </c>
      <c r="K335" s="5" t="s">
        <v>39</v>
      </c>
      <c r="L335" s="5" t="s">
        <v>23</v>
      </c>
      <c r="M335" s="7" t="str">
        <f t="shared" si="3"/>
        <v>OK</v>
      </c>
      <c r="N335" s="7"/>
      <c r="O335" s="7"/>
      <c r="P335" s="7"/>
      <c r="Q335" s="7"/>
      <c r="R335" s="7"/>
      <c r="S335" s="7"/>
      <c r="T335" s="7"/>
      <c r="U335" s="7"/>
      <c r="V335" s="7"/>
      <c r="W335" s="7"/>
      <c r="X335" s="7"/>
      <c r="Y335" s="7"/>
      <c r="Z335" s="7"/>
    </row>
    <row r="336" ht="15.75" customHeight="1">
      <c r="A336" s="11" t="s">
        <v>1710</v>
      </c>
      <c r="B336" s="5" t="s">
        <v>14</v>
      </c>
      <c r="C336" s="5" t="s">
        <v>15</v>
      </c>
      <c r="D336" s="8" t="s">
        <v>1711</v>
      </c>
      <c r="E336" s="5" t="s">
        <v>1712</v>
      </c>
      <c r="F336" s="8" t="s">
        <v>1713</v>
      </c>
      <c r="G336" s="8" t="s">
        <v>1714</v>
      </c>
      <c r="H336" s="5" t="s">
        <v>1712</v>
      </c>
      <c r="I336" s="5" t="s">
        <v>51</v>
      </c>
      <c r="J336" s="5" t="s">
        <v>37</v>
      </c>
      <c r="K336" s="5" t="s">
        <v>23</v>
      </c>
      <c r="L336" s="5" t="s">
        <v>39</v>
      </c>
      <c r="M336" s="7" t="str">
        <f t="shared" si="3"/>
        <v>OK</v>
      </c>
      <c r="N336" s="7"/>
      <c r="O336" s="7"/>
      <c r="P336" s="7"/>
      <c r="Q336" s="7"/>
      <c r="R336" s="7"/>
      <c r="S336" s="7"/>
      <c r="T336" s="7"/>
      <c r="U336" s="7"/>
      <c r="V336" s="7"/>
      <c r="W336" s="7"/>
      <c r="X336" s="7"/>
      <c r="Y336" s="7"/>
      <c r="Z336" s="7"/>
    </row>
    <row r="337" ht="15.75" customHeight="1">
      <c r="A337" s="11" t="s">
        <v>1715</v>
      </c>
      <c r="B337" s="5" t="s">
        <v>14</v>
      </c>
      <c r="C337" s="5" t="s">
        <v>15</v>
      </c>
      <c r="D337" s="8" t="s">
        <v>1716</v>
      </c>
      <c r="E337" s="5" t="s">
        <v>1717</v>
      </c>
      <c r="F337" s="8" t="s">
        <v>1718</v>
      </c>
      <c r="G337" s="8" t="s">
        <v>1719</v>
      </c>
      <c r="H337" s="5" t="s">
        <v>1717</v>
      </c>
      <c r="I337" s="5" t="s">
        <v>37</v>
      </c>
      <c r="J337" s="5" t="s">
        <v>74</v>
      </c>
      <c r="K337" s="5" t="s">
        <v>23</v>
      </c>
      <c r="L337" s="5" t="s">
        <v>39</v>
      </c>
      <c r="M337" s="7" t="str">
        <f t="shared" si="3"/>
        <v>OK</v>
      </c>
      <c r="N337" s="7"/>
      <c r="O337" s="7"/>
      <c r="P337" s="7"/>
      <c r="Q337" s="7"/>
      <c r="R337" s="7"/>
      <c r="S337" s="7"/>
      <c r="T337" s="7"/>
      <c r="U337" s="7"/>
      <c r="V337" s="7"/>
      <c r="W337" s="7"/>
      <c r="X337" s="7"/>
      <c r="Y337" s="7"/>
      <c r="Z337" s="7"/>
    </row>
    <row r="338" ht="15.75" customHeight="1">
      <c r="A338" s="11" t="s">
        <v>1720</v>
      </c>
      <c r="B338" s="5" t="s">
        <v>14</v>
      </c>
      <c r="C338" s="5" t="s">
        <v>15</v>
      </c>
      <c r="D338" s="8" t="s">
        <v>1721</v>
      </c>
      <c r="E338" s="8" t="s">
        <v>1722</v>
      </c>
      <c r="F338" s="8" t="s">
        <v>1723</v>
      </c>
      <c r="G338" s="5" t="s">
        <v>1724</v>
      </c>
      <c r="H338" s="5" t="s">
        <v>1724</v>
      </c>
      <c r="I338" s="5" t="s">
        <v>51</v>
      </c>
      <c r="J338" s="5" t="s">
        <v>74</v>
      </c>
      <c r="K338" s="5" t="s">
        <v>23</v>
      </c>
      <c r="L338" s="5" t="s">
        <v>31</v>
      </c>
      <c r="M338" s="7" t="str">
        <f t="shared" si="3"/>
        <v>OK</v>
      </c>
      <c r="N338" s="7"/>
      <c r="O338" s="7"/>
      <c r="P338" s="7"/>
      <c r="Q338" s="7"/>
      <c r="R338" s="7"/>
      <c r="S338" s="7"/>
      <c r="T338" s="7"/>
      <c r="U338" s="7"/>
      <c r="V338" s="7"/>
      <c r="W338" s="7"/>
      <c r="X338" s="7"/>
      <c r="Y338" s="7"/>
      <c r="Z338" s="7"/>
    </row>
    <row r="339" ht="15.75" customHeight="1">
      <c r="A339" s="11" t="s">
        <v>1725</v>
      </c>
      <c r="B339" s="5" t="s">
        <v>14</v>
      </c>
      <c r="C339" s="5" t="s">
        <v>15</v>
      </c>
      <c r="D339" s="8" t="s">
        <v>1726</v>
      </c>
      <c r="E339" s="8" t="s">
        <v>1727</v>
      </c>
      <c r="F339" s="5" t="s">
        <v>1728</v>
      </c>
      <c r="G339" s="8" t="s">
        <v>1729</v>
      </c>
      <c r="H339" s="5" t="s">
        <v>1728</v>
      </c>
      <c r="I339" s="5" t="s">
        <v>37</v>
      </c>
      <c r="J339" s="5" t="s">
        <v>29</v>
      </c>
      <c r="K339" s="5" t="s">
        <v>111</v>
      </c>
      <c r="L339" s="5" t="s">
        <v>22</v>
      </c>
      <c r="M339" s="7" t="str">
        <f t="shared" si="3"/>
        <v>OK</v>
      </c>
      <c r="N339" s="7"/>
      <c r="O339" s="7"/>
      <c r="P339" s="7"/>
      <c r="Q339" s="7"/>
      <c r="R339" s="7"/>
      <c r="S339" s="7"/>
      <c r="T339" s="7"/>
      <c r="U339" s="7"/>
      <c r="V339" s="7"/>
      <c r="W339" s="7"/>
      <c r="X339" s="7"/>
      <c r="Y339" s="7"/>
      <c r="Z339" s="7"/>
    </row>
    <row r="340" ht="15.75" customHeight="1">
      <c r="A340" s="11" t="s">
        <v>1730</v>
      </c>
      <c r="B340" s="5" t="s">
        <v>14</v>
      </c>
      <c r="C340" s="5" t="s">
        <v>15</v>
      </c>
      <c r="D340" s="8" t="s">
        <v>1731</v>
      </c>
      <c r="E340" s="5" t="s">
        <v>1732</v>
      </c>
      <c r="F340" s="8" t="s">
        <v>1733</v>
      </c>
      <c r="G340" s="8" t="s">
        <v>1734</v>
      </c>
      <c r="H340" s="5" t="s">
        <v>1732</v>
      </c>
      <c r="I340" s="5" t="s">
        <v>37</v>
      </c>
      <c r="J340" s="5" t="s">
        <v>51</v>
      </c>
      <c r="K340" s="5" t="s">
        <v>22</v>
      </c>
      <c r="L340" s="5" t="s">
        <v>31</v>
      </c>
      <c r="M340" s="7" t="str">
        <f t="shared" si="3"/>
        <v>OK</v>
      </c>
      <c r="N340" s="7"/>
      <c r="O340" s="7"/>
      <c r="P340" s="7"/>
      <c r="Q340" s="7"/>
      <c r="R340" s="7"/>
      <c r="S340" s="7"/>
      <c r="T340" s="7"/>
      <c r="U340" s="7"/>
      <c r="V340" s="7"/>
      <c r="W340" s="7"/>
      <c r="X340" s="7"/>
      <c r="Y340" s="7"/>
      <c r="Z340" s="7"/>
    </row>
    <row r="341" ht="15.75" customHeight="1">
      <c r="A341" s="11" t="s">
        <v>1735</v>
      </c>
      <c r="B341" s="5" t="s">
        <v>14</v>
      </c>
      <c r="C341" s="5" t="s">
        <v>15</v>
      </c>
      <c r="D341" s="8" t="s">
        <v>1736</v>
      </c>
      <c r="E341" s="8" t="s">
        <v>1737</v>
      </c>
      <c r="F341" s="8" t="s">
        <v>1738</v>
      </c>
      <c r="G341" s="5" t="s">
        <v>1739</v>
      </c>
      <c r="H341" s="5" t="s">
        <v>1739</v>
      </c>
      <c r="I341" s="5" t="s">
        <v>51</v>
      </c>
      <c r="J341" s="5" t="s">
        <v>37</v>
      </c>
      <c r="K341" s="5" t="s">
        <v>31</v>
      </c>
      <c r="L341" s="5" t="s">
        <v>39</v>
      </c>
      <c r="M341" s="7" t="str">
        <f t="shared" si="3"/>
        <v>OK</v>
      </c>
      <c r="N341" s="7"/>
      <c r="O341" s="7"/>
      <c r="P341" s="7"/>
      <c r="Q341" s="7"/>
      <c r="R341" s="7"/>
      <c r="S341" s="7"/>
      <c r="T341" s="7"/>
      <c r="U341" s="7"/>
      <c r="V341" s="7"/>
      <c r="W341" s="7"/>
      <c r="X341" s="7"/>
      <c r="Y341" s="7"/>
      <c r="Z341" s="7"/>
    </row>
    <row r="342" ht="15.75" customHeight="1">
      <c r="A342" s="11" t="s">
        <v>1740</v>
      </c>
      <c r="B342" s="5" t="s">
        <v>14</v>
      </c>
      <c r="C342" s="5" t="s">
        <v>15</v>
      </c>
      <c r="D342" s="8" t="s">
        <v>1741</v>
      </c>
      <c r="E342" s="8" t="s">
        <v>1742</v>
      </c>
      <c r="F342" s="8" t="s">
        <v>1743</v>
      </c>
      <c r="G342" s="5" t="s">
        <v>1744</v>
      </c>
      <c r="H342" s="5" t="s">
        <v>1744</v>
      </c>
      <c r="I342" s="5" t="s">
        <v>21</v>
      </c>
      <c r="J342" s="5" t="s">
        <v>45</v>
      </c>
      <c r="K342" s="5" t="s">
        <v>22</v>
      </c>
      <c r="L342" s="5" t="s">
        <v>52</v>
      </c>
      <c r="M342" s="7" t="str">
        <f t="shared" si="3"/>
        <v>OK</v>
      </c>
      <c r="N342" s="7"/>
      <c r="O342" s="7"/>
      <c r="P342" s="7"/>
      <c r="Q342" s="7"/>
      <c r="R342" s="7"/>
      <c r="S342" s="7"/>
      <c r="T342" s="7"/>
      <c r="U342" s="7"/>
      <c r="V342" s="7"/>
      <c r="W342" s="7"/>
      <c r="X342" s="7"/>
      <c r="Y342" s="7"/>
      <c r="Z342" s="7"/>
    </row>
    <row r="343" ht="15.75" customHeight="1">
      <c r="A343" s="11" t="s">
        <v>1745</v>
      </c>
      <c r="B343" s="5" t="s">
        <v>14</v>
      </c>
      <c r="C343" s="5" t="s">
        <v>15</v>
      </c>
      <c r="D343" s="8" t="s">
        <v>1746</v>
      </c>
      <c r="E343" s="8" t="s">
        <v>1747</v>
      </c>
      <c r="F343" s="8" t="s">
        <v>1748</v>
      </c>
      <c r="G343" s="8" t="s">
        <v>1749</v>
      </c>
      <c r="H343" s="5" t="s">
        <v>1750</v>
      </c>
      <c r="I343" s="5" t="s">
        <v>37</v>
      </c>
      <c r="J343" s="5" t="s">
        <v>38</v>
      </c>
      <c r="K343" s="5" t="s">
        <v>30</v>
      </c>
      <c r="L343" s="5" t="s">
        <v>31</v>
      </c>
      <c r="M343" s="7" t="str">
        <f t="shared" si="3"/>
        <v>OK</v>
      </c>
      <c r="N343" s="7"/>
      <c r="O343" s="7"/>
      <c r="P343" s="7"/>
      <c r="Q343" s="7"/>
      <c r="R343" s="7"/>
      <c r="S343" s="7"/>
      <c r="T343" s="7"/>
      <c r="U343" s="7"/>
      <c r="V343" s="7"/>
      <c r="W343" s="7"/>
      <c r="X343" s="7"/>
      <c r="Y343" s="7"/>
      <c r="Z343" s="7"/>
    </row>
    <row r="344" ht="15.75" customHeight="1">
      <c r="A344" s="23" t="s">
        <v>1751</v>
      </c>
      <c r="B344" s="13" t="s">
        <v>14</v>
      </c>
      <c r="C344" s="13" t="s">
        <v>15</v>
      </c>
      <c r="D344" s="4" t="s">
        <v>1752</v>
      </c>
      <c r="E344" s="13" t="s">
        <v>1753</v>
      </c>
      <c r="F344" s="24" t="s">
        <v>1754</v>
      </c>
      <c r="G344" s="4" t="s">
        <v>1755</v>
      </c>
      <c r="H344" s="13" t="s">
        <v>1753</v>
      </c>
      <c r="I344" s="13" t="s">
        <v>20</v>
      </c>
      <c r="J344" s="13" t="s">
        <v>45</v>
      </c>
      <c r="K344" s="13" t="s">
        <v>31</v>
      </c>
      <c r="L344" s="13" t="s">
        <v>30</v>
      </c>
      <c r="M344" s="15" t="str">
        <f t="shared" si="3"/>
        <v>OK</v>
      </c>
      <c r="N344" s="15"/>
      <c r="O344" s="15"/>
      <c r="P344" s="15"/>
      <c r="Q344" s="15"/>
      <c r="R344" s="15"/>
      <c r="S344" s="15"/>
      <c r="T344" s="15"/>
      <c r="U344" s="15"/>
      <c r="V344" s="15"/>
      <c r="W344" s="15"/>
      <c r="X344" s="15"/>
      <c r="Y344" s="15"/>
      <c r="Z344" s="15"/>
    </row>
    <row r="345" ht="15.75" customHeight="1">
      <c r="A345" s="11" t="s">
        <v>1756</v>
      </c>
      <c r="B345" s="5" t="s">
        <v>14</v>
      </c>
      <c r="C345" s="5" t="s">
        <v>15</v>
      </c>
      <c r="D345" s="8" t="s">
        <v>1757</v>
      </c>
      <c r="E345" s="8" t="s">
        <v>1758</v>
      </c>
      <c r="F345" s="8" t="s">
        <v>1759</v>
      </c>
      <c r="G345" s="5" t="s">
        <v>1760</v>
      </c>
      <c r="H345" s="5" t="s">
        <v>1760</v>
      </c>
      <c r="I345" s="5" t="s">
        <v>29</v>
      </c>
      <c r="J345" s="5" t="s">
        <v>20</v>
      </c>
      <c r="K345" s="5" t="s">
        <v>68</v>
      </c>
      <c r="L345" s="5" t="s">
        <v>75</v>
      </c>
      <c r="M345" s="7" t="str">
        <f t="shared" si="3"/>
        <v>OK</v>
      </c>
      <c r="N345" s="7"/>
      <c r="O345" s="7"/>
      <c r="P345" s="7"/>
      <c r="Q345" s="7"/>
      <c r="R345" s="7"/>
      <c r="S345" s="7"/>
      <c r="T345" s="7"/>
      <c r="U345" s="7"/>
      <c r="V345" s="7"/>
      <c r="W345" s="7"/>
      <c r="X345" s="7"/>
      <c r="Y345" s="7"/>
      <c r="Z345" s="7"/>
    </row>
    <row r="346" ht="15.75" customHeight="1">
      <c r="A346" s="11" t="s">
        <v>1761</v>
      </c>
      <c r="B346" s="5" t="s">
        <v>14</v>
      </c>
      <c r="C346" s="5" t="s">
        <v>15</v>
      </c>
      <c r="D346" s="8" t="s">
        <v>1762</v>
      </c>
      <c r="E346" s="8" t="s">
        <v>1763</v>
      </c>
      <c r="F346" s="5" t="s">
        <v>1764</v>
      </c>
      <c r="G346" s="8" t="s">
        <v>1765</v>
      </c>
      <c r="H346" s="5" t="s">
        <v>1764</v>
      </c>
      <c r="I346" s="5" t="s">
        <v>45</v>
      </c>
      <c r="J346" s="5" t="s">
        <v>20</v>
      </c>
      <c r="K346" s="5" t="s">
        <v>75</v>
      </c>
      <c r="L346" s="5" t="s">
        <v>23</v>
      </c>
      <c r="M346" s="7" t="str">
        <f t="shared" si="3"/>
        <v>OK</v>
      </c>
      <c r="N346" s="7"/>
      <c r="O346" s="7"/>
      <c r="P346" s="7"/>
      <c r="Q346" s="7"/>
      <c r="R346" s="7"/>
      <c r="S346" s="7"/>
      <c r="T346" s="7"/>
      <c r="U346" s="7"/>
      <c r="V346" s="7"/>
      <c r="W346" s="7"/>
      <c r="X346" s="7"/>
      <c r="Y346" s="7"/>
      <c r="Z346" s="7"/>
    </row>
    <row r="347" ht="15.75" customHeight="1">
      <c r="A347" s="11" t="s">
        <v>1766</v>
      </c>
      <c r="B347" s="5" t="s">
        <v>14</v>
      </c>
      <c r="C347" s="5" t="s">
        <v>15</v>
      </c>
      <c r="D347" s="8" t="s">
        <v>1767</v>
      </c>
      <c r="E347" s="8" t="s">
        <v>1768</v>
      </c>
      <c r="F347" s="5" t="s">
        <v>1769</v>
      </c>
      <c r="G347" s="8" t="s">
        <v>1770</v>
      </c>
      <c r="H347" s="5" t="s">
        <v>1769</v>
      </c>
      <c r="I347" s="5" t="s">
        <v>37</v>
      </c>
      <c r="J347" s="5" t="s">
        <v>51</v>
      </c>
      <c r="K347" s="5" t="s">
        <v>30</v>
      </c>
      <c r="L347" s="5" t="s">
        <v>22</v>
      </c>
      <c r="M347" s="7" t="str">
        <f t="shared" si="3"/>
        <v>OK</v>
      </c>
      <c r="N347" s="7"/>
      <c r="O347" s="7"/>
      <c r="P347" s="7"/>
      <c r="Q347" s="7"/>
      <c r="R347" s="7"/>
      <c r="S347" s="7"/>
      <c r="T347" s="7"/>
      <c r="U347" s="7"/>
      <c r="V347" s="7"/>
      <c r="W347" s="7"/>
      <c r="X347" s="7"/>
      <c r="Y347" s="7"/>
      <c r="Z347" s="7"/>
    </row>
    <row r="348" ht="15.75" customHeight="1">
      <c r="A348" s="11" t="s">
        <v>1771</v>
      </c>
      <c r="B348" s="5" t="s">
        <v>14</v>
      </c>
      <c r="C348" s="5" t="s">
        <v>15</v>
      </c>
      <c r="D348" s="8" t="s">
        <v>1772</v>
      </c>
      <c r="E348" s="5" t="s">
        <v>1773</v>
      </c>
      <c r="F348" s="8" t="s">
        <v>1774</v>
      </c>
      <c r="G348" s="8" t="s">
        <v>1775</v>
      </c>
      <c r="H348" s="5" t="s">
        <v>1773</v>
      </c>
      <c r="I348" s="5" t="s">
        <v>37</v>
      </c>
      <c r="J348" s="5" t="s">
        <v>38</v>
      </c>
      <c r="K348" s="5" t="s">
        <v>31</v>
      </c>
      <c r="L348" s="5" t="s">
        <v>75</v>
      </c>
      <c r="M348" s="7" t="str">
        <f t="shared" si="3"/>
        <v>OK</v>
      </c>
      <c r="N348" s="7"/>
      <c r="O348" s="7"/>
      <c r="P348" s="7"/>
      <c r="Q348" s="7"/>
      <c r="R348" s="7"/>
      <c r="S348" s="7"/>
      <c r="T348" s="7"/>
      <c r="U348" s="7"/>
      <c r="V348" s="7"/>
      <c r="W348" s="7"/>
      <c r="X348" s="7"/>
      <c r="Y348" s="7"/>
      <c r="Z348" s="7"/>
    </row>
    <row r="349" ht="15.75" customHeight="1">
      <c r="A349" s="11" t="s">
        <v>1776</v>
      </c>
      <c r="B349" s="5" t="s">
        <v>14</v>
      </c>
      <c r="C349" s="5" t="s">
        <v>15</v>
      </c>
      <c r="D349" s="8" t="s">
        <v>1777</v>
      </c>
      <c r="E349" s="5" t="s">
        <v>1778</v>
      </c>
      <c r="F349" s="8" t="s">
        <v>1779</v>
      </c>
      <c r="G349" s="8" t="s">
        <v>1780</v>
      </c>
      <c r="H349" s="5" t="s">
        <v>1778</v>
      </c>
      <c r="I349" s="5" t="s">
        <v>37</v>
      </c>
      <c r="J349" s="5" t="s">
        <v>38</v>
      </c>
      <c r="K349" s="5" t="s">
        <v>39</v>
      </c>
      <c r="L349" s="5" t="s">
        <v>23</v>
      </c>
      <c r="M349" s="7" t="str">
        <f t="shared" si="3"/>
        <v>OK</v>
      </c>
      <c r="N349" s="7"/>
      <c r="O349" s="7"/>
      <c r="P349" s="7"/>
      <c r="Q349" s="7"/>
      <c r="R349" s="7"/>
      <c r="S349" s="7"/>
      <c r="T349" s="7"/>
      <c r="U349" s="7"/>
      <c r="V349" s="7"/>
      <c r="W349" s="7"/>
      <c r="X349" s="7"/>
      <c r="Y349" s="7"/>
      <c r="Z349" s="7"/>
    </row>
    <row r="350" ht="15.75" customHeight="1">
      <c r="A350" s="11" t="s">
        <v>1781</v>
      </c>
      <c r="B350" s="5" t="s">
        <v>14</v>
      </c>
      <c r="C350" s="5" t="s">
        <v>15</v>
      </c>
      <c r="D350" s="8" t="s">
        <v>1782</v>
      </c>
      <c r="E350" s="5" t="s">
        <v>1783</v>
      </c>
      <c r="F350" s="8" t="s">
        <v>1784</v>
      </c>
      <c r="G350" s="8" t="s">
        <v>1785</v>
      </c>
      <c r="H350" s="5" t="s">
        <v>1783</v>
      </c>
      <c r="I350" s="5" t="s">
        <v>51</v>
      </c>
      <c r="J350" s="5" t="s">
        <v>21</v>
      </c>
      <c r="K350" s="5" t="s">
        <v>23</v>
      </c>
      <c r="L350" s="5" t="s">
        <v>39</v>
      </c>
      <c r="M350" s="7" t="str">
        <f t="shared" si="3"/>
        <v>OK</v>
      </c>
      <c r="N350" s="7"/>
      <c r="O350" s="7"/>
      <c r="P350" s="7"/>
      <c r="Q350" s="7"/>
      <c r="R350" s="7"/>
      <c r="S350" s="7"/>
      <c r="T350" s="7"/>
      <c r="U350" s="7"/>
      <c r="V350" s="7"/>
      <c r="W350" s="7"/>
      <c r="X350" s="7"/>
      <c r="Y350" s="7"/>
      <c r="Z350" s="7"/>
    </row>
    <row r="351" ht="15.75" customHeight="1">
      <c r="A351" s="11" t="s">
        <v>1786</v>
      </c>
      <c r="B351" s="5" t="s">
        <v>14</v>
      </c>
      <c r="C351" s="5" t="s">
        <v>15</v>
      </c>
      <c r="D351" s="8" t="s">
        <v>1787</v>
      </c>
      <c r="E351" s="8" t="s">
        <v>1788</v>
      </c>
      <c r="F351" s="5" t="s">
        <v>1789</v>
      </c>
      <c r="G351" s="8" t="s">
        <v>1790</v>
      </c>
      <c r="H351" s="5" t="s">
        <v>1789</v>
      </c>
      <c r="I351" s="5" t="s">
        <v>20</v>
      </c>
      <c r="J351" s="5" t="s">
        <v>38</v>
      </c>
      <c r="K351" s="5" t="s">
        <v>111</v>
      </c>
      <c r="L351" s="5" t="s">
        <v>30</v>
      </c>
      <c r="M351" s="7" t="str">
        <f t="shared" si="3"/>
        <v>OK</v>
      </c>
      <c r="N351" s="7"/>
      <c r="O351" s="7"/>
      <c r="P351" s="7"/>
      <c r="Q351" s="7"/>
      <c r="R351" s="7"/>
      <c r="S351" s="7"/>
      <c r="T351" s="7"/>
      <c r="U351" s="7"/>
      <c r="V351" s="7"/>
      <c r="W351" s="7"/>
      <c r="X351" s="7"/>
      <c r="Y351" s="7"/>
      <c r="Z351" s="7"/>
    </row>
    <row r="352" ht="15.75" customHeight="1">
      <c r="A352" s="25" t="s">
        <v>1791</v>
      </c>
      <c r="B352" s="17" t="s">
        <v>14</v>
      </c>
      <c r="C352" s="17" t="s">
        <v>15</v>
      </c>
      <c r="D352" s="16" t="s">
        <v>1792</v>
      </c>
      <c r="E352" s="16" t="s">
        <v>1793</v>
      </c>
      <c r="F352" s="16" t="s">
        <v>1794</v>
      </c>
      <c r="G352" s="17" t="s">
        <v>1795</v>
      </c>
      <c r="H352" s="17" t="s">
        <v>1795</v>
      </c>
      <c r="I352" s="17" t="s">
        <v>51</v>
      </c>
      <c r="J352" s="17" t="s">
        <v>38</v>
      </c>
      <c r="K352" s="17" t="s">
        <v>23</v>
      </c>
      <c r="L352" s="17" t="s">
        <v>31</v>
      </c>
      <c r="M352" s="18" t="str">
        <f t="shared" si="3"/>
        <v>OK</v>
      </c>
      <c r="N352" s="18"/>
      <c r="O352" s="18"/>
      <c r="P352" s="18"/>
      <c r="Q352" s="18"/>
      <c r="R352" s="18"/>
      <c r="S352" s="18"/>
      <c r="T352" s="18"/>
      <c r="U352" s="18"/>
      <c r="V352" s="18"/>
      <c r="W352" s="18"/>
      <c r="X352" s="18"/>
      <c r="Y352" s="18"/>
      <c r="Z352" s="18"/>
    </row>
    <row r="353" ht="15.75" customHeight="1">
      <c r="A353" s="11" t="s">
        <v>1796</v>
      </c>
      <c r="B353" s="5" t="s">
        <v>14</v>
      </c>
      <c r="C353" s="5" t="s">
        <v>15</v>
      </c>
      <c r="D353" s="8" t="s">
        <v>1797</v>
      </c>
      <c r="E353" s="8" t="s">
        <v>1798</v>
      </c>
      <c r="F353" s="5" t="s">
        <v>1799</v>
      </c>
      <c r="G353" s="8" t="s">
        <v>1800</v>
      </c>
      <c r="H353" s="5" t="s">
        <v>1799</v>
      </c>
      <c r="I353" s="5" t="s">
        <v>21</v>
      </c>
      <c r="J353" s="5" t="s">
        <v>51</v>
      </c>
      <c r="K353" s="5" t="s">
        <v>30</v>
      </c>
      <c r="L353" s="5" t="s">
        <v>22</v>
      </c>
      <c r="M353" s="7" t="str">
        <f t="shared" si="3"/>
        <v>OK</v>
      </c>
      <c r="N353" s="7"/>
      <c r="O353" s="7"/>
      <c r="P353" s="7"/>
      <c r="Q353" s="7"/>
      <c r="R353" s="7"/>
      <c r="S353" s="7"/>
      <c r="T353" s="7"/>
      <c r="U353" s="7"/>
      <c r="V353" s="7"/>
      <c r="W353" s="7"/>
      <c r="X353" s="7"/>
      <c r="Y353" s="7"/>
      <c r="Z353" s="7"/>
    </row>
    <row r="354" ht="91.5" customHeight="1">
      <c r="A354" s="11" t="s">
        <v>1801</v>
      </c>
      <c r="B354" s="5" t="s">
        <v>14</v>
      </c>
      <c r="C354" s="5" t="s">
        <v>15</v>
      </c>
      <c r="D354" s="8" t="s">
        <v>1654</v>
      </c>
      <c r="E354" s="5" t="s">
        <v>1802</v>
      </c>
      <c r="F354" s="8" t="s">
        <v>1803</v>
      </c>
      <c r="G354" s="8" t="s">
        <v>1804</v>
      </c>
      <c r="H354" s="5" t="s">
        <v>1802</v>
      </c>
      <c r="I354" s="5" t="s">
        <v>51</v>
      </c>
      <c r="J354" s="5" t="s">
        <v>45</v>
      </c>
      <c r="K354" s="5" t="s">
        <v>30</v>
      </c>
      <c r="L354" s="5" t="s">
        <v>22</v>
      </c>
      <c r="M354" s="7" t="str">
        <f t="shared" si="3"/>
        <v>OK</v>
      </c>
      <c r="N354" s="7"/>
      <c r="O354" s="7"/>
      <c r="P354" s="7"/>
      <c r="Q354" s="7"/>
      <c r="R354" s="7"/>
      <c r="S354" s="7"/>
      <c r="T354" s="7"/>
      <c r="U354" s="7"/>
      <c r="V354" s="7"/>
      <c r="W354" s="7"/>
      <c r="X354" s="7"/>
      <c r="Y354" s="7"/>
      <c r="Z354" s="7"/>
    </row>
    <row r="355" ht="15.75" customHeight="1">
      <c r="A355" s="11" t="s">
        <v>1805</v>
      </c>
      <c r="B355" s="5" t="s">
        <v>14</v>
      </c>
      <c r="C355" s="5" t="s">
        <v>15</v>
      </c>
      <c r="D355" s="8" t="s">
        <v>1806</v>
      </c>
      <c r="E355" s="8" t="s">
        <v>1807</v>
      </c>
      <c r="F355" s="5" t="s">
        <v>1808</v>
      </c>
      <c r="G355" s="8" t="s">
        <v>1809</v>
      </c>
      <c r="H355" s="5" t="s">
        <v>1808</v>
      </c>
      <c r="I355" s="5" t="s">
        <v>21</v>
      </c>
      <c r="J355" s="5" t="s">
        <v>51</v>
      </c>
      <c r="K355" s="5" t="s">
        <v>52</v>
      </c>
      <c r="L355" s="5" t="s">
        <v>39</v>
      </c>
      <c r="M355" s="7" t="str">
        <f t="shared" si="3"/>
        <v>OK</v>
      </c>
      <c r="N355" s="7"/>
      <c r="O355" s="7"/>
      <c r="P355" s="7"/>
      <c r="Q355" s="7"/>
      <c r="R355" s="7"/>
      <c r="S355" s="7"/>
      <c r="T355" s="7"/>
      <c r="U355" s="7"/>
      <c r="V355" s="7"/>
      <c r="W355" s="7"/>
      <c r="X355" s="7"/>
      <c r="Y355" s="7"/>
      <c r="Z355" s="7"/>
    </row>
    <row r="356" ht="15.75" customHeight="1">
      <c r="A356" s="11" t="s">
        <v>1810</v>
      </c>
      <c r="B356" s="5" t="s">
        <v>14</v>
      </c>
      <c r="C356" s="5" t="s">
        <v>15</v>
      </c>
      <c r="D356" s="8" t="s">
        <v>1811</v>
      </c>
      <c r="E356" s="5" t="s">
        <v>1812</v>
      </c>
      <c r="F356" s="8" t="s">
        <v>1813</v>
      </c>
      <c r="G356" s="8" t="s">
        <v>1814</v>
      </c>
      <c r="H356" s="5" t="s">
        <v>1812</v>
      </c>
      <c r="I356" s="5" t="s">
        <v>37</v>
      </c>
      <c r="J356" s="5" t="s">
        <v>45</v>
      </c>
      <c r="K356" s="5" t="s">
        <v>31</v>
      </c>
      <c r="L356" s="5" t="s">
        <v>75</v>
      </c>
      <c r="M356" s="7" t="str">
        <f t="shared" si="3"/>
        <v>OK</v>
      </c>
      <c r="N356" s="7"/>
      <c r="O356" s="7"/>
      <c r="P356" s="7"/>
      <c r="Q356" s="7"/>
      <c r="R356" s="7"/>
      <c r="S356" s="7"/>
      <c r="T356" s="7"/>
      <c r="U356" s="7"/>
      <c r="V356" s="7"/>
      <c r="W356" s="7"/>
      <c r="X356" s="7"/>
      <c r="Y356" s="7"/>
      <c r="Z356" s="7"/>
    </row>
    <row r="357" ht="15.75" customHeight="1">
      <c r="A357" s="11" t="s">
        <v>1815</v>
      </c>
      <c r="B357" s="5" t="s">
        <v>14</v>
      </c>
      <c r="C357" s="5" t="s">
        <v>15</v>
      </c>
      <c r="D357" s="8" t="s">
        <v>1816</v>
      </c>
      <c r="E357" s="8" t="s">
        <v>1817</v>
      </c>
      <c r="F357" s="5" t="s">
        <v>1818</v>
      </c>
      <c r="G357" s="8" t="s">
        <v>1819</v>
      </c>
      <c r="H357" s="5" t="s">
        <v>1818</v>
      </c>
      <c r="I357" s="5" t="s">
        <v>74</v>
      </c>
      <c r="J357" s="5" t="s">
        <v>38</v>
      </c>
      <c r="K357" s="5" t="s">
        <v>39</v>
      </c>
      <c r="L357" s="5" t="s">
        <v>75</v>
      </c>
      <c r="M357" s="7" t="str">
        <f t="shared" si="3"/>
        <v>OK</v>
      </c>
      <c r="N357" s="7"/>
      <c r="O357" s="7"/>
      <c r="P357" s="7"/>
      <c r="Q357" s="7"/>
      <c r="R357" s="7"/>
      <c r="S357" s="7"/>
      <c r="T357" s="7"/>
      <c r="U357" s="7"/>
      <c r="V357" s="7"/>
      <c r="W357" s="7"/>
      <c r="X357" s="7"/>
      <c r="Y357" s="7"/>
      <c r="Z357" s="7"/>
    </row>
    <row r="358" ht="15.75" customHeight="1">
      <c r="A358" s="11" t="s">
        <v>1820</v>
      </c>
      <c r="B358" s="5" t="s">
        <v>14</v>
      </c>
      <c r="C358" s="5" t="s">
        <v>15</v>
      </c>
      <c r="D358" s="8" t="s">
        <v>1821</v>
      </c>
      <c r="E358" s="6" t="s">
        <v>1822</v>
      </c>
      <c r="F358" s="8" t="s">
        <v>1823</v>
      </c>
      <c r="G358" s="8" t="s">
        <v>1824</v>
      </c>
      <c r="H358" s="6" t="s">
        <v>1822</v>
      </c>
      <c r="I358" s="5" t="s">
        <v>74</v>
      </c>
      <c r="J358" s="5" t="s">
        <v>20</v>
      </c>
      <c r="K358" s="5" t="s">
        <v>31</v>
      </c>
      <c r="L358" s="5" t="s">
        <v>23</v>
      </c>
      <c r="M358" s="7" t="str">
        <f t="shared" si="3"/>
        <v>OK</v>
      </c>
      <c r="N358" s="7"/>
      <c r="O358" s="7"/>
      <c r="P358" s="7"/>
      <c r="Q358" s="7"/>
      <c r="R358" s="7"/>
      <c r="S358" s="7"/>
      <c r="T358" s="7"/>
      <c r="U358" s="7"/>
      <c r="V358" s="7"/>
      <c r="W358" s="7"/>
      <c r="X358" s="7"/>
      <c r="Y358" s="7"/>
      <c r="Z358" s="7"/>
    </row>
    <row r="359" ht="15.75" customHeight="1">
      <c r="A359" s="11" t="s">
        <v>1825</v>
      </c>
      <c r="B359" s="5" t="s">
        <v>14</v>
      </c>
      <c r="C359" s="5" t="s">
        <v>15</v>
      </c>
      <c r="D359" s="8" t="s">
        <v>1826</v>
      </c>
      <c r="E359" s="8" t="s">
        <v>1827</v>
      </c>
      <c r="F359" s="8" t="s">
        <v>1828</v>
      </c>
      <c r="G359" s="5" t="s">
        <v>1829</v>
      </c>
      <c r="H359" s="5" t="s">
        <v>1829</v>
      </c>
      <c r="I359" s="5" t="s">
        <v>74</v>
      </c>
      <c r="J359" s="5" t="s">
        <v>38</v>
      </c>
      <c r="K359" s="5" t="s">
        <v>30</v>
      </c>
      <c r="L359" s="5" t="s">
        <v>22</v>
      </c>
      <c r="M359" s="7" t="str">
        <f t="shared" si="3"/>
        <v>OK</v>
      </c>
      <c r="N359" s="7"/>
      <c r="O359" s="7"/>
      <c r="P359" s="7"/>
      <c r="Q359" s="7"/>
      <c r="R359" s="7"/>
      <c r="S359" s="7"/>
      <c r="T359" s="7"/>
      <c r="U359" s="7"/>
      <c r="V359" s="7"/>
      <c r="W359" s="7"/>
      <c r="X359" s="7"/>
      <c r="Y359" s="7"/>
      <c r="Z359" s="7"/>
    </row>
    <row r="360" ht="15.75" customHeight="1">
      <c r="A360" s="11" t="s">
        <v>1830</v>
      </c>
      <c r="B360" s="5" t="s">
        <v>14</v>
      </c>
      <c r="C360" s="5" t="s">
        <v>15</v>
      </c>
      <c r="D360" s="8" t="s">
        <v>1831</v>
      </c>
      <c r="E360" s="8" t="s">
        <v>1832</v>
      </c>
      <c r="F360" s="5" t="s">
        <v>1833</v>
      </c>
      <c r="G360" s="8" t="s">
        <v>1834</v>
      </c>
      <c r="H360" s="5" t="s">
        <v>1833</v>
      </c>
      <c r="I360" s="5" t="s">
        <v>51</v>
      </c>
      <c r="J360" s="5" t="s">
        <v>37</v>
      </c>
      <c r="K360" s="5" t="s">
        <v>23</v>
      </c>
      <c r="L360" s="5" t="s">
        <v>31</v>
      </c>
      <c r="M360" s="7" t="str">
        <f t="shared" si="3"/>
        <v>OK</v>
      </c>
      <c r="N360" s="7"/>
      <c r="O360" s="7"/>
      <c r="P360" s="7"/>
      <c r="Q360" s="7"/>
      <c r="R360" s="7"/>
      <c r="S360" s="7"/>
      <c r="T360" s="7"/>
      <c r="U360" s="7"/>
      <c r="V360" s="7"/>
      <c r="W360" s="7"/>
      <c r="X360" s="7"/>
      <c r="Y360" s="7"/>
      <c r="Z360" s="7"/>
    </row>
    <row r="361" ht="15.75" customHeight="1">
      <c r="A361" s="11" t="s">
        <v>1835</v>
      </c>
      <c r="B361" s="5" t="s">
        <v>14</v>
      </c>
      <c r="C361" s="5" t="s">
        <v>15</v>
      </c>
      <c r="D361" s="8" t="s">
        <v>1836</v>
      </c>
      <c r="E361" s="5" t="s">
        <v>1837</v>
      </c>
      <c r="F361" s="8" t="s">
        <v>1838</v>
      </c>
      <c r="G361" s="8" t="s">
        <v>1839</v>
      </c>
      <c r="H361" s="5" t="s">
        <v>1837</v>
      </c>
      <c r="I361" s="5" t="s">
        <v>74</v>
      </c>
      <c r="J361" s="5" t="s">
        <v>51</v>
      </c>
      <c r="K361" s="5" t="s">
        <v>75</v>
      </c>
      <c r="L361" s="5" t="s">
        <v>39</v>
      </c>
      <c r="M361" s="7" t="str">
        <f t="shared" si="3"/>
        <v>OK</v>
      </c>
      <c r="N361" s="7"/>
      <c r="O361" s="7"/>
      <c r="P361" s="7"/>
      <c r="Q361" s="7"/>
      <c r="R361" s="7"/>
      <c r="S361" s="7"/>
      <c r="T361" s="7"/>
      <c r="U361" s="7"/>
      <c r="V361" s="7"/>
      <c r="W361" s="7"/>
      <c r="X361" s="7"/>
      <c r="Y361" s="7"/>
      <c r="Z361" s="7"/>
    </row>
    <row r="362" ht="15.75" customHeight="1">
      <c r="A362" s="11" t="s">
        <v>1840</v>
      </c>
      <c r="B362" s="5" t="s">
        <v>14</v>
      </c>
      <c r="C362" s="5" t="s">
        <v>15</v>
      </c>
      <c r="D362" s="8" t="s">
        <v>1841</v>
      </c>
      <c r="E362" s="8" t="s">
        <v>1842</v>
      </c>
      <c r="F362" s="8" t="s">
        <v>1843</v>
      </c>
      <c r="G362" s="5" t="s">
        <v>1844</v>
      </c>
      <c r="H362" s="5" t="s">
        <v>1844</v>
      </c>
      <c r="I362" s="5" t="s">
        <v>21</v>
      </c>
      <c r="J362" s="5" t="s">
        <v>38</v>
      </c>
      <c r="K362" s="5" t="s">
        <v>23</v>
      </c>
      <c r="L362" s="5" t="s">
        <v>31</v>
      </c>
      <c r="M362" s="7" t="str">
        <f t="shared" si="3"/>
        <v>OK</v>
      </c>
      <c r="N362" s="7"/>
      <c r="O362" s="7"/>
      <c r="P362" s="7"/>
      <c r="Q362" s="7"/>
      <c r="R362" s="7"/>
      <c r="S362" s="7"/>
      <c r="T362" s="7"/>
      <c r="U362" s="7"/>
      <c r="V362" s="7"/>
      <c r="W362" s="7"/>
      <c r="X362" s="7"/>
      <c r="Y362" s="7"/>
      <c r="Z362" s="7"/>
    </row>
    <row r="363" ht="15.75" customHeight="1">
      <c r="A363" s="11" t="s">
        <v>1845</v>
      </c>
      <c r="B363" s="5" t="s">
        <v>14</v>
      </c>
      <c r="C363" s="5" t="s">
        <v>15</v>
      </c>
      <c r="D363" s="8" t="s">
        <v>1846</v>
      </c>
      <c r="E363" s="8" t="s">
        <v>1847</v>
      </c>
      <c r="F363" s="5" t="s">
        <v>1848</v>
      </c>
      <c r="G363" s="8" t="s">
        <v>1849</v>
      </c>
      <c r="H363" s="5" t="s">
        <v>1848</v>
      </c>
      <c r="I363" s="5" t="s">
        <v>74</v>
      </c>
      <c r="J363" s="5" t="s">
        <v>38</v>
      </c>
      <c r="K363" s="5" t="s">
        <v>22</v>
      </c>
      <c r="L363" s="5" t="s">
        <v>23</v>
      </c>
      <c r="M363" s="7" t="str">
        <f t="shared" si="3"/>
        <v>OK</v>
      </c>
      <c r="N363" s="7"/>
      <c r="O363" s="7"/>
      <c r="P363" s="7"/>
      <c r="Q363" s="7"/>
      <c r="R363" s="7"/>
      <c r="S363" s="7"/>
      <c r="T363" s="7"/>
      <c r="U363" s="7"/>
      <c r="V363" s="7"/>
      <c r="W363" s="7"/>
      <c r="X363" s="7"/>
      <c r="Y363" s="7"/>
      <c r="Z363" s="7"/>
    </row>
    <row r="364" ht="15.75" customHeight="1">
      <c r="A364" s="11" t="s">
        <v>1850</v>
      </c>
      <c r="B364" s="5" t="s">
        <v>14</v>
      </c>
      <c r="C364" s="5" t="s">
        <v>15</v>
      </c>
      <c r="D364" s="8" t="s">
        <v>1851</v>
      </c>
      <c r="E364" s="6" t="s">
        <v>1852</v>
      </c>
      <c r="F364" s="5" t="s">
        <v>1853</v>
      </c>
      <c r="G364" s="8" t="s">
        <v>1854</v>
      </c>
      <c r="H364" s="5" t="s">
        <v>1853</v>
      </c>
      <c r="I364" s="5" t="s">
        <v>45</v>
      </c>
      <c r="J364" s="5" t="s">
        <v>45</v>
      </c>
      <c r="K364" s="5" t="s">
        <v>52</v>
      </c>
      <c r="L364" s="5" t="s">
        <v>23</v>
      </c>
      <c r="M364" s="7" t="str">
        <f t="shared" si="3"/>
        <v>OK</v>
      </c>
      <c r="N364" s="7"/>
      <c r="O364" s="7"/>
      <c r="P364" s="7"/>
      <c r="Q364" s="7"/>
      <c r="R364" s="7"/>
      <c r="S364" s="7"/>
      <c r="T364" s="7"/>
      <c r="U364" s="7"/>
      <c r="V364" s="7"/>
      <c r="W364" s="7"/>
      <c r="X364" s="7"/>
      <c r="Y364" s="7"/>
      <c r="Z364" s="7"/>
    </row>
    <row r="365" ht="15.75" customHeight="1">
      <c r="A365" s="11" t="s">
        <v>1855</v>
      </c>
      <c r="B365" s="5" t="s">
        <v>133</v>
      </c>
      <c r="C365" s="5" t="s">
        <v>15</v>
      </c>
      <c r="D365" s="8" t="s">
        <v>1856</v>
      </c>
      <c r="E365" s="8" t="s">
        <v>1857</v>
      </c>
      <c r="F365" s="8" t="s">
        <v>1858</v>
      </c>
      <c r="G365" s="8" t="s">
        <v>1654</v>
      </c>
      <c r="H365" s="5" t="s">
        <v>1858</v>
      </c>
      <c r="I365" s="5" t="s">
        <v>51</v>
      </c>
      <c r="J365" s="5"/>
      <c r="K365" s="5" t="s">
        <v>30</v>
      </c>
      <c r="L365" s="5"/>
      <c r="M365" s="7" t="str">
        <f t="shared" si="3"/>
        <v>OK</v>
      </c>
      <c r="N365" s="7"/>
      <c r="O365" s="7"/>
      <c r="P365" s="7"/>
      <c r="Q365" s="7"/>
      <c r="R365" s="7"/>
      <c r="S365" s="7"/>
      <c r="T365" s="7"/>
      <c r="U365" s="7"/>
      <c r="V365" s="7"/>
      <c r="W365" s="7"/>
      <c r="X365" s="7"/>
      <c r="Y365" s="7"/>
      <c r="Z365" s="7"/>
    </row>
    <row r="366" ht="15.75" customHeight="1">
      <c r="A366" s="11" t="s">
        <v>1859</v>
      </c>
      <c r="B366" s="5" t="s">
        <v>133</v>
      </c>
      <c r="C366" s="5" t="s">
        <v>15</v>
      </c>
      <c r="D366" s="8" t="s">
        <v>1860</v>
      </c>
      <c r="E366" s="8" t="s">
        <v>1861</v>
      </c>
      <c r="F366" s="8" t="s">
        <v>1862</v>
      </c>
      <c r="G366" s="8" t="s">
        <v>1863</v>
      </c>
      <c r="H366" s="5" t="s">
        <v>1863</v>
      </c>
      <c r="I366" s="5" t="s">
        <v>51</v>
      </c>
      <c r="J366" s="5"/>
      <c r="K366" s="5" t="s">
        <v>22</v>
      </c>
      <c r="L366" s="5"/>
      <c r="M366" s="7" t="str">
        <f t="shared" si="3"/>
        <v>OK</v>
      </c>
      <c r="N366" s="7"/>
      <c r="O366" s="7"/>
      <c r="P366" s="7"/>
      <c r="Q366" s="7"/>
      <c r="R366" s="7"/>
      <c r="S366" s="7"/>
      <c r="T366" s="7"/>
      <c r="U366" s="7"/>
      <c r="V366" s="7"/>
      <c r="W366" s="7"/>
      <c r="X366" s="7"/>
      <c r="Y366" s="7"/>
      <c r="Z366" s="7"/>
    </row>
    <row r="367" ht="15.75" customHeight="1">
      <c r="A367" s="11" t="s">
        <v>1864</v>
      </c>
      <c r="B367" s="5" t="s">
        <v>133</v>
      </c>
      <c r="C367" s="5" t="s">
        <v>15</v>
      </c>
      <c r="D367" s="8" t="s">
        <v>1865</v>
      </c>
      <c r="E367" s="8" t="s">
        <v>1866</v>
      </c>
      <c r="F367" s="8" t="s">
        <v>1867</v>
      </c>
      <c r="G367" s="8" t="s">
        <v>1868</v>
      </c>
      <c r="H367" s="5" t="s">
        <v>1867</v>
      </c>
      <c r="I367" s="5" t="s">
        <v>74</v>
      </c>
      <c r="J367" s="5"/>
      <c r="K367" s="5" t="s">
        <v>111</v>
      </c>
      <c r="L367" s="5"/>
      <c r="M367" s="7" t="str">
        <f t="shared" si="3"/>
        <v>OK</v>
      </c>
      <c r="N367" s="7"/>
      <c r="O367" s="7"/>
      <c r="P367" s="7"/>
      <c r="Q367" s="7"/>
      <c r="R367" s="7"/>
      <c r="S367" s="7"/>
      <c r="T367" s="7"/>
      <c r="U367" s="7"/>
      <c r="V367" s="7"/>
      <c r="W367" s="7"/>
      <c r="X367" s="7"/>
      <c r="Y367" s="7"/>
      <c r="Z367" s="7"/>
    </row>
    <row r="368" ht="15.75" customHeight="1">
      <c r="A368" s="11" t="s">
        <v>1869</v>
      </c>
      <c r="B368" s="5" t="s">
        <v>133</v>
      </c>
      <c r="C368" s="5" t="s">
        <v>15</v>
      </c>
      <c r="D368" s="8" t="s">
        <v>1870</v>
      </c>
      <c r="E368" s="8" t="s">
        <v>1871</v>
      </c>
      <c r="F368" s="8" t="s">
        <v>1872</v>
      </c>
      <c r="G368" s="8" t="s">
        <v>1873</v>
      </c>
      <c r="H368" s="5" t="s">
        <v>1871</v>
      </c>
      <c r="I368" s="5" t="s">
        <v>37</v>
      </c>
      <c r="J368" s="5"/>
      <c r="K368" s="5" t="s">
        <v>75</v>
      </c>
      <c r="L368" s="5"/>
      <c r="M368" s="7" t="str">
        <f t="shared" si="3"/>
        <v>OK</v>
      </c>
      <c r="N368" s="7"/>
      <c r="O368" s="7"/>
      <c r="P368" s="7"/>
      <c r="Q368" s="7"/>
      <c r="R368" s="7"/>
      <c r="S368" s="7"/>
      <c r="T368" s="7"/>
      <c r="U368" s="7"/>
      <c r="V368" s="7"/>
      <c r="W368" s="7"/>
      <c r="X368" s="7"/>
      <c r="Y368" s="7"/>
      <c r="Z368" s="7"/>
    </row>
    <row r="369" ht="15.75" customHeight="1">
      <c r="A369" s="11" t="s">
        <v>1874</v>
      </c>
      <c r="B369" s="5" t="s">
        <v>133</v>
      </c>
      <c r="C369" s="5" t="s">
        <v>15</v>
      </c>
      <c r="D369" s="8" t="s">
        <v>1875</v>
      </c>
      <c r="E369" s="8" t="s">
        <v>1876</v>
      </c>
      <c r="F369" s="8" t="s">
        <v>1877</v>
      </c>
      <c r="G369" s="8" t="s">
        <v>1878</v>
      </c>
      <c r="H369" s="5" t="s">
        <v>1878</v>
      </c>
      <c r="I369" s="5" t="s">
        <v>29</v>
      </c>
      <c r="J369" s="5"/>
      <c r="K369" s="5" t="s">
        <v>111</v>
      </c>
      <c r="L369" s="5"/>
      <c r="M369" s="7" t="str">
        <f t="shared" si="3"/>
        <v>OK</v>
      </c>
      <c r="N369" s="7"/>
      <c r="O369" s="7"/>
      <c r="P369" s="7"/>
      <c r="Q369" s="7"/>
      <c r="R369" s="7"/>
      <c r="S369" s="7"/>
      <c r="T369" s="7"/>
      <c r="U369" s="7"/>
      <c r="V369" s="7"/>
      <c r="W369" s="7"/>
      <c r="X369" s="7"/>
      <c r="Y369" s="7"/>
      <c r="Z369" s="7"/>
    </row>
    <row r="370" ht="15.75" customHeight="1">
      <c r="A370" s="11" t="s">
        <v>1879</v>
      </c>
      <c r="B370" s="5" t="s">
        <v>133</v>
      </c>
      <c r="C370" s="5" t="s">
        <v>15</v>
      </c>
      <c r="D370" s="8" t="s">
        <v>1880</v>
      </c>
      <c r="E370" s="8" t="s">
        <v>1881</v>
      </c>
      <c r="F370" s="8" t="s">
        <v>1882</v>
      </c>
      <c r="G370" s="8" t="s">
        <v>1883</v>
      </c>
      <c r="H370" s="5" t="s">
        <v>1883</v>
      </c>
      <c r="I370" s="5" t="s">
        <v>21</v>
      </c>
      <c r="J370" s="5"/>
      <c r="K370" s="5" t="s">
        <v>22</v>
      </c>
      <c r="L370" s="5"/>
      <c r="M370" s="7" t="str">
        <f t="shared" si="3"/>
        <v>OK</v>
      </c>
      <c r="N370" s="7"/>
      <c r="O370" s="7"/>
      <c r="P370" s="7"/>
      <c r="Q370" s="7"/>
      <c r="R370" s="7"/>
      <c r="S370" s="7"/>
      <c r="T370" s="7"/>
      <c r="U370" s="7"/>
      <c r="V370" s="7"/>
      <c r="W370" s="7"/>
      <c r="X370" s="7"/>
      <c r="Y370" s="7"/>
      <c r="Z370" s="7"/>
    </row>
    <row r="371" ht="15.75" customHeight="1">
      <c r="A371" s="11" t="s">
        <v>1884</v>
      </c>
      <c r="B371" s="5" t="s">
        <v>133</v>
      </c>
      <c r="C371" s="5" t="s">
        <v>15</v>
      </c>
      <c r="D371" s="8" t="s">
        <v>1885</v>
      </c>
      <c r="E371" s="8" t="s">
        <v>1886</v>
      </c>
      <c r="F371" s="8" t="s">
        <v>1887</v>
      </c>
      <c r="G371" s="8" t="s">
        <v>1888</v>
      </c>
      <c r="H371" s="5" t="s">
        <v>1887</v>
      </c>
      <c r="I371" s="5" t="s">
        <v>21</v>
      </c>
      <c r="J371" s="5"/>
      <c r="K371" s="5" t="s">
        <v>31</v>
      </c>
      <c r="L371" s="5"/>
      <c r="M371" s="7" t="str">
        <f t="shared" si="3"/>
        <v>OK</v>
      </c>
      <c r="N371" s="7"/>
      <c r="O371" s="7"/>
      <c r="P371" s="7"/>
      <c r="Q371" s="7"/>
      <c r="R371" s="7"/>
      <c r="S371" s="7"/>
      <c r="T371" s="7"/>
      <c r="U371" s="7"/>
      <c r="V371" s="7"/>
      <c r="W371" s="7"/>
      <c r="X371" s="7"/>
      <c r="Y371" s="7"/>
      <c r="Z371" s="7"/>
    </row>
    <row r="372" ht="15.75" customHeight="1">
      <c r="A372" s="11" t="s">
        <v>1889</v>
      </c>
      <c r="B372" s="5" t="s">
        <v>133</v>
      </c>
      <c r="C372" s="5" t="s">
        <v>15</v>
      </c>
      <c r="D372" s="8" t="s">
        <v>1890</v>
      </c>
      <c r="E372" s="8" t="s">
        <v>1891</v>
      </c>
      <c r="F372" s="8" t="s">
        <v>1892</v>
      </c>
      <c r="G372" s="8" t="s">
        <v>1893</v>
      </c>
      <c r="H372" s="5" t="s">
        <v>1893</v>
      </c>
      <c r="I372" s="5" t="s">
        <v>38</v>
      </c>
      <c r="J372" s="5"/>
      <c r="K372" s="5" t="s">
        <v>75</v>
      </c>
      <c r="L372" s="5"/>
      <c r="M372" s="7" t="str">
        <f t="shared" si="3"/>
        <v>OK</v>
      </c>
      <c r="N372" s="7"/>
      <c r="O372" s="7"/>
      <c r="P372" s="7"/>
      <c r="Q372" s="7"/>
      <c r="R372" s="7"/>
      <c r="S372" s="7"/>
      <c r="T372" s="7"/>
      <c r="U372" s="7"/>
      <c r="V372" s="7"/>
      <c r="W372" s="7"/>
      <c r="X372" s="7"/>
      <c r="Y372" s="7"/>
      <c r="Z372" s="7"/>
    </row>
    <row r="373" ht="15.75" customHeight="1">
      <c r="A373" s="11" t="s">
        <v>1894</v>
      </c>
      <c r="B373" s="5" t="s">
        <v>133</v>
      </c>
      <c r="C373" s="5" t="s">
        <v>15</v>
      </c>
      <c r="D373" s="8" t="s">
        <v>1895</v>
      </c>
      <c r="E373" s="8" t="s">
        <v>1896</v>
      </c>
      <c r="F373" s="8" t="s">
        <v>1897</v>
      </c>
      <c r="G373" s="8" t="s">
        <v>1898</v>
      </c>
      <c r="H373" s="5" t="s">
        <v>1898</v>
      </c>
      <c r="I373" s="5" t="s">
        <v>51</v>
      </c>
      <c r="J373" s="5"/>
      <c r="K373" s="5" t="s">
        <v>31</v>
      </c>
      <c r="L373" s="5"/>
      <c r="M373" s="7" t="str">
        <f t="shared" si="3"/>
        <v>OK</v>
      </c>
      <c r="N373" s="7"/>
      <c r="O373" s="7"/>
      <c r="P373" s="7"/>
      <c r="Q373" s="7"/>
      <c r="R373" s="7"/>
      <c r="S373" s="7"/>
      <c r="T373" s="7"/>
      <c r="U373" s="7"/>
      <c r="V373" s="7"/>
      <c r="W373" s="7"/>
      <c r="X373" s="7"/>
      <c r="Y373" s="7"/>
      <c r="Z373" s="7"/>
    </row>
    <row r="374" ht="15.75" customHeight="1">
      <c r="A374" s="11" t="s">
        <v>1899</v>
      </c>
      <c r="B374" s="5" t="s">
        <v>133</v>
      </c>
      <c r="C374" s="5" t="s">
        <v>15</v>
      </c>
      <c r="D374" s="8" t="s">
        <v>1900</v>
      </c>
      <c r="E374" s="8" t="s">
        <v>1901</v>
      </c>
      <c r="F374" s="8" t="s">
        <v>1902</v>
      </c>
      <c r="G374" s="8" t="s">
        <v>1903</v>
      </c>
      <c r="H374" s="5" t="s">
        <v>1902</v>
      </c>
      <c r="I374" s="5" t="s">
        <v>38</v>
      </c>
      <c r="J374" s="5"/>
      <c r="K374" s="5" t="s">
        <v>39</v>
      </c>
      <c r="L374" s="5"/>
      <c r="M374" s="7" t="str">
        <f t="shared" si="3"/>
        <v>OK</v>
      </c>
      <c r="N374" s="7"/>
      <c r="O374" s="7"/>
      <c r="P374" s="7"/>
      <c r="Q374" s="7"/>
      <c r="R374" s="7"/>
      <c r="S374" s="7"/>
      <c r="T374" s="7"/>
      <c r="U374" s="7"/>
      <c r="V374" s="7"/>
      <c r="W374" s="7"/>
      <c r="X374" s="7"/>
      <c r="Y374" s="7"/>
      <c r="Z374" s="7"/>
    </row>
    <row r="375" ht="15.75" customHeight="1">
      <c r="A375" s="11" t="s">
        <v>1904</v>
      </c>
      <c r="B375" s="5" t="s">
        <v>133</v>
      </c>
      <c r="C375" s="5" t="s">
        <v>15</v>
      </c>
      <c r="D375" s="8" t="s">
        <v>1905</v>
      </c>
      <c r="E375" s="8" t="s">
        <v>1906</v>
      </c>
      <c r="F375" s="8" t="s">
        <v>1907</v>
      </c>
      <c r="G375" s="8" t="s">
        <v>1908</v>
      </c>
      <c r="H375" s="5" t="s">
        <v>1907</v>
      </c>
      <c r="I375" s="5" t="s">
        <v>20</v>
      </c>
      <c r="J375" s="5"/>
      <c r="K375" s="5" t="s">
        <v>111</v>
      </c>
      <c r="L375" s="5"/>
      <c r="M375" s="7" t="str">
        <f t="shared" si="3"/>
        <v>OK</v>
      </c>
      <c r="N375" s="7"/>
      <c r="O375" s="7"/>
      <c r="P375" s="7"/>
      <c r="Q375" s="7"/>
      <c r="R375" s="7"/>
      <c r="S375" s="7"/>
      <c r="T375" s="7"/>
      <c r="U375" s="7"/>
      <c r="V375" s="7"/>
      <c r="W375" s="7"/>
      <c r="X375" s="7"/>
      <c r="Y375" s="7"/>
      <c r="Z375" s="7"/>
    </row>
    <row r="376" ht="15.75" customHeight="1">
      <c r="A376" s="11" t="s">
        <v>1909</v>
      </c>
      <c r="B376" s="5" t="s">
        <v>133</v>
      </c>
      <c r="C376" s="5" t="s">
        <v>15</v>
      </c>
      <c r="D376" s="8" t="s">
        <v>1910</v>
      </c>
      <c r="E376" s="8" t="s">
        <v>1911</v>
      </c>
      <c r="F376" s="8" t="s">
        <v>1912</v>
      </c>
      <c r="G376" s="8" t="s">
        <v>1913</v>
      </c>
      <c r="H376" s="5" t="s">
        <v>1913</v>
      </c>
      <c r="I376" s="5" t="s">
        <v>29</v>
      </c>
      <c r="J376" s="5"/>
      <c r="K376" s="5" t="s">
        <v>31</v>
      </c>
      <c r="L376" s="5"/>
      <c r="M376" s="7" t="str">
        <f t="shared" si="3"/>
        <v>OK</v>
      </c>
      <c r="N376" s="7"/>
      <c r="O376" s="7"/>
      <c r="P376" s="7"/>
      <c r="Q376" s="7"/>
      <c r="R376" s="7"/>
      <c r="S376" s="7"/>
      <c r="T376" s="7"/>
      <c r="U376" s="7"/>
      <c r="V376" s="7"/>
      <c r="W376" s="7"/>
      <c r="X376" s="7"/>
      <c r="Y376" s="7"/>
      <c r="Z376" s="7"/>
    </row>
    <row r="377" ht="15.75" customHeight="1">
      <c r="A377" s="11" t="s">
        <v>1914</v>
      </c>
      <c r="B377" s="5" t="s">
        <v>133</v>
      </c>
      <c r="C377" s="5" t="s">
        <v>15</v>
      </c>
      <c r="D377" s="8" t="s">
        <v>1915</v>
      </c>
      <c r="E377" s="8" t="s">
        <v>1916</v>
      </c>
      <c r="F377" s="8" t="s">
        <v>1917</v>
      </c>
      <c r="G377" s="8" t="s">
        <v>1918</v>
      </c>
      <c r="H377" s="5" t="s">
        <v>1918</v>
      </c>
      <c r="I377" s="5" t="s">
        <v>29</v>
      </c>
      <c r="J377" s="5"/>
      <c r="K377" s="5" t="s">
        <v>52</v>
      </c>
      <c r="L377" s="5"/>
      <c r="M377" s="7" t="str">
        <f t="shared" si="3"/>
        <v>OK</v>
      </c>
      <c r="N377" s="7"/>
      <c r="O377" s="7"/>
      <c r="P377" s="7"/>
      <c r="Q377" s="7"/>
      <c r="R377" s="7"/>
      <c r="S377" s="7"/>
      <c r="T377" s="7"/>
      <c r="U377" s="7"/>
      <c r="V377" s="7"/>
      <c r="W377" s="7"/>
      <c r="X377" s="7"/>
      <c r="Y377" s="7"/>
      <c r="Z377" s="7"/>
    </row>
    <row r="378" ht="15.75" customHeight="1">
      <c r="A378" s="11" t="s">
        <v>1919</v>
      </c>
      <c r="B378" s="5" t="s">
        <v>133</v>
      </c>
      <c r="C378" s="5" t="s">
        <v>15</v>
      </c>
      <c r="D378" s="8" t="s">
        <v>1920</v>
      </c>
      <c r="E378" s="8" t="s">
        <v>1921</v>
      </c>
      <c r="F378" s="8" t="s">
        <v>1922</v>
      </c>
      <c r="G378" s="8" t="s">
        <v>1923</v>
      </c>
      <c r="H378" s="5" t="s">
        <v>1921</v>
      </c>
      <c r="I378" s="5" t="s">
        <v>29</v>
      </c>
      <c r="J378" s="5"/>
      <c r="K378" s="5" t="s">
        <v>39</v>
      </c>
      <c r="L378" s="5"/>
      <c r="M378" s="7" t="str">
        <f t="shared" si="3"/>
        <v>OK</v>
      </c>
      <c r="N378" s="7"/>
      <c r="O378" s="7"/>
      <c r="P378" s="7"/>
      <c r="Q378" s="7"/>
      <c r="R378" s="7"/>
      <c r="S378" s="7"/>
      <c r="T378" s="7"/>
      <c r="U378" s="7"/>
      <c r="V378" s="7"/>
      <c r="W378" s="7"/>
      <c r="X378" s="7"/>
      <c r="Y378" s="7"/>
      <c r="Z378" s="7"/>
    </row>
    <row r="379" ht="15.75" customHeight="1">
      <c r="A379" s="11" t="s">
        <v>1924</v>
      </c>
      <c r="B379" s="5" t="s">
        <v>133</v>
      </c>
      <c r="C379" s="5" t="s">
        <v>15</v>
      </c>
      <c r="D379" s="8" t="s">
        <v>1925</v>
      </c>
      <c r="E379" s="8" t="s">
        <v>1926</v>
      </c>
      <c r="F379" s="8" t="s">
        <v>1927</v>
      </c>
      <c r="G379" s="8" t="s">
        <v>1928</v>
      </c>
      <c r="H379" s="5" t="s">
        <v>1927</v>
      </c>
      <c r="I379" s="5" t="s">
        <v>37</v>
      </c>
      <c r="J379" s="5"/>
      <c r="K379" s="5" t="s">
        <v>22</v>
      </c>
      <c r="L379" s="5"/>
      <c r="M379" s="7" t="str">
        <f t="shared" si="3"/>
        <v>OK</v>
      </c>
      <c r="N379" s="7"/>
      <c r="O379" s="7"/>
      <c r="P379" s="7"/>
      <c r="Q379" s="7"/>
      <c r="R379" s="7"/>
      <c r="S379" s="7"/>
      <c r="T379" s="7"/>
      <c r="U379" s="7"/>
      <c r="V379" s="7"/>
      <c r="W379" s="7"/>
      <c r="X379" s="7"/>
      <c r="Y379" s="7"/>
      <c r="Z379" s="7"/>
    </row>
    <row r="380" ht="15.75" customHeight="1">
      <c r="A380" s="11" t="s">
        <v>1929</v>
      </c>
      <c r="B380" s="5" t="s">
        <v>133</v>
      </c>
      <c r="C380" s="5" t="s">
        <v>15</v>
      </c>
      <c r="D380" s="8" t="s">
        <v>1930</v>
      </c>
      <c r="E380" s="8" t="s">
        <v>1931</v>
      </c>
      <c r="F380" s="8" t="s">
        <v>1932</v>
      </c>
      <c r="G380" s="8" t="s">
        <v>1933</v>
      </c>
      <c r="H380" s="5" t="s">
        <v>1931</v>
      </c>
      <c r="I380" s="5" t="s">
        <v>21</v>
      </c>
      <c r="J380" s="5"/>
      <c r="K380" s="5" t="s">
        <v>52</v>
      </c>
      <c r="L380" s="5"/>
      <c r="M380" s="7" t="str">
        <f t="shared" si="3"/>
        <v>OK</v>
      </c>
      <c r="N380" s="7"/>
      <c r="O380" s="7"/>
      <c r="P380" s="7"/>
      <c r="Q380" s="7"/>
      <c r="R380" s="7"/>
      <c r="S380" s="7"/>
      <c r="T380" s="7"/>
      <c r="U380" s="7"/>
      <c r="V380" s="7"/>
      <c r="W380" s="7"/>
      <c r="X380" s="7"/>
      <c r="Y380" s="7"/>
      <c r="Z380" s="7"/>
    </row>
    <row r="381" ht="15.75" customHeight="1">
      <c r="A381" s="11" t="s">
        <v>1934</v>
      </c>
      <c r="B381" s="5" t="s">
        <v>133</v>
      </c>
      <c r="C381" s="5" t="s">
        <v>15</v>
      </c>
      <c r="D381" s="8" t="s">
        <v>1935</v>
      </c>
      <c r="E381" s="8" t="s">
        <v>1936</v>
      </c>
      <c r="F381" s="8" t="s">
        <v>1937</v>
      </c>
      <c r="G381" s="8" t="s">
        <v>1938</v>
      </c>
      <c r="H381" s="5" t="s">
        <v>1937</v>
      </c>
      <c r="I381" s="5" t="s">
        <v>51</v>
      </c>
      <c r="J381" s="5"/>
      <c r="K381" s="5" t="s">
        <v>22</v>
      </c>
      <c r="L381" s="5"/>
      <c r="M381" s="7" t="str">
        <f t="shared" si="3"/>
        <v>OK</v>
      </c>
      <c r="N381" s="7"/>
      <c r="O381" s="7"/>
      <c r="P381" s="7"/>
      <c r="Q381" s="7"/>
      <c r="R381" s="7"/>
      <c r="S381" s="7"/>
      <c r="T381" s="7"/>
      <c r="U381" s="7"/>
      <c r="V381" s="7"/>
      <c r="W381" s="7"/>
      <c r="X381" s="7"/>
      <c r="Y381" s="7"/>
      <c r="Z381" s="7"/>
    </row>
    <row r="382" ht="15.75" customHeight="1">
      <c r="A382" s="11" t="s">
        <v>1939</v>
      </c>
      <c r="B382" s="5" t="s">
        <v>133</v>
      </c>
      <c r="C382" s="5" t="s">
        <v>15</v>
      </c>
      <c r="D382" s="8" t="s">
        <v>1940</v>
      </c>
      <c r="E382" s="8" t="s">
        <v>1941</v>
      </c>
      <c r="F382" s="8" t="s">
        <v>1942</v>
      </c>
      <c r="G382" s="8" t="s">
        <v>1943</v>
      </c>
      <c r="H382" s="5" t="s">
        <v>1943</v>
      </c>
      <c r="I382" s="5" t="s">
        <v>37</v>
      </c>
      <c r="J382" s="5"/>
      <c r="K382" s="5" t="s">
        <v>30</v>
      </c>
      <c r="L382" s="5"/>
      <c r="M382" s="7" t="str">
        <f t="shared" si="3"/>
        <v>OK</v>
      </c>
      <c r="N382" s="7"/>
      <c r="O382" s="7"/>
      <c r="P382" s="7"/>
      <c r="Q382" s="7"/>
      <c r="R382" s="7"/>
      <c r="S382" s="7"/>
      <c r="T382" s="7"/>
      <c r="U382" s="7"/>
      <c r="V382" s="7"/>
      <c r="W382" s="7"/>
      <c r="X382" s="7"/>
      <c r="Y382" s="7"/>
      <c r="Z382" s="7"/>
    </row>
    <row r="383" ht="15.75" customHeight="1">
      <c r="A383" s="11" t="s">
        <v>1944</v>
      </c>
      <c r="B383" s="5" t="s">
        <v>133</v>
      </c>
      <c r="C383" s="5" t="s">
        <v>15</v>
      </c>
      <c r="D383" s="8" t="s">
        <v>1945</v>
      </c>
      <c r="E383" s="8" t="s">
        <v>1946</v>
      </c>
      <c r="F383" s="8" t="s">
        <v>1947</v>
      </c>
      <c r="G383" s="8" t="s">
        <v>1948</v>
      </c>
      <c r="H383" s="5" t="s">
        <v>1946</v>
      </c>
      <c r="I383" s="5" t="s">
        <v>51</v>
      </c>
      <c r="J383" s="5"/>
      <c r="K383" s="5" t="s">
        <v>23</v>
      </c>
      <c r="L383" s="5"/>
      <c r="M383" s="7" t="str">
        <f t="shared" si="3"/>
        <v>OK</v>
      </c>
      <c r="N383" s="7"/>
      <c r="O383" s="7"/>
      <c r="P383" s="7"/>
      <c r="Q383" s="7"/>
      <c r="R383" s="7"/>
      <c r="S383" s="7"/>
      <c r="T383" s="7"/>
      <c r="U383" s="7"/>
      <c r="V383" s="7"/>
      <c r="W383" s="7"/>
      <c r="X383" s="7"/>
      <c r="Y383" s="7"/>
      <c r="Z383" s="7"/>
    </row>
    <row r="384" ht="15.75" customHeight="1">
      <c r="A384" s="11" t="s">
        <v>1949</v>
      </c>
      <c r="B384" s="5" t="s">
        <v>133</v>
      </c>
      <c r="C384" s="5" t="s">
        <v>15</v>
      </c>
      <c r="D384" s="8" t="s">
        <v>1950</v>
      </c>
      <c r="E384" s="8" t="s">
        <v>1951</v>
      </c>
      <c r="F384" s="8" t="s">
        <v>1952</v>
      </c>
      <c r="G384" s="8" t="s">
        <v>1953</v>
      </c>
      <c r="H384" s="5" t="s">
        <v>1951</v>
      </c>
      <c r="I384" s="5" t="s">
        <v>37</v>
      </c>
      <c r="J384" s="5"/>
      <c r="K384" s="5" t="s">
        <v>52</v>
      </c>
      <c r="L384" s="5"/>
      <c r="M384" s="7" t="str">
        <f t="shared" si="3"/>
        <v>OK</v>
      </c>
      <c r="N384" s="7"/>
      <c r="O384" s="7"/>
      <c r="P384" s="7"/>
      <c r="Q384" s="7"/>
      <c r="R384" s="7"/>
      <c r="S384" s="7"/>
      <c r="T384" s="7"/>
      <c r="U384" s="7"/>
      <c r="V384" s="7"/>
      <c r="W384" s="7"/>
      <c r="X384" s="7"/>
      <c r="Y384" s="7"/>
      <c r="Z384" s="7"/>
    </row>
    <row r="385" ht="15.75" customHeight="1">
      <c r="A385" s="11" t="s">
        <v>1954</v>
      </c>
      <c r="B385" s="5" t="s">
        <v>133</v>
      </c>
      <c r="C385" s="5" t="s">
        <v>15</v>
      </c>
      <c r="D385" s="8" t="s">
        <v>1955</v>
      </c>
      <c r="E385" s="8" t="s">
        <v>1956</v>
      </c>
      <c r="F385" s="8" t="s">
        <v>1957</v>
      </c>
      <c r="G385" s="8" t="s">
        <v>1958</v>
      </c>
      <c r="H385" s="5" t="s">
        <v>1959</v>
      </c>
      <c r="I385" s="5" t="s">
        <v>29</v>
      </c>
      <c r="J385" s="5"/>
      <c r="K385" s="5" t="s">
        <v>39</v>
      </c>
      <c r="L385" s="5"/>
      <c r="M385" s="7" t="str">
        <f t="shared" si="3"/>
        <v>OK</v>
      </c>
      <c r="N385" s="7"/>
      <c r="O385" s="7"/>
      <c r="P385" s="7"/>
      <c r="Q385" s="7"/>
      <c r="R385" s="7"/>
      <c r="S385" s="7"/>
      <c r="T385" s="7"/>
      <c r="U385" s="7"/>
      <c r="V385" s="7"/>
      <c r="W385" s="7"/>
      <c r="X385" s="7"/>
      <c r="Y385" s="7"/>
      <c r="Z385" s="7"/>
    </row>
    <row r="386" ht="15.75" customHeight="1">
      <c r="A386" s="11" t="s">
        <v>1960</v>
      </c>
      <c r="B386" s="5" t="s">
        <v>133</v>
      </c>
      <c r="C386" s="5" t="s">
        <v>15</v>
      </c>
      <c r="D386" s="8" t="s">
        <v>1961</v>
      </c>
      <c r="E386" s="8" t="s">
        <v>1962</v>
      </c>
      <c r="F386" s="8" t="s">
        <v>1963</v>
      </c>
      <c r="G386" s="8" t="s">
        <v>1964</v>
      </c>
      <c r="H386" s="5" t="s">
        <v>1964</v>
      </c>
      <c r="I386" s="5" t="s">
        <v>38</v>
      </c>
      <c r="J386" s="5"/>
      <c r="K386" s="5" t="s">
        <v>31</v>
      </c>
      <c r="L386" s="5"/>
      <c r="M386" s="7" t="str">
        <f t="shared" si="3"/>
        <v>OK</v>
      </c>
      <c r="N386" s="7"/>
      <c r="O386" s="7"/>
      <c r="P386" s="7"/>
      <c r="Q386" s="7"/>
      <c r="R386" s="7"/>
      <c r="S386" s="7"/>
      <c r="T386" s="7"/>
      <c r="U386" s="7"/>
      <c r="V386" s="7"/>
      <c r="W386" s="7"/>
      <c r="X386" s="7"/>
      <c r="Y386" s="7"/>
      <c r="Z386" s="7"/>
    </row>
    <row r="387" ht="15.75" customHeight="1">
      <c r="A387" s="11" t="s">
        <v>1965</v>
      </c>
      <c r="B387" s="5" t="s">
        <v>133</v>
      </c>
      <c r="C387" s="5" t="s">
        <v>15</v>
      </c>
      <c r="D387" s="8" t="s">
        <v>1966</v>
      </c>
      <c r="E387" s="8" t="s">
        <v>1967</v>
      </c>
      <c r="F387" s="8" t="s">
        <v>1968</v>
      </c>
      <c r="G387" s="26" t="s">
        <v>1969</v>
      </c>
      <c r="H387" s="5" t="s">
        <v>1970</v>
      </c>
      <c r="I387" s="5" t="s">
        <v>51</v>
      </c>
      <c r="J387" s="5"/>
      <c r="K387" s="5" t="s">
        <v>31</v>
      </c>
      <c r="L387" s="5"/>
      <c r="M387" s="7" t="str">
        <f t="shared" si="3"/>
        <v>OK</v>
      </c>
      <c r="N387" s="7"/>
      <c r="O387" s="7"/>
      <c r="P387" s="7"/>
      <c r="Q387" s="7"/>
      <c r="R387" s="7"/>
      <c r="S387" s="7"/>
      <c r="T387" s="7"/>
      <c r="U387" s="7"/>
      <c r="V387" s="7"/>
      <c r="W387" s="7"/>
      <c r="X387" s="7"/>
      <c r="Y387" s="7"/>
      <c r="Z387" s="7"/>
    </row>
    <row r="388" ht="15.75" customHeight="1">
      <c r="A388" s="11" t="s">
        <v>1971</v>
      </c>
      <c r="B388" s="5" t="s">
        <v>133</v>
      </c>
      <c r="C388" s="5" t="s">
        <v>15</v>
      </c>
      <c r="D388" s="8" t="s">
        <v>1972</v>
      </c>
      <c r="E388" s="8" t="s">
        <v>1973</v>
      </c>
      <c r="F388" s="8" t="s">
        <v>1974</v>
      </c>
      <c r="G388" s="8" t="s">
        <v>1975</v>
      </c>
      <c r="H388" s="5" t="s">
        <v>1975</v>
      </c>
      <c r="I388" s="5" t="s">
        <v>51</v>
      </c>
      <c r="J388" s="5"/>
      <c r="K388" s="5" t="s">
        <v>52</v>
      </c>
      <c r="L388" s="5"/>
      <c r="M388" s="7" t="str">
        <f t="shared" si="3"/>
        <v>OK</v>
      </c>
      <c r="N388" s="7"/>
      <c r="O388" s="7"/>
      <c r="P388" s="7"/>
      <c r="Q388" s="7"/>
      <c r="R388" s="7"/>
      <c r="S388" s="7"/>
      <c r="T388" s="7"/>
      <c r="U388" s="7"/>
      <c r="V388" s="7"/>
      <c r="W388" s="7"/>
      <c r="X388" s="7"/>
      <c r="Y388" s="7"/>
      <c r="Z388" s="7"/>
    </row>
    <row r="389" ht="15.75" customHeight="1">
      <c r="A389" s="11" t="s">
        <v>1976</v>
      </c>
      <c r="B389" s="5" t="s">
        <v>133</v>
      </c>
      <c r="C389" s="5" t="s">
        <v>15</v>
      </c>
      <c r="D389" s="8" t="s">
        <v>1977</v>
      </c>
      <c r="E389" s="8" t="s">
        <v>1978</v>
      </c>
      <c r="F389" s="8" t="s">
        <v>1979</v>
      </c>
      <c r="G389" s="8" t="s">
        <v>1980</v>
      </c>
      <c r="H389" s="5" t="s">
        <v>1979</v>
      </c>
      <c r="I389" s="5" t="s">
        <v>38</v>
      </c>
      <c r="J389" s="5"/>
      <c r="K389" s="5" t="s">
        <v>31</v>
      </c>
      <c r="L389" s="5"/>
      <c r="M389" s="7" t="str">
        <f t="shared" si="3"/>
        <v>OK</v>
      </c>
      <c r="N389" s="7"/>
      <c r="O389" s="7"/>
      <c r="P389" s="7"/>
      <c r="Q389" s="7"/>
      <c r="R389" s="7"/>
      <c r="S389" s="7"/>
      <c r="T389" s="7"/>
      <c r="U389" s="7"/>
      <c r="V389" s="7"/>
      <c r="W389" s="7"/>
      <c r="X389" s="7"/>
      <c r="Y389" s="7"/>
      <c r="Z389" s="7"/>
    </row>
    <row r="390" ht="15.75" customHeight="1">
      <c r="A390" s="11" t="s">
        <v>1981</v>
      </c>
      <c r="B390" s="5" t="s">
        <v>133</v>
      </c>
      <c r="C390" s="5" t="s">
        <v>15</v>
      </c>
      <c r="D390" s="8" t="s">
        <v>1982</v>
      </c>
      <c r="E390" s="8" t="s">
        <v>1983</v>
      </c>
      <c r="F390" s="8" t="s">
        <v>1984</v>
      </c>
      <c r="G390" s="8" t="s">
        <v>1985</v>
      </c>
      <c r="H390" s="5" t="s">
        <v>1985</v>
      </c>
      <c r="I390" s="5" t="s">
        <v>45</v>
      </c>
      <c r="J390" s="5"/>
      <c r="K390" s="5" t="s">
        <v>30</v>
      </c>
      <c r="L390" s="5"/>
      <c r="M390" s="7" t="str">
        <f t="shared" si="3"/>
        <v>OK</v>
      </c>
      <c r="N390" s="7"/>
      <c r="O390" s="7"/>
      <c r="P390" s="7"/>
      <c r="Q390" s="7"/>
      <c r="R390" s="7"/>
      <c r="S390" s="7"/>
      <c r="T390" s="7"/>
      <c r="U390" s="7"/>
      <c r="V390" s="7"/>
      <c r="W390" s="7"/>
      <c r="X390" s="7"/>
      <c r="Y390" s="7"/>
      <c r="Z390" s="7"/>
    </row>
    <row r="391" ht="15.75" customHeight="1">
      <c r="A391" s="11" t="s">
        <v>1986</v>
      </c>
      <c r="B391" s="5" t="s">
        <v>133</v>
      </c>
      <c r="C391" s="5" t="s">
        <v>15</v>
      </c>
      <c r="D391" s="8" t="s">
        <v>1987</v>
      </c>
      <c r="E391" s="8" t="s">
        <v>1988</v>
      </c>
      <c r="F391" s="8" t="s">
        <v>1989</v>
      </c>
      <c r="G391" s="8" t="s">
        <v>1990</v>
      </c>
      <c r="H391" s="5" t="s">
        <v>1990</v>
      </c>
      <c r="I391" s="5" t="s">
        <v>51</v>
      </c>
      <c r="J391" s="5"/>
      <c r="K391" s="5" t="s">
        <v>52</v>
      </c>
      <c r="L391" s="5"/>
      <c r="M391" s="7" t="str">
        <f t="shared" si="3"/>
        <v>OK</v>
      </c>
      <c r="N391" s="7"/>
      <c r="O391" s="7"/>
      <c r="P391" s="7"/>
      <c r="Q391" s="7"/>
      <c r="R391" s="7"/>
      <c r="S391" s="7"/>
      <c r="T391" s="7"/>
      <c r="U391" s="7"/>
      <c r="V391" s="7"/>
      <c r="W391" s="7"/>
      <c r="X391" s="7"/>
      <c r="Y391" s="7"/>
      <c r="Z391" s="7"/>
    </row>
    <row r="392" ht="15.75" customHeight="1">
      <c r="A392" s="11" t="s">
        <v>1991</v>
      </c>
      <c r="B392" s="5" t="s">
        <v>133</v>
      </c>
      <c r="C392" s="5" t="s">
        <v>15</v>
      </c>
      <c r="D392" s="8" t="s">
        <v>1992</v>
      </c>
      <c r="E392" s="8" t="s">
        <v>1993</v>
      </c>
      <c r="F392" s="8" t="s">
        <v>1994</v>
      </c>
      <c r="G392" s="8" t="s">
        <v>1995</v>
      </c>
      <c r="H392" s="5" t="s">
        <v>1995</v>
      </c>
      <c r="I392" s="5" t="s">
        <v>51</v>
      </c>
      <c r="J392" s="5"/>
      <c r="K392" s="5" t="s">
        <v>52</v>
      </c>
      <c r="L392" s="5"/>
      <c r="M392" s="7" t="str">
        <f t="shared" si="3"/>
        <v>OK</v>
      </c>
      <c r="N392" s="7"/>
      <c r="O392" s="7"/>
      <c r="P392" s="7"/>
      <c r="Q392" s="7"/>
      <c r="R392" s="7"/>
      <c r="S392" s="7"/>
      <c r="T392" s="7"/>
      <c r="U392" s="7"/>
      <c r="V392" s="7"/>
      <c r="W392" s="7"/>
      <c r="X392" s="7"/>
      <c r="Y392" s="7"/>
      <c r="Z392" s="7"/>
    </row>
    <row r="393" ht="15.75" customHeight="1">
      <c r="A393" s="11" t="s">
        <v>1996</v>
      </c>
      <c r="B393" s="5" t="s">
        <v>133</v>
      </c>
      <c r="C393" s="5" t="s">
        <v>15</v>
      </c>
      <c r="D393" s="8" t="s">
        <v>1997</v>
      </c>
      <c r="E393" s="8" t="s">
        <v>1998</v>
      </c>
      <c r="F393" s="8" t="s">
        <v>1999</v>
      </c>
      <c r="G393" s="8" t="s">
        <v>2000</v>
      </c>
      <c r="H393" s="5" t="s">
        <v>2000</v>
      </c>
      <c r="I393" s="5" t="s">
        <v>51</v>
      </c>
      <c r="J393" s="5"/>
      <c r="K393" s="5" t="s">
        <v>31</v>
      </c>
      <c r="L393" s="5"/>
      <c r="M393" s="7" t="str">
        <f t="shared" si="3"/>
        <v>OK</v>
      </c>
      <c r="N393" s="7"/>
      <c r="O393" s="7"/>
      <c r="P393" s="7"/>
      <c r="Q393" s="7"/>
      <c r="R393" s="7"/>
      <c r="S393" s="7"/>
      <c r="T393" s="7"/>
      <c r="U393" s="7"/>
      <c r="V393" s="7"/>
      <c r="W393" s="7"/>
      <c r="X393" s="7"/>
      <c r="Y393" s="7"/>
      <c r="Z393" s="7"/>
    </row>
    <row r="394" ht="15.75" customHeight="1">
      <c r="A394" s="11" t="s">
        <v>2001</v>
      </c>
      <c r="B394" s="5" t="s">
        <v>133</v>
      </c>
      <c r="C394" s="5" t="s">
        <v>15</v>
      </c>
      <c r="D394" s="8" t="s">
        <v>2002</v>
      </c>
      <c r="E394" s="8" t="s">
        <v>2003</v>
      </c>
      <c r="F394" s="8" t="s">
        <v>2004</v>
      </c>
      <c r="G394" s="8" t="s">
        <v>2005</v>
      </c>
      <c r="H394" s="5" t="s">
        <v>2005</v>
      </c>
      <c r="I394" s="5" t="s">
        <v>74</v>
      </c>
      <c r="J394" s="5"/>
      <c r="K394" s="5" t="s">
        <v>30</v>
      </c>
      <c r="L394" s="5"/>
      <c r="M394" s="7" t="str">
        <f t="shared" si="3"/>
        <v>OK</v>
      </c>
      <c r="N394" s="7"/>
      <c r="O394" s="7"/>
      <c r="P394" s="7"/>
      <c r="Q394" s="7"/>
      <c r="R394" s="7"/>
      <c r="S394" s="7"/>
      <c r="T394" s="7"/>
      <c r="U394" s="7"/>
      <c r="V394" s="7"/>
      <c r="W394" s="7"/>
      <c r="X394" s="7"/>
      <c r="Y394" s="7"/>
      <c r="Z394" s="7"/>
    </row>
    <row r="395" ht="15.75" customHeight="1">
      <c r="A395" s="11" t="s">
        <v>2006</v>
      </c>
      <c r="B395" s="5" t="s">
        <v>133</v>
      </c>
      <c r="C395" s="5" t="s">
        <v>15</v>
      </c>
      <c r="D395" s="8" t="s">
        <v>2007</v>
      </c>
      <c r="E395" s="8" t="s">
        <v>2008</v>
      </c>
      <c r="F395" s="8" t="s">
        <v>2009</v>
      </c>
      <c r="G395" s="8" t="s">
        <v>2010</v>
      </c>
      <c r="H395" s="5" t="s">
        <v>2010</v>
      </c>
      <c r="I395" s="5" t="s">
        <v>37</v>
      </c>
      <c r="J395" s="5"/>
      <c r="K395" s="5" t="s">
        <v>31</v>
      </c>
      <c r="L395" s="5"/>
      <c r="M395" s="7" t="str">
        <f t="shared" si="3"/>
        <v>OK</v>
      </c>
      <c r="N395" s="7"/>
      <c r="O395" s="7"/>
      <c r="P395" s="7"/>
      <c r="Q395" s="7"/>
      <c r="R395" s="7"/>
      <c r="S395" s="7"/>
      <c r="T395" s="7"/>
      <c r="U395" s="7"/>
      <c r="V395" s="7"/>
      <c r="W395" s="7"/>
      <c r="X395" s="7"/>
      <c r="Y395" s="7"/>
      <c r="Z395" s="7"/>
    </row>
    <row r="396" ht="15.75" customHeight="1">
      <c r="A396" s="11" t="s">
        <v>2011</v>
      </c>
      <c r="B396" s="5" t="s">
        <v>133</v>
      </c>
      <c r="C396" s="5" t="s">
        <v>15</v>
      </c>
      <c r="D396" s="8" t="s">
        <v>2012</v>
      </c>
      <c r="E396" s="8" t="s">
        <v>2013</v>
      </c>
      <c r="F396" s="8" t="s">
        <v>2014</v>
      </c>
      <c r="G396" s="8" t="s">
        <v>2015</v>
      </c>
      <c r="H396" s="5" t="s">
        <v>2015</v>
      </c>
      <c r="I396" s="5" t="s">
        <v>51</v>
      </c>
      <c r="J396" s="5"/>
      <c r="K396" s="5" t="s">
        <v>111</v>
      </c>
      <c r="L396" s="5"/>
      <c r="M396" s="7" t="str">
        <f t="shared" si="3"/>
        <v>OK</v>
      </c>
      <c r="N396" s="7"/>
      <c r="O396" s="7"/>
      <c r="P396" s="7"/>
      <c r="Q396" s="7"/>
      <c r="R396" s="7"/>
      <c r="S396" s="7"/>
      <c r="T396" s="7"/>
      <c r="U396" s="7"/>
      <c r="V396" s="7"/>
      <c r="W396" s="7"/>
      <c r="X396" s="7"/>
      <c r="Y396" s="7"/>
      <c r="Z396" s="7"/>
    </row>
    <row r="397" ht="15.75" customHeight="1">
      <c r="A397" s="11" t="s">
        <v>2016</v>
      </c>
      <c r="B397" s="5" t="s">
        <v>133</v>
      </c>
      <c r="C397" s="5" t="s">
        <v>15</v>
      </c>
      <c r="D397" s="8" t="s">
        <v>2017</v>
      </c>
      <c r="E397" s="8" t="s">
        <v>2018</v>
      </c>
      <c r="F397" s="8" t="s">
        <v>2019</v>
      </c>
      <c r="G397" s="8" t="s">
        <v>2020</v>
      </c>
      <c r="H397" s="5" t="s">
        <v>2020</v>
      </c>
      <c r="I397" s="5" t="s">
        <v>51</v>
      </c>
      <c r="J397" s="5"/>
      <c r="K397" s="5" t="s">
        <v>52</v>
      </c>
      <c r="L397" s="5"/>
      <c r="M397" s="7" t="str">
        <f t="shared" si="3"/>
        <v>OK</v>
      </c>
      <c r="N397" s="7"/>
      <c r="O397" s="7"/>
      <c r="P397" s="7"/>
      <c r="Q397" s="7"/>
      <c r="R397" s="7"/>
      <c r="S397" s="7"/>
      <c r="T397" s="7"/>
      <c r="U397" s="7"/>
      <c r="V397" s="7"/>
      <c r="W397" s="7"/>
      <c r="X397" s="7"/>
      <c r="Y397" s="7"/>
      <c r="Z397" s="7"/>
    </row>
    <row r="398" ht="15.75" customHeight="1">
      <c r="A398" s="11" t="s">
        <v>2021</v>
      </c>
      <c r="B398" s="5" t="s">
        <v>133</v>
      </c>
      <c r="C398" s="5" t="s">
        <v>15</v>
      </c>
      <c r="D398" s="8" t="s">
        <v>2022</v>
      </c>
      <c r="E398" s="8" t="s">
        <v>2023</v>
      </c>
      <c r="F398" s="8" t="s">
        <v>2024</v>
      </c>
      <c r="G398" s="8" t="s">
        <v>2025</v>
      </c>
      <c r="H398" s="5" t="s">
        <v>2025</v>
      </c>
      <c r="I398" s="5" t="s">
        <v>74</v>
      </c>
      <c r="J398" s="5"/>
      <c r="K398" s="5" t="s">
        <v>31</v>
      </c>
      <c r="L398" s="5"/>
      <c r="M398" s="7" t="str">
        <f t="shared" si="3"/>
        <v>OK</v>
      </c>
      <c r="N398" s="7"/>
      <c r="O398" s="7"/>
      <c r="P398" s="7"/>
      <c r="Q398" s="7"/>
      <c r="R398" s="7"/>
      <c r="S398" s="7"/>
      <c r="T398" s="7"/>
      <c r="U398" s="7"/>
      <c r="V398" s="7"/>
      <c r="W398" s="7"/>
      <c r="X398" s="7"/>
      <c r="Y398" s="7"/>
      <c r="Z398" s="7"/>
    </row>
    <row r="399" ht="15.75" customHeight="1">
      <c r="A399" s="11" t="s">
        <v>2026</v>
      </c>
      <c r="B399" s="5" t="s">
        <v>133</v>
      </c>
      <c r="C399" s="5" t="s">
        <v>15</v>
      </c>
      <c r="D399" s="8" t="s">
        <v>2027</v>
      </c>
      <c r="E399" s="8" t="s">
        <v>2028</v>
      </c>
      <c r="F399" s="8" t="s">
        <v>2029</v>
      </c>
      <c r="G399" s="8" t="s">
        <v>2030</v>
      </c>
      <c r="H399" s="5" t="s">
        <v>2028</v>
      </c>
      <c r="I399" s="5" t="s">
        <v>51</v>
      </c>
      <c r="J399" s="5"/>
      <c r="K399" s="5" t="s">
        <v>22</v>
      </c>
      <c r="L399" s="5"/>
      <c r="M399" s="7" t="str">
        <f t="shared" si="3"/>
        <v>OK</v>
      </c>
      <c r="N399" s="7"/>
      <c r="O399" s="7"/>
      <c r="P399" s="7"/>
      <c r="Q399" s="7"/>
      <c r="R399" s="7"/>
      <c r="S399" s="7"/>
      <c r="T399" s="7"/>
      <c r="U399" s="7"/>
      <c r="V399" s="7"/>
      <c r="W399" s="7"/>
      <c r="X399" s="7"/>
      <c r="Y399" s="7"/>
      <c r="Z399" s="7"/>
    </row>
    <row r="400" ht="15.75" customHeight="1">
      <c r="A400" s="11" t="s">
        <v>2031</v>
      </c>
      <c r="B400" s="5" t="s">
        <v>133</v>
      </c>
      <c r="C400" s="5" t="s">
        <v>15</v>
      </c>
      <c r="D400" s="8" t="s">
        <v>2032</v>
      </c>
      <c r="E400" s="8" t="s">
        <v>2033</v>
      </c>
      <c r="F400" s="8" t="s">
        <v>2034</v>
      </c>
      <c r="G400" s="8" t="s">
        <v>2035</v>
      </c>
      <c r="H400" s="5" t="s">
        <v>2033</v>
      </c>
      <c r="I400" s="5" t="s">
        <v>38</v>
      </c>
      <c r="J400" s="5"/>
      <c r="K400" s="5" t="s">
        <v>52</v>
      </c>
      <c r="L400" s="5"/>
      <c r="M400" s="7" t="str">
        <f t="shared" si="3"/>
        <v>OK</v>
      </c>
      <c r="N400" s="7"/>
      <c r="O400" s="7"/>
      <c r="P400" s="7"/>
      <c r="Q400" s="7"/>
      <c r="R400" s="7"/>
      <c r="S400" s="7"/>
      <c r="T400" s="7"/>
      <c r="U400" s="7"/>
      <c r="V400" s="7"/>
      <c r="W400" s="7"/>
      <c r="X400" s="7"/>
      <c r="Y400" s="7"/>
      <c r="Z400" s="7"/>
    </row>
    <row r="401" ht="15.75" customHeight="1">
      <c r="A401" s="11" t="s">
        <v>2036</v>
      </c>
      <c r="B401" s="5" t="s">
        <v>133</v>
      </c>
      <c r="C401" s="5" t="s">
        <v>15</v>
      </c>
      <c r="D401" s="8" t="s">
        <v>2037</v>
      </c>
      <c r="E401" s="8" t="s">
        <v>2038</v>
      </c>
      <c r="F401" s="8" t="s">
        <v>2039</v>
      </c>
      <c r="G401" s="8" t="s">
        <v>1654</v>
      </c>
      <c r="H401" s="5" t="s">
        <v>2039</v>
      </c>
      <c r="I401" s="5" t="s">
        <v>51</v>
      </c>
      <c r="J401" s="5"/>
      <c r="K401" s="5" t="s">
        <v>30</v>
      </c>
      <c r="L401" s="5"/>
      <c r="M401" s="7" t="str">
        <f t="shared" si="3"/>
        <v>OK</v>
      </c>
      <c r="N401" s="7"/>
      <c r="O401" s="7"/>
      <c r="P401" s="7"/>
      <c r="Q401" s="7"/>
      <c r="R401" s="7"/>
      <c r="S401" s="7"/>
      <c r="T401" s="7"/>
      <c r="U401" s="7"/>
      <c r="V401" s="7"/>
      <c r="W401" s="7"/>
      <c r="X401" s="7"/>
      <c r="Y401" s="7"/>
      <c r="Z401" s="7"/>
    </row>
    <row r="402" ht="15.75" customHeight="1">
      <c r="A402" s="11" t="s">
        <v>2040</v>
      </c>
      <c r="B402" s="5" t="s">
        <v>133</v>
      </c>
      <c r="C402" s="5" t="s">
        <v>15</v>
      </c>
      <c r="D402" s="8" t="s">
        <v>2041</v>
      </c>
      <c r="E402" s="8" t="s">
        <v>2042</v>
      </c>
      <c r="F402" s="8" t="s">
        <v>2043</v>
      </c>
      <c r="G402" s="8" t="s">
        <v>2044</v>
      </c>
      <c r="H402" s="5" t="s">
        <v>2043</v>
      </c>
      <c r="I402" s="5" t="s">
        <v>38</v>
      </c>
      <c r="J402" s="5"/>
      <c r="K402" s="5" t="s">
        <v>30</v>
      </c>
      <c r="L402" s="5"/>
      <c r="M402" s="7" t="str">
        <f t="shared" si="3"/>
        <v>OK</v>
      </c>
      <c r="N402" s="7"/>
      <c r="O402" s="7"/>
      <c r="P402" s="7"/>
      <c r="Q402" s="7"/>
      <c r="R402" s="7"/>
      <c r="S402" s="7"/>
      <c r="T402" s="7"/>
      <c r="U402" s="7"/>
      <c r="V402" s="7"/>
      <c r="W402" s="7"/>
      <c r="X402" s="7"/>
      <c r="Y402" s="7"/>
      <c r="Z402" s="7"/>
    </row>
    <row r="403" ht="15.75" customHeight="1">
      <c r="A403" s="11" t="s">
        <v>2045</v>
      </c>
      <c r="B403" s="5" t="s">
        <v>133</v>
      </c>
      <c r="C403" s="5" t="s">
        <v>15</v>
      </c>
      <c r="D403" s="8" t="s">
        <v>2046</v>
      </c>
      <c r="E403" s="8" t="s">
        <v>2047</v>
      </c>
      <c r="F403" s="8" t="s">
        <v>2048</v>
      </c>
      <c r="G403" s="8" t="s">
        <v>2049</v>
      </c>
      <c r="H403" s="5" t="s">
        <v>2049</v>
      </c>
      <c r="I403" s="5" t="s">
        <v>74</v>
      </c>
      <c r="J403" s="5"/>
      <c r="K403" s="5" t="s">
        <v>31</v>
      </c>
      <c r="L403" s="5"/>
      <c r="M403" s="7" t="str">
        <f t="shared" si="3"/>
        <v>OK</v>
      </c>
      <c r="N403" s="7"/>
      <c r="O403" s="7"/>
      <c r="P403" s="7"/>
      <c r="Q403" s="7"/>
      <c r="R403" s="7"/>
      <c r="S403" s="7"/>
      <c r="T403" s="7"/>
      <c r="U403" s="7"/>
      <c r="V403" s="7"/>
      <c r="W403" s="7"/>
      <c r="X403" s="7"/>
      <c r="Y403" s="7"/>
      <c r="Z403" s="7"/>
    </row>
    <row r="404" ht="15.75" customHeight="1">
      <c r="A404" s="11" t="s">
        <v>2050</v>
      </c>
      <c r="B404" s="5" t="s">
        <v>133</v>
      </c>
      <c r="C404" s="5" t="s">
        <v>15</v>
      </c>
      <c r="D404" s="8" t="s">
        <v>2051</v>
      </c>
      <c r="E404" s="8" t="s">
        <v>2052</v>
      </c>
      <c r="F404" s="8" t="s">
        <v>2053</v>
      </c>
      <c r="G404" s="8" t="s">
        <v>2054</v>
      </c>
      <c r="H404" s="5" t="s">
        <v>2054</v>
      </c>
      <c r="I404" s="5" t="s">
        <v>21</v>
      </c>
      <c r="J404" s="5"/>
      <c r="K404" s="5" t="s">
        <v>31</v>
      </c>
      <c r="L404" s="5"/>
      <c r="M404" s="7" t="str">
        <f t="shared" si="3"/>
        <v>OK</v>
      </c>
      <c r="N404" s="7"/>
      <c r="O404" s="7"/>
      <c r="P404" s="7"/>
      <c r="Q404" s="7"/>
      <c r="R404" s="7"/>
      <c r="S404" s="7"/>
      <c r="T404" s="7"/>
      <c r="U404" s="7"/>
      <c r="V404" s="7"/>
      <c r="W404" s="7"/>
      <c r="X404" s="7"/>
      <c r="Y404" s="7"/>
      <c r="Z404" s="7"/>
    </row>
    <row r="405" ht="15.75" customHeight="1">
      <c r="A405" s="11" t="s">
        <v>2055</v>
      </c>
      <c r="B405" s="5" t="s">
        <v>133</v>
      </c>
      <c r="C405" s="5" t="s">
        <v>15</v>
      </c>
      <c r="D405" s="8" t="s">
        <v>2056</v>
      </c>
      <c r="E405" s="8" t="s">
        <v>2008</v>
      </c>
      <c r="F405" s="8" t="s">
        <v>1972</v>
      </c>
      <c r="G405" s="8" t="s">
        <v>2005</v>
      </c>
      <c r="H405" s="5" t="s">
        <v>2005</v>
      </c>
      <c r="I405" s="5" t="s">
        <v>38</v>
      </c>
      <c r="J405" s="5"/>
      <c r="K405" s="5" t="s">
        <v>31</v>
      </c>
      <c r="L405" s="5"/>
      <c r="M405" s="7" t="str">
        <f t="shared" si="3"/>
        <v>OK</v>
      </c>
      <c r="N405" s="7"/>
      <c r="O405" s="7"/>
      <c r="P405" s="7"/>
      <c r="Q405" s="7"/>
      <c r="R405" s="7"/>
      <c r="S405" s="7"/>
      <c r="T405" s="7"/>
      <c r="U405" s="7"/>
      <c r="V405" s="7"/>
      <c r="W405" s="7"/>
      <c r="X405" s="7"/>
      <c r="Y405" s="7"/>
      <c r="Z405" s="7"/>
    </row>
    <row r="406" ht="15.75" customHeight="1">
      <c r="A406" s="11" t="s">
        <v>2057</v>
      </c>
      <c r="B406" s="5" t="s">
        <v>133</v>
      </c>
      <c r="C406" s="5" t="s">
        <v>15</v>
      </c>
      <c r="D406" s="8" t="s">
        <v>2058</v>
      </c>
      <c r="E406" s="8" t="s">
        <v>1956</v>
      </c>
      <c r="F406" s="8" t="s">
        <v>2059</v>
      </c>
      <c r="G406" s="8" t="s">
        <v>2043</v>
      </c>
      <c r="H406" s="5" t="s">
        <v>2059</v>
      </c>
      <c r="I406" s="5" t="s">
        <v>51</v>
      </c>
      <c r="J406" s="5"/>
      <c r="K406" s="5" t="s">
        <v>111</v>
      </c>
      <c r="L406" s="5"/>
      <c r="M406" s="7" t="str">
        <f t="shared" si="3"/>
        <v>OK</v>
      </c>
      <c r="N406" s="7"/>
      <c r="O406" s="7"/>
      <c r="P406" s="7"/>
      <c r="Q406" s="7"/>
      <c r="R406" s="7"/>
      <c r="S406" s="7"/>
      <c r="T406" s="7"/>
      <c r="U406" s="7"/>
      <c r="V406" s="7"/>
      <c r="W406" s="7"/>
      <c r="X406" s="7"/>
      <c r="Y406" s="7"/>
      <c r="Z406" s="7"/>
    </row>
    <row r="407" ht="15.75" customHeight="1">
      <c r="A407" s="11" t="s">
        <v>2060</v>
      </c>
      <c r="B407" s="5" t="s">
        <v>133</v>
      </c>
      <c r="C407" s="5" t="s">
        <v>15</v>
      </c>
      <c r="D407" s="8" t="s">
        <v>2061</v>
      </c>
      <c r="E407" s="8" t="s">
        <v>2062</v>
      </c>
      <c r="F407" s="8" t="s">
        <v>1917</v>
      </c>
      <c r="G407" s="8" t="s">
        <v>2063</v>
      </c>
      <c r="H407" s="5" t="s">
        <v>2062</v>
      </c>
      <c r="I407" s="5" t="s">
        <v>51</v>
      </c>
      <c r="J407" s="5"/>
      <c r="K407" s="5" t="s">
        <v>31</v>
      </c>
      <c r="L407" s="5"/>
      <c r="M407" s="7" t="str">
        <f t="shared" si="3"/>
        <v>OK</v>
      </c>
      <c r="N407" s="7"/>
      <c r="O407" s="7"/>
      <c r="P407" s="7"/>
      <c r="Q407" s="7"/>
      <c r="R407" s="7"/>
      <c r="S407" s="7"/>
      <c r="T407" s="7"/>
      <c r="U407" s="7"/>
      <c r="V407" s="7"/>
      <c r="W407" s="7"/>
      <c r="X407" s="7"/>
      <c r="Y407" s="7"/>
      <c r="Z407" s="7"/>
    </row>
    <row r="408" ht="15.75" customHeight="1">
      <c r="A408" s="11" t="s">
        <v>2064</v>
      </c>
      <c r="B408" s="5" t="s">
        <v>133</v>
      </c>
      <c r="C408" s="5" t="s">
        <v>15</v>
      </c>
      <c r="D408" s="8" t="s">
        <v>2065</v>
      </c>
      <c r="E408" s="8" t="s">
        <v>2066</v>
      </c>
      <c r="F408" s="8" t="s">
        <v>2067</v>
      </c>
      <c r="G408" s="8" t="s">
        <v>2068</v>
      </c>
      <c r="H408" s="5" t="s">
        <v>2068</v>
      </c>
      <c r="I408" s="5" t="s">
        <v>37</v>
      </c>
      <c r="J408" s="5"/>
      <c r="K408" s="5" t="s">
        <v>31</v>
      </c>
      <c r="L408" s="5"/>
      <c r="M408" s="7" t="str">
        <f t="shared" si="3"/>
        <v>OK</v>
      </c>
      <c r="N408" s="7"/>
      <c r="O408" s="7"/>
      <c r="P408" s="7"/>
      <c r="Q408" s="7"/>
      <c r="R408" s="7"/>
      <c r="S408" s="7"/>
      <c r="T408" s="7"/>
      <c r="U408" s="7"/>
      <c r="V408" s="7"/>
      <c r="W408" s="7"/>
      <c r="X408" s="7"/>
      <c r="Y408" s="7"/>
      <c r="Z408" s="7"/>
    </row>
    <row r="409" ht="15.75" customHeight="1">
      <c r="A409" s="11" t="s">
        <v>2069</v>
      </c>
      <c r="B409" s="5" t="s">
        <v>133</v>
      </c>
      <c r="C409" s="5" t="s">
        <v>15</v>
      </c>
      <c r="D409" s="8" t="s">
        <v>2070</v>
      </c>
      <c r="E409" s="8" t="s">
        <v>1974</v>
      </c>
      <c r="F409" s="8" t="s">
        <v>2071</v>
      </c>
      <c r="G409" s="8" t="s">
        <v>2072</v>
      </c>
      <c r="H409" s="5" t="s">
        <v>2071</v>
      </c>
      <c r="I409" s="5" t="s">
        <v>51</v>
      </c>
      <c r="J409" s="5"/>
      <c r="K409" s="5" t="s">
        <v>31</v>
      </c>
      <c r="L409" s="5"/>
      <c r="M409" s="7" t="str">
        <f t="shared" si="3"/>
        <v>OK</v>
      </c>
      <c r="N409" s="7"/>
      <c r="O409" s="7"/>
      <c r="P409" s="7"/>
      <c r="Q409" s="7"/>
      <c r="R409" s="7"/>
      <c r="S409" s="7"/>
      <c r="T409" s="7"/>
      <c r="U409" s="7"/>
      <c r="V409" s="7"/>
      <c r="W409" s="7"/>
      <c r="X409" s="7"/>
      <c r="Y409" s="7"/>
      <c r="Z409" s="7"/>
    </row>
    <row r="410" ht="15.75" customHeight="1">
      <c r="A410" s="11" t="s">
        <v>2073</v>
      </c>
      <c r="B410" s="5" t="s">
        <v>133</v>
      </c>
      <c r="C410" s="5" t="s">
        <v>15</v>
      </c>
      <c r="D410" s="5" t="s">
        <v>2074</v>
      </c>
      <c r="E410" s="8" t="s">
        <v>2075</v>
      </c>
      <c r="F410" s="8" t="s">
        <v>2076</v>
      </c>
      <c r="G410" s="8" t="s">
        <v>2077</v>
      </c>
      <c r="H410" s="5" t="s">
        <v>2075</v>
      </c>
      <c r="I410" s="5" t="s">
        <v>21</v>
      </c>
      <c r="J410" s="5"/>
      <c r="K410" s="5" t="s">
        <v>111</v>
      </c>
      <c r="L410" s="5"/>
      <c r="M410" s="7" t="str">
        <f t="shared" si="3"/>
        <v>OK</v>
      </c>
      <c r="N410" s="7"/>
      <c r="O410" s="7"/>
      <c r="P410" s="7"/>
      <c r="Q410" s="7"/>
      <c r="R410" s="7"/>
      <c r="S410" s="7"/>
      <c r="T410" s="7"/>
      <c r="U410" s="7"/>
      <c r="V410" s="7"/>
      <c r="W410" s="7"/>
      <c r="X410" s="7"/>
      <c r="Y410" s="7"/>
      <c r="Z410" s="7"/>
    </row>
    <row r="411" ht="15.75" customHeight="1">
      <c r="A411" s="8" t="s">
        <v>2078</v>
      </c>
      <c r="B411" s="5" t="s">
        <v>133</v>
      </c>
      <c r="C411" s="5" t="s">
        <v>15</v>
      </c>
      <c r="D411" s="5" t="s">
        <v>2079</v>
      </c>
      <c r="E411" s="5" t="s">
        <v>2080</v>
      </c>
      <c r="F411" s="5" t="s">
        <v>2081</v>
      </c>
      <c r="G411" s="5" t="s">
        <v>2082</v>
      </c>
      <c r="H411" s="5" t="s">
        <v>2082</v>
      </c>
      <c r="I411" s="5" t="s">
        <v>37</v>
      </c>
      <c r="J411" s="5"/>
      <c r="K411" s="5" t="s">
        <v>22</v>
      </c>
      <c r="L411" s="5"/>
      <c r="M411" s="7" t="str">
        <f t="shared" si="3"/>
        <v>OK</v>
      </c>
      <c r="N411" s="7"/>
      <c r="O411" s="7"/>
      <c r="P411" s="7"/>
      <c r="Q411" s="7"/>
      <c r="R411" s="7"/>
      <c r="S411" s="7"/>
      <c r="T411" s="7"/>
      <c r="U411" s="7"/>
      <c r="V411" s="7"/>
      <c r="W411" s="7"/>
      <c r="X411" s="7"/>
      <c r="Y411" s="7"/>
      <c r="Z411" s="7"/>
    </row>
    <row r="412" ht="15.75" customHeight="1">
      <c r="A412" s="8" t="s">
        <v>2083</v>
      </c>
      <c r="B412" s="5" t="s">
        <v>133</v>
      </c>
      <c r="C412" s="5" t="s">
        <v>15</v>
      </c>
      <c r="D412" s="5" t="s">
        <v>2084</v>
      </c>
      <c r="E412" s="5" t="s">
        <v>2085</v>
      </c>
      <c r="F412" s="5" t="s">
        <v>2086</v>
      </c>
      <c r="G412" s="5" t="s">
        <v>2087</v>
      </c>
      <c r="H412" s="5" t="s">
        <v>2086</v>
      </c>
      <c r="I412" s="5" t="s">
        <v>20</v>
      </c>
      <c r="J412" s="5"/>
      <c r="K412" s="5" t="s">
        <v>52</v>
      </c>
      <c r="L412" s="5"/>
      <c r="M412" s="7" t="str">
        <f t="shared" si="3"/>
        <v>OK</v>
      </c>
      <c r="N412" s="7"/>
      <c r="O412" s="7"/>
      <c r="P412" s="7"/>
      <c r="Q412" s="7"/>
      <c r="R412" s="7"/>
      <c r="S412" s="7"/>
      <c r="T412" s="7"/>
      <c r="U412" s="7"/>
      <c r="V412" s="7"/>
      <c r="W412" s="7"/>
      <c r="X412" s="7"/>
      <c r="Y412" s="7"/>
      <c r="Z412" s="7"/>
    </row>
    <row r="413" ht="15.75" customHeight="1">
      <c r="A413" s="8" t="s">
        <v>2088</v>
      </c>
      <c r="B413" s="5" t="s">
        <v>133</v>
      </c>
      <c r="C413" s="5" t="s">
        <v>15</v>
      </c>
      <c r="D413" s="5" t="s">
        <v>2089</v>
      </c>
      <c r="E413" s="5" t="s">
        <v>2090</v>
      </c>
      <c r="F413" s="5" t="s">
        <v>2091</v>
      </c>
      <c r="G413" s="5" t="s">
        <v>2092</v>
      </c>
      <c r="H413" s="5" t="s">
        <v>2092</v>
      </c>
      <c r="I413" s="5" t="s">
        <v>37</v>
      </c>
      <c r="J413" s="5"/>
      <c r="K413" s="5" t="s">
        <v>30</v>
      </c>
      <c r="L413" s="5"/>
      <c r="M413" s="7" t="str">
        <f t="shared" si="3"/>
        <v>OK</v>
      </c>
      <c r="N413" s="7"/>
      <c r="O413" s="7"/>
      <c r="P413" s="7"/>
      <c r="Q413" s="7"/>
      <c r="R413" s="7"/>
      <c r="S413" s="7"/>
      <c r="T413" s="7"/>
      <c r="U413" s="7"/>
      <c r="V413" s="7"/>
      <c r="W413" s="7"/>
      <c r="X413" s="7"/>
      <c r="Y413" s="7"/>
      <c r="Z413" s="7"/>
    </row>
    <row r="414" ht="15.75" customHeight="1">
      <c r="A414" s="8" t="s">
        <v>2093</v>
      </c>
      <c r="B414" s="5" t="s">
        <v>133</v>
      </c>
      <c r="C414" s="5" t="s">
        <v>15</v>
      </c>
      <c r="D414" s="5" t="s">
        <v>2094</v>
      </c>
      <c r="E414" s="5" t="s">
        <v>2095</v>
      </c>
      <c r="F414" s="5" t="s">
        <v>2096</v>
      </c>
      <c r="G414" s="5" t="s">
        <v>2097</v>
      </c>
      <c r="H414" s="5" t="s">
        <v>2095</v>
      </c>
      <c r="I414" s="5" t="s">
        <v>21</v>
      </c>
      <c r="J414" s="5"/>
      <c r="K414" s="5" t="s">
        <v>23</v>
      </c>
      <c r="L414" s="5"/>
      <c r="M414" s="7" t="str">
        <f t="shared" si="3"/>
        <v>OK</v>
      </c>
      <c r="N414" s="7"/>
      <c r="O414" s="7"/>
      <c r="P414" s="7"/>
      <c r="Q414" s="7"/>
      <c r="R414" s="7"/>
      <c r="S414" s="7"/>
      <c r="T414" s="7"/>
      <c r="U414" s="7"/>
      <c r="V414" s="7"/>
      <c r="W414" s="7"/>
      <c r="X414" s="7"/>
      <c r="Y414" s="7"/>
      <c r="Z414" s="7"/>
    </row>
    <row r="415" ht="15.75" customHeight="1">
      <c r="A415" s="8" t="s">
        <v>2098</v>
      </c>
      <c r="B415" s="5" t="s">
        <v>133</v>
      </c>
      <c r="C415" s="5" t="s">
        <v>15</v>
      </c>
      <c r="D415" s="5" t="s">
        <v>2099</v>
      </c>
      <c r="E415" s="5" t="s">
        <v>2100</v>
      </c>
      <c r="F415" s="5" t="s">
        <v>2101</v>
      </c>
      <c r="G415" s="5" t="s">
        <v>2102</v>
      </c>
      <c r="H415" s="5" t="s">
        <v>2100</v>
      </c>
      <c r="I415" s="5" t="s">
        <v>45</v>
      </c>
      <c r="J415" s="5"/>
      <c r="K415" s="5" t="s">
        <v>22</v>
      </c>
      <c r="L415" s="5"/>
      <c r="M415" s="7" t="str">
        <f t="shared" si="3"/>
        <v>OK</v>
      </c>
      <c r="N415" s="7"/>
      <c r="O415" s="7"/>
      <c r="P415" s="7"/>
      <c r="Q415" s="7"/>
      <c r="R415" s="7"/>
      <c r="S415" s="7"/>
      <c r="T415" s="7"/>
      <c r="U415" s="7"/>
      <c r="V415" s="7"/>
      <c r="W415" s="7"/>
      <c r="X415" s="7"/>
      <c r="Y415" s="7"/>
      <c r="Z415" s="7"/>
    </row>
    <row r="416" ht="15.75" customHeight="1">
      <c r="A416" s="8" t="s">
        <v>2103</v>
      </c>
      <c r="B416" s="5" t="s">
        <v>133</v>
      </c>
      <c r="C416" s="5" t="s">
        <v>15</v>
      </c>
      <c r="D416" s="5" t="s">
        <v>2104</v>
      </c>
      <c r="E416" s="5" t="s">
        <v>2105</v>
      </c>
      <c r="F416" s="5" t="s">
        <v>2106</v>
      </c>
      <c r="G416" s="5" t="s">
        <v>2107</v>
      </c>
      <c r="H416" s="5" t="s">
        <v>2105</v>
      </c>
      <c r="I416" s="5" t="s">
        <v>74</v>
      </c>
      <c r="J416" s="5"/>
      <c r="K416" s="5" t="s">
        <v>68</v>
      </c>
      <c r="L416" s="5"/>
      <c r="M416" s="7" t="str">
        <f t="shared" si="3"/>
        <v>OK</v>
      </c>
      <c r="N416" s="7"/>
      <c r="O416" s="7"/>
      <c r="P416" s="7"/>
      <c r="Q416" s="7"/>
      <c r="R416" s="7"/>
      <c r="S416" s="7"/>
      <c r="T416" s="7"/>
      <c r="U416" s="7"/>
      <c r="V416" s="7"/>
      <c r="W416" s="7"/>
      <c r="X416" s="7"/>
      <c r="Y416" s="7"/>
      <c r="Z416" s="7"/>
    </row>
    <row r="417" ht="15.75" customHeight="1">
      <c r="A417" s="8" t="s">
        <v>2108</v>
      </c>
      <c r="B417" s="5" t="s">
        <v>133</v>
      </c>
      <c r="C417" s="5" t="s">
        <v>15</v>
      </c>
      <c r="D417" s="5" t="s">
        <v>2109</v>
      </c>
      <c r="E417" s="5" t="s">
        <v>2110</v>
      </c>
      <c r="F417" s="5" t="s">
        <v>2111</v>
      </c>
      <c r="G417" s="5" t="s">
        <v>2112</v>
      </c>
      <c r="H417" s="5" t="s">
        <v>2110</v>
      </c>
      <c r="I417" s="5" t="s">
        <v>38</v>
      </c>
      <c r="J417" s="5"/>
      <c r="K417" s="5" t="s">
        <v>31</v>
      </c>
      <c r="L417" s="5"/>
      <c r="M417" s="7" t="str">
        <f t="shared" si="3"/>
        <v>OK</v>
      </c>
      <c r="N417" s="7"/>
      <c r="O417" s="7"/>
      <c r="P417" s="7"/>
      <c r="Q417" s="7"/>
      <c r="R417" s="7"/>
      <c r="S417" s="7"/>
      <c r="T417" s="7"/>
      <c r="U417" s="7"/>
      <c r="V417" s="7"/>
      <c r="W417" s="7"/>
      <c r="X417" s="7"/>
      <c r="Y417" s="7"/>
      <c r="Z417" s="7"/>
    </row>
    <row r="418" ht="15.75" customHeight="1">
      <c r="A418" s="8" t="s">
        <v>2113</v>
      </c>
      <c r="B418" s="5" t="s">
        <v>133</v>
      </c>
      <c r="C418" s="5" t="s">
        <v>15</v>
      </c>
      <c r="D418" s="5" t="s">
        <v>2114</v>
      </c>
      <c r="E418" s="5" t="s">
        <v>2115</v>
      </c>
      <c r="F418" s="5" t="s">
        <v>2116</v>
      </c>
      <c r="G418" s="5" t="s">
        <v>2117</v>
      </c>
      <c r="H418" s="5" t="s">
        <v>2117</v>
      </c>
      <c r="I418" s="5" t="s">
        <v>20</v>
      </c>
      <c r="J418" s="5"/>
      <c r="K418" s="5" t="s">
        <v>111</v>
      </c>
      <c r="L418" s="5"/>
      <c r="M418" s="7" t="str">
        <f t="shared" si="3"/>
        <v>OK</v>
      </c>
      <c r="N418" s="7"/>
      <c r="O418" s="7"/>
      <c r="P418" s="7"/>
      <c r="Q418" s="7"/>
      <c r="R418" s="7"/>
      <c r="S418" s="7"/>
      <c r="T418" s="7"/>
      <c r="U418" s="7"/>
      <c r="V418" s="7"/>
      <c r="W418" s="7"/>
      <c r="X418" s="7"/>
      <c r="Y418" s="7"/>
      <c r="Z418" s="7"/>
    </row>
    <row r="419" ht="15.75" customHeight="1">
      <c r="A419" s="8" t="s">
        <v>2118</v>
      </c>
      <c r="B419" s="5" t="s">
        <v>133</v>
      </c>
      <c r="C419" s="5" t="s">
        <v>15</v>
      </c>
      <c r="D419" s="5" t="s">
        <v>2119</v>
      </c>
      <c r="E419" s="5" t="s">
        <v>2120</v>
      </c>
      <c r="F419" s="5" t="s">
        <v>2121</v>
      </c>
      <c r="G419" s="5" t="s">
        <v>2122</v>
      </c>
      <c r="H419" s="5" t="s">
        <v>2120</v>
      </c>
      <c r="I419" s="5" t="s">
        <v>29</v>
      </c>
      <c r="J419" s="5"/>
      <c r="K419" s="5" t="s">
        <v>39</v>
      </c>
      <c r="L419" s="5"/>
      <c r="M419" s="7" t="str">
        <f t="shared" si="3"/>
        <v>OK</v>
      </c>
      <c r="N419" s="7"/>
      <c r="O419" s="7"/>
      <c r="P419" s="7"/>
      <c r="Q419" s="7"/>
      <c r="R419" s="7"/>
      <c r="S419" s="7"/>
      <c r="T419" s="7"/>
      <c r="U419" s="7"/>
      <c r="V419" s="7"/>
      <c r="W419" s="7"/>
      <c r="X419" s="7"/>
      <c r="Y419" s="7"/>
      <c r="Z419" s="7"/>
    </row>
    <row r="420" ht="15.75" customHeight="1">
      <c r="A420" s="8" t="s">
        <v>2123</v>
      </c>
      <c r="B420" s="5" t="s">
        <v>133</v>
      </c>
      <c r="C420" s="5" t="s">
        <v>15</v>
      </c>
      <c r="D420" s="5" t="s">
        <v>2124</v>
      </c>
      <c r="E420" s="27" t="s">
        <v>2125</v>
      </c>
      <c r="F420" s="5" t="s">
        <v>2126</v>
      </c>
      <c r="G420" s="5" t="s">
        <v>2127</v>
      </c>
      <c r="H420" s="5" t="s">
        <v>2126</v>
      </c>
      <c r="I420" s="5" t="s">
        <v>20</v>
      </c>
      <c r="J420" s="5"/>
      <c r="K420" s="5" t="s">
        <v>22</v>
      </c>
      <c r="L420" s="5"/>
      <c r="M420" s="7" t="str">
        <f t="shared" si="3"/>
        <v>OK</v>
      </c>
      <c r="N420" s="7"/>
      <c r="O420" s="7"/>
      <c r="P420" s="7"/>
      <c r="Q420" s="7"/>
      <c r="R420" s="7"/>
      <c r="S420" s="7"/>
      <c r="T420" s="7"/>
      <c r="U420" s="7"/>
      <c r="V420" s="7"/>
      <c r="W420" s="7"/>
      <c r="X420" s="7"/>
      <c r="Y420" s="7"/>
      <c r="Z420" s="7"/>
    </row>
    <row r="421" ht="15.75" customHeight="1">
      <c r="A421" s="8" t="s">
        <v>2128</v>
      </c>
      <c r="B421" s="5" t="s">
        <v>133</v>
      </c>
      <c r="C421" s="5" t="s">
        <v>15</v>
      </c>
      <c r="D421" s="5" t="s">
        <v>2129</v>
      </c>
      <c r="E421" s="5" t="s">
        <v>2130</v>
      </c>
      <c r="F421" s="5" t="s">
        <v>2131</v>
      </c>
      <c r="G421" s="5" t="s">
        <v>2132</v>
      </c>
      <c r="H421" s="5" t="s">
        <v>2130</v>
      </c>
      <c r="I421" s="5" t="s">
        <v>29</v>
      </c>
      <c r="J421" s="5"/>
      <c r="K421" s="5" t="s">
        <v>23</v>
      </c>
      <c r="L421" s="5"/>
      <c r="M421" s="7" t="str">
        <f t="shared" si="3"/>
        <v>OK</v>
      </c>
      <c r="N421" s="7"/>
      <c r="O421" s="7"/>
      <c r="P421" s="7"/>
      <c r="Q421" s="7"/>
      <c r="R421" s="7"/>
      <c r="S421" s="7"/>
      <c r="T421" s="7"/>
      <c r="U421" s="7"/>
      <c r="V421" s="7"/>
      <c r="W421" s="7"/>
      <c r="X421" s="7"/>
      <c r="Y421" s="7"/>
      <c r="Z421" s="7"/>
    </row>
    <row r="422" ht="15.75" customHeight="1">
      <c r="A422" s="8" t="s">
        <v>2133</v>
      </c>
      <c r="B422" s="5" t="s">
        <v>133</v>
      </c>
      <c r="C422" s="5" t="s">
        <v>15</v>
      </c>
      <c r="D422" s="5" t="s">
        <v>2134</v>
      </c>
      <c r="E422" s="5" t="s">
        <v>2135</v>
      </c>
      <c r="F422" s="5" t="s">
        <v>2136</v>
      </c>
      <c r="G422" s="5" t="s">
        <v>2137</v>
      </c>
      <c r="H422" s="5" t="s">
        <v>2135</v>
      </c>
      <c r="I422" s="5" t="s">
        <v>38</v>
      </c>
      <c r="J422" s="5"/>
      <c r="K422" s="5" t="s">
        <v>30</v>
      </c>
      <c r="L422" s="5"/>
      <c r="M422" s="7" t="str">
        <f t="shared" si="3"/>
        <v>OK</v>
      </c>
      <c r="N422" s="7"/>
      <c r="O422" s="7"/>
      <c r="P422" s="7"/>
      <c r="Q422" s="7"/>
      <c r="R422" s="7"/>
      <c r="S422" s="7"/>
      <c r="T422" s="7"/>
      <c r="U422" s="7"/>
      <c r="V422" s="7"/>
      <c r="W422" s="7"/>
      <c r="X422" s="7"/>
      <c r="Y422" s="7"/>
      <c r="Z422" s="7"/>
    </row>
    <row r="423" ht="15.75" customHeight="1">
      <c r="A423" s="8" t="s">
        <v>2138</v>
      </c>
      <c r="B423" s="5" t="s">
        <v>133</v>
      </c>
      <c r="C423" s="5" t="s">
        <v>15</v>
      </c>
      <c r="D423" s="5" t="s">
        <v>2139</v>
      </c>
      <c r="E423" s="5" t="s">
        <v>2140</v>
      </c>
      <c r="F423" s="5" t="s">
        <v>2141</v>
      </c>
      <c r="G423" s="5" t="s">
        <v>2142</v>
      </c>
      <c r="H423" s="5" t="s">
        <v>2140</v>
      </c>
      <c r="I423" s="5" t="s">
        <v>29</v>
      </c>
      <c r="J423" s="5"/>
      <c r="K423" s="5" t="s">
        <v>52</v>
      </c>
      <c r="L423" s="5"/>
      <c r="M423" s="7" t="str">
        <f t="shared" si="3"/>
        <v>OK</v>
      </c>
      <c r="N423" s="7"/>
      <c r="O423" s="7"/>
      <c r="P423" s="7"/>
      <c r="Q423" s="7"/>
      <c r="R423" s="7"/>
      <c r="S423" s="7"/>
      <c r="T423" s="7"/>
      <c r="U423" s="7"/>
      <c r="V423" s="7"/>
      <c r="W423" s="7"/>
      <c r="X423" s="7"/>
      <c r="Y423" s="7"/>
      <c r="Z423" s="7"/>
    </row>
    <row r="424" ht="15.75" customHeight="1">
      <c r="A424" s="8" t="s">
        <v>2143</v>
      </c>
      <c r="B424" s="5" t="s">
        <v>133</v>
      </c>
      <c r="C424" s="5" t="s">
        <v>15</v>
      </c>
      <c r="D424" s="5" t="s">
        <v>2144</v>
      </c>
      <c r="E424" s="5" t="s">
        <v>2145</v>
      </c>
      <c r="F424" s="5" t="s">
        <v>2146</v>
      </c>
      <c r="G424" s="5" t="s">
        <v>2147</v>
      </c>
      <c r="H424" s="5" t="s">
        <v>2147</v>
      </c>
      <c r="I424" s="5" t="s">
        <v>45</v>
      </c>
      <c r="J424" s="5"/>
      <c r="K424" s="5" t="s">
        <v>52</v>
      </c>
      <c r="L424" s="5"/>
      <c r="M424" s="7" t="str">
        <f t="shared" si="3"/>
        <v>OK</v>
      </c>
      <c r="N424" s="7"/>
      <c r="O424" s="7"/>
      <c r="P424" s="7"/>
      <c r="Q424" s="7"/>
      <c r="R424" s="7"/>
      <c r="S424" s="7"/>
      <c r="T424" s="7"/>
      <c r="U424" s="7"/>
      <c r="V424" s="7"/>
      <c r="W424" s="7"/>
      <c r="X424" s="7"/>
      <c r="Y424" s="7"/>
      <c r="Z424" s="7"/>
    </row>
    <row r="425" ht="15.75" customHeight="1">
      <c r="A425" s="8" t="s">
        <v>2148</v>
      </c>
      <c r="B425" s="5" t="s">
        <v>133</v>
      </c>
      <c r="C425" s="5" t="s">
        <v>15</v>
      </c>
      <c r="D425" s="5" t="s">
        <v>2149</v>
      </c>
      <c r="E425" s="5" t="s">
        <v>2150</v>
      </c>
      <c r="F425" s="5" t="s">
        <v>2151</v>
      </c>
      <c r="G425" s="5" t="s">
        <v>2152</v>
      </c>
      <c r="H425" s="5" t="s">
        <v>2153</v>
      </c>
      <c r="I425" s="5" t="s">
        <v>37</v>
      </c>
      <c r="J425" s="5"/>
      <c r="K425" s="5" t="s">
        <v>111</v>
      </c>
      <c r="L425" s="5"/>
      <c r="M425" s="7" t="str">
        <f t="shared" si="3"/>
        <v>OK</v>
      </c>
      <c r="N425" s="7"/>
      <c r="O425" s="7"/>
      <c r="P425" s="7"/>
      <c r="Q425" s="7"/>
      <c r="R425" s="7"/>
      <c r="S425" s="7"/>
      <c r="T425" s="7"/>
      <c r="U425" s="7"/>
      <c r="V425" s="7"/>
      <c r="W425" s="7"/>
      <c r="X425" s="7"/>
      <c r="Y425" s="7"/>
      <c r="Z425" s="7"/>
    </row>
    <row r="426" ht="15.75" customHeight="1">
      <c r="A426" s="8" t="s">
        <v>2154</v>
      </c>
      <c r="B426" s="5" t="s">
        <v>133</v>
      </c>
      <c r="C426" s="5" t="s">
        <v>15</v>
      </c>
      <c r="D426" s="5" t="s">
        <v>2155</v>
      </c>
      <c r="E426" s="5" t="s">
        <v>2156</v>
      </c>
      <c r="F426" s="5" t="s">
        <v>2157</v>
      </c>
      <c r="G426" s="5" t="s">
        <v>2158</v>
      </c>
      <c r="H426" s="5" t="s">
        <v>2157</v>
      </c>
      <c r="I426" s="5" t="s">
        <v>45</v>
      </c>
      <c r="J426" s="5"/>
      <c r="K426" s="5" t="s">
        <v>111</v>
      </c>
      <c r="L426" s="5"/>
      <c r="M426" s="7" t="str">
        <f t="shared" si="3"/>
        <v>OK</v>
      </c>
      <c r="N426" s="7"/>
      <c r="O426" s="7"/>
      <c r="P426" s="7"/>
      <c r="Q426" s="7"/>
      <c r="R426" s="7"/>
      <c r="S426" s="7"/>
      <c r="T426" s="7"/>
      <c r="U426" s="7"/>
      <c r="V426" s="7"/>
      <c r="W426" s="7"/>
      <c r="X426" s="7"/>
      <c r="Y426" s="7"/>
      <c r="Z426" s="7"/>
    </row>
    <row r="427" ht="15.75" customHeight="1">
      <c r="A427" s="8" t="s">
        <v>2159</v>
      </c>
      <c r="B427" s="5" t="s">
        <v>133</v>
      </c>
      <c r="C427" s="5" t="s">
        <v>15</v>
      </c>
      <c r="D427" s="5" t="s">
        <v>2160</v>
      </c>
      <c r="E427" s="5" t="s">
        <v>2161</v>
      </c>
      <c r="F427" s="5" t="s">
        <v>2162</v>
      </c>
      <c r="G427" s="5" t="s">
        <v>2163</v>
      </c>
      <c r="H427" s="5" t="s">
        <v>2161</v>
      </c>
      <c r="I427" s="5" t="s">
        <v>29</v>
      </c>
      <c r="J427" s="5"/>
      <c r="K427" s="5" t="s">
        <v>75</v>
      </c>
      <c r="L427" s="5"/>
      <c r="M427" s="7" t="str">
        <f t="shared" si="3"/>
        <v>OK</v>
      </c>
      <c r="N427" s="7"/>
      <c r="O427" s="7"/>
      <c r="P427" s="7"/>
      <c r="Q427" s="7"/>
      <c r="R427" s="7"/>
      <c r="S427" s="7"/>
      <c r="T427" s="7"/>
      <c r="U427" s="7"/>
      <c r="V427" s="7"/>
      <c r="W427" s="7"/>
      <c r="X427" s="7"/>
      <c r="Y427" s="7"/>
      <c r="Z427" s="7"/>
    </row>
    <row r="428" ht="15.75" customHeight="1">
      <c r="A428" s="8" t="s">
        <v>2164</v>
      </c>
      <c r="B428" s="5" t="s">
        <v>133</v>
      </c>
      <c r="C428" s="5" t="s">
        <v>15</v>
      </c>
      <c r="D428" s="5" t="s">
        <v>2165</v>
      </c>
      <c r="E428" s="5" t="s">
        <v>2166</v>
      </c>
      <c r="F428" s="5" t="s">
        <v>2167</v>
      </c>
      <c r="G428" s="5" t="s">
        <v>2168</v>
      </c>
      <c r="H428" s="5" t="s">
        <v>2167</v>
      </c>
      <c r="I428" s="5" t="s">
        <v>20</v>
      </c>
      <c r="J428" s="5"/>
      <c r="K428" s="5" t="s">
        <v>111</v>
      </c>
      <c r="L428" s="5"/>
      <c r="M428" s="7" t="str">
        <f t="shared" si="3"/>
        <v>OK</v>
      </c>
      <c r="N428" s="7"/>
      <c r="O428" s="7"/>
      <c r="P428" s="7"/>
      <c r="Q428" s="7"/>
      <c r="R428" s="7"/>
      <c r="S428" s="7"/>
      <c r="T428" s="7"/>
      <c r="U428" s="7"/>
      <c r="V428" s="7"/>
      <c r="W428" s="7"/>
      <c r="X428" s="7"/>
      <c r="Y428" s="7"/>
      <c r="Z428" s="7"/>
    </row>
    <row r="429" ht="15.75" customHeight="1">
      <c r="A429" s="8" t="s">
        <v>2169</v>
      </c>
      <c r="B429" s="5" t="s">
        <v>133</v>
      </c>
      <c r="C429" s="5" t="s">
        <v>15</v>
      </c>
      <c r="D429" s="5" t="s">
        <v>2170</v>
      </c>
      <c r="E429" s="5" t="s">
        <v>2171</v>
      </c>
      <c r="F429" s="5" t="s">
        <v>2172</v>
      </c>
      <c r="G429" s="5" t="s">
        <v>2173</v>
      </c>
      <c r="H429" s="5" t="s">
        <v>2171</v>
      </c>
      <c r="I429" s="5" t="s">
        <v>74</v>
      </c>
      <c r="J429" s="5"/>
      <c r="K429" s="5" t="s">
        <v>75</v>
      </c>
      <c r="L429" s="5"/>
      <c r="M429" s="7" t="str">
        <f t="shared" si="3"/>
        <v>OK</v>
      </c>
      <c r="N429" s="7"/>
      <c r="O429" s="7"/>
      <c r="P429" s="7"/>
      <c r="Q429" s="7"/>
      <c r="R429" s="7"/>
      <c r="S429" s="7"/>
      <c r="T429" s="7"/>
      <c r="U429" s="7"/>
      <c r="V429" s="7"/>
      <c r="W429" s="7"/>
      <c r="X429" s="7"/>
      <c r="Y429" s="7"/>
      <c r="Z429" s="7"/>
    </row>
    <row r="430" ht="15.75" customHeight="1">
      <c r="A430" s="8" t="s">
        <v>2174</v>
      </c>
      <c r="B430" s="5" t="s">
        <v>133</v>
      </c>
      <c r="C430" s="5" t="s">
        <v>15</v>
      </c>
      <c r="D430" s="5" t="s">
        <v>2175</v>
      </c>
      <c r="E430" s="5" t="s">
        <v>2176</v>
      </c>
      <c r="F430" s="5" t="s">
        <v>2177</v>
      </c>
      <c r="G430" s="5" t="s">
        <v>2178</v>
      </c>
      <c r="H430" s="5" t="s">
        <v>2178</v>
      </c>
      <c r="I430" s="5" t="s">
        <v>21</v>
      </c>
      <c r="J430" s="5"/>
      <c r="K430" s="5" t="s">
        <v>39</v>
      </c>
      <c r="L430" s="5"/>
      <c r="M430" s="7" t="str">
        <f t="shared" si="3"/>
        <v>OK</v>
      </c>
      <c r="N430" s="7"/>
      <c r="O430" s="7"/>
      <c r="P430" s="7"/>
      <c r="Q430" s="7"/>
      <c r="R430" s="7"/>
      <c r="S430" s="7"/>
      <c r="T430" s="7"/>
      <c r="U430" s="7"/>
      <c r="V430" s="7"/>
      <c r="W430" s="7"/>
      <c r="X430" s="7"/>
      <c r="Y430" s="7"/>
      <c r="Z430" s="7"/>
    </row>
    <row r="431" ht="15.75" customHeight="1">
      <c r="A431" s="8" t="s">
        <v>2179</v>
      </c>
      <c r="B431" s="5" t="s">
        <v>133</v>
      </c>
      <c r="C431" s="5" t="s">
        <v>15</v>
      </c>
      <c r="D431" s="5" t="s">
        <v>2180</v>
      </c>
      <c r="E431" s="5" t="s">
        <v>2181</v>
      </c>
      <c r="F431" s="5" t="s">
        <v>2182</v>
      </c>
      <c r="G431" s="5" t="s">
        <v>2183</v>
      </c>
      <c r="H431" s="5" t="s">
        <v>2181</v>
      </c>
      <c r="I431" s="5" t="s">
        <v>45</v>
      </c>
      <c r="J431" s="5"/>
      <c r="K431" s="5" t="s">
        <v>111</v>
      </c>
      <c r="L431" s="5"/>
      <c r="M431" s="7" t="str">
        <f t="shared" si="3"/>
        <v>OK</v>
      </c>
      <c r="N431" s="7"/>
      <c r="O431" s="7"/>
      <c r="P431" s="7"/>
      <c r="Q431" s="7"/>
      <c r="R431" s="7"/>
      <c r="S431" s="7"/>
      <c r="T431" s="7"/>
      <c r="U431" s="7"/>
      <c r="V431" s="7"/>
      <c r="W431" s="7"/>
      <c r="X431" s="7"/>
      <c r="Y431" s="7"/>
      <c r="Z431" s="7"/>
    </row>
    <row r="432" ht="15.75" customHeight="1">
      <c r="A432" s="8" t="s">
        <v>2184</v>
      </c>
      <c r="B432" s="5" t="s">
        <v>133</v>
      </c>
      <c r="C432" s="5" t="s">
        <v>15</v>
      </c>
      <c r="D432" s="5" t="s">
        <v>2185</v>
      </c>
      <c r="E432" s="5" t="s">
        <v>2186</v>
      </c>
      <c r="F432" s="5" t="s">
        <v>2187</v>
      </c>
      <c r="G432" s="5" t="s">
        <v>2188</v>
      </c>
      <c r="H432" s="5" t="s">
        <v>2186</v>
      </c>
      <c r="I432" s="5" t="s">
        <v>29</v>
      </c>
      <c r="J432" s="5"/>
      <c r="K432" s="5" t="s">
        <v>52</v>
      </c>
      <c r="L432" s="5"/>
      <c r="M432" s="7" t="str">
        <f t="shared" si="3"/>
        <v>OK</v>
      </c>
      <c r="N432" s="7"/>
      <c r="O432" s="7"/>
      <c r="P432" s="7"/>
      <c r="Q432" s="7"/>
      <c r="R432" s="7"/>
      <c r="S432" s="7"/>
      <c r="T432" s="7"/>
      <c r="U432" s="7"/>
      <c r="V432" s="7"/>
      <c r="W432" s="7"/>
      <c r="X432" s="7"/>
      <c r="Y432" s="7"/>
      <c r="Z432" s="7"/>
    </row>
    <row r="433" ht="15.75" customHeight="1">
      <c r="A433" s="8" t="s">
        <v>2189</v>
      </c>
      <c r="B433" s="5" t="s">
        <v>133</v>
      </c>
      <c r="C433" s="5" t="s">
        <v>15</v>
      </c>
      <c r="D433" s="5" t="s">
        <v>2190</v>
      </c>
      <c r="E433" s="5" t="s">
        <v>2191</v>
      </c>
      <c r="F433" s="5" t="s">
        <v>2192</v>
      </c>
      <c r="G433" s="5" t="s">
        <v>2193</v>
      </c>
      <c r="H433" s="5" t="s">
        <v>2191</v>
      </c>
      <c r="I433" s="5" t="s">
        <v>74</v>
      </c>
      <c r="J433" s="5"/>
      <c r="K433" s="5" t="s">
        <v>30</v>
      </c>
      <c r="L433" s="5"/>
      <c r="M433" s="7" t="str">
        <f t="shared" si="3"/>
        <v>OK</v>
      </c>
      <c r="N433" s="7"/>
      <c r="O433" s="7"/>
      <c r="P433" s="7"/>
      <c r="Q433" s="7"/>
      <c r="R433" s="7"/>
      <c r="S433" s="7"/>
      <c r="T433" s="7"/>
      <c r="U433" s="7"/>
      <c r="V433" s="7"/>
      <c r="W433" s="7"/>
      <c r="X433" s="7"/>
      <c r="Y433" s="7"/>
      <c r="Z433" s="7"/>
    </row>
    <row r="434" ht="15.75" customHeight="1">
      <c r="A434" s="8" t="s">
        <v>2194</v>
      </c>
      <c r="B434" s="5" t="s">
        <v>133</v>
      </c>
      <c r="C434" s="5" t="s">
        <v>15</v>
      </c>
      <c r="D434" s="5" t="s">
        <v>2195</v>
      </c>
      <c r="E434" s="5" t="s">
        <v>2196</v>
      </c>
      <c r="F434" s="5" t="s">
        <v>2197</v>
      </c>
      <c r="G434" s="5" t="s">
        <v>2198</v>
      </c>
      <c r="H434" s="5" t="s">
        <v>2198</v>
      </c>
      <c r="I434" s="5" t="s">
        <v>21</v>
      </c>
      <c r="J434" s="5"/>
      <c r="K434" s="5" t="s">
        <v>30</v>
      </c>
      <c r="L434" s="5"/>
      <c r="M434" s="7" t="str">
        <f t="shared" si="3"/>
        <v>OK</v>
      </c>
      <c r="N434" s="7"/>
      <c r="O434" s="7"/>
      <c r="P434" s="7"/>
      <c r="Q434" s="7"/>
      <c r="R434" s="7"/>
      <c r="S434" s="7"/>
      <c r="T434" s="7"/>
      <c r="U434" s="7"/>
      <c r="V434" s="7"/>
      <c r="W434" s="7"/>
      <c r="X434" s="7"/>
      <c r="Y434" s="7"/>
      <c r="Z434" s="7"/>
    </row>
    <row r="435" ht="15.75" customHeight="1">
      <c r="A435" s="8" t="s">
        <v>2199</v>
      </c>
      <c r="B435" s="5" t="s">
        <v>133</v>
      </c>
      <c r="C435" s="5" t="s">
        <v>15</v>
      </c>
      <c r="D435" s="5" t="s">
        <v>2200</v>
      </c>
      <c r="E435" s="5" t="s">
        <v>2201</v>
      </c>
      <c r="F435" s="5" t="s">
        <v>2202</v>
      </c>
      <c r="G435" s="5" t="s">
        <v>2203</v>
      </c>
      <c r="H435" s="5" t="s">
        <v>2202</v>
      </c>
      <c r="I435" s="5" t="s">
        <v>29</v>
      </c>
      <c r="J435" s="5"/>
      <c r="K435" s="5" t="s">
        <v>31</v>
      </c>
      <c r="L435" s="5"/>
      <c r="M435" s="7" t="str">
        <f t="shared" si="3"/>
        <v>OK</v>
      </c>
      <c r="N435" s="7"/>
      <c r="O435" s="7"/>
      <c r="P435" s="7"/>
      <c r="Q435" s="7"/>
      <c r="R435" s="7"/>
      <c r="S435" s="7"/>
      <c r="T435" s="7"/>
      <c r="U435" s="7"/>
      <c r="V435" s="7"/>
      <c r="W435" s="7"/>
      <c r="X435" s="7"/>
      <c r="Y435" s="7"/>
      <c r="Z435" s="7"/>
    </row>
    <row r="436" ht="15.75" customHeight="1">
      <c r="A436" s="8" t="s">
        <v>2204</v>
      </c>
      <c r="B436" s="5" t="s">
        <v>133</v>
      </c>
      <c r="C436" s="5" t="s">
        <v>15</v>
      </c>
      <c r="D436" s="5" t="s">
        <v>2205</v>
      </c>
      <c r="E436" s="5" t="s">
        <v>2206</v>
      </c>
      <c r="F436" s="5" t="s">
        <v>2207</v>
      </c>
      <c r="G436" s="5" t="s">
        <v>2208</v>
      </c>
      <c r="H436" s="5" t="s">
        <v>2209</v>
      </c>
      <c r="I436" s="5" t="s">
        <v>38</v>
      </c>
      <c r="J436" s="5"/>
      <c r="K436" s="5" t="s">
        <v>31</v>
      </c>
      <c r="L436" s="5"/>
      <c r="M436" s="7" t="str">
        <f t="shared" si="3"/>
        <v>OK</v>
      </c>
      <c r="N436" s="7"/>
      <c r="O436" s="7"/>
      <c r="P436" s="7"/>
      <c r="Q436" s="7"/>
      <c r="R436" s="7"/>
      <c r="S436" s="7"/>
      <c r="T436" s="7"/>
      <c r="U436" s="7"/>
      <c r="V436" s="7"/>
      <c r="W436" s="7"/>
      <c r="X436" s="7"/>
      <c r="Y436" s="7"/>
      <c r="Z436" s="7"/>
    </row>
    <row r="437" ht="15.75" customHeight="1">
      <c r="A437" s="8" t="s">
        <v>2210</v>
      </c>
      <c r="B437" s="5" t="s">
        <v>133</v>
      </c>
      <c r="C437" s="5" t="s">
        <v>15</v>
      </c>
      <c r="D437" s="5" t="s">
        <v>2211</v>
      </c>
      <c r="E437" s="5" t="s">
        <v>2212</v>
      </c>
      <c r="F437" s="5" t="s">
        <v>2213</v>
      </c>
      <c r="G437" s="5" t="s">
        <v>2214</v>
      </c>
      <c r="H437" s="5" t="s">
        <v>2212</v>
      </c>
      <c r="I437" s="5" t="s">
        <v>21</v>
      </c>
      <c r="J437" s="5"/>
      <c r="K437" s="5" t="s">
        <v>75</v>
      </c>
      <c r="L437" s="5"/>
      <c r="M437" s="7" t="str">
        <f t="shared" si="3"/>
        <v>OK</v>
      </c>
      <c r="N437" s="7"/>
      <c r="O437" s="7"/>
      <c r="P437" s="7"/>
      <c r="Q437" s="7"/>
      <c r="R437" s="7"/>
      <c r="S437" s="7"/>
      <c r="T437" s="7"/>
      <c r="U437" s="7"/>
      <c r="V437" s="7"/>
      <c r="W437" s="7"/>
      <c r="X437" s="7"/>
      <c r="Y437" s="7"/>
      <c r="Z437" s="7"/>
    </row>
    <row r="438" ht="15.75" customHeight="1">
      <c r="A438" s="8" t="s">
        <v>2215</v>
      </c>
      <c r="B438" s="5" t="s">
        <v>133</v>
      </c>
      <c r="C438" s="5" t="s">
        <v>15</v>
      </c>
      <c r="D438" s="5" t="s">
        <v>2216</v>
      </c>
      <c r="E438" s="5" t="s">
        <v>2217</v>
      </c>
      <c r="F438" s="5" t="s">
        <v>2218</v>
      </c>
      <c r="G438" s="5" t="s">
        <v>2219</v>
      </c>
      <c r="H438" s="5" t="s">
        <v>2217</v>
      </c>
      <c r="I438" s="5" t="s">
        <v>29</v>
      </c>
      <c r="J438" s="5"/>
      <c r="K438" s="5" t="s">
        <v>30</v>
      </c>
      <c r="L438" s="5"/>
      <c r="M438" s="7" t="str">
        <f t="shared" si="3"/>
        <v>OK</v>
      </c>
      <c r="N438" s="7"/>
      <c r="O438" s="7"/>
      <c r="P438" s="7"/>
      <c r="Q438" s="7"/>
      <c r="R438" s="7"/>
      <c r="S438" s="7"/>
      <c r="T438" s="7"/>
      <c r="U438" s="7"/>
      <c r="V438" s="7"/>
      <c r="W438" s="7"/>
      <c r="X438" s="7"/>
      <c r="Y438" s="7"/>
      <c r="Z438" s="7"/>
    </row>
    <row r="439" ht="15.75" customHeight="1">
      <c r="A439" s="8" t="s">
        <v>2220</v>
      </c>
      <c r="B439" s="5" t="s">
        <v>133</v>
      </c>
      <c r="C439" s="5" t="s">
        <v>15</v>
      </c>
      <c r="D439" s="5" t="s">
        <v>2221</v>
      </c>
      <c r="E439" s="5" t="s">
        <v>2222</v>
      </c>
      <c r="F439" s="5" t="s">
        <v>2223</v>
      </c>
      <c r="G439" s="5" t="s">
        <v>2224</v>
      </c>
      <c r="H439" s="5" t="s">
        <v>2222</v>
      </c>
      <c r="I439" s="5" t="s">
        <v>21</v>
      </c>
      <c r="J439" s="5"/>
      <c r="K439" s="5" t="s">
        <v>31</v>
      </c>
      <c r="L439" s="5"/>
      <c r="M439" s="7" t="str">
        <f t="shared" si="3"/>
        <v>OK</v>
      </c>
      <c r="N439" s="7"/>
      <c r="O439" s="7"/>
      <c r="P439" s="7"/>
      <c r="Q439" s="7"/>
      <c r="R439" s="7"/>
      <c r="S439" s="7"/>
      <c r="T439" s="7"/>
      <c r="U439" s="7"/>
      <c r="V439" s="7"/>
      <c r="W439" s="7"/>
      <c r="X439" s="7"/>
      <c r="Y439" s="7"/>
      <c r="Z439" s="7"/>
    </row>
    <row r="440" ht="15.75" customHeight="1">
      <c r="A440" s="8" t="s">
        <v>2225</v>
      </c>
      <c r="B440" s="5" t="s">
        <v>133</v>
      </c>
      <c r="C440" s="5" t="s">
        <v>15</v>
      </c>
      <c r="D440" s="5" t="s">
        <v>2226</v>
      </c>
      <c r="E440" s="5" t="s">
        <v>2227</v>
      </c>
      <c r="F440" s="5" t="s">
        <v>2228</v>
      </c>
      <c r="G440" s="5" t="s">
        <v>2229</v>
      </c>
      <c r="H440" s="5" t="s">
        <v>2227</v>
      </c>
      <c r="I440" s="5" t="s">
        <v>29</v>
      </c>
      <c r="J440" s="5"/>
      <c r="K440" s="5" t="s">
        <v>39</v>
      </c>
      <c r="L440" s="5"/>
      <c r="M440" s="7" t="str">
        <f t="shared" si="3"/>
        <v>OK</v>
      </c>
      <c r="N440" s="7"/>
      <c r="O440" s="7"/>
      <c r="P440" s="7"/>
      <c r="Q440" s="7"/>
      <c r="R440" s="7"/>
      <c r="S440" s="7"/>
      <c r="T440" s="7"/>
      <c r="U440" s="7"/>
      <c r="V440" s="7"/>
      <c r="W440" s="7"/>
      <c r="X440" s="7"/>
      <c r="Y440" s="7"/>
      <c r="Z440" s="7"/>
    </row>
    <row r="441" ht="15.75" customHeight="1">
      <c r="A441" s="8" t="s">
        <v>2230</v>
      </c>
      <c r="B441" s="5" t="s">
        <v>133</v>
      </c>
      <c r="C441" s="5" t="s">
        <v>15</v>
      </c>
      <c r="D441" s="5" t="s">
        <v>2231</v>
      </c>
      <c r="E441" s="5" t="s">
        <v>2232</v>
      </c>
      <c r="F441" s="5" t="s">
        <v>2233</v>
      </c>
      <c r="G441" s="5" t="s">
        <v>2234</v>
      </c>
      <c r="H441" s="5" t="s">
        <v>2233</v>
      </c>
      <c r="I441" s="5" t="s">
        <v>74</v>
      </c>
      <c r="J441" s="5"/>
      <c r="K441" s="5" t="s">
        <v>39</v>
      </c>
      <c r="L441" s="5"/>
      <c r="M441" s="7" t="str">
        <f t="shared" si="3"/>
        <v>OK</v>
      </c>
      <c r="N441" s="7"/>
      <c r="O441" s="7"/>
      <c r="P441" s="7"/>
      <c r="Q441" s="7"/>
      <c r="R441" s="7"/>
      <c r="S441" s="7"/>
      <c r="T441" s="7"/>
      <c r="U441" s="7"/>
      <c r="V441" s="7"/>
      <c r="W441" s="7"/>
      <c r="X441" s="7"/>
      <c r="Y441" s="7"/>
      <c r="Z441" s="7"/>
    </row>
    <row r="442" ht="15.75" customHeight="1">
      <c r="A442" s="8" t="s">
        <v>2235</v>
      </c>
      <c r="B442" s="5" t="s">
        <v>133</v>
      </c>
      <c r="C442" s="5" t="s">
        <v>15</v>
      </c>
      <c r="D442" s="5" t="s">
        <v>2236</v>
      </c>
      <c r="E442" s="5" t="s">
        <v>2237</v>
      </c>
      <c r="F442" s="5" t="s">
        <v>2238</v>
      </c>
      <c r="G442" s="5" t="s">
        <v>2239</v>
      </c>
      <c r="H442" s="5" t="s">
        <v>2237</v>
      </c>
      <c r="I442" s="5" t="s">
        <v>20</v>
      </c>
      <c r="J442" s="5"/>
      <c r="K442" s="5" t="s">
        <v>22</v>
      </c>
      <c r="L442" s="5"/>
      <c r="M442" s="7" t="str">
        <f t="shared" si="3"/>
        <v>OK</v>
      </c>
      <c r="N442" s="7"/>
      <c r="O442" s="7"/>
      <c r="P442" s="7"/>
      <c r="Q442" s="7"/>
      <c r="R442" s="7"/>
      <c r="S442" s="7"/>
      <c r="T442" s="7"/>
      <c r="U442" s="7"/>
      <c r="V442" s="7"/>
      <c r="W442" s="7"/>
      <c r="X442" s="7"/>
      <c r="Y442" s="7"/>
      <c r="Z442" s="7"/>
    </row>
    <row r="443" ht="15.75" customHeight="1">
      <c r="A443" s="8" t="s">
        <v>2240</v>
      </c>
      <c r="B443" s="5" t="s">
        <v>133</v>
      </c>
      <c r="C443" s="5" t="s">
        <v>15</v>
      </c>
      <c r="D443" s="5" t="s">
        <v>2241</v>
      </c>
      <c r="E443" s="5" t="s">
        <v>2242</v>
      </c>
      <c r="F443" s="5" t="s">
        <v>2243</v>
      </c>
      <c r="G443" s="5" t="s">
        <v>2244</v>
      </c>
      <c r="H443" s="5" t="s">
        <v>2242</v>
      </c>
      <c r="I443" s="5" t="s">
        <v>45</v>
      </c>
      <c r="J443" s="5"/>
      <c r="K443" s="5" t="s">
        <v>30</v>
      </c>
      <c r="L443" s="5"/>
      <c r="M443" s="7" t="str">
        <f t="shared" si="3"/>
        <v>OK</v>
      </c>
      <c r="N443" s="7"/>
      <c r="O443" s="7"/>
      <c r="P443" s="7"/>
      <c r="Q443" s="7"/>
      <c r="R443" s="7"/>
      <c r="S443" s="7"/>
      <c r="T443" s="7"/>
      <c r="U443" s="7"/>
      <c r="V443" s="7"/>
      <c r="W443" s="7"/>
      <c r="X443" s="7"/>
      <c r="Y443" s="7"/>
      <c r="Z443" s="7"/>
    </row>
    <row r="444" ht="15.75" customHeight="1">
      <c r="A444" s="8" t="s">
        <v>2245</v>
      </c>
      <c r="B444" s="5" t="s">
        <v>133</v>
      </c>
      <c r="C444" s="5" t="s">
        <v>15</v>
      </c>
      <c r="D444" s="5" t="s">
        <v>2246</v>
      </c>
      <c r="E444" s="5" t="s">
        <v>2247</v>
      </c>
      <c r="F444" s="5" t="s">
        <v>2248</v>
      </c>
      <c r="G444" s="5" t="s">
        <v>2249</v>
      </c>
      <c r="H444" s="5" t="s">
        <v>2249</v>
      </c>
      <c r="I444" s="5" t="s">
        <v>45</v>
      </c>
      <c r="J444" s="5"/>
      <c r="K444" s="5" t="s">
        <v>111</v>
      </c>
      <c r="L444" s="5"/>
      <c r="M444" s="7" t="str">
        <f t="shared" si="3"/>
        <v>OK</v>
      </c>
      <c r="N444" s="7"/>
      <c r="O444" s="7"/>
      <c r="P444" s="7"/>
      <c r="Q444" s="7"/>
      <c r="R444" s="7"/>
      <c r="S444" s="7"/>
      <c r="T444" s="7"/>
      <c r="U444" s="7"/>
      <c r="V444" s="7"/>
      <c r="W444" s="7"/>
      <c r="X444" s="7"/>
      <c r="Y444" s="7"/>
      <c r="Z444" s="7"/>
    </row>
    <row r="445" ht="15.75" customHeight="1">
      <c r="A445" s="8" t="s">
        <v>2250</v>
      </c>
      <c r="B445" s="5" t="s">
        <v>133</v>
      </c>
      <c r="C445" s="5" t="s">
        <v>15</v>
      </c>
      <c r="D445" s="5" t="s">
        <v>2251</v>
      </c>
      <c r="E445" s="5" t="s">
        <v>2252</v>
      </c>
      <c r="F445" s="5" t="s">
        <v>2253</v>
      </c>
      <c r="G445" s="5" t="s">
        <v>2254</v>
      </c>
      <c r="H445" s="5" t="s">
        <v>2252</v>
      </c>
      <c r="I445" s="5" t="s">
        <v>20</v>
      </c>
      <c r="J445" s="5"/>
      <c r="K445" s="5" t="s">
        <v>52</v>
      </c>
      <c r="L445" s="5"/>
      <c r="M445" s="7" t="str">
        <f t="shared" si="3"/>
        <v>OK</v>
      </c>
      <c r="N445" s="7"/>
      <c r="O445" s="7"/>
      <c r="P445" s="7"/>
      <c r="Q445" s="7"/>
      <c r="R445" s="7"/>
      <c r="S445" s="7"/>
      <c r="T445" s="7"/>
      <c r="U445" s="7"/>
      <c r="V445" s="7"/>
      <c r="W445" s="7"/>
      <c r="X445" s="7"/>
      <c r="Y445" s="7"/>
      <c r="Z445" s="7"/>
    </row>
    <row r="446" ht="15.75" customHeight="1">
      <c r="A446" s="8" t="s">
        <v>2255</v>
      </c>
      <c r="B446" s="5" t="s">
        <v>133</v>
      </c>
      <c r="C446" s="5" t="s">
        <v>15</v>
      </c>
      <c r="D446" s="5" t="s">
        <v>2256</v>
      </c>
      <c r="E446" s="5" t="s">
        <v>2257</v>
      </c>
      <c r="F446" s="5" t="s">
        <v>2258</v>
      </c>
      <c r="G446" s="5" t="s">
        <v>2259</v>
      </c>
      <c r="H446" s="5" t="s">
        <v>2257</v>
      </c>
      <c r="I446" s="5" t="s">
        <v>37</v>
      </c>
      <c r="J446" s="5"/>
      <c r="K446" s="5" t="s">
        <v>111</v>
      </c>
      <c r="L446" s="5"/>
      <c r="M446" s="7" t="str">
        <f t="shared" si="3"/>
        <v>OK</v>
      </c>
      <c r="N446" s="7"/>
      <c r="O446" s="7"/>
      <c r="P446" s="7"/>
      <c r="Q446" s="7"/>
      <c r="R446" s="7"/>
      <c r="S446" s="7"/>
      <c r="T446" s="7"/>
      <c r="U446" s="7"/>
      <c r="V446" s="7"/>
      <c r="W446" s="7"/>
      <c r="X446" s="7"/>
      <c r="Y446" s="7"/>
      <c r="Z446" s="7"/>
    </row>
    <row r="447" ht="15.75" customHeight="1">
      <c r="A447" s="8" t="s">
        <v>2260</v>
      </c>
      <c r="B447" s="5" t="s">
        <v>133</v>
      </c>
      <c r="C447" s="5" t="s">
        <v>15</v>
      </c>
      <c r="D447" s="5" t="s">
        <v>2261</v>
      </c>
      <c r="E447" s="5" t="s">
        <v>2262</v>
      </c>
      <c r="F447" s="5" t="s">
        <v>2263</v>
      </c>
      <c r="G447" s="5" t="s">
        <v>2264</v>
      </c>
      <c r="H447" s="5" t="s">
        <v>2262</v>
      </c>
      <c r="I447" s="5" t="s">
        <v>74</v>
      </c>
      <c r="J447" s="5"/>
      <c r="K447" s="5" t="s">
        <v>30</v>
      </c>
      <c r="L447" s="5"/>
      <c r="M447" s="7" t="str">
        <f t="shared" si="3"/>
        <v>OK</v>
      </c>
      <c r="N447" s="7"/>
      <c r="O447" s="7"/>
      <c r="P447" s="7"/>
      <c r="Q447" s="7"/>
      <c r="R447" s="7"/>
      <c r="S447" s="7"/>
      <c r="T447" s="7"/>
      <c r="U447" s="7"/>
      <c r="V447" s="7"/>
      <c r="W447" s="7"/>
      <c r="X447" s="7"/>
      <c r="Y447" s="7"/>
      <c r="Z447" s="7"/>
    </row>
    <row r="448" ht="15.75" customHeight="1">
      <c r="A448" s="8" t="s">
        <v>2265</v>
      </c>
      <c r="B448" s="5" t="s">
        <v>133</v>
      </c>
      <c r="C448" s="5" t="s">
        <v>15</v>
      </c>
      <c r="D448" s="5" t="s">
        <v>2266</v>
      </c>
      <c r="E448" s="5" t="s">
        <v>2267</v>
      </c>
      <c r="F448" s="5" t="s">
        <v>2268</v>
      </c>
      <c r="G448" s="5" t="s">
        <v>2269</v>
      </c>
      <c r="H448" s="5" t="s">
        <v>2269</v>
      </c>
      <c r="I448" s="5" t="s">
        <v>45</v>
      </c>
      <c r="J448" s="5"/>
      <c r="K448" s="5" t="s">
        <v>31</v>
      </c>
      <c r="L448" s="5"/>
      <c r="M448" s="7" t="str">
        <f t="shared" si="3"/>
        <v>OK</v>
      </c>
      <c r="N448" s="7"/>
      <c r="O448" s="7"/>
      <c r="P448" s="7"/>
      <c r="Q448" s="7"/>
      <c r="R448" s="7"/>
      <c r="S448" s="7"/>
      <c r="T448" s="7"/>
      <c r="U448" s="7"/>
      <c r="V448" s="7"/>
      <c r="W448" s="7"/>
      <c r="X448" s="7"/>
      <c r="Y448" s="7"/>
      <c r="Z448" s="7"/>
    </row>
    <row r="449" ht="15.75" customHeight="1">
      <c r="A449" s="8" t="s">
        <v>2270</v>
      </c>
      <c r="B449" s="5" t="s">
        <v>133</v>
      </c>
      <c r="C449" s="5" t="s">
        <v>15</v>
      </c>
      <c r="D449" s="5" t="s">
        <v>2271</v>
      </c>
      <c r="E449" s="5" t="s">
        <v>2272</v>
      </c>
      <c r="F449" s="5" t="s">
        <v>2273</v>
      </c>
      <c r="G449" s="5" t="s">
        <v>2274</v>
      </c>
      <c r="H449" s="5" t="s">
        <v>2272</v>
      </c>
      <c r="I449" s="5" t="s">
        <v>38</v>
      </c>
      <c r="J449" s="5"/>
      <c r="K449" s="5" t="s">
        <v>75</v>
      </c>
      <c r="L449" s="5"/>
      <c r="M449" s="7" t="str">
        <f t="shared" si="3"/>
        <v>OK</v>
      </c>
      <c r="N449" s="7"/>
      <c r="O449" s="7"/>
      <c r="P449" s="7"/>
      <c r="Q449" s="7"/>
      <c r="R449" s="7"/>
      <c r="S449" s="7"/>
      <c r="T449" s="7"/>
      <c r="U449" s="7"/>
      <c r="V449" s="7"/>
      <c r="W449" s="7"/>
      <c r="X449" s="7"/>
      <c r="Y449" s="7"/>
      <c r="Z449" s="7"/>
    </row>
    <row r="450" ht="15.75" customHeight="1">
      <c r="A450" s="8" t="s">
        <v>2275</v>
      </c>
      <c r="B450" s="5" t="s">
        <v>133</v>
      </c>
      <c r="C450" s="5" t="s">
        <v>15</v>
      </c>
      <c r="D450" s="5" t="s">
        <v>2276</v>
      </c>
      <c r="E450" s="5" t="s">
        <v>2277</v>
      </c>
      <c r="F450" s="5" t="s">
        <v>2278</v>
      </c>
      <c r="G450" s="5" t="s">
        <v>2279</v>
      </c>
      <c r="H450" s="5" t="s">
        <v>2277</v>
      </c>
      <c r="I450" s="5" t="s">
        <v>45</v>
      </c>
      <c r="J450" s="5"/>
      <c r="K450" s="5" t="s">
        <v>39</v>
      </c>
      <c r="L450" s="5"/>
      <c r="M450" s="7" t="str">
        <f t="shared" si="3"/>
        <v>OK</v>
      </c>
      <c r="N450" s="7"/>
      <c r="O450" s="7"/>
      <c r="P450" s="7"/>
      <c r="Q450" s="7"/>
      <c r="R450" s="7"/>
      <c r="S450" s="7"/>
      <c r="T450" s="7"/>
      <c r="U450" s="7"/>
      <c r="V450" s="7"/>
      <c r="W450" s="7"/>
      <c r="X450" s="7"/>
      <c r="Y450" s="7"/>
      <c r="Z450" s="7"/>
    </row>
    <row r="451" ht="15.75" customHeight="1">
      <c r="A451" s="8" t="s">
        <v>2280</v>
      </c>
      <c r="B451" s="5" t="s">
        <v>133</v>
      </c>
      <c r="C451" s="5" t="s">
        <v>15</v>
      </c>
      <c r="D451" s="5" t="s">
        <v>2281</v>
      </c>
      <c r="E451" s="5" t="s">
        <v>2282</v>
      </c>
      <c r="F451" s="5" t="s">
        <v>2283</v>
      </c>
      <c r="G451" s="5" t="s">
        <v>2284</v>
      </c>
      <c r="H451" s="5" t="s">
        <v>2284</v>
      </c>
      <c r="I451" s="5" t="s">
        <v>45</v>
      </c>
      <c r="J451" s="5"/>
      <c r="K451" s="5" t="s">
        <v>30</v>
      </c>
      <c r="L451" s="5"/>
      <c r="M451" s="7" t="str">
        <f t="shared" si="3"/>
        <v>OK</v>
      </c>
      <c r="N451" s="7"/>
      <c r="O451" s="7"/>
      <c r="P451" s="7"/>
      <c r="Q451" s="7"/>
      <c r="R451" s="7"/>
      <c r="S451" s="7"/>
      <c r="T451" s="7"/>
      <c r="U451" s="7"/>
      <c r="V451" s="7"/>
      <c r="W451" s="7"/>
      <c r="X451" s="7"/>
      <c r="Y451" s="7"/>
      <c r="Z451" s="7"/>
    </row>
    <row r="452" ht="15.75" customHeight="1">
      <c r="A452" s="8" t="s">
        <v>2285</v>
      </c>
      <c r="B452" s="5" t="s">
        <v>133</v>
      </c>
      <c r="C452" s="5" t="s">
        <v>15</v>
      </c>
      <c r="D452" s="5" t="s">
        <v>2286</v>
      </c>
      <c r="E452" s="5" t="s">
        <v>2287</v>
      </c>
      <c r="F452" s="5" t="s">
        <v>2288</v>
      </c>
      <c r="G452" s="5" t="s">
        <v>2289</v>
      </c>
      <c r="H452" s="5" t="s">
        <v>2288</v>
      </c>
      <c r="I452" s="5" t="s">
        <v>29</v>
      </c>
      <c r="J452" s="5"/>
      <c r="K452" s="5" t="s">
        <v>39</v>
      </c>
      <c r="L452" s="5"/>
      <c r="M452" s="7" t="str">
        <f t="shared" si="3"/>
        <v>OK</v>
      </c>
      <c r="N452" s="7"/>
      <c r="O452" s="7"/>
      <c r="P452" s="7"/>
      <c r="Q452" s="7"/>
      <c r="R452" s="7"/>
      <c r="S452" s="7"/>
      <c r="T452" s="7"/>
      <c r="U452" s="7"/>
      <c r="V452" s="7"/>
      <c r="W452" s="7"/>
      <c r="X452" s="7"/>
      <c r="Y452" s="7"/>
      <c r="Z452" s="7"/>
    </row>
    <row r="453" ht="15.75" customHeight="1">
      <c r="A453" s="8" t="s">
        <v>2290</v>
      </c>
      <c r="B453" s="5" t="s">
        <v>133</v>
      </c>
      <c r="C453" s="5" t="s">
        <v>15</v>
      </c>
      <c r="D453" s="5" t="s">
        <v>2291</v>
      </c>
      <c r="E453" s="5" t="s">
        <v>2292</v>
      </c>
      <c r="F453" s="5" t="s">
        <v>2293</v>
      </c>
      <c r="G453" s="5" t="s">
        <v>2294</v>
      </c>
      <c r="H453" s="5" t="s">
        <v>2294</v>
      </c>
      <c r="I453" s="5" t="s">
        <v>37</v>
      </c>
      <c r="J453" s="5"/>
      <c r="K453" s="5" t="s">
        <v>23</v>
      </c>
      <c r="L453" s="5"/>
      <c r="M453" s="7" t="str">
        <f t="shared" si="3"/>
        <v>OK</v>
      </c>
      <c r="N453" s="7"/>
      <c r="O453" s="7"/>
      <c r="P453" s="7"/>
      <c r="Q453" s="7"/>
      <c r="R453" s="7"/>
      <c r="S453" s="7"/>
      <c r="T453" s="7"/>
      <c r="U453" s="7"/>
      <c r="V453" s="7"/>
      <c r="W453" s="7"/>
      <c r="X453" s="7"/>
      <c r="Y453" s="7"/>
      <c r="Z453" s="7"/>
    </row>
    <row r="454" ht="15.75" customHeight="1">
      <c r="A454" s="8" t="s">
        <v>2295</v>
      </c>
      <c r="B454" s="5" t="s">
        <v>133</v>
      </c>
      <c r="C454" s="5" t="s">
        <v>15</v>
      </c>
      <c r="D454" s="5" t="s">
        <v>2296</v>
      </c>
      <c r="E454" s="5" t="s">
        <v>2297</v>
      </c>
      <c r="F454" s="5" t="s">
        <v>2298</v>
      </c>
      <c r="G454" s="5" t="s">
        <v>2299</v>
      </c>
      <c r="H454" s="5" t="s">
        <v>2297</v>
      </c>
      <c r="I454" s="5" t="s">
        <v>74</v>
      </c>
      <c r="J454" s="5"/>
      <c r="K454" s="5" t="s">
        <v>52</v>
      </c>
      <c r="L454" s="5"/>
      <c r="M454" s="7" t="str">
        <f t="shared" si="3"/>
        <v>OK</v>
      </c>
      <c r="N454" s="7"/>
      <c r="O454" s="7"/>
      <c r="P454" s="7"/>
      <c r="Q454" s="7"/>
      <c r="R454" s="7"/>
      <c r="S454" s="7"/>
      <c r="T454" s="7"/>
      <c r="U454" s="7"/>
      <c r="V454" s="7"/>
      <c r="W454" s="7"/>
      <c r="X454" s="7"/>
      <c r="Y454" s="7"/>
      <c r="Z454" s="7"/>
    </row>
    <row r="455" ht="15.75" customHeight="1">
      <c r="A455" s="8" t="s">
        <v>2300</v>
      </c>
      <c r="B455" s="5" t="s">
        <v>133</v>
      </c>
      <c r="C455" s="5" t="s">
        <v>15</v>
      </c>
      <c r="D455" s="5" t="s">
        <v>2301</v>
      </c>
      <c r="E455" s="5" t="s">
        <v>2302</v>
      </c>
      <c r="F455" s="5" t="s">
        <v>2303</v>
      </c>
      <c r="G455" s="5" t="s">
        <v>2304</v>
      </c>
      <c r="H455" s="5" t="s">
        <v>2302</v>
      </c>
      <c r="I455" s="5" t="s">
        <v>20</v>
      </c>
      <c r="J455" s="5"/>
      <c r="K455" s="5" t="s">
        <v>75</v>
      </c>
      <c r="L455" s="5"/>
      <c r="M455" s="7" t="str">
        <f t="shared" si="3"/>
        <v>OK</v>
      </c>
      <c r="N455" s="7"/>
      <c r="O455" s="7"/>
      <c r="P455" s="7"/>
      <c r="Q455" s="7"/>
      <c r="R455" s="7"/>
      <c r="S455" s="7"/>
      <c r="T455" s="7"/>
      <c r="U455" s="7"/>
      <c r="V455" s="7"/>
      <c r="W455" s="7"/>
      <c r="X455" s="7"/>
      <c r="Y455" s="7"/>
      <c r="Z455" s="7"/>
    </row>
    <row r="456" ht="15.75" customHeight="1">
      <c r="A456" s="8" t="s">
        <v>2305</v>
      </c>
      <c r="B456" s="5" t="s">
        <v>133</v>
      </c>
      <c r="C456" s="5" t="s">
        <v>15</v>
      </c>
      <c r="D456" s="5" t="s">
        <v>2306</v>
      </c>
      <c r="E456" s="5" t="s">
        <v>2307</v>
      </c>
      <c r="F456" s="5" t="s">
        <v>2308</v>
      </c>
      <c r="G456" s="5" t="s">
        <v>2309</v>
      </c>
      <c r="H456" s="5" t="s">
        <v>2309</v>
      </c>
      <c r="I456" s="5" t="s">
        <v>21</v>
      </c>
      <c r="J456" s="5"/>
      <c r="K456" s="5" t="s">
        <v>75</v>
      </c>
      <c r="L456" s="5"/>
      <c r="M456" s="7" t="str">
        <f t="shared" si="3"/>
        <v>OK</v>
      </c>
      <c r="N456" s="7"/>
      <c r="O456" s="7"/>
      <c r="P456" s="7"/>
      <c r="Q456" s="7"/>
      <c r="R456" s="7"/>
      <c r="S456" s="7"/>
      <c r="T456" s="7"/>
      <c r="U456" s="7"/>
      <c r="V456" s="7"/>
      <c r="W456" s="7"/>
      <c r="X456" s="7"/>
      <c r="Y456" s="7"/>
      <c r="Z456" s="7"/>
    </row>
    <row r="457" ht="15.75" customHeight="1">
      <c r="A457" s="8" t="s">
        <v>2310</v>
      </c>
      <c r="B457" s="5" t="s">
        <v>133</v>
      </c>
      <c r="C457" s="5" t="s">
        <v>15</v>
      </c>
      <c r="D457" s="5" t="s">
        <v>2311</v>
      </c>
      <c r="E457" s="5" t="s">
        <v>2312</v>
      </c>
      <c r="F457" s="5" t="s">
        <v>2313</v>
      </c>
      <c r="G457" s="5" t="s">
        <v>2314</v>
      </c>
      <c r="H457" s="5" t="s">
        <v>2313</v>
      </c>
      <c r="I457" s="5" t="s">
        <v>74</v>
      </c>
      <c r="J457" s="5"/>
      <c r="K457" s="5" t="s">
        <v>39</v>
      </c>
      <c r="L457" s="5"/>
      <c r="M457" s="7" t="str">
        <f t="shared" si="3"/>
        <v>OK</v>
      </c>
      <c r="N457" s="7"/>
      <c r="O457" s="7"/>
      <c r="P457" s="7"/>
      <c r="Q457" s="7"/>
      <c r="R457" s="7"/>
      <c r="S457" s="7"/>
      <c r="T457" s="7"/>
      <c r="U457" s="7"/>
      <c r="V457" s="7"/>
      <c r="W457" s="7"/>
      <c r="X457" s="7"/>
      <c r="Y457" s="7"/>
      <c r="Z457" s="7"/>
    </row>
    <row r="458" ht="15.75" customHeight="1">
      <c r="A458" s="8" t="s">
        <v>2315</v>
      </c>
      <c r="B458" s="5" t="s">
        <v>133</v>
      </c>
      <c r="C458" s="5" t="s">
        <v>15</v>
      </c>
      <c r="D458" s="5" t="s">
        <v>2316</v>
      </c>
      <c r="E458" s="5" t="s">
        <v>2317</v>
      </c>
      <c r="F458" s="5" t="s">
        <v>2318</v>
      </c>
      <c r="G458" s="5" t="s">
        <v>2319</v>
      </c>
      <c r="H458" s="5" t="s">
        <v>2320</v>
      </c>
      <c r="I458" s="5" t="s">
        <v>21</v>
      </c>
      <c r="J458" s="5"/>
      <c r="K458" s="5" t="s">
        <v>52</v>
      </c>
      <c r="L458" s="5"/>
      <c r="M458" s="7" t="str">
        <f t="shared" si="3"/>
        <v>OK</v>
      </c>
      <c r="N458" s="7"/>
      <c r="O458" s="7"/>
      <c r="P458" s="7"/>
      <c r="Q458" s="7"/>
      <c r="R458" s="7"/>
      <c r="S458" s="7"/>
      <c r="T458" s="7"/>
      <c r="U458" s="7"/>
      <c r="V458" s="7"/>
      <c r="W458" s="7"/>
      <c r="X458" s="7"/>
      <c r="Y458" s="7"/>
      <c r="Z458" s="7"/>
    </row>
    <row r="459" ht="15.75" customHeight="1">
      <c r="A459" s="8" t="s">
        <v>2321</v>
      </c>
      <c r="B459" s="5" t="s">
        <v>133</v>
      </c>
      <c r="C459" s="5" t="s">
        <v>15</v>
      </c>
      <c r="D459" s="5" t="s">
        <v>2322</v>
      </c>
      <c r="E459" s="5" t="s">
        <v>2323</v>
      </c>
      <c r="F459" s="5" t="s">
        <v>2324</v>
      </c>
      <c r="G459" s="5" t="s">
        <v>2325</v>
      </c>
      <c r="H459" s="5" t="s">
        <v>2324</v>
      </c>
      <c r="I459" s="5" t="s">
        <v>74</v>
      </c>
      <c r="J459" s="5"/>
      <c r="K459" s="5" t="s">
        <v>39</v>
      </c>
      <c r="L459" s="5"/>
      <c r="M459" s="7" t="str">
        <f t="shared" si="3"/>
        <v>OK</v>
      </c>
      <c r="N459" s="7"/>
      <c r="O459" s="7"/>
      <c r="P459" s="7"/>
      <c r="Q459" s="7"/>
      <c r="R459" s="7"/>
      <c r="S459" s="7"/>
      <c r="T459" s="7"/>
      <c r="U459" s="7"/>
      <c r="V459" s="7"/>
      <c r="W459" s="7"/>
      <c r="X459" s="7"/>
      <c r="Y459" s="7"/>
      <c r="Z459" s="7"/>
    </row>
    <row r="460" ht="15.75" customHeight="1">
      <c r="A460" s="8" t="s">
        <v>2326</v>
      </c>
      <c r="B460" s="5" t="s">
        <v>133</v>
      </c>
      <c r="C460" s="5" t="s">
        <v>15</v>
      </c>
      <c r="D460" s="5" t="s">
        <v>2327</v>
      </c>
      <c r="E460" s="5" t="s">
        <v>2328</v>
      </c>
      <c r="F460" s="5" t="s">
        <v>2329</v>
      </c>
      <c r="G460" s="5" t="s">
        <v>2330</v>
      </c>
      <c r="H460" s="5" t="s">
        <v>2330</v>
      </c>
      <c r="I460" s="5" t="s">
        <v>37</v>
      </c>
      <c r="J460" s="5"/>
      <c r="K460" s="5" t="s">
        <v>39</v>
      </c>
      <c r="L460" s="5"/>
      <c r="M460" s="7" t="str">
        <f t="shared" si="3"/>
        <v>OK</v>
      </c>
      <c r="N460" s="7"/>
      <c r="O460" s="7"/>
      <c r="P460" s="7"/>
      <c r="Q460" s="7"/>
      <c r="R460" s="7"/>
      <c r="S460" s="7"/>
      <c r="T460" s="7"/>
      <c r="U460" s="7"/>
      <c r="V460" s="7"/>
      <c r="W460" s="7"/>
      <c r="X460" s="7"/>
      <c r="Y460" s="7"/>
      <c r="Z460" s="7"/>
    </row>
    <row r="461" ht="15.75" customHeight="1">
      <c r="A461" s="8" t="s">
        <v>2331</v>
      </c>
      <c r="B461" s="5" t="s">
        <v>133</v>
      </c>
      <c r="C461" s="5" t="s">
        <v>15</v>
      </c>
      <c r="D461" s="5" t="s">
        <v>2332</v>
      </c>
      <c r="E461" s="5" t="s">
        <v>2333</v>
      </c>
      <c r="F461" s="5" t="s">
        <v>2334</v>
      </c>
      <c r="G461" s="5" t="s">
        <v>2335</v>
      </c>
      <c r="H461" s="5" t="s">
        <v>2333</v>
      </c>
      <c r="I461" s="5" t="s">
        <v>29</v>
      </c>
      <c r="J461" s="5"/>
      <c r="K461" s="5" t="s">
        <v>111</v>
      </c>
      <c r="L461" s="5"/>
      <c r="M461" s="7" t="str">
        <f t="shared" si="3"/>
        <v>OK</v>
      </c>
      <c r="N461" s="7"/>
      <c r="O461" s="7"/>
      <c r="P461" s="7"/>
      <c r="Q461" s="7"/>
      <c r="R461" s="7"/>
      <c r="S461" s="7"/>
      <c r="T461" s="7"/>
      <c r="U461" s="7"/>
      <c r="V461" s="7"/>
      <c r="W461" s="7"/>
      <c r="X461" s="7"/>
      <c r="Y461" s="7"/>
      <c r="Z461" s="7"/>
    </row>
    <row r="462" ht="15.75" customHeight="1">
      <c r="A462" s="8" t="s">
        <v>2336</v>
      </c>
      <c r="B462" s="5" t="s">
        <v>133</v>
      </c>
      <c r="C462" s="5" t="s">
        <v>15</v>
      </c>
      <c r="D462" s="5" t="s">
        <v>2337</v>
      </c>
      <c r="E462" s="5" t="s">
        <v>2338</v>
      </c>
      <c r="F462" s="5" t="s">
        <v>2339</v>
      </c>
      <c r="G462" s="5" t="s">
        <v>2340</v>
      </c>
      <c r="H462" s="5" t="s">
        <v>2340</v>
      </c>
      <c r="I462" s="5" t="s">
        <v>29</v>
      </c>
      <c r="J462" s="5"/>
      <c r="K462" s="5" t="s">
        <v>31</v>
      </c>
      <c r="L462" s="5"/>
      <c r="M462" s="7" t="str">
        <f t="shared" si="3"/>
        <v>OK</v>
      </c>
      <c r="N462" s="7"/>
      <c r="O462" s="7"/>
      <c r="P462" s="7"/>
      <c r="Q462" s="7"/>
      <c r="R462" s="7"/>
      <c r="S462" s="7"/>
      <c r="T462" s="7"/>
      <c r="U462" s="7"/>
      <c r="V462" s="7"/>
      <c r="W462" s="7"/>
      <c r="X462" s="7"/>
      <c r="Y462" s="7"/>
      <c r="Z462" s="7"/>
    </row>
    <row r="463" ht="15.75" customHeight="1">
      <c r="A463" s="8" t="s">
        <v>2341</v>
      </c>
      <c r="B463" s="5" t="s">
        <v>133</v>
      </c>
      <c r="C463" s="5" t="s">
        <v>15</v>
      </c>
      <c r="D463" s="5" t="s">
        <v>2342</v>
      </c>
      <c r="E463" s="5" t="s">
        <v>2343</v>
      </c>
      <c r="F463" s="5" t="s">
        <v>2344</v>
      </c>
      <c r="G463" s="5" t="s">
        <v>2345</v>
      </c>
      <c r="H463" s="5" t="s">
        <v>2343</v>
      </c>
      <c r="I463" s="5" t="s">
        <v>20</v>
      </c>
      <c r="J463" s="5"/>
      <c r="K463" s="5" t="s">
        <v>39</v>
      </c>
      <c r="L463" s="5"/>
      <c r="M463" s="7" t="str">
        <f t="shared" si="3"/>
        <v>OK</v>
      </c>
      <c r="N463" s="7"/>
      <c r="O463" s="7"/>
      <c r="P463" s="7"/>
      <c r="Q463" s="7"/>
      <c r="R463" s="7"/>
      <c r="S463" s="7"/>
      <c r="T463" s="7"/>
      <c r="U463" s="7"/>
      <c r="V463" s="7"/>
      <c r="W463" s="7"/>
      <c r="X463" s="7"/>
      <c r="Y463" s="7"/>
      <c r="Z463" s="7"/>
    </row>
    <row r="464" ht="15.75" customHeight="1">
      <c r="A464" s="8" t="s">
        <v>2346</v>
      </c>
      <c r="B464" s="5" t="s">
        <v>133</v>
      </c>
      <c r="C464" s="5" t="s">
        <v>15</v>
      </c>
      <c r="D464" s="5" t="s">
        <v>2347</v>
      </c>
      <c r="E464" s="5" t="s">
        <v>2348</v>
      </c>
      <c r="F464" s="5" t="s">
        <v>1519</v>
      </c>
      <c r="G464" s="5" t="s">
        <v>2349</v>
      </c>
      <c r="H464" s="5" t="s">
        <v>1519</v>
      </c>
      <c r="I464" s="5" t="s">
        <v>45</v>
      </c>
      <c r="J464" s="5"/>
      <c r="K464" s="5" t="s">
        <v>111</v>
      </c>
      <c r="L464" s="5"/>
      <c r="M464" s="7" t="str">
        <f t="shared" si="3"/>
        <v>OK</v>
      </c>
      <c r="N464" s="7"/>
      <c r="O464" s="7"/>
      <c r="P464" s="7"/>
      <c r="Q464" s="7"/>
      <c r="R464" s="7"/>
      <c r="S464" s="7"/>
      <c r="T464" s="7"/>
      <c r="U464" s="7"/>
      <c r="V464" s="7"/>
      <c r="W464" s="7"/>
      <c r="X464" s="7"/>
      <c r="Y464" s="7"/>
      <c r="Z464" s="7"/>
    </row>
    <row r="465" ht="15.75" customHeight="1">
      <c r="A465" s="8" t="s">
        <v>2350</v>
      </c>
      <c r="B465" s="5" t="s">
        <v>133</v>
      </c>
      <c r="C465" s="5" t="s">
        <v>15</v>
      </c>
      <c r="D465" s="5" t="s">
        <v>2351</v>
      </c>
      <c r="E465" s="5" t="s">
        <v>2352</v>
      </c>
      <c r="F465" s="5" t="s">
        <v>2353</v>
      </c>
      <c r="G465" s="5" t="s">
        <v>2354</v>
      </c>
      <c r="H465" s="5" t="s">
        <v>2352</v>
      </c>
      <c r="I465" s="5" t="s">
        <v>74</v>
      </c>
      <c r="J465" s="5"/>
      <c r="K465" s="5" t="s">
        <v>31</v>
      </c>
      <c r="L465" s="5"/>
      <c r="M465" s="7" t="str">
        <f t="shared" si="3"/>
        <v>OK</v>
      </c>
      <c r="N465" s="7"/>
      <c r="O465" s="7"/>
      <c r="P465" s="7"/>
      <c r="Q465" s="7"/>
      <c r="R465" s="7"/>
      <c r="S465" s="7"/>
      <c r="T465" s="7"/>
      <c r="U465" s="7"/>
      <c r="V465" s="7"/>
      <c r="W465" s="7"/>
      <c r="X465" s="7"/>
      <c r="Y465" s="7"/>
      <c r="Z465" s="7"/>
    </row>
    <row r="466" ht="15.75" customHeight="1">
      <c r="A466" s="8" t="s">
        <v>2355</v>
      </c>
      <c r="B466" s="5" t="s">
        <v>133</v>
      </c>
      <c r="C466" s="5" t="s">
        <v>15</v>
      </c>
      <c r="D466" s="5" t="s">
        <v>2356</v>
      </c>
      <c r="E466" s="5" t="s">
        <v>2357</v>
      </c>
      <c r="F466" s="5" t="s">
        <v>2358</v>
      </c>
      <c r="G466" s="5" t="s">
        <v>2359</v>
      </c>
      <c r="H466" s="5" t="s">
        <v>2359</v>
      </c>
      <c r="I466" s="5" t="s">
        <v>74</v>
      </c>
      <c r="J466" s="5"/>
      <c r="K466" s="5" t="s">
        <v>31</v>
      </c>
      <c r="L466" s="5"/>
      <c r="M466" s="7" t="str">
        <f t="shared" si="3"/>
        <v>OK</v>
      </c>
      <c r="N466" s="7"/>
      <c r="O466" s="7"/>
      <c r="P466" s="7"/>
      <c r="Q466" s="7"/>
      <c r="R466" s="7"/>
      <c r="S466" s="7"/>
      <c r="T466" s="7"/>
      <c r="U466" s="7"/>
      <c r="V466" s="7"/>
      <c r="W466" s="7"/>
      <c r="X466" s="7"/>
      <c r="Y466" s="7"/>
      <c r="Z466" s="7"/>
    </row>
    <row r="467" ht="15.75" customHeight="1">
      <c r="A467" s="8" t="s">
        <v>2360</v>
      </c>
      <c r="B467" s="5" t="s">
        <v>133</v>
      </c>
      <c r="C467" s="5" t="s">
        <v>15</v>
      </c>
      <c r="D467" s="5" t="s">
        <v>2361</v>
      </c>
      <c r="E467" s="5" t="s">
        <v>2362</v>
      </c>
      <c r="F467" s="5" t="s">
        <v>2363</v>
      </c>
      <c r="G467" s="5" t="s">
        <v>2364</v>
      </c>
      <c r="H467" s="5" t="s">
        <v>2362</v>
      </c>
      <c r="I467" s="5" t="s">
        <v>45</v>
      </c>
      <c r="J467" s="5"/>
      <c r="K467" s="5" t="s">
        <v>30</v>
      </c>
      <c r="L467" s="5"/>
      <c r="M467" s="7" t="str">
        <f t="shared" si="3"/>
        <v>OK</v>
      </c>
      <c r="N467" s="7"/>
      <c r="O467" s="7"/>
      <c r="P467" s="7"/>
      <c r="Q467" s="7"/>
      <c r="R467" s="7"/>
      <c r="S467" s="7"/>
      <c r="T467" s="7"/>
      <c r="U467" s="7"/>
      <c r="V467" s="7"/>
      <c r="W467" s="7"/>
      <c r="X467" s="7"/>
      <c r="Y467" s="7"/>
      <c r="Z467" s="7"/>
    </row>
    <row r="468" ht="15.75" customHeight="1">
      <c r="A468" s="8" t="s">
        <v>2365</v>
      </c>
      <c r="B468" s="5" t="s">
        <v>133</v>
      </c>
      <c r="C468" s="5" t="s">
        <v>15</v>
      </c>
      <c r="D468" s="5" t="s">
        <v>2366</v>
      </c>
      <c r="E468" s="5" t="s">
        <v>2367</v>
      </c>
      <c r="F468" s="5" t="s">
        <v>2368</v>
      </c>
      <c r="G468" s="5" t="s">
        <v>2369</v>
      </c>
      <c r="H468" s="5" t="s">
        <v>2367</v>
      </c>
      <c r="I468" s="5" t="s">
        <v>29</v>
      </c>
      <c r="J468" s="5"/>
      <c r="K468" s="5" t="s">
        <v>39</v>
      </c>
      <c r="L468" s="5"/>
      <c r="M468" s="7" t="str">
        <f t="shared" si="3"/>
        <v>OK</v>
      </c>
      <c r="N468" s="7"/>
      <c r="O468" s="7"/>
      <c r="P468" s="7"/>
      <c r="Q468" s="7"/>
      <c r="R468" s="7"/>
      <c r="S468" s="7"/>
      <c r="T468" s="7"/>
      <c r="U468" s="7"/>
      <c r="V468" s="7"/>
      <c r="W468" s="7"/>
      <c r="X468" s="7"/>
      <c r="Y468" s="7"/>
      <c r="Z468" s="7"/>
    </row>
    <row r="469" ht="15.75" customHeight="1">
      <c r="A469" s="8" t="s">
        <v>2370</v>
      </c>
      <c r="B469" s="5" t="s">
        <v>133</v>
      </c>
      <c r="C469" s="5" t="s">
        <v>15</v>
      </c>
      <c r="D469" s="5" t="s">
        <v>2371</v>
      </c>
      <c r="E469" s="5" t="s">
        <v>2372</v>
      </c>
      <c r="F469" s="5" t="s">
        <v>2373</v>
      </c>
      <c r="G469" s="5" t="s">
        <v>2374</v>
      </c>
      <c r="H469" s="5" t="s">
        <v>2374</v>
      </c>
      <c r="I469" s="5" t="s">
        <v>29</v>
      </c>
      <c r="J469" s="5"/>
      <c r="K469" s="5" t="s">
        <v>52</v>
      </c>
      <c r="L469" s="5"/>
      <c r="M469" s="7" t="str">
        <f t="shared" si="3"/>
        <v>OK</v>
      </c>
      <c r="N469" s="7"/>
      <c r="O469" s="7"/>
      <c r="P469" s="7"/>
      <c r="Q469" s="7"/>
      <c r="R469" s="7"/>
      <c r="S469" s="7"/>
      <c r="T469" s="7"/>
      <c r="U469" s="7"/>
      <c r="V469" s="7"/>
      <c r="W469" s="7"/>
      <c r="X469" s="7"/>
      <c r="Y469" s="7"/>
      <c r="Z469" s="7"/>
    </row>
    <row r="470" ht="15.75" customHeight="1">
      <c r="A470" s="8" t="s">
        <v>2375</v>
      </c>
      <c r="B470" s="5" t="s">
        <v>133</v>
      </c>
      <c r="C470" s="5" t="s">
        <v>15</v>
      </c>
      <c r="D470" s="5" t="s">
        <v>2376</v>
      </c>
      <c r="E470" s="5" t="s">
        <v>2377</v>
      </c>
      <c r="F470" s="5" t="s">
        <v>2378</v>
      </c>
      <c r="G470" s="5" t="s">
        <v>2379</v>
      </c>
      <c r="H470" s="5" t="s">
        <v>2380</v>
      </c>
      <c r="I470" s="5" t="s">
        <v>37</v>
      </c>
      <c r="J470" s="5"/>
      <c r="K470" s="5" t="s">
        <v>30</v>
      </c>
      <c r="L470" s="5"/>
      <c r="M470" s="7" t="str">
        <f t="shared" si="3"/>
        <v>OK</v>
      </c>
      <c r="N470" s="7"/>
      <c r="O470" s="7"/>
      <c r="P470" s="7"/>
      <c r="Q470" s="7"/>
      <c r="R470" s="7"/>
      <c r="S470" s="7"/>
      <c r="T470" s="7"/>
      <c r="U470" s="7"/>
      <c r="V470" s="7"/>
      <c r="W470" s="7"/>
      <c r="X470" s="7"/>
      <c r="Y470" s="7"/>
      <c r="Z470" s="7"/>
    </row>
    <row r="471" ht="15.75" customHeight="1">
      <c r="A471" s="8" t="s">
        <v>2381</v>
      </c>
      <c r="B471" s="5" t="s">
        <v>133</v>
      </c>
      <c r="C471" s="5" t="s">
        <v>15</v>
      </c>
      <c r="D471" s="5" t="s">
        <v>2382</v>
      </c>
      <c r="E471" s="5" t="s">
        <v>2383</v>
      </c>
      <c r="F471" s="5" t="s">
        <v>2384</v>
      </c>
      <c r="G471" s="5" t="s">
        <v>2385</v>
      </c>
      <c r="H471" s="5" t="s">
        <v>2385</v>
      </c>
      <c r="I471" s="5" t="s">
        <v>74</v>
      </c>
      <c r="J471" s="5"/>
      <c r="K471" s="5" t="s">
        <v>75</v>
      </c>
      <c r="L471" s="5"/>
      <c r="M471" s="7" t="str">
        <f t="shared" si="3"/>
        <v>OK</v>
      </c>
      <c r="N471" s="7"/>
      <c r="O471" s="7"/>
      <c r="P471" s="7"/>
      <c r="Q471" s="7"/>
      <c r="R471" s="7"/>
      <c r="S471" s="7"/>
      <c r="T471" s="7"/>
      <c r="U471" s="7"/>
      <c r="V471" s="7"/>
      <c r="W471" s="7"/>
      <c r="X471" s="7"/>
      <c r="Y471" s="7"/>
      <c r="Z471" s="7"/>
    </row>
    <row r="472" ht="15.75" customHeight="1">
      <c r="A472" s="8" t="s">
        <v>2386</v>
      </c>
      <c r="B472" s="5" t="s">
        <v>133</v>
      </c>
      <c r="C472" s="5" t="s">
        <v>15</v>
      </c>
      <c r="D472" s="5" t="s">
        <v>2387</v>
      </c>
      <c r="E472" s="5" t="s">
        <v>2388</v>
      </c>
      <c r="F472" s="5" t="s">
        <v>2389</v>
      </c>
      <c r="G472" s="5" t="s">
        <v>2390</v>
      </c>
      <c r="H472" s="5" t="s">
        <v>2389</v>
      </c>
      <c r="I472" s="5" t="s">
        <v>45</v>
      </c>
      <c r="J472" s="5"/>
      <c r="K472" s="5" t="s">
        <v>52</v>
      </c>
      <c r="L472" s="5"/>
      <c r="M472" s="7" t="str">
        <f t="shared" si="3"/>
        <v>OK</v>
      </c>
      <c r="N472" s="7"/>
      <c r="O472" s="7"/>
      <c r="P472" s="7"/>
      <c r="Q472" s="7"/>
      <c r="R472" s="7"/>
      <c r="S472" s="7"/>
      <c r="T472" s="7"/>
      <c r="U472" s="7"/>
      <c r="V472" s="7"/>
      <c r="W472" s="7"/>
      <c r="X472" s="7"/>
      <c r="Y472" s="7"/>
      <c r="Z472" s="7"/>
    </row>
    <row r="473" ht="15.75" customHeight="1">
      <c r="A473" s="8" t="s">
        <v>2391</v>
      </c>
      <c r="B473" s="5" t="s">
        <v>133</v>
      </c>
      <c r="C473" s="5" t="s">
        <v>15</v>
      </c>
      <c r="D473" s="5" t="s">
        <v>2392</v>
      </c>
      <c r="E473" s="5" t="s">
        <v>2393</v>
      </c>
      <c r="F473" s="5" t="s">
        <v>2394</v>
      </c>
      <c r="G473" s="5" t="s">
        <v>2395</v>
      </c>
      <c r="H473" s="5" t="s">
        <v>2393</v>
      </c>
      <c r="I473" s="5" t="s">
        <v>21</v>
      </c>
      <c r="J473" s="5"/>
      <c r="K473" s="5" t="s">
        <v>75</v>
      </c>
      <c r="L473" s="5"/>
      <c r="M473" s="7" t="str">
        <f t="shared" si="3"/>
        <v>OK</v>
      </c>
      <c r="N473" s="7"/>
      <c r="O473" s="7"/>
      <c r="P473" s="7"/>
      <c r="Q473" s="7"/>
      <c r="R473" s="7"/>
      <c r="S473" s="7"/>
      <c r="T473" s="7"/>
      <c r="U473" s="7"/>
      <c r="V473" s="7"/>
      <c r="W473" s="7"/>
      <c r="X473" s="7"/>
      <c r="Y473" s="7"/>
      <c r="Z473" s="7"/>
    </row>
    <row r="474" ht="15.75" customHeight="1">
      <c r="A474" s="8" t="s">
        <v>2396</v>
      </c>
      <c r="B474" s="5" t="s">
        <v>133</v>
      </c>
      <c r="C474" s="5" t="s">
        <v>15</v>
      </c>
      <c r="D474" s="5" t="s">
        <v>2397</v>
      </c>
      <c r="E474" s="5" t="s">
        <v>2398</v>
      </c>
      <c r="F474" s="5" t="s">
        <v>2399</v>
      </c>
      <c r="G474" s="5" t="s">
        <v>2400</v>
      </c>
      <c r="H474" s="5" t="s">
        <v>2398</v>
      </c>
      <c r="I474" s="5" t="s">
        <v>74</v>
      </c>
      <c r="J474" s="5"/>
      <c r="K474" s="5" t="s">
        <v>52</v>
      </c>
      <c r="L474" s="5"/>
      <c r="M474" s="7" t="str">
        <f t="shared" si="3"/>
        <v>OK</v>
      </c>
      <c r="N474" s="7"/>
      <c r="O474" s="7"/>
      <c r="P474" s="7"/>
      <c r="Q474" s="7"/>
      <c r="R474" s="7"/>
      <c r="S474" s="7"/>
      <c r="T474" s="7"/>
      <c r="U474" s="7"/>
      <c r="V474" s="7"/>
      <c r="W474" s="7"/>
      <c r="X474" s="7"/>
      <c r="Y474" s="7"/>
      <c r="Z474" s="7"/>
    </row>
    <row r="475" ht="15.75" customHeight="1">
      <c r="A475" s="8" t="s">
        <v>2401</v>
      </c>
      <c r="B475" s="5" t="s">
        <v>133</v>
      </c>
      <c r="C475" s="5" t="s">
        <v>15</v>
      </c>
      <c r="D475" s="5" t="s">
        <v>2402</v>
      </c>
      <c r="E475" s="5" t="s">
        <v>2403</v>
      </c>
      <c r="F475" s="5" t="s">
        <v>2404</v>
      </c>
      <c r="G475" s="5" t="s">
        <v>2405</v>
      </c>
      <c r="H475" s="5" t="s">
        <v>2403</v>
      </c>
      <c r="I475" s="5" t="s">
        <v>74</v>
      </c>
      <c r="J475" s="5"/>
      <c r="K475" s="5" t="s">
        <v>75</v>
      </c>
      <c r="L475" s="5"/>
      <c r="M475" s="7" t="str">
        <f t="shared" si="3"/>
        <v>OK</v>
      </c>
      <c r="N475" s="7"/>
      <c r="O475" s="7"/>
      <c r="P475" s="7"/>
      <c r="Q475" s="7"/>
      <c r="R475" s="7"/>
      <c r="S475" s="7"/>
      <c r="T475" s="7"/>
      <c r="U475" s="7"/>
      <c r="V475" s="7"/>
      <c r="W475" s="7"/>
      <c r="X475" s="7"/>
      <c r="Y475" s="7"/>
      <c r="Z475" s="7"/>
    </row>
    <row r="476" ht="15.75" customHeight="1">
      <c r="A476" s="8" t="s">
        <v>2406</v>
      </c>
      <c r="B476" s="5" t="s">
        <v>133</v>
      </c>
      <c r="C476" s="5" t="s">
        <v>15</v>
      </c>
      <c r="D476" s="5" t="s">
        <v>2407</v>
      </c>
      <c r="E476" s="5" t="s">
        <v>2408</v>
      </c>
      <c r="F476" s="5" t="s">
        <v>2409</v>
      </c>
      <c r="G476" s="5" t="s">
        <v>2410</v>
      </c>
      <c r="H476" s="5" t="s">
        <v>2408</v>
      </c>
      <c r="I476" s="5" t="s">
        <v>20</v>
      </c>
      <c r="J476" s="5"/>
      <c r="K476" s="5" t="s">
        <v>31</v>
      </c>
      <c r="L476" s="5"/>
      <c r="M476" s="7" t="str">
        <f t="shared" si="3"/>
        <v>OK</v>
      </c>
      <c r="N476" s="7"/>
      <c r="O476" s="7"/>
      <c r="P476" s="7"/>
      <c r="Q476" s="7"/>
      <c r="R476" s="7"/>
      <c r="S476" s="7"/>
      <c r="T476" s="7"/>
      <c r="U476" s="7"/>
      <c r="V476" s="7"/>
      <c r="W476" s="7"/>
      <c r="X476" s="7"/>
      <c r="Y476" s="7"/>
      <c r="Z476" s="7"/>
    </row>
    <row r="477" ht="15.75" customHeight="1">
      <c r="A477" s="8" t="s">
        <v>2411</v>
      </c>
      <c r="B477" s="5" t="s">
        <v>133</v>
      </c>
      <c r="C477" s="5" t="s">
        <v>15</v>
      </c>
      <c r="D477" s="5" t="s">
        <v>2412</v>
      </c>
      <c r="E477" s="5" t="s">
        <v>2413</v>
      </c>
      <c r="F477" s="5" t="s">
        <v>2414</v>
      </c>
      <c r="G477" s="5" t="s">
        <v>2415</v>
      </c>
      <c r="H477" s="5" t="s">
        <v>2414</v>
      </c>
      <c r="I477" s="5" t="s">
        <v>74</v>
      </c>
      <c r="J477" s="5"/>
      <c r="K477" s="5" t="s">
        <v>39</v>
      </c>
      <c r="L477" s="5"/>
      <c r="M477" s="7" t="str">
        <f t="shared" si="3"/>
        <v>OK</v>
      </c>
      <c r="N477" s="7"/>
      <c r="O477" s="7"/>
      <c r="P477" s="7"/>
      <c r="Q477" s="7"/>
      <c r="R477" s="7"/>
      <c r="S477" s="7"/>
      <c r="T477" s="7"/>
      <c r="U477" s="7"/>
      <c r="V477" s="7"/>
      <c r="W477" s="7"/>
      <c r="X477" s="7"/>
      <c r="Y477" s="7"/>
      <c r="Z477" s="7"/>
    </row>
    <row r="478" ht="15.75" customHeight="1">
      <c r="A478" s="8" t="s">
        <v>2416</v>
      </c>
      <c r="B478" s="5" t="s">
        <v>133</v>
      </c>
      <c r="C478" s="5" t="s">
        <v>15</v>
      </c>
      <c r="D478" s="5" t="s">
        <v>2417</v>
      </c>
      <c r="E478" s="5" t="s">
        <v>2418</v>
      </c>
      <c r="F478" s="5" t="s">
        <v>2419</v>
      </c>
      <c r="G478" s="5" t="s">
        <v>2420</v>
      </c>
      <c r="H478" s="5" t="s">
        <v>2421</v>
      </c>
      <c r="I478" s="5" t="s">
        <v>74</v>
      </c>
      <c r="J478" s="5"/>
      <c r="K478" s="5" t="s">
        <v>39</v>
      </c>
      <c r="L478" s="5"/>
      <c r="M478" s="7" t="str">
        <f t="shared" si="3"/>
        <v>OK</v>
      </c>
      <c r="N478" s="7"/>
      <c r="O478" s="7"/>
      <c r="P478" s="7"/>
      <c r="Q478" s="7"/>
      <c r="R478" s="7"/>
      <c r="S478" s="7"/>
      <c r="T478" s="7"/>
      <c r="U478" s="7"/>
      <c r="V478" s="7"/>
      <c r="W478" s="7"/>
      <c r="X478" s="7"/>
      <c r="Y478" s="7"/>
      <c r="Z478" s="7"/>
    </row>
    <row r="479" ht="15.75" customHeight="1">
      <c r="A479" s="8" t="s">
        <v>2422</v>
      </c>
      <c r="B479" s="5" t="s">
        <v>133</v>
      </c>
      <c r="C479" s="5" t="s">
        <v>15</v>
      </c>
      <c r="D479" s="5" t="s">
        <v>2423</v>
      </c>
      <c r="E479" s="5" t="s">
        <v>2424</v>
      </c>
      <c r="F479" s="5" t="s">
        <v>2425</v>
      </c>
      <c r="G479" s="5" t="s">
        <v>2426</v>
      </c>
      <c r="H479" s="5" t="s">
        <v>2424</v>
      </c>
      <c r="I479" s="5" t="s">
        <v>29</v>
      </c>
      <c r="J479" s="5"/>
      <c r="K479" s="5" t="s">
        <v>23</v>
      </c>
      <c r="L479" s="5"/>
      <c r="M479" s="7" t="str">
        <f t="shared" si="3"/>
        <v>OK</v>
      </c>
      <c r="N479" s="7"/>
      <c r="O479" s="7"/>
      <c r="P479" s="7"/>
      <c r="Q479" s="7"/>
      <c r="R479" s="7"/>
      <c r="S479" s="7"/>
      <c r="T479" s="7"/>
      <c r="U479" s="7"/>
      <c r="V479" s="7"/>
      <c r="W479" s="7"/>
      <c r="X479" s="7"/>
      <c r="Y479" s="7"/>
      <c r="Z479" s="7"/>
    </row>
    <row r="480" ht="15.75" customHeight="1">
      <c r="A480" s="8" t="s">
        <v>2427</v>
      </c>
      <c r="B480" s="5" t="s">
        <v>133</v>
      </c>
      <c r="C480" s="5" t="s">
        <v>15</v>
      </c>
      <c r="D480" s="5" t="s">
        <v>2428</v>
      </c>
      <c r="E480" s="5" t="s">
        <v>2429</v>
      </c>
      <c r="F480" s="5" t="s">
        <v>2430</v>
      </c>
      <c r="G480" s="5" t="s">
        <v>2431</v>
      </c>
      <c r="H480" s="5" t="s">
        <v>2429</v>
      </c>
      <c r="I480" s="5" t="s">
        <v>45</v>
      </c>
      <c r="J480" s="5"/>
      <c r="K480" s="5" t="s">
        <v>22</v>
      </c>
      <c r="L480" s="5"/>
      <c r="M480" s="7" t="str">
        <f t="shared" si="3"/>
        <v>OK</v>
      </c>
      <c r="N480" s="7"/>
      <c r="O480" s="7"/>
      <c r="P480" s="7"/>
      <c r="Q480" s="7"/>
      <c r="R480" s="7"/>
      <c r="S480" s="7"/>
      <c r="T480" s="7"/>
      <c r="U480" s="7"/>
      <c r="V480" s="7"/>
      <c r="W480" s="7"/>
      <c r="X480" s="7"/>
      <c r="Y480" s="7"/>
      <c r="Z480" s="7"/>
    </row>
    <row r="481" ht="15.75" customHeight="1">
      <c r="A481" s="8" t="s">
        <v>2432</v>
      </c>
      <c r="B481" s="5" t="s">
        <v>133</v>
      </c>
      <c r="C481" s="5" t="s">
        <v>15</v>
      </c>
      <c r="D481" s="5" t="s">
        <v>2433</v>
      </c>
      <c r="E481" s="5" t="s">
        <v>2434</v>
      </c>
      <c r="F481" s="5" t="s">
        <v>2435</v>
      </c>
      <c r="G481" s="5" t="s">
        <v>2436</v>
      </c>
      <c r="H481" s="5" t="s">
        <v>2434</v>
      </c>
      <c r="I481" s="5" t="s">
        <v>74</v>
      </c>
      <c r="J481" s="5"/>
      <c r="K481" s="5" t="s">
        <v>68</v>
      </c>
      <c r="L481" s="5"/>
      <c r="M481" s="7" t="str">
        <f t="shared" si="3"/>
        <v>OK</v>
      </c>
      <c r="N481" s="7"/>
      <c r="O481" s="7"/>
      <c r="P481" s="7"/>
      <c r="Q481" s="7"/>
      <c r="R481" s="7"/>
      <c r="S481" s="7"/>
      <c r="T481" s="7"/>
      <c r="U481" s="7"/>
      <c r="V481" s="7"/>
      <c r="W481" s="7"/>
      <c r="X481" s="7"/>
      <c r="Y481" s="7"/>
      <c r="Z481" s="7"/>
    </row>
    <row r="482" ht="15.75" customHeight="1">
      <c r="A482" s="8" t="s">
        <v>2437</v>
      </c>
      <c r="B482" s="5" t="s">
        <v>133</v>
      </c>
      <c r="C482" s="5" t="s">
        <v>15</v>
      </c>
      <c r="D482" s="5" t="s">
        <v>2438</v>
      </c>
      <c r="E482" s="5" t="s">
        <v>2439</v>
      </c>
      <c r="F482" s="5" t="s">
        <v>2440</v>
      </c>
      <c r="G482" s="5" t="s">
        <v>2441</v>
      </c>
      <c r="H482" s="5" t="s">
        <v>2439</v>
      </c>
      <c r="I482" s="5" t="s">
        <v>21</v>
      </c>
      <c r="J482" s="5"/>
      <c r="K482" s="5" t="s">
        <v>23</v>
      </c>
      <c r="L482" s="5"/>
      <c r="M482" s="7" t="str">
        <f t="shared" si="3"/>
        <v>OK</v>
      </c>
      <c r="N482" s="7"/>
      <c r="O482" s="7"/>
      <c r="P482" s="7"/>
      <c r="Q482" s="7"/>
      <c r="R482" s="7"/>
      <c r="S482" s="7"/>
      <c r="T482" s="7"/>
      <c r="U482" s="7"/>
      <c r="V482" s="7"/>
      <c r="W482" s="7"/>
      <c r="X482" s="7"/>
      <c r="Y482" s="7"/>
      <c r="Z482" s="7"/>
    </row>
    <row r="483" ht="15.75" customHeight="1">
      <c r="A483" s="8" t="s">
        <v>2442</v>
      </c>
      <c r="B483" s="5" t="s">
        <v>133</v>
      </c>
      <c r="C483" s="5" t="s">
        <v>15</v>
      </c>
      <c r="D483" s="5" t="s">
        <v>2443</v>
      </c>
      <c r="E483" s="5" t="s">
        <v>2444</v>
      </c>
      <c r="F483" s="5" t="s">
        <v>2445</v>
      </c>
      <c r="G483" s="5" t="s">
        <v>2446</v>
      </c>
      <c r="H483" s="5" t="s">
        <v>2446</v>
      </c>
      <c r="I483" s="5" t="s">
        <v>38</v>
      </c>
      <c r="J483" s="5"/>
      <c r="K483" s="5" t="s">
        <v>22</v>
      </c>
      <c r="L483" s="5"/>
      <c r="M483" s="7" t="str">
        <f t="shared" si="3"/>
        <v>OK</v>
      </c>
      <c r="N483" s="7"/>
      <c r="O483" s="7"/>
      <c r="P483" s="7"/>
      <c r="Q483" s="7"/>
      <c r="R483" s="7"/>
      <c r="S483" s="7"/>
      <c r="T483" s="7"/>
      <c r="U483" s="7"/>
      <c r="V483" s="7"/>
      <c r="W483" s="7"/>
      <c r="X483" s="7"/>
      <c r="Y483" s="7"/>
      <c r="Z483" s="7"/>
    </row>
    <row r="484" ht="15.75" customHeight="1">
      <c r="A484" s="8" t="s">
        <v>2447</v>
      </c>
      <c r="B484" s="5" t="s">
        <v>133</v>
      </c>
      <c r="C484" s="5" t="s">
        <v>15</v>
      </c>
      <c r="D484" s="5" t="s">
        <v>2448</v>
      </c>
      <c r="E484" s="5" t="s">
        <v>2449</v>
      </c>
      <c r="F484" s="5" t="s">
        <v>2450</v>
      </c>
      <c r="G484" s="5" t="s">
        <v>2451</v>
      </c>
      <c r="H484" s="5" t="s">
        <v>2451</v>
      </c>
      <c r="I484" s="5" t="s">
        <v>74</v>
      </c>
      <c r="J484" s="5"/>
      <c r="K484" s="5" t="s">
        <v>31</v>
      </c>
      <c r="L484" s="5"/>
      <c r="M484" s="7" t="str">
        <f t="shared" si="3"/>
        <v>OK</v>
      </c>
      <c r="N484" s="7"/>
      <c r="O484" s="7"/>
      <c r="P484" s="7"/>
      <c r="Q484" s="7"/>
      <c r="R484" s="7"/>
      <c r="S484" s="7"/>
      <c r="T484" s="7"/>
      <c r="U484" s="7"/>
      <c r="V484" s="7"/>
      <c r="W484" s="7"/>
      <c r="X484" s="7"/>
      <c r="Y484" s="7"/>
      <c r="Z484" s="7"/>
    </row>
    <row r="485" ht="15.75" customHeight="1">
      <c r="A485" s="8" t="s">
        <v>2452</v>
      </c>
      <c r="B485" s="5" t="s">
        <v>133</v>
      </c>
      <c r="C485" s="5" t="s">
        <v>15</v>
      </c>
      <c r="D485" s="5" t="s">
        <v>2453</v>
      </c>
      <c r="E485" s="5" t="s">
        <v>2454</v>
      </c>
      <c r="F485" s="5" t="s">
        <v>2455</v>
      </c>
      <c r="G485" s="5" t="s">
        <v>2456</v>
      </c>
      <c r="H485" s="5" t="s">
        <v>2454</v>
      </c>
      <c r="I485" s="5" t="s">
        <v>38</v>
      </c>
      <c r="J485" s="5"/>
      <c r="K485" s="5" t="s">
        <v>22</v>
      </c>
      <c r="L485" s="5"/>
      <c r="M485" s="7" t="str">
        <f t="shared" si="3"/>
        <v>OK</v>
      </c>
      <c r="N485" s="7"/>
      <c r="O485" s="7"/>
      <c r="P485" s="7"/>
      <c r="Q485" s="7"/>
      <c r="R485" s="7"/>
      <c r="S485" s="7"/>
      <c r="T485" s="7"/>
      <c r="U485" s="7"/>
      <c r="V485" s="7"/>
      <c r="W485" s="7"/>
      <c r="X485" s="7"/>
      <c r="Y485" s="7"/>
      <c r="Z485" s="7"/>
    </row>
    <row r="486" ht="15.75" customHeight="1">
      <c r="A486" s="8" t="s">
        <v>2457</v>
      </c>
      <c r="B486" s="5" t="s">
        <v>133</v>
      </c>
      <c r="C486" s="5" t="s">
        <v>15</v>
      </c>
      <c r="D486" s="5" t="s">
        <v>2458</v>
      </c>
      <c r="E486" s="5" t="s">
        <v>2459</v>
      </c>
      <c r="F486" s="5" t="s">
        <v>2460</v>
      </c>
      <c r="G486" s="5" t="s">
        <v>2461</v>
      </c>
      <c r="H486" s="5" t="s">
        <v>2460</v>
      </c>
      <c r="I486" s="5" t="s">
        <v>38</v>
      </c>
      <c r="J486" s="5"/>
      <c r="K486" s="5" t="s">
        <v>22</v>
      </c>
      <c r="L486" s="5"/>
      <c r="M486" s="7" t="str">
        <f t="shared" si="3"/>
        <v>OK</v>
      </c>
      <c r="N486" s="7"/>
      <c r="O486" s="7"/>
      <c r="P486" s="7"/>
      <c r="Q486" s="7"/>
      <c r="R486" s="7"/>
      <c r="S486" s="7"/>
      <c r="T486" s="7"/>
      <c r="U486" s="7"/>
      <c r="V486" s="7"/>
      <c r="W486" s="7"/>
      <c r="X486" s="7"/>
      <c r="Y486" s="7"/>
      <c r="Z486" s="7"/>
    </row>
    <row r="487" ht="15.75" customHeight="1">
      <c r="A487" s="8" t="s">
        <v>2462</v>
      </c>
      <c r="B487" s="5" t="s">
        <v>133</v>
      </c>
      <c r="C487" s="5" t="s">
        <v>15</v>
      </c>
      <c r="D487" s="5" t="s">
        <v>2463</v>
      </c>
      <c r="E487" s="5" t="s">
        <v>2464</v>
      </c>
      <c r="F487" s="5" t="s">
        <v>2465</v>
      </c>
      <c r="G487" s="5" t="s">
        <v>2466</v>
      </c>
      <c r="H487" s="5" t="s">
        <v>2466</v>
      </c>
      <c r="I487" s="5" t="s">
        <v>29</v>
      </c>
      <c r="J487" s="5"/>
      <c r="K487" s="5" t="s">
        <v>39</v>
      </c>
      <c r="L487" s="5"/>
      <c r="M487" s="7" t="str">
        <f t="shared" si="3"/>
        <v>OK</v>
      </c>
      <c r="N487" s="7"/>
      <c r="O487" s="7"/>
      <c r="P487" s="7"/>
      <c r="Q487" s="7"/>
      <c r="R487" s="7"/>
      <c r="S487" s="7"/>
      <c r="T487" s="7"/>
      <c r="U487" s="7"/>
      <c r="V487" s="7"/>
      <c r="W487" s="7"/>
      <c r="X487" s="7"/>
      <c r="Y487" s="7"/>
      <c r="Z487" s="7"/>
    </row>
    <row r="488" ht="15.75" customHeight="1">
      <c r="A488" s="8" t="s">
        <v>2467</v>
      </c>
      <c r="B488" s="5" t="s">
        <v>133</v>
      </c>
      <c r="C488" s="5" t="s">
        <v>15</v>
      </c>
      <c r="D488" s="5" t="s">
        <v>2468</v>
      </c>
      <c r="E488" s="5" t="s">
        <v>2469</v>
      </c>
      <c r="F488" s="5" t="s">
        <v>2470</v>
      </c>
      <c r="G488" s="5" t="s">
        <v>2471</v>
      </c>
      <c r="H488" s="5" t="s">
        <v>2469</v>
      </c>
      <c r="I488" s="5" t="s">
        <v>29</v>
      </c>
      <c r="J488" s="5"/>
      <c r="K488" s="5" t="s">
        <v>75</v>
      </c>
      <c r="L488" s="5"/>
      <c r="M488" s="7" t="str">
        <f t="shared" si="3"/>
        <v>OK</v>
      </c>
      <c r="N488" s="7"/>
      <c r="O488" s="7"/>
      <c r="P488" s="7"/>
      <c r="Q488" s="7"/>
      <c r="R488" s="7"/>
      <c r="S488" s="7"/>
      <c r="T488" s="7"/>
      <c r="U488" s="7"/>
      <c r="V488" s="7"/>
      <c r="W488" s="7"/>
      <c r="X488" s="7"/>
      <c r="Y488" s="7"/>
      <c r="Z488" s="7"/>
    </row>
    <row r="489" ht="15.75" customHeight="1">
      <c r="A489" s="8" t="s">
        <v>2472</v>
      </c>
      <c r="B489" s="5" t="s">
        <v>133</v>
      </c>
      <c r="C489" s="5" t="s">
        <v>15</v>
      </c>
      <c r="D489" s="5" t="s">
        <v>2473</v>
      </c>
      <c r="E489" s="5" t="s">
        <v>2474</v>
      </c>
      <c r="F489" s="5" t="s">
        <v>2475</v>
      </c>
      <c r="G489" s="5" t="s">
        <v>2476</v>
      </c>
      <c r="H489" s="5" t="s">
        <v>2476</v>
      </c>
      <c r="I489" s="5" t="s">
        <v>74</v>
      </c>
      <c r="J489" s="5"/>
      <c r="K489" s="5" t="s">
        <v>52</v>
      </c>
      <c r="L489" s="5"/>
      <c r="M489" s="7" t="str">
        <f t="shared" si="3"/>
        <v>OK</v>
      </c>
      <c r="N489" s="7"/>
      <c r="O489" s="7"/>
      <c r="P489" s="7"/>
      <c r="Q489" s="7"/>
      <c r="R489" s="7"/>
      <c r="S489" s="7"/>
      <c r="T489" s="7"/>
      <c r="U489" s="7"/>
      <c r="V489" s="7"/>
      <c r="W489" s="7"/>
      <c r="X489" s="7"/>
      <c r="Y489" s="7"/>
      <c r="Z489" s="7"/>
    </row>
    <row r="490" ht="15.75" customHeight="1">
      <c r="A490" s="8" t="s">
        <v>2477</v>
      </c>
      <c r="B490" s="5" t="s">
        <v>133</v>
      </c>
      <c r="C490" s="5" t="s">
        <v>15</v>
      </c>
      <c r="D490" s="5" t="s">
        <v>2478</v>
      </c>
      <c r="E490" s="5" t="s">
        <v>2479</v>
      </c>
      <c r="F490" s="5" t="s">
        <v>2480</v>
      </c>
      <c r="G490" s="5" t="s">
        <v>2481</v>
      </c>
      <c r="H490" s="5" t="s">
        <v>2479</v>
      </c>
      <c r="I490" s="5" t="s">
        <v>45</v>
      </c>
      <c r="J490" s="5"/>
      <c r="K490" s="5" t="s">
        <v>39</v>
      </c>
      <c r="L490" s="5"/>
      <c r="M490" s="7" t="str">
        <f t="shared" si="3"/>
        <v>OK</v>
      </c>
      <c r="N490" s="7"/>
      <c r="O490" s="7"/>
      <c r="P490" s="7"/>
      <c r="Q490" s="7"/>
      <c r="R490" s="7"/>
      <c r="S490" s="7"/>
      <c r="T490" s="7"/>
      <c r="U490" s="7"/>
      <c r="V490" s="7"/>
      <c r="W490" s="7"/>
      <c r="X490" s="7"/>
      <c r="Y490" s="7"/>
      <c r="Z490" s="7"/>
    </row>
    <row r="491" ht="15.75" customHeight="1">
      <c r="A491" s="8" t="s">
        <v>2482</v>
      </c>
      <c r="B491" s="5" t="s">
        <v>133</v>
      </c>
      <c r="C491" s="5" t="s">
        <v>15</v>
      </c>
      <c r="D491" s="5" t="s">
        <v>2483</v>
      </c>
      <c r="E491" s="5" t="s">
        <v>2484</v>
      </c>
      <c r="F491" s="5" t="s">
        <v>2485</v>
      </c>
      <c r="G491" s="5" t="s">
        <v>2486</v>
      </c>
      <c r="H491" s="5" t="s">
        <v>2484</v>
      </c>
      <c r="I491" s="5" t="s">
        <v>38</v>
      </c>
      <c r="J491" s="5"/>
      <c r="K491" s="5" t="s">
        <v>30</v>
      </c>
      <c r="L491" s="5"/>
      <c r="M491" s="7" t="str">
        <f t="shared" si="3"/>
        <v>OK</v>
      </c>
      <c r="N491" s="7"/>
      <c r="O491" s="7"/>
      <c r="P491" s="7"/>
      <c r="Q491" s="7"/>
      <c r="R491" s="7"/>
      <c r="S491" s="7"/>
      <c r="T491" s="7"/>
      <c r="U491" s="7"/>
      <c r="V491" s="7"/>
      <c r="W491" s="7"/>
      <c r="X491" s="7"/>
      <c r="Y491" s="7"/>
      <c r="Z491" s="7"/>
    </row>
    <row r="492" ht="15.75" customHeight="1">
      <c r="A492" s="8" t="s">
        <v>2487</v>
      </c>
      <c r="B492" s="5" t="s">
        <v>133</v>
      </c>
      <c r="C492" s="5" t="s">
        <v>15</v>
      </c>
      <c r="D492" s="5" t="s">
        <v>2488</v>
      </c>
      <c r="E492" s="5" t="s">
        <v>2489</v>
      </c>
      <c r="F492" s="5" t="s">
        <v>2490</v>
      </c>
      <c r="G492" s="5" t="s">
        <v>2491</v>
      </c>
      <c r="H492" s="5" t="s">
        <v>2490</v>
      </c>
      <c r="I492" s="5" t="s">
        <v>74</v>
      </c>
      <c r="J492" s="5"/>
      <c r="K492" s="5" t="s">
        <v>31</v>
      </c>
      <c r="L492" s="5"/>
      <c r="M492" s="7" t="str">
        <f t="shared" si="3"/>
        <v>OK</v>
      </c>
      <c r="N492" s="7"/>
      <c r="O492" s="7"/>
      <c r="P492" s="7"/>
      <c r="Q492" s="7"/>
      <c r="R492" s="7"/>
      <c r="S492" s="7"/>
      <c r="T492" s="7"/>
      <c r="U492" s="7"/>
      <c r="V492" s="7"/>
      <c r="W492" s="7"/>
      <c r="X492" s="7"/>
      <c r="Y492" s="7"/>
      <c r="Z492" s="7"/>
    </row>
    <row r="493" ht="15.75" customHeight="1">
      <c r="A493" s="8" t="s">
        <v>2492</v>
      </c>
      <c r="B493" s="5" t="s">
        <v>133</v>
      </c>
      <c r="C493" s="5" t="s">
        <v>15</v>
      </c>
      <c r="D493" s="5" t="s">
        <v>2493</v>
      </c>
      <c r="E493" s="5" t="s">
        <v>2494</v>
      </c>
      <c r="F493" s="5" t="s">
        <v>2495</v>
      </c>
      <c r="G493" s="5" t="s">
        <v>2496</v>
      </c>
      <c r="H493" s="5" t="s">
        <v>2494</v>
      </c>
      <c r="I493" s="5" t="s">
        <v>74</v>
      </c>
      <c r="J493" s="5"/>
      <c r="K493" s="5" t="s">
        <v>39</v>
      </c>
      <c r="L493" s="5"/>
      <c r="M493" s="7" t="str">
        <f t="shared" si="3"/>
        <v>OK</v>
      </c>
      <c r="N493" s="7"/>
      <c r="O493" s="7"/>
      <c r="P493" s="7"/>
      <c r="Q493" s="7"/>
      <c r="R493" s="7"/>
      <c r="S493" s="7"/>
      <c r="T493" s="7"/>
      <c r="U493" s="7"/>
      <c r="V493" s="7"/>
      <c r="W493" s="7"/>
      <c r="X493" s="7"/>
      <c r="Y493" s="7"/>
      <c r="Z493" s="7"/>
    </row>
    <row r="494" ht="15.75" customHeight="1">
      <c r="A494" s="8" t="s">
        <v>2497</v>
      </c>
      <c r="B494" s="5" t="s">
        <v>133</v>
      </c>
      <c r="C494" s="5" t="s">
        <v>15</v>
      </c>
      <c r="D494" s="5" t="s">
        <v>2498</v>
      </c>
      <c r="E494" s="5" t="s">
        <v>2499</v>
      </c>
      <c r="F494" s="5" t="s">
        <v>2500</v>
      </c>
      <c r="G494" s="5" t="s">
        <v>2501</v>
      </c>
      <c r="H494" s="5" t="s">
        <v>2501</v>
      </c>
      <c r="I494" s="5" t="s">
        <v>29</v>
      </c>
      <c r="J494" s="5"/>
      <c r="K494" s="5" t="s">
        <v>30</v>
      </c>
      <c r="L494" s="5"/>
      <c r="M494" s="7" t="str">
        <f t="shared" si="3"/>
        <v>OK</v>
      </c>
      <c r="N494" s="7"/>
      <c r="O494" s="7"/>
      <c r="P494" s="7"/>
      <c r="Q494" s="7"/>
      <c r="R494" s="7"/>
      <c r="S494" s="7"/>
      <c r="T494" s="7"/>
      <c r="U494" s="7"/>
      <c r="V494" s="7"/>
      <c r="W494" s="7"/>
      <c r="X494" s="7"/>
      <c r="Y494" s="7"/>
      <c r="Z494" s="7"/>
    </row>
    <row r="495" ht="15.75" customHeight="1">
      <c r="A495" s="8" t="s">
        <v>2502</v>
      </c>
      <c r="B495" s="5" t="s">
        <v>133</v>
      </c>
      <c r="C495" s="5" t="s">
        <v>15</v>
      </c>
      <c r="D495" s="5" t="s">
        <v>2503</v>
      </c>
      <c r="E495" s="5" t="s">
        <v>2504</v>
      </c>
      <c r="F495" s="5" t="s">
        <v>2505</v>
      </c>
      <c r="G495" s="5" t="s">
        <v>2506</v>
      </c>
      <c r="H495" s="5" t="s">
        <v>2506</v>
      </c>
      <c r="I495" s="5" t="s">
        <v>20</v>
      </c>
      <c r="J495" s="5"/>
      <c r="K495" s="5" t="s">
        <v>30</v>
      </c>
      <c r="L495" s="5"/>
      <c r="M495" s="7" t="str">
        <f t="shared" si="3"/>
        <v>OK</v>
      </c>
      <c r="N495" s="7"/>
      <c r="O495" s="7"/>
      <c r="P495" s="7"/>
      <c r="Q495" s="7"/>
      <c r="R495" s="7"/>
      <c r="S495" s="7"/>
      <c r="T495" s="7"/>
      <c r="U495" s="7"/>
      <c r="V495" s="7"/>
      <c r="W495" s="7"/>
      <c r="X495" s="7"/>
      <c r="Y495" s="7"/>
      <c r="Z495" s="7"/>
    </row>
    <row r="496" ht="15.75" customHeight="1">
      <c r="A496" s="8" t="s">
        <v>2507</v>
      </c>
      <c r="B496" s="5" t="s">
        <v>133</v>
      </c>
      <c r="C496" s="5" t="s">
        <v>15</v>
      </c>
      <c r="D496" s="5" t="s">
        <v>2508</v>
      </c>
      <c r="E496" s="5" t="s">
        <v>2509</v>
      </c>
      <c r="F496" s="5" t="s">
        <v>2510</v>
      </c>
      <c r="G496" s="5" t="s">
        <v>2511</v>
      </c>
      <c r="H496" s="5" t="s">
        <v>2509</v>
      </c>
      <c r="I496" s="5" t="s">
        <v>20</v>
      </c>
      <c r="J496" s="5"/>
      <c r="K496" s="5" t="s">
        <v>39</v>
      </c>
      <c r="L496" s="5"/>
      <c r="M496" s="7" t="str">
        <f t="shared" si="3"/>
        <v>OK</v>
      </c>
      <c r="N496" s="7"/>
      <c r="O496" s="7"/>
      <c r="P496" s="7"/>
      <c r="Q496" s="7"/>
      <c r="R496" s="7"/>
      <c r="S496" s="7"/>
      <c r="T496" s="7"/>
      <c r="U496" s="7"/>
      <c r="V496" s="7"/>
      <c r="W496" s="7"/>
      <c r="X496" s="7"/>
      <c r="Y496" s="7"/>
      <c r="Z496" s="7"/>
    </row>
    <row r="497" ht="15.75" customHeight="1">
      <c r="A497" s="8" t="s">
        <v>2512</v>
      </c>
      <c r="B497" s="5" t="s">
        <v>133</v>
      </c>
      <c r="C497" s="5" t="s">
        <v>15</v>
      </c>
      <c r="D497" s="5" t="s">
        <v>2513</v>
      </c>
      <c r="E497" s="5" t="s">
        <v>2514</v>
      </c>
      <c r="F497" s="5" t="s">
        <v>2515</v>
      </c>
      <c r="G497" s="5" t="s">
        <v>2516</v>
      </c>
      <c r="H497" s="5" t="s">
        <v>2514</v>
      </c>
      <c r="I497" s="5" t="s">
        <v>74</v>
      </c>
      <c r="J497" s="5"/>
      <c r="K497" s="5" t="s">
        <v>22</v>
      </c>
      <c r="L497" s="5"/>
      <c r="M497" s="7" t="str">
        <f t="shared" si="3"/>
        <v>OK</v>
      </c>
      <c r="N497" s="7"/>
      <c r="O497" s="7"/>
      <c r="P497" s="7"/>
      <c r="Q497" s="7"/>
      <c r="R497" s="7"/>
      <c r="S497" s="7"/>
      <c r="T497" s="7"/>
      <c r="U497" s="7"/>
      <c r="V497" s="7"/>
      <c r="W497" s="7"/>
      <c r="X497" s="7"/>
      <c r="Y497" s="7"/>
      <c r="Z497" s="7"/>
    </row>
    <row r="498" ht="15.75" customHeight="1">
      <c r="A498" s="8" t="s">
        <v>2517</v>
      </c>
      <c r="B498" s="5" t="s">
        <v>133</v>
      </c>
      <c r="C498" s="5" t="s">
        <v>15</v>
      </c>
      <c r="D498" s="5" t="s">
        <v>2518</v>
      </c>
      <c r="E498" s="5" t="s">
        <v>2519</v>
      </c>
      <c r="F498" s="5" t="s">
        <v>2520</v>
      </c>
      <c r="G498" s="5" t="s">
        <v>2521</v>
      </c>
      <c r="H498" s="5" t="s">
        <v>2519</v>
      </c>
      <c r="I498" s="5" t="s">
        <v>20</v>
      </c>
      <c r="J498" s="5"/>
      <c r="K498" s="5" t="s">
        <v>30</v>
      </c>
      <c r="L498" s="5"/>
      <c r="M498" s="7" t="str">
        <f t="shared" si="3"/>
        <v>OK</v>
      </c>
      <c r="N498" s="7"/>
      <c r="O498" s="7"/>
      <c r="P498" s="7"/>
      <c r="Q498" s="7"/>
      <c r="R498" s="7"/>
      <c r="S498" s="7"/>
      <c r="T498" s="7"/>
      <c r="U498" s="7"/>
      <c r="V498" s="7"/>
      <c r="W498" s="7"/>
      <c r="X498" s="7"/>
      <c r="Y498" s="7"/>
      <c r="Z498" s="7"/>
    </row>
    <row r="499" ht="15.75" customHeight="1">
      <c r="A499" s="8" t="s">
        <v>2522</v>
      </c>
      <c r="B499" s="5" t="s">
        <v>133</v>
      </c>
      <c r="C499" s="5" t="s">
        <v>15</v>
      </c>
      <c r="D499" s="5" t="s">
        <v>2523</v>
      </c>
      <c r="E499" s="5" t="s">
        <v>2524</v>
      </c>
      <c r="F499" s="5" t="s">
        <v>2525</v>
      </c>
      <c r="G499" s="5" t="s">
        <v>2526</v>
      </c>
      <c r="H499" s="5" t="s">
        <v>2526</v>
      </c>
      <c r="I499" s="5" t="s">
        <v>29</v>
      </c>
      <c r="J499" s="5"/>
      <c r="K499" s="5" t="s">
        <v>75</v>
      </c>
      <c r="L499" s="5"/>
      <c r="M499" s="7" t="str">
        <f t="shared" si="3"/>
        <v>OK</v>
      </c>
      <c r="N499" s="7"/>
      <c r="O499" s="7"/>
      <c r="P499" s="7"/>
      <c r="Q499" s="7"/>
      <c r="R499" s="7"/>
      <c r="S499" s="7"/>
      <c r="T499" s="7"/>
      <c r="U499" s="7"/>
      <c r="V499" s="7"/>
      <c r="W499" s="7"/>
      <c r="X499" s="7"/>
      <c r="Y499" s="7"/>
      <c r="Z499" s="7"/>
    </row>
    <row r="500" ht="15.75" customHeight="1">
      <c r="A500" s="8" t="s">
        <v>2527</v>
      </c>
      <c r="B500" s="5" t="s">
        <v>133</v>
      </c>
      <c r="C500" s="5" t="s">
        <v>15</v>
      </c>
      <c r="D500" s="5" t="s">
        <v>2528</v>
      </c>
      <c r="E500" s="5" t="s">
        <v>2529</v>
      </c>
      <c r="F500" s="5" t="s">
        <v>2530</v>
      </c>
      <c r="G500" s="5" t="s">
        <v>2531</v>
      </c>
      <c r="H500" s="5" t="s">
        <v>2530</v>
      </c>
      <c r="I500" s="5" t="s">
        <v>74</v>
      </c>
      <c r="J500" s="5"/>
      <c r="K500" s="5" t="s">
        <v>75</v>
      </c>
      <c r="L500" s="5"/>
      <c r="M500" s="7" t="str">
        <f t="shared" si="3"/>
        <v>OK</v>
      </c>
      <c r="N500" s="7"/>
      <c r="O500" s="7"/>
      <c r="P500" s="7"/>
      <c r="Q500" s="7"/>
      <c r="R500" s="7"/>
      <c r="S500" s="7"/>
      <c r="T500" s="7"/>
      <c r="U500" s="7"/>
      <c r="V500" s="7"/>
      <c r="W500" s="7"/>
      <c r="X500" s="7"/>
      <c r="Y500" s="7"/>
      <c r="Z500" s="7"/>
    </row>
    <row r="501" ht="15.75" customHeight="1">
      <c r="A501" s="8" t="s">
        <v>2532</v>
      </c>
      <c r="B501" s="5" t="s">
        <v>133</v>
      </c>
      <c r="C501" s="5" t="s">
        <v>15</v>
      </c>
      <c r="D501" s="5" t="s">
        <v>2533</v>
      </c>
      <c r="E501" s="5" t="s">
        <v>2534</v>
      </c>
      <c r="F501" s="5" t="s">
        <v>2535</v>
      </c>
      <c r="G501" s="5" t="s">
        <v>2536</v>
      </c>
      <c r="H501" s="5" t="s">
        <v>2534</v>
      </c>
      <c r="I501" s="5" t="s">
        <v>20</v>
      </c>
      <c r="J501" s="5"/>
      <c r="K501" s="5" t="s">
        <v>39</v>
      </c>
      <c r="L501" s="5"/>
      <c r="M501" s="7" t="str">
        <f t="shared" si="3"/>
        <v>OK</v>
      </c>
      <c r="N501" s="7"/>
      <c r="O501" s="7"/>
      <c r="P501" s="7"/>
      <c r="Q501" s="7"/>
      <c r="R501" s="7"/>
      <c r="S501" s="7"/>
      <c r="T501" s="7"/>
      <c r="U501" s="7"/>
      <c r="V501" s="7"/>
      <c r="W501" s="7"/>
      <c r="X501" s="7"/>
      <c r="Y501" s="7"/>
      <c r="Z501" s="7"/>
    </row>
    <row r="502" ht="15.75" customHeight="1">
      <c r="A502" s="8" t="s">
        <v>2537</v>
      </c>
      <c r="B502" s="5" t="s">
        <v>133</v>
      </c>
      <c r="C502" s="5" t="s">
        <v>15</v>
      </c>
      <c r="D502" s="5" t="s">
        <v>2538</v>
      </c>
      <c r="E502" s="5" t="s">
        <v>2539</v>
      </c>
      <c r="F502" s="5" t="s">
        <v>2540</v>
      </c>
      <c r="G502" s="5" t="s">
        <v>2541</v>
      </c>
      <c r="H502" s="5" t="s">
        <v>2541</v>
      </c>
      <c r="I502" s="5" t="s">
        <v>20</v>
      </c>
      <c r="J502" s="5"/>
      <c r="K502" s="5" t="s">
        <v>30</v>
      </c>
      <c r="L502" s="5"/>
      <c r="M502" s="7" t="str">
        <f t="shared" si="3"/>
        <v>OK</v>
      </c>
      <c r="N502" s="7"/>
      <c r="O502" s="7"/>
      <c r="P502" s="7"/>
      <c r="Q502" s="7"/>
      <c r="R502" s="7"/>
      <c r="S502" s="7"/>
      <c r="T502" s="7"/>
      <c r="U502" s="7"/>
      <c r="V502" s="7"/>
      <c r="W502" s="7"/>
      <c r="X502" s="7"/>
      <c r="Y502" s="7"/>
      <c r="Z502" s="7"/>
    </row>
    <row r="503" ht="15.75" customHeight="1">
      <c r="A503" s="8" t="s">
        <v>2542</v>
      </c>
      <c r="B503" s="5" t="s">
        <v>133</v>
      </c>
      <c r="C503" s="5" t="s">
        <v>15</v>
      </c>
      <c r="D503" s="5" t="s">
        <v>2543</v>
      </c>
      <c r="E503" s="5" t="s">
        <v>2544</v>
      </c>
      <c r="F503" s="5" t="s">
        <v>2545</v>
      </c>
      <c r="G503" s="5" t="s">
        <v>2546</v>
      </c>
      <c r="H503" s="5" t="s">
        <v>2544</v>
      </c>
      <c r="I503" s="5" t="s">
        <v>29</v>
      </c>
      <c r="J503" s="5"/>
      <c r="K503" s="5" t="s">
        <v>39</v>
      </c>
      <c r="L503" s="5"/>
      <c r="M503" s="7" t="str">
        <f t="shared" si="3"/>
        <v>OK</v>
      </c>
      <c r="N503" s="7"/>
      <c r="O503" s="7"/>
      <c r="P503" s="7"/>
      <c r="Q503" s="7"/>
      <c r="R503" s="7"/>
      <c r="S503" s="7"/>
      <c r="T503" s="7"/>
      <c r="U503" s="7"/>
      <c r="V503" s="7"/>
      <c r="W503" s="7"/>
      <c r="X503" s="7"/>
      <c r="Y503" s="7"/>
      <c r="Z503" s="7"/>
    </row>
  </sheetData>
  <autoFilter ref="$A$1:$M$503"/>
  <dataValidations>
    <dataValidation type="list" allowBlank="1" showErrorMessage="1" sqref="K2:L503">
      <formula1>Lists!$I$2:$I$10</formula1>
    </dataValidation>
    <dataValidation type="list" allowBlank="1" showErrorMessage="1" sqref="B2:B503">
      <formula1>Lists!$A$2:$A$3</formula1>
    </dataValidation>
    <dataValidation type="list" allowBlank="1" showErrorMessage="1" sqref="I2:J503">
      <formula1>Lists!$D$2:$D$9</formula1>
    </dataValidation>
    <dataValidation type="list" allowBlank="1" showErrorMessage="1" sqref="C2:C503">
      <formula1>Lists!$B$2:$B$4</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9.0"/>
    <col customWidth="1" min="3" max="3" width="18.0"/>
    <col customWidth="1" min="4" max="4" width="21.57"/>
    <col customWidth="1" min="7" max="7" width="21.29"/>
    <col customWidth="1" min="8" max="8" width="21.71"/>
    <col customWidth="1" min="9" max="9" width="21.29"/>
    <col customWidth="1" min="10" max="10" width="19.0"/>
    <col customWidth="1" min="11" max="11" width="15.86"/>
    <col customWidth="1" min="12" max="12" width="16.14"/>
    <col customWidth="1" min="13" max="13" width="8.71"/>
    <col customWidth="1" min="14" max="14" width="13.86"/>
    <col customWidth="1" min="15" max="15" width="12.71"/>
    <col customWidth="1" min="16" max="16" width="14.43"/>
    <col customWidth="1" min="17" max="17" width="15.0"/>
    <col customWidth="1" min="18" max="18" width="25.0"/>
    <col customWidth="1" min="19" max="19" width="13.29"/>
    <col customWidth="1" min="20" max="20" width="15.0"/>
    <col customWidth="1" min="21" max="21" width="17.0"/>
    <col customWidth="1" min="22" max="26" width="8.71"/>
  </cols>
  <sheetData>
    <row r="1">
      <c r="A1" s="28" t="s">
        <v>2547</v>
      </c>
      <c r="B1" s="28" t="s">
        <v>2</v>
      </c>
      <c r="D1" s="29" t="s">
        <v>2548</v>
      </c>
      <c r="E1" s="29" t="s">
        <v>2549</v>
      </c>
      <c r="F1" s="30" t="s">
        <v>2550</v>
      </c>
      <c r="G1" s="30" t="s">
        <v>2551</v>
      </c>
      <c r="I1" s="29" t="s">
        <v>2552</v>
      </c>
      <c r="J1" s="29" t="s">
        <v>2553</v>
      </c>
      <c r="K1" s="30" t="s">
        <v>2550</v>
      </c>
      <c r="L1" s="30" t="s">
        <v>2554</v>
      </c>
      <c r="M1" s="31"/>
      <c r="N1" s="32" t="s">
        <v>2555</v>
      </c>
      <c r="O1" s="29" t="s">
        <v>2556</v>
      </c>
      <c r="P1" s="29" t="s">
        <v>2557</v>
      </c>
      <c r="R1" s="33" t="s">
        <v>2558</v>
      </c>
      <c r="S1" s="34" t="s">
        <v>2559</v>
      </c>
      <c r="T1" s="34" t="s">
        <v>2560</v>
      </c>
      <c r="U1" s="34" t="s">
        <v>2561</v>
      </c>
      <c r="V1" s="35" t="s">
        <v>2551</v>
      </c>
      <c r="W1" s="36"/>
      <c r="X1" s="36"/>
      <c r="Y1" s="36"/>
      <c r="Z1" s="36"/>
    </row>
    <row r="2">
      <c r="A2" s="36" t="s">
        <v>14</v>
      </c>
      <c r="B2" s="36" t="s">
        <v>2562</v>
      </c>
      <c r="D2" s="37" t="s">
        <v>29</v>
      </c>
      <c r="E2" s="37">
        <f>COUNTIFS(Annotations!I:I,D2,Annotations!C:C,"Done")</f>
        <v>62</v>
      </c>
      <c r="F2" s="38">
        <f t="shared" ref="F2:F9" si="1">MAX(0,$G2-E2)</f>
        <v>1</v>
      </c>
      <c r="G2" s="39">
        <v>63.0</v>
      </c>
      <c r="I2" s="37" t="s">
        <v>30</v>
      </c>
      <c r="J2" s="37">
        <f>COUNTIFS(Annotations!K:K,I2,Annotations!C:C,"Done")</f>
        <v>64</v>
      </c>
      <c r="K2" s="38">
        <f t="shared" ref="K2:K10" si="2">MAX(0,$L2-J2)</f>
        <v>0</v>
      </c>
      <c r="L2" s="39">
        <v>56.0</v>
      </c>
      <c r="M2" s="31"/>
      <c r="N2" s="40" t="s">
        <v>2563</v>
      </c>
      <c r="O2" s="41" t="s">
        <v>2564</v>
      </c>
      <c r="P2" s="41" t="s">
        <v>2565</v>
      </c>
      <c r="R2" s="42"/>
      <c r="S2" s="36" t="s">
        <v>14</v>
      </c>
      <c r="T2" s="36" t="s">
        <v>15</v>
      </c>
      <c r="U2" s="43">
        <f>COUNTIFS(Annotations!B:B,A2,Annotations!C:C,"Done")</f>
        <v>251</v>
      </c>
      <c r="V2" s="44">
        <v>250.0</v>
      </c>
      <c r="W2" s="36"/>
      <c r="X2" s="36"/>
      <c r="Y2" s="36"/>
      <c r="Z2" s="36"/>
    </row>
    <row r="3">
      <c r="A3" s="36" t="s">
        <v>133</v>
      </c>
      <c r="B3" s="36" t="s">
        <v>2566</v>
      </c>
      <c r="D3" s="45" t="s">
        <v>51</v>
      </c>
      <c r="E3" s="37">
        <f>COUNTIFS(Annotations!I:I,D3,Annotations!C:C,"Done")</f>
        <v>63</v>
      </c>
      <c r="F3" s="38">
        <f t="shared" si="1"/>
        <v>0</v>
      </c>
      <c r="G3" s="39">
        <v>63.0</v>
      </c>
      <c r="I3" s="46" t="s">
        <v>111</v>
      </c>
      <c r="J3" s="37">
        <f>COUNTIFS(Annotations!K:K,I3,Annotations!C:C,"Done")</f>
        <v>42</v>
      </c>
      <c r="K3" s="38">
        <f t="shared" si="2"/>
        <v>14</v>
      </c>
      <c r="L3" s="39">
        <v>56.0</v>
      </c>
      <c r="M3" s="31"/>
      <c r="N3" s="47" t="s">
        <v>2567</v>
      </c>
      <c r="O3" s="41" t="s">
        <v>2568</v>
      </c>
      <c r="P3" s="41" t="s">
        <v>2569</v>
      </c>
      <c r="R3" s="42"/>
      <c r="S3" s="36" t="s">
        <v>133</v>
      </c>
      <c r="T3" s="36" t="s">
        <v>15</v>
      </c>
      <c r="U3" s="48">
        <f>COUNTIFS(Annotations!B:B,A3,Annotations!C:C,"Done")</f>
        <v>251</v>
      </c>
      <c r="V3" s="44">
        <v>250.0</v>
      </c>
      <c r="W3" s="36"/>
      <c r="X3" s="36"/>
      <c r="Y3" s="36"/>
      <c r="Z3" s="36"/>
    </row>
    <row r="4">
      <c r="A4" s="36"/>
      <c r="B4" s="36" t="s">
        <v>15</v>
      </c>
      <c r="D4" s="37" t="s">
        <v>37</v>
      </c>
      <c r="E4" s="37">
        <f>COUNTIFS(Annotations!I:I,D4,Annotations!C:C,"Done")</f>
        <v>65</v>
      </c>
      <c r="F4" s="38">
        <f t="shared" si="1"/>
        <v>0</v>
      </c>
      <c r="G4" s="39">
        <v>63.0</v>
      </c>
      <c r="I4" s="37" t="s">
        <v>31</v>
      </c>
      <c r="J4" s="37">
        <f>COUNTIFS(Annotations!K:K,I4,Annotations!C:C,"Done")</f>
        <v>65</v>
      </c>
      <c r="K4" s="38">
        <f t="shared" si="2"/>
        <v>0</v>
      </c>
      <c r="L4" s="39">
        <v>56.0</v>
      </c>
      <c r="M4" s="31"/>
      <c r="N4" s="49" t="s">
        <v>2570</v>
      </c>
      <c r="O4" s="41" t="s">
        <v>2571</v>
      </c>
      <c r="P4" s="41" t="s">
        <v>2572</v>
      </c>
      <c r="R4" s="42"/>
      <c r="V4" s="50"/>
      <c r="W4" s="36"/>
      <c r="X4" s="36"/>
      <c r="Y4" s="36"/>
      <c r="Z4" s="36"/>
    </row>
    <row r="5">
      <c r="A5" s="36"/>
      <c r="B5" s="36"/>
      <c r="D5" s="37" t="s">
        <v>38</v>
      </c>
      <c r="E5" s="37">
        <f>COUNTIFS(Annotations!I:I,D5,Annotations!C:C,"Done")</f>
        <v>63</v>
      </c>
      <c r="F5" s="38">
        <f t="shared" si="1"/>
        <v>0</v>
      </c>
      <c r="G5" s="39">
        <v>63.0</v>
      </c>
      <c r="I5" s="37" t="s">
        <v>52</v>
      </c>
      <c r="J5" s="37">
        <f>COUNTIFS(Annotations!K:K,I5,Annotations!C:C,"Done")</f>
        <v>57</v>
      </c>
      <c r="K5" s="38">
        <f t="shared" si="2"/>
        <v>0</v>
      </c>
      <c r="L5" s="39">
        <v>56.0</v>
      </c>
      <c r="M5" s="31"/>
      <c r="N5" s="36"/>
      <c r="O5" s="36"/>
      <c r="P5" s="36"/>
      <c r="R5" s="33" t="s">
        <v>2573</v>
      </c>
      <c r="S5" s="34" t="s">
        <v>2559</v>
      </c>
      <c r="T5" s="34" t="s">
        <v>2560</v>
      </c>
      <c r="U5" s="34" t="s">
        <v>2561</v>
      </c>
      <c r="V5" s="35" t="s">
        <v>2551</v>
      </c>
      <c r="W5" s="36"/>
      <c r="X5" s="36"/>
      <c r="Y5" s="36"/>
      <c r="Z5" s="36"/>
    </row>
    <row r="6">
      <c r="D6" s="46" t="s">
        <v>20</v>
      </c>
      <c r="E6" s="37">
        <f>COUNTIFS(Annotations!I:I,D6,Annotations!C:C,"Done")</f>
        <v>64</v>
      </c>
      <c r="F6" s="38">
        <f t="shared" si="1"/>
        <v>0</v>
      </c>
      <c r="G6" s="39">
        <v>63.0</v>
      </c>
      <c r="I6" s="37" t="s">
        <v>22</v>
      </c>
      <c r="J6" s="37">
        <f>COUNTIFS(Annotations!K:K,I6,Annotations!C:C,"Done")</f>
        <v>58</v>
      </c>
      <c r="K6" s="38">
        <f t="shared" si="2"/>
        <v>0</v>
      </c>
      <c r="L6" s="39">
        <v>56.0</v>
      </c>
      <c r="M6" s="31"/>
      <c r="N6" s="36"/>
      <c r="O6" s="36"/>
      <c r="P6" s="36"/>
      <c r="R6" s="42"/>
      <c r="S6" s="36" t="s">
        <v>14</v>
      </c>
      <c r="T6" s="36" t="s">
        <v>15</v>
      </c>
      <c r="U6" s="51">
        <f>COUNTIFS(PAnnotations!J:J,A2,PAnnotations!K:K,"Done")</f>
        <v>0</v>
      </c>
      <c r="V6" s="44">
        <v>25.0</v>
      </c>
      <c r="W6" s="36"/>
      <c r="X6" s="36"/>
      <c r="Y6" s="36"/>
      <c r="Z6" s="36"/>
    </row>
    <row r="7">
      <c r="D7" s="37" t="s">
        <v>21</v>
      </c>
      <c r="E7" s="37">
        <f>COUNTIFS(Annotations!I:I,D7,Annotations!C:C,"Done")</f>
        <v>55</v>
      </c>
      <c r="F7" s="38">
        <f t="shared" si="1"/>
        <v>8</v>
      </c>
      <c r="G7" s="39">
        <v>63.0</v>
      </c>
      <c r="I7" s="37" t="s">
        <v>23</v>
      </c>
      <c r="J7" s="37">
        <f>COUNTIFS(Annotations!K:K,I7,Annotations!C:C,"Done")</f>
        <v>50</v>
      </c>
      <c r="K7" s="38">
        <f t="shared" si="2"/>
        <v>6</v>
      </c>
      <c r="L7" s="39">
        <v>56.0</v>
      </c>
      <c r="M7" s="31"/>
      <c r="N7" s="36"/>
      <c r="O7" s="36"/>
      <c r="P7" s="36"/>
      <c r="Q7" s="36"/>
      <c r="R7" s="42"/>
      <c r="S7" s="36" t="s">
        <v>133</v>
      </c>
      <c r="T7" s="36" t="s">
        <v>15</v>
      </c>
      <c r="U7" s="51">
        <f>COUNTIFS(PAnnotations!J:J,A3,PAnnotations!K:K,"Done")</f>
        <v>25</v>
      </c>
      <c r="V7" s="44">
        <v>25.0</v>
      </c>
      <c r="W7" s="36"/>
      <c r="X7" s="36"/>
      <c r="Y7" s="36"/>
      <c r="Z7" s="36"/>
    </row>
    <row r="8">
      <c r="D8" s="46" t="s">
        <v>45</v>
      </c>
      <c r="E8" s="37">
        <f>COUNTIFS(Annotations!I:I,D8,Annotations!C:C,"Done")</f>
        <v>59</v>
      </c>
      <c r="F8" s="38">
        <f t="shared" si="1"/>
        <v>4</v>
      </c>
      <c r="G8" s="39">
        <v>63.0</v>
      </c>
      <c r="I8" s="46" t="s">
        <v>39</v>
      </c>
      <c r="J8" s="37">
        <f>COUNTIFS(Annotations!K:K,I8,Annotations!C:C,"Done")</f>
        <v>55</v>
      </c>
      <c r="K8" s="38">
        <f t="shared" si="2"/>
        <v>1</v>
      </c>
      <c r="L8" s="39">
        <v>56.0</v>
      </c>
      <c r="M8" s="31"/>
      <c r="N8" s="36"/>
      <c r="O8" s="36"/>
      <c r="P8" s="36"/>
      <c r="Q8" s="36"/>
      <c r="R8" s="36"/>
      <c r="S8" s="36"/>
      <c r="T8" s="36"/>
      <c r="U8" s="36"/>
      <c r="V8" s="36"/>
      <c r="W8" s="36"/>
      <c r="X8" s="36"/>
      <c r="Y8" s="36"/>
      <c r="Z8" s="36"/>
    </row>
    <row r="9">
      <c r="D9" s="38" t="s">
        <v>74</v>
      </c>
      <c r="E9" s="37">
        <f>COUNTIFS(Annotations!I:I,D9,Annotations!C:C,"Done")</f>
        <v>71</v>
      </c>
      <c r="F9" s="38">
        <f t="shared" si="1"/>
        <v>0</v>
      </c>
      <c r="G9" s="39">
        <v>63.0</v>
      </c>
      <c r="I9" s="46" t="s">
        <v>68</v>
      </c>
      <c r="J9" s="37">
        <f>COUNTIFS(Annotations!K:K,I9,Annotations!C:C,"Done")</f>
        <v>56</v>
      </c>
      <c r="K9" s="38">
        <f t="shared" si="2"/>
        <v>0</v>
      </c>
      <c r="L9" s="39">
        <v>56.0</v>
      </c>
      <c r="M9" s="31"/>
      <c r="N9" s="36"/>
      <c r="O9" s="36"/>
      <c r="P9" s="36"/>
      <c r="Q9" s="36"/>
      <c r="R9" s="35" t="s">
        <v>2574</v>
      </c>
      <c r="S9" s="34" t="s">
        <v>2559</v>
      </c>
      <c r="T9" s="34" t="s">
        <v>2560</v>
      </c>
      <c r="U9" s="34" t="s">
        <v>2561</v>
      </c>
      <c r="V9" s="52" t="s">
        <v>2551</v>
      </c>
      <c r="W9" s="36"/>
      <c r="X9" s="36"/>
      <c r="Y9" s="36"/>
      <c r="Z9" s="36"/>
    </row>
    <row r="10">
      <c r="A10" s="36"/>
      <c r="B10" s="36"/>
      <c r="I10" s="46" t="s">
        <v>75</v>
      </c>
      <c r="J10" s="37">
        <f>COUNTIFS(Annotations!K:K,I10,Annotations!C:C,"Done")</f>
        <v>55</v>
      </c>
      <c r="K10" s="38">
        <f t="shared" si="2"/>
        <v>1</v>
      </c>
      <c r="L10" s="39">
        <v>56.0</v>
      </c>
      <c r="M10" s="31"/>
      <c r="N10" s="36"/>
      <c r="O10" s="36"/>
      <c r="P10" s="36"/>
      <c r="Q10" s="36"/>
      <c r="R10" s="36"/>
      <c r="S10" s="36" t="s">
        <v>14</v>
      </c>
      <c r="T10" s="36" t="s">
        <v>15</v>
      </c>
      <c r="U10" s="48">
        <f>COUNTIFS(Annotations!$B$2:$B$505,"Sabrina",Annotations!$J$2:$J$505,"&lt;&gt;",Annotations!$L$2:$L$505,"&lt;&gt;")</f>
        <v>251</v>
      </c>
      <c r="V10" s="44">
        <v>250.0</v>
      </c>
      <c r="W10" s="36"/>
      <c r="X10" s="36"/>
      <c r="Y10" s="36"/>
      <c r="Z10" s="36"/>
    </row>
    <row r="11">
      <c r="A11" s="53"/>
      <c r="B11" s="53"/>
      <c r="D11" s="54" t="s">
        <v>2575</v>
      </c>
      <c r="E11" s="55">
        <f>SUM(E2:E9)</f>
        <v>502</v>
      </c>
      <c r="F11" s="56">
        <f>500-E11</f>
        <v>-2</v>
      </c>
      <c r="G11" s="57">
        <f>SUM(G2:G9)</f>
        <v>504</v>
      </c>
      <c r="I11" s="54" t="s">
        <v>2575</v>
      </c>
      <c r="J11" s="55">
        <f>SUM(J2:J10)</f>
        <v>502</v>
      </c>
      <c r="K11" s="56">
        <f>500-J11</f>
        <v>-2</v>
      </c>
      <c r="L11" s="56">
        <f>SUM(L2:L10)</f>
        <v>504</v>
      </c>
      <c r="M11" s="58"/>
      <c r="N11" s="53"/>
      <c r="O11" s="53"/>
      <c r="P11" s="53"/>
      <c r="Q11" s="53"/>
      <c r="R11" s="59"/>
      <c r="S11" s="36" t="s">
        <v>133</v>
      </c>
      <c r="T11" s="36" t="s">
        <v>15</v>
      </c>
      <c r="U11" s="48">
        <f>COUNTIFS(Annotations!$B$2:$B$505,"Naomi",Annotations!$J$2:$J$505,"&lt;&gt;",Annotations!$L$2:$L$505,"&lt;&gt;")</f>
        <v>41</v>
      </c>
      <c r="V11" s="44">
        <v>250.0</v>
      </c>
      <c r="W11" s="53"/>
      <c r="X11" s="53"/>
      <c r="Y11" s="53"/>
      <c r="Z11" s="53"/>
    </row>
    <row r="12">
      <c r="A12" s="60"/>
      <c r="B12" s="60"/>
      <c r="M12" s="61"/>
      <c r="N12" s="60"/>
      <c r="O12" s="60"/>
      <c r="P12" s="60"/>
      <c r="Q12" s="60"/>
      <c r="R12" s="60"/>
      <c r="S12" s="60"/>
      <c r="T12" s="60"/>
      <c r="U12" s="60"/>
      <c r="V12" s="60"/>
      <c r="W12" s="60"/>
      <c r="X12" s="60"/>
      <c r="Y12" s="60"/>
      <c r="Z12" s="60"/>
    </row>
    <row r="13">
      <c r="A13" s="36"/>
      <c r="B13" s="36"/>
      <c r="C13" s="37"/>
      <c r="D13" s="37"/>
      <c r="E13" s="53"/>
      <c r="F13" s="36"/>
      <c r="G13" s="37"/>
      <c r="I13" s="37"/>
      <c r="J13" s="36"/>
      <c r="K13" s="36"/>
      <c r="L13" s="36"/>
      <c r="M13" s="36"/>
      <c r="N13" s="36"/>
      <c r="O13" s="36"/>
      <c r="P13" s="36"/>
      <c r="Q13" s="36"/>
      <c r="R13" s="36"/>
      <c r="S13" s="36"/>
      <c r="T13" s="36"/>
      <c r="U13" s="36"/>
      <c r="V13" s="36"/>
      <c r="W13" s="36"/>
      <c r="X13" s="36"/>
      <c r="Y13" s="36"/>
      <c r="Z13" s="36"/>
    </row>
    <row r="14">
      <c r="C14" s="62" t="s">
        <v>2576</v>
      </c>
      <c r="E14" s="53"/>
      <c r="F14" s="36"/>
      <c r="G14" s="37"/>
      <c r="H14" s="62" t="s">
        <v>2576</v>
      </c>
      <c r="J14" s="36"/>
      <c r="K14" s="36"/>
      <c r="O14" s="36"/>
      <c r="P14" s="36"/>
      <c r="Q14" s="36"/>
      <c r="R14" s="36"/>
      <c r="S14" s="36"/>
      <c r="T14" s="36"/>
      <c r="U14" s="36"/>
      <c r="V14" s="36"/>
      <c r="W14" s="36"/>
      <c r="X14" s="36"/>
      <c r="Y14" s="36"/>
      <c r="Z14" s="36"/>
    </row>
    <row r="15">
      <c r="C15" s="63" t="s">
        <v>2577</v>
      </c>
      <c r="E15" s="53"/>
      <c r="F15" s="36"/>
      <c r="G15" s="37"/>
      <c r="H15" s="64" t="s">
        <v>2578</v>
      </c>
      <c r="J15" s="36"/>
      <c r="K15" s="36"/>
      <c r="O15" s="36"/>
      <c r="P15" s="36"/>
      <c r="Q15" s="36"/>
      <c r="R15" s="36"/>
      <c r="S15" s="36"/>
      <c r="T15" s="36"/>
      <c r="U15" s="36"/>
      <c r="V15" s="36"/>
      <c r="W15" s="36"/>
      <c r="X15" s="36"/>
      <c r="Y15" s="36"/>
      <c r="Z15" s="36"/>
    </row>
    <row r="16">
      <c r="A16" s="36"/>
      <c r="B16" s="36"/>
      <c r="C16" s="37"/>
      <c r="D16" s="37"/>
      <c r="E16" s="53"/>
      <c r="F16" s="36"/>
      <c r="G16" s="37"/>
      <c r="I16" s="37"/>
      <c r="J16" s="36"/>
      <c r="K16" s="36"/>
      <c r="L16" s="36"/>
      <c r="M16" s="36"/>
      <c r="N16" s="36"/>
      <c r="O16" s="36"/>
      <c r="P16" s="36"/>
      <c r="Q16" s="36"/>
      <c r="R16" s="36"/>
      <c r="S16" s="36"/>
      <c r="T16" s="36"/>
      <c r="U16" s="36"/>
      <c r="V16" s="36"/>
      <c r="W16" s="36"/>
      <c r="X16" s="36"/>
      <c r="Y16" s="36"/>
      <c r="Z16" s="36"/>
    </row>
    <row r="17">
      <c r="A17" s="36"/>
      <c r="B17" s="36"/>
      <c r="C17" s="37"/>
      <c r="D17" s="37"/>
      <c r="E17" s="53"/>
      <c r="F17" s="36"/>
      <c r="G17" s="37"/>
      <c r="I17" s="37"/>
      <c r="J17" s="36"/>
      <c r="K17" s="36"/>
      <c r="L17" s="36"/>
      <c r="M17" s="36"/>
      <c r="N17" s="36"/>
      <c r="O17" s="36"/>
      <c r="P17" s="36"/>
      <c r="Q17" s="36"/>
      <c r="R17" s="36"/>
      <c r="S17" s="36"/>
      <c r="T17" s="36"/>
      <c r="U17" s="36"/>
      <c r="V17" s="36"/>
      <c r="W17" s="36"/>
      <c r="X17" s="36"/>
      <c r="Y17" s="36"/>
      <c r="Z17" s="36"/>
    </row>
    <row r="18">
      <c r="A18" s="36"/>
      <c r="B18" s="36"/>
      <c r="C18" s="37"/>
      <c r="D18" s="37"/>
      <c r="E18" s="53"/>
      <c r="F18" s="36"/>
      <c r="G18" s="37"/>
      <c r="I18" s="37"/>
      <c r="J18" s="36"/>
      <c r="K18" s="36"/>
      <c r="L18" s="36"/>
      <c r="M18" s="36"/>
      <c r="N18" s="36"/>
      <c r="O18" s="36"/>
      <c r="P18" s="36"/>
      <c r="Q18" s="36"/>
      <c r="R18" s="36"/>
      <c r="S18" s="36"/>
      <c r="T18" s="36"/>
      <c r="U18" s="36"/>
      <c r="V18" s="36"/>
      <c r="W18" s="36"/>
      <c r="X18" s="36"/>
      <c r="Y18" s="36"/>
      <c r="Z18" s="36"/>
    </row>
    <row r="19">
      <c r="A19" s="36"/>
      <c r="B19" s="36"/>
      <c r="C19" s="37"/>
      <c r="D19" s="37"/>
      <c r="E19" s="36"/>
      <c r="F19" s="36"/>
      <c r="G19" s="37"/>
      <c r="I19" s="37"/>
      <c r="J19" s="36"/>
      <c r="K19" s="36"/>
      <c r="L19" s="36"/>
      <c r="M19" s="36"/>
      <c r="N19" s="36"/>
      <c r="O19" s="36"/>
      <c r="P19" s="36"/>
      <c r="Q19" s="36"/>
      <c r="R19" s="36"/>
      <c r="S19" s="36"/>
      <c r="T19" s="36"/>
      <c r="U19" s="36"/>
      <c r="V19" s="36"/>
      <c r="W19" s="36"/>
      <c r="X19" s="36"/>
      <c r="Y19" s="36"/>
      <c r="Z19" s="36"/>
    </row>
    <row r="20">
      <c r="A20" s="36"/>
      <c r="B20" s="36"/>
      <c r="C20" s="37"/>
      <c r="D20" s="37"/>
      <c r="E20" s="36"/>
      <c r="F20" s="36"/>
      <c r="G20" s="37"/>
      <c r="I20" s="37"/>
      <c r="J20" s="36"/>
      <c r="K20" s="36"/>
      <c r="L20" s="36"/>
      <c r="M20" s="36"/>
      <c r="N20" s="36"/>
      <c r="O20" s="36"/>
      <c r="P20" s="36"/>
      <c r="Q20" s="36"/>
      <c r="R20" s="36"/>
      <c r="S20" s="36"/>
      <c r="T20" s="36"/>
      <c r="U20" s="36"/>
      <c r="V20" s="36"/>
      <c r="W20" s="36"/>
      <c r="X20" s="36"/>
      <c r="Y20" s="36"/>
      <c r="Z20" s="36"/>
    </row>
    <row r="21" ht="15.75" customHeight="1">
      <c r="A21" s="36"/>
      <c r="B21" s="36"/>
      <c r="C21" s="37"/>
      <c r="D21" s="37"/>
      <c r="E21" s="36"/>
      <c r="F21" s="36"/>
      <c r="G21" s="37"/>
      <c r="I21" s="37"/>
      <c r="J21" s="36"/>
      <c r="K21" s="36"/>
      <c r="L21" s="36"/>
      <c r="M21" s="36"/>
      <c r="N21" s="36"/>
      <c r="O21" s="36"/>
      <c r="P21" s="36"/>
      <c r="Q21" s="36"/>
      <c r="R21" s="36"/>
      <c r="S21" s="36"/>
      <c r="T21" s="36"/>
      <c r="U21" s="36"/>
      <c r="V21" s="36"/>
      <c r="W21" s="36"/>
      <c r="X21" s="36"/>
      <c r="Y21" s="36"/>
      <c r="Z21" s="36"/>
    </row>
    <row r="22" ht="15.75" customHeight="1">
      <c r="A22" s="36"/>
      <c r="B22" s="36"/>
      <c r="C22" s="37"/>
      <c r="D22" s="37"/>
      <c r="E22" s="36"/>
      <c r="F22" s="36"/>
      <c r="G22" s="37"/>
      <c r="I22" s="37"/>
      <c r="J22" s="36"/>
      <c r="K22" s="36"/>
      <c r="L22" s="36"/>
      <c r="M22" s="36"/>
      <c r="N22" s="36"/>
      <c r="O22" s="36"/>
      <c r="P22" s="36"/>
      <c r="Q22" s="36"/>
      <c r="R22" s="36"/>
      <c r="S22" s="36"/>
      <c r="T22" s="36"/>
      <c r="U22" s="36"/>
      <c r="V22" s="36"/>
      <c r="W22" s="36"/>
      <c r="X22" s="36"/>
      <c r="Y22" s="36"/>
      <c r="Z22" s="36"/>
    </row>
    <row r="23" ht="15.75" customHeight="1">
      <c r="A23" s="36"/>
      <c r="B23" s="36"/>
      <c r="C23" s="37"/>
      <c r="D23" s="37"/>
      <c r="E23" s="36"/>
      <c r="F23" s="36"/>
      <c r="G23" s="37"/>
      <c r="I23" s="37"/>
      <c r="J23" s="36"/>
      <c r="K23" s="36"/>
      <c r="L23" s="36"/>
      <c r="M23" s="36"/>
      <c r="N23" s="36"/>
      <c r="O23" s="36"/>
      <c r="P23" s="36"/>
      <c r="Q23" s="36"/>
      <c r="R23" s="36"/>
      <c r="S23" s="36"/>
      <c r="T23" s="36"/>
      <c r="U23" s="36"/>
      <c r="V23" s="36"/>
      <c r="W23" s="36"/>
      <c r="X23" s="36"/>
      <c r="Y23" s="36"/>
      <c r="Z23" s="36"/>
    </row>
    <row r="24" ht="15.75" customHeight="1">
      <c r="A24" s="36"/>
      <c r="B24" s="36"/>
      <c r="C24" s="37"/>
      <c r="D24" s="37"/>
      <c r="E24" s="36"/>
      <c r="F24" s="36"/>
      <c r="G24" s="37"/>
      <c r="I24" s="37"/>
      <c r="J24" s="36"/>
      <c r="K24" s="36"/>
      <c r="L24" s="36"/>
      <c r="M24" s="36"/>
      <c r="N24" s="36"/>
      <c r="O24" s="36"/>
      <c r="P24" s="36"/>
      <c r="Q24" s="36"/>
      <c r="R24" s="36"/>
      <c r="S24" s="36"/>
      <c r="T24" s="36"/>
      <c r="U24" s="36"/>
      <c r="V24" s="36"/>
      <c r="W24" s="36"/>
      <c r="X24" s="36"/>
      <c r="Y24" s="36"/>
      <c r="Z24" s="36"/>
    </row>
    <row r="25" ht="15.75" customHeight="1">
      <c r="A25" s="36"/>
      <c r="B25" s="36"/>
      <c r="C25" s="37"/>
      <c r="D25" s="37"/>
      <c r="E25" s="36"/>
      <c r="F25" s="36"/>
      <c r="G25" s="37"/>
      <c r="I25" s="37"/>
      <c r="J25" s="36"/>
      <c r="K25" s="36"/>
      <c r="L25" s="36"/>
      <c r="M25" s="36"/>
      <c r="N25" s="36"/>
      <c r="O25" s="36"/>
      <c r="P25" s="36"/>
      <c r="Q25" s="36"/>
      <c r="R25" s="36"/>
      <c r="S25" s="36"/>
      <c r="T25" s="36"/>
      <c r="U25" s="36"/>
      <c r="V25" s="36"/>
      <c r="W25" s="36"/>
      <c r="X25" s="36"/>
      <c r="Y25" s="36"/>
      <c r="Z25" s="36"/>
    </row>
    <row r="26" ht="15.75" customHeight="1">
      <c r="A26" s="36"/>
      <c r="B26" s="36"/>
      <c r="C26" s="37"/>
      <c r="D26" s="37"/>
      <c r="E26" s="36"/>
      <c r="F26" s="36"/>
      <c r="G26" s="37"/>
      <c r="I26" s="37"/>
      <c r="J26" s="36"/>
      <c r="K26" s="36"/>
      <c r="L26" s="36"/>
      <c r="M26" s="36"/>
      <c r="N26" s="36"/>
      <c r="O26" s="36"/>
      <c r="P26" s="36"/>
      <c r="Q26" s="36"/>
      <c r="R26" s="36"/>
      <c r="S26" s="36"/>
      <c r="T26" s="36"/>
      <c r="U26" s="36"/>
      <c r="V26" s="36"/>
      <c r="W26" s="36"/>
      <c r="X26" s="36"/>
      <c r="Y26" s="36"/>
      <c r="Z26" s="36"/>
    </row>
    <row r="27" ht="15.75" customHeight="1">
      <c r="A27" s="36"/>
      <c r="B27" s="36"/>
      <c r="C27" s="37"/>
      <c r="D27" s="37"/>
      <c r="E27" s="36"/>
      <c r="F27" s="36"/>
      <c r="G27" s="37"/>
      <c r="I27" s="37"/>
      <c r="J27" s="36"/>
      <c r="K27" s="36"/>
      <c r="L27" s="36"/>
      <c r="M27" s="36"/>
      <c r="N27" s="36"/>
      <c r="O27" s="36"/>
      <c r="P27" s="36"/>
      <c r="Q27" s="36"/>
      <c r="R27" s="36"/>
      <c r="S27" s="36"/>
      <c r="T27" s="36"/>
      <c r="U27" s="36"/>
      <c r="V27" s="36"/>
      <c r="W27" s="36"/>
      <c r="X27" s="36"/>
      <c r="Y27" s="36"/>
      <c r="Z27" s="36"/>
    </row>
    <row r="28" ht="15.75" customHeight="1">
      <c r="A28" s="36"/>
      <c r="B28" s="36"/>
      <c r="C28" s="37"/>
      <c r="D28" s="37"/>
      <c r="E28" s="36"/>
      <c r="F28" s="36"/>
      <c r="G28" s="37"/>
      <c r="I28" s="37"/>
      <c r="J28" s="36"/>
      <c r="K28" s="36"/>
      <c r="L28" s="36"/>
      <c r="M28" s="36"/>
      <c r="N28" s="36"/>
      <c r="O28" s="36"/>
      <c r="P28" s="36"/>
      <c r="Q28" s="36"/>
      <c r="R28" s="36"/>
      <c r="S28" s="36"/>
      <c r="T28" s="36"/>
      <c r="U28" s="36"/>
      <c r="V28" s="36"/>
      <c r="W28" s="36"/>
      <c r="X28" s="36"/>
      <c r="Y28" s="36"/>
      <c r="Z28" s="36"/>
    </row>
    <row r="29" ht="15.75" customHeight="1">
      <c r="A29" s="36"/>
      <c r="B29" s="36"/>
      <c r="C29" s="37"/>
      <c r="D29" s="37"/>
      <c r="E29" s="36"/>
      <c r="F29" s="36"/>
      <c r="G29" s="37"/>
      <c r="I29" s="37"/>
      <c r="J29" s="36"/>
      <c r="K29" s="36"/>
      <c r="L29" s="36"/>
      <c r="M29" s="36"/>
      <c r="N29" s="36"/>
      <c r="O29" s="36"/>
      <c r="P29" s="36"/>
      <c r="Q29" s="36"/>
      <c r="R29" s="36"/>
      <c r="S29" s="36"/>
      <c r="T29" s="36"/>
      <c r="U29" s="36"/>
      <c r="V29" s="36"/>
      <c r="W29" s="36"/>
      <c r="X29" s="36"/>
      <c r="Y29" s="36"/>
      <c r="Z29" s="36"/>
    </row>
    <row r="30" ht="15.75" customHeight="1">
      <c r="A30" s="36"/>
      <c r="B30" s="36"/>
      <c r="C30" s="37"/>
      <c r="D30" s="37"/>
      <c r="E30" s="36"/>
      <c r="F30" s="36"/>
      <c r="G30" s="37"/>
      <c r="I30" s="37"/>
      <c r="J30" s="36"/>
      <c r="K30" s="36"/>
      <c r="L30" s="36"/>
      <c r="M30" s="36"/>
      <c r="N30" s="36"/>
      <c r="O30" s="36"/>
      <c r="P30" s="36"/>
      <c r="Q30" s="36"/>
      <c r="R30" s="36"/>
      <c r="S30" s="36"/>
      <c r="T30" s="36"/>
      <c r="U30" s="36"/>
      <c r="V30" s="36"/>
      <c r="W30" s="36"/>
      <c r="X30" s="36"/>
      <c r="Y30" s="36"/>
      <c r="Z30" s="36"/>
    </row>
    <row r="31" ht="15.75" customHeight="1">
      <c r="A31" s="38"/>
      <c r="B31" s="36"/>
      <c r="C31" s="37"/>
      <c r="D31" s="37"/>
      <c r="E31" s="36"/>
      <c r="F31" s="36"/>
      <c r="G31" s="37"/>
      <c r="I31" s="37"/>
      <c r="J31" s="36"/>
      <c r="K31" s="36"/>
      <c r="L31" s="36"/>
      <c r="M31" s="36"/>
      <c r="N31" s="36"/>
      <c r="O31" s="36"/>
      <c r="P31" s="36"/>
      <c r="Q31" s="36"/>
      <c r="R31" s="36"/>
      <c r="S31" s="36"/>
      <c r="T31" s="36"/>
      <c r="U31" s="36"/>
      <c r="V31" s="36"/>
      <c r="W31" s="36"/>
      <c r="X31" s="36"/>
      <c r="Y31" s="36"/>
      <c r="Z31" s="36"/>
    </row>
    <row r="32" ht="15.75" customHeight="1">
      <c r="A32" s="36"/>
      <c r="B32" s="36"/>
      <c r="C32" s="37"/>
      <c r="D32" s="37"/>
      <c r="E32" s="36"/>
      <c r="F32" s="36"/>
      <c r="G32" s="37"/>
      <c r="I32" s="37"/>
      <c r="J32" s="36"/>
      <c r="K32" s="36"/>
      <c r="L32" s="36"/>
      <c r="M32" s="36"/>
      <c r="N32" s="36"/>
      <c r="O32" s="36"/>
      <c r="P32" s="36"/>
      <c r="Q32" s="36"/>
      <c r="R32" s="36"/>
      <c r="S32" s="36"/>
      <c r="T32" s="36"/>
      <c r="U32" s="36"/>
      <c r="V32" s="36"/>
      <c r="W32" s="36"/>
      <c r="X32" s="36"/>
      <c r="Y32" s="36"/>
      <c r="Z32" s="36"/>
    </row>
    <row r="33" ht="15.75" customHeight="1">
      <c r="A33" s="36"/>
      <c r="B33" s="36"/>
      <c r="C33" s="37"/>
      <c r="D33" s="37"/>
      <c r="E33" s="36"/>
      <c r="F33" s="36"/>
      <c r="G33" s="37"/>
      <c r="I33" s="37"/>
      <c r="J33" s="36"/>
      <c r="K33" s="36"/>
      <c r="L33" s="36"/>
      <c r="M33" s="36"/>
      <c r="N33" s="36"/>
      <c r="O33" s="36"/>
      <c r="P33" s="36"/>
      <c r="Q33" s="36"/>
      <c r="R33" s="36"/>
      <c r="S33" s="36"/>
      <c r="T33" s="36"/>
      <c r="U33" s="36"/>
      <c r="V33" s="36"/>
      <c r="W33" s="36"/>
      <c r="X33" s="36"/>
      <c r="Y33" s="36"/>
      <c r="Z33" s="36"/>
    </row>
    <row r="34" ht="15.75" customHeight="1">
      <c r="A34" s="36"/>
      <c r="B34" s="36"/>
      <c r="C34" s="37"/>
      <c r="D34" s="37"/>
      <c r="E34" s="36"/>
      <c r="F34" s="36"/>
      <c r="G34" s="37"/>
      <c r="I34" s="37"/>
      <c r="J34" s="36"/>
      <c r="K34" s="36"/>
      <c r="L34" s="36"/>
      <c r="M34" s="36"/>
      <c r="N34" s="36"/>
      <c r="O34" s="36"/>
      <c r="P34" s="36"/>
      <c r="Q34" s="36"/>
      <c r="R34" s="36"/>
      <c r="S34" s="36"/>
      <c r="T34" s="36"/>
      <c r="U34" s="36"/>
      <c r="V34" s="36"/>
      <c r="W34" s="36"/>
      <c r="X34" s="36"/>
      <c r="Y34" s="36"/>
      <c r="Z34" s="36"/>
    </row>
    <row r="35" ht="15.75" customHeight="1">
      <c r="A35" s="36"/>
      <c r="B35" s="36"/>
      <c r="C35" s="37"/>
      <c r="D35" s="37"/>
      <c r="E35" s="36"/>
      <c r="F35" s="36"/>
      <c r="G35" s="37"/>
      <c r="I35" s="37"/>
      <c r="J35" s="36"/>
      <c r="K35" s="36"/>
      <c r="L35" s="36"/>
      <c r="M35" s="36"/>
      <c r="N35" s="36"/>
      <c r="O35" s="36"/>
      <c r="P35" s="36"/>
      <c r="Q35" s="36"/>
      <c r="R35" s="36"/>
      <c r="S35" s="36"/>
      <c r="T35" s="36"/>
      <c r="U35" s="36"/>
      <c r="V35" s="36"/>
      <c r="W35" s="36"/>
      <c r="X35" s="36"/>
      <c r="Y35" s="36"/>
      <c r="Z35" s="36"/>
    </row>
    <row r="36" ht="15.75" customHeight="1">
      <c r="A36" s="36"/>
      <c r="B36" s="36"/>
      <c r="C36" s="37"/>
      <c r="D36" s="37"/>
      <c r="E36" s="36"/>
      <c r="F36" s="36"/>
      <c r="G36" s="37"/>
      <c r="I36" s="37"/>
      <c r="J36" s="36"/>
      <c r="K36" s="36"/>
      <c r="L36" s="36"/>
      <c r="M36" s="36"/>
      <c r="N36" s="36"/>
      <c r="O36" s="36"/>
      <c r="P36" s="36"/>
      <c r="Q36" s="36"/>
      <c r="R36" s="36"/>
      <c r="S36" s="36"/>
      <c r="T36" s="36"/>
      <c r="U36" s="36"/>
      <c r="V36" s="36"/>
      <c r="W36" s="36"/>
      <c r="X36" s="36"/>
      <c r="Y36" s="36"/>
      <c r="Z36" s="36"/>
    </row>
    <row r="37" ht="15.75" customHeight="1">
      <c r="A37" s="36"/>
      <c r="B37" s="36"/>
      <c r="C37" s="37"/>
      <c r="D37" s="37"/>
      <c r="E37" s="36"/>
      <c r="F37" s="36"/>
      <c r="G37" s="37"/>
      <c r="I37" s="37"/>
      <c r="J37" s="36"/>
      <c r="K37" s="36"/>
      <c r="L37" s="36"/>
      <c r="M37" s="36"/>
      <c r="N37" s="36"/>
      <c r="O37" s="36"/>
      <c r="P37" s="36"/>
      <c r="Q37" s="36"/>
      <c r="R37" s="36"/>
      <c r="S37" s="36"/>
      <c r="T37" s="36"/>
      <c r="U37" s="36"/>
      <c r="V37" s="36"/>
      <c r="W37" s="36"/>
      <c r="X37" s="36"/>
      <c r="Y37" s="36"/>
      <c r="Z37" s="36"/>
    </row>
    <row r="38" ht="15.75" customHeight="1">
      <c r="A38" s="36"/>
      <c r="B38" s="36"/>
      <c r="C38" s="37"/>
      <c r="D38" s="37"/>
      <c r="E38" s="36"/>
      <c r="F38" s="36"/>
      <c r="G38" s="37"/>
      <c r="I38" s="37"/>
      <c r="J38" s="36"/>
      <c r="K38" s="36"/>
      <c r="L38" s="36"/>
      <c r="M38" s="36"/>
      <c r="N38" s="36"/>
      <c r="O38" s="36"/>
      <c r="P38" s="36"/>
      <c r="Q38" s="36"/>
      <c r="R38" s="36"/>
      <c r="S38" s="36"/>
      <c r="T38" s="36"/>
      <c r="U38" s="36"/>
      <c r="V38" s="36"/>
      <c r="W38" s="36"/>
      <c r="X38" s="36"/>
      <c r="Y38" s="36"/>
      <c r="Z38" s="36"/>
    </row>
    <row r="39" ht="15.75" customHeight="1">
      <c r="A39" s="36"/>
      <c r="B39" s="36"/>
      <c r="C39" s="37"/>
      <c r="D39" s="37"/>
      <c r="E39" s="36"/>
      <c r="F39" s="36"/>
      <c r="G39" s="37"/>
      <c r="I39" s="37"/>
      <c r="J39" s="36"/>
      <c r="K39" s="36"/>
      <c r="L39" s="36"/>
      <c r="M39" s="36"/>
      <c r="N39" s="36"/>
      <c r="O39" s="36"/>
      <c r="P39" s="36"/>
      <c r="Q39" s="36"/>
      <c r="R39" s="36"/>
      <c r="S39" s="36"/>
      <c r="T39" s="36"/>
      <c r="U39" s="36"/>
      <c r="V39" s="36"/>
      <c r="W39" s="36"/>
      <c r="X39" s="36"/>
      <c r="Y39" s="36"/>
      <c r="Z39" s="36"/>
    </row>
    <row r="40" ht="15.75" customHeight="1">
      <c r="A40" s="36"/>
      <c r="B40" s="36"/>
      <c r="C40" s="37"/>
      <c r="D40" s="37"/>
      <c r="E40" s="36"/>
      <c r="F40" s="36"/>
      <c r="G40" s="37"/>
      <c r="I40" s="37"/>
      <c r="J40" s="36"/>
      <c r="K40" s="36"/>
      <c r="L40" s="36"/>
      <c r="M40" s="36"/>
      <c r="N40" s="36"/>
      <c r="O40" s="36"/>
      <c r="P40" s="36"/>
      <c r="Q40" s="36"/>
      <c r="R40" s="36"/>
      <c r="S40" s="36"/>
      <c r="T40" s="36"/>
      <c r="U40" s="36"/>
      <c r="V40" s="36"/>
      <c r="W40" s="36"/>
      <c r="X40" s="36"/>
      <c r="Y40" s="36"/>
      <c r="Z40" s="36"/>
    </row>
    <row r="41" ht="15.75" customHeight="1">
      <c r="A41" s="36"/>
      <c r="B41" s="36"/>
      <c r="C41" s="37"/>
      <c r="D41" s="37"/>
      <c r="E41" s="36"/>
      <c r="F41" s="36"/>
      <c r="G41" s="37"/>
      <c r="I41" s="37"/>
      <c r="J41" s="36"/>
      <c r="K41" s="36"/>
      <c r="L41" s="36"/>
      <c r="M41" s="36"/>
      <c r="N41" s="36"/>
      <c r="O41" s="36"/>
      <c r="P41" s="36"/>
      <c r="Q41" s="36"/>
      <c r="R41" s="36"/>
      <c r="S41" s="36"/>
      <c r="T41" s="36"/>
      <c r="U41" s="36"/>
      <c r="V41" s="36"/>
      <c r="W41" s="36"/>
      <c r="X41" s="36"/>
      <c r="Y41" s="36"/>
      <c r="Z41" s="36"/>
    </row>
    <row r="42" ht="15.75" customHeight="1">
      <c r="A42" s="36"/>
      <c r="B42" s="36"/>
      <c r="C42" s="37"/>
      <c r="D42" s="37"/>
      <c r="E42" s="36"/>
      <c r="F42" s="36"/>
      <c r="G42" s="37"/>
      <c r="I42" s="37"/>
      <c r="J42" s="36"/>
      <c r="K42" s="36"/>
      <c r="L42" s="36"/>
      <c r="M42" s="36"/>
      <c r="N42" s="36"/>
      <c r="O42" s="36"/>
      <c r="P42" s="36"/>
      <c r="Q42" s="36"/>
      <c r="R42" s="36"/>
      <c r="S42" s="36"/>
      <c r="T42" s="36"/>
      <c r="U42" s="36"/>
      <c r="V42" s="36"/>
      <c r="W42" s="36"/>
      <c r="X42" s="36"/>
      <c r="Y42" s="36"/>
      <c r="Z42" s="36"/>
    </row>
    <row r="43" ht="15.75" customHeight="1">
      <c r="A43" s="36"/>
      <c r="B43" s="36"/>
      <c r="C43" s="37"/>
      <c r="D43" s="37"/>
      <c r="E43" s="36"/>
      <c r="F43" s="36"/>
      <c r="G43" s="37"/>
      <c r="I43" s="37"/>
      <c r="J43" s="36"/>
      <c r="K43" s="36"/>
      <c r="L43" s="36"/>
      <c r="M43" s="36"/>
      <c r="N43" s="36"/>
      <c r="O43" s="36"/>
      <c r="P43" s="36"/>
      <c r="Q43" s="36"/>
      <c r="R43" s="36"/>
      <c r="S43" s="36"/>
      <c r="T43" s="36"/>
      <c r="U43" s="36"/>
      <c r="V43" s="36"/>
      <c r="W43" s="36"/>
      <c r="X43" s="36"/>
      <c r="Y43" s="36"/>
      <c r="Z43" s="36"/>
    </row>
    <row r="44" ht="15.75" customHeight="1">
      <c r="A44" s="36"/>
      <c r="B44" s="36"/>
      <c r="C44" s="37"/>
      <c r="D44" s="37"/>
      <c r="E44" s="36"/>
      <c r="F44" s="36"/>
      <c r="G44" s="37"/>
      <c r="I44" s="37"/>
      <c r="J44" s="36"/>
      <c r="K44" s="36"/>
      <c r="L44" s="36"/>
      <c r="M44" s="36"/>
      <c r="N44" s="36"/>
      <c r="O44" s="36"/>
      <c r="P44" s="36"/>
      <c r="Q44" s="36"/>
      <c r="R44" s="36"/>
      <c r="S44" s="36"/>
      <c r="T44" s="36"/>
      <c r="U44" s="36"/>
      <c r="V44" s="36"/>
      <c r="W44" s="36"/>
      <c r="X44" s="36"/>
      <c r="Y44" s="36"/>
      <c r="Z44" s="36"/>
    </row>
    <row r="45" ht="15.75" customHeight="1">
      <c r="A45" s="36"/>
      <c r="B45" s="36"/>
      <c r="C45" s="37"/>
      <c r="D45" s="37"/>
      <c r="E45" s="36"/>
      <c r="F45" s="36"/>
      <c r="G45" s="37"/>
      <c r="I45" s="37"/>
      <c r="J45" s="36"/>
      <c r="K45" s="36"/>
      <c r="L45" s="36"/>
      <c r="M45" s="36"/>
      <c r="N45" s="36"/>
      <c r="O45" s="36"/>
      <c r="P45" s="36"/>
      <c r="Q45" s="36"/>
      <c r="R45" s="36"/>
      <c r="S45" s="36"/>
      <c r="T45" s="36"/>
      <c r="U45" s="36"/>
      <c r="V45" s="36"/>
      <c r="W45" s="36"/>
      <c r="X45" s="36"/>
      <c r="Y45" s="36"/>
      <c r="Z45" s="36"/>
    </row>
    <row r="46" ht="15.75" customHeight="1">
      <c r="A46" s="36"/>
      <c r="B46" s="36"/>
      <c r="C46" s="37"/>
      <c r="D46" s="37"/>
      <c r="E46" s="36"/>
      <c r="F46" s="36"/>
      <c r="G46" s="37"/>
      <c r="I46" s="37"/>
      <c r="J46" s="36"/>
      <c r="K46" s="36"/>
      <c r="L46" s="36"/>
      <c r="M46" s="36"/>
      <c r="N46" s="36"/>
      <c r="O46" s="36"/>
      <c r="P46" s="36"/>
      <c r="Q46" s="36"/>
      <c r="R46" s="36"/>
      <c r="S46" s="36"/>
      <c r="T46" s="36"/>
      <c r="U46" s="36"/>
      <c r="V46" s="36"/>
      <c r="W46" s="36"/>
      <c r="X46" s="36"/>
      <c r="Y46" s="36"/>
      <c r="Z46" s="36"/>
    </row>
    <row r="47" ht="15.75" customHeight="1">
      <c r="A47" s="36"/>
      <c r="B47" s="36"/>
      <c r="C47" s="37"/>
      <c r="D47" s="37"/>
      <c r="E47" s="36"/>
      <c r="F47" s="36"/>
      <c r="G47" s="37"/>
      <c r="I47" s="37"/>
      <c r="J47" s="36"/>
      <c r="K47" s="36"/>
      <c r="L47" s="36"/>
      <c r="M47" s="36"/>
      <c r="N47" s="36"/>
      <c r="O47" s="36"/>
      <c r="P47" s="36"/>
      <c r="Q47" s="36"/>
      <c r="R47" s="36"/>
      <c r="S47" s="36"/>
      <c r="T47" s="36"/>
      <c r="U47" s="36"/>
      <c r="V47" s="36"/>
      <c r="W47" s="36"/>
      <c r="X47" s="36"/>
      <c r="Y47" s="36"/>
      <c r="Z47" s="36"/>
    </row>
    <row r="48" ht="15.75" customHeight="1">
      <c r="A48" s="36"/>
      <c r="B48" s="36"/>
      <c r="C48" s="37"/>
      <c r="D48" s="37"/>
      <c r="E48" s="36"/>
      <c r="F48" s="36"/>
      <c r="G48" s="37"/>
      <c r="I48" s="37"/>
      <c r="J48" s="36"/>
      <c r="K48" s="36"/>
      <c r="L48" s="36"/>
      <c r="M48" s="36"/>
      <c r="N48" s="36"/>
      <c r="O48" s="36"/>
      <c r="P48" s="36"/>
      <c r="Q48" s="36"/>
      <c r="R48" s="36"/>
      <c r="S48" s="36"/>
      <c r="T48" s="36"/>
      <c r="U48" s="36"/>
      <c r="V48" s="36"/>
      <c r="W48" s="36"/>
      <c r="X48" s="36"/>
      <c r="Y48" s="36"/>
      <c r="Z48" s="36"/>
    </row>
    <row r="49" ht="15.75" customHeight="1">
      <c r="A49" s="36"/>
      <c r="B49" s="36"/>
      <c r="C49" s="37"/>
      <c r="D49" s="37"/>
      <c r="E49" s="36"/>
      <c r="F49" s="36"/>
      <c r="G49" s="37"/>
      <c r="I49" s="37"/>
      <c r="J49" s="36"/>
      <c r="K49" s="36"/>
      <c r="L49" s="36"/>
      <c r="M49" s="36"/>
      <c r="N49" s="36"/>
      <c r="O49" s="36"/>
      <c r="P49" s="36"/>
      <c r="Q49" s="36"/>
      <c r="R49" s="36"/>
      <c r="S49" s="36"/>
      <c r="T49" s="36"/>
      <c r="U49" s="36"/>
      <c r="V49" s="36"/>
      <c r="W49" s="36"/>
      <c r="X49" s="36"/>
      <c r="Y49" s="36"/>
      <c r="Z49" s="36"/>
    </row>
    <row r="50" ht="15.75" customHeight="1">
      <c r="A50" s="36"/>
      <c r="B50" s="36"/>
      <c r="C50" s="37"/>
      <c r="D50" s="37"/>
      <c r="E50" s="36"/>
      <c r="F50" s="36"/>
      <c r="G50" s="37"/>
      <c r="I50" s="37"/>
      <c r="J50" s="36"/>
      <c r="K50" s="36"/>
      <c r="L50" s="36"/>
      <c r="M50" s="36"/>
      <c r="N50" s="36"/>
      <c r="O50" s="36"/>
      <c r="P50" s="36"/>
      <c r="Q50" s="36"/>
      <c r="R50" s="36"/>
      <c r="S50" s="36"/>
      <c r="T50" s="36"/>
      <c r="U50" s="36"/>
      <c r="V50" s="36"/>
      <c r="W50" s="36"/>
      <c r="X50" s="36"/>
      <c r="Y50" s="36"/>
      <c r="Z50" s="36"/>
    </row>
    <row r="51" ht="15.75" customHeight="1">
      <c r="A51" s="36"/>
      <c r="B51" s="36"/>
      <c r="C51" s="37"/>
      <c r="D51" s="37"/>
      <c r="E51" s="36"/>
      <c r="F51" s="36"/>
      <c r="G51" s="37"/>
      <c r="I51" s="37"/>
      <c r="J51" s="36"/>
      <c r="K51" s="36"/>
      <c r="L51" s="36"/>
      <c r="M51" s="36"/>
      <c r="N51" s="36"/>
      <c r="O51" s="36"/>
      <c r="P51" s="36"/>
      <c r="Q51" s="36"/>
      <c r="R51" s="36"/>
      <c r="S51" s="36"/>
      <c r="T51" s="36"/>
      <c r="U51" s="36"/>
      <c r="V51" s="36"/>
      <c r="W51" s="36"/>
      <c r="X51" s="36"/>
      <c r="Y51" s="36"/>
      <c r="Z51" s="36"/>
    </row>
    <row r="52" ht="15.75" customHeight="1">
      <c r="A52" s="36"/>
      <c r="B52" s="36"/>
      <c r="C52" s="37"/>
      <c r="D52" s="37"/>
      <c r="E52" s="36"/>
      <c r="F52" s="36"/>
      <c r="G52" s="37"/>
      <c r="I52" s="37"/>
      <c r="J52" s="36"/>
      <c r="K52" s="36"/>
      <c r="L52" s="36"/>
      <c r="M52" s="36"/>
      <c r="N52" s="36"/>
      <c r="O52" s="36"/>
      <c r="P52" s="36"/>
      <c r="Q52" s="36"/>
      <c r="R52" s="36"/>
      <c r="S52" s="36"/>
      <c r="T52" s="36"/>
      <c r="U52" s="36"/>
      <c r="V52" s="36"/>
      <c r="W52" s="36"/>
      <c r="X52" s="36"/>
      <c r="Y52" s="36"/>
      <c r="Z52" s="36"/>
    </row>
    <row r="53" ht="15.75" customHeight="1">
      <c r="A53" s="36"/>
      <c r="B53" s="36"/>
      <c r="C53" s="37"/>
      <c r="D53" s="37"/>
      <c r="E53" s="36"/>
      <c r="F53" s="36"/>
      <c r="G53" s="37"/>
      <c r="I53" s="37"/>
      <c r="J53" s="36"/>
      <c r="K53" s="36"/>
      <c r="L53" s="36"/>
      <c r="M53" s="36"/>
      <c r="N53" s="36"/>
      <c r="O53" s="36"/>
      <c r="P53" s="36"/>
      <c r="Q53" s="36"/>
      <c r="R53" s="36"/>
      <c r="S53" s="36"/>
      <c r="T53" s="36"/>
      <c r="U53" s="36"/>
      <c r="V53" s="36"/>
      <c r="W53" s="36"/>
      <c r="X53" s="36"/>
      <c r="Y53" s="36"/>
      <c r="Z53" s="36"/>
    </row>
    <row r="54" ht="15.75" customHeight="1">
      <c r="A54" s="36"/>
      <c r="B54" s="36"/>
      <c r="C54" s="37"/>
      <c r="D54" s="37"/>
      <c r="E54" s="36"/>
      <c r="F54" s="36"/>
      <c r="G54" s="37"/>
      <c r="I54" s="37"/>
      <c r="J54" s="36"/>
      <c r="K54" s="36"/>
      <c r="L54" s="36"/>
      <c r="M54" s="36"/>
      <c r="N54" s="36"/>
      <c r="O54" s="36"/>
      <c r="P54" s="36"/>
      <c r="Q54" s="36"/>
      <c r="R54" s="36"/>
      <c r="S54" s="36"/>
      <c r="T54" s="36"/>
      <c r="U54" s="36"/>
      <c r="V54" s="36"/>
      <c r="W54" s="36"/>
      <c r="X54" s="36"/>
      <c r="Y54" s="36"/>
      <c r="Z54" s="36"/>
    </row>
    <row r="55" ht="15.75" customHeight="1">
      <c r="A55" s="36"/>
      <c r="B55" s="36"/>
      <c r="C55" s="37"/>
      <c r="D55" s="37"/>
      <c r="E55" s="36"/>
      <c r="F55" s="36"/>
      <c r="G55" s="37"/>
      <c r="I55" s="37"/>
      <c r="J55" s="36"/>
      <c r="K55" s="36"/>
      <c r="L55" s="36"/>
      <c r="M55" s="36"/>
      <c r="N55" s="36"/>
      <c r="O55" s="36"/>
      <c r="P55" s="36"/>
      <c r="Q55" s="36"/>
      <c r="R55" s="36"/>
      <c r="S55" s="36"/>
      <c r="T55" s="36"/>
      <c r="U55" s="36"/>
      <c r="V55" s="36"/>
      <c r="W55" s="36"/>
      <c r="X55" s="36"/>
      <c r="Y55" s="36"/>
      <c r="Z55" s="36"/>
    </row>
    <row r="56" ht="15.75" customHeight="1">
      <c r="A56" s="36"/>
      <c r="B56" s="36"/>
      <c r="C56" s="37"/>
      <c r="D56" s="37"/>
      <c r="E56" s="36"/>
      <c r="F56" s="36"/>
      <c r="G56" s="37"/>
      <c r="I56" s="37"/>
      <c r="J56" s="36"/>
      <c r="K56" s="36"/>
      <c r="L56" s="36"/>
      <c r="M56" s="36"/>
      <c r="N56" s="36"/>
      <c r="O56" s="36"/>
      <c r="P56" s="36"/>
      <c r="Q56" s="36"/>
      <c r="R56" s="36"/>
      <c r="S56" s="36"/>
      <c r="T56" s="36"/>
      <c r="U56" s="36"/>
      <c r="V56" s="36"/>
      <c r="W56" s="36"/>
      <c r="X56" s="36"/>
      <c r="Y56" s="36"/>
      <c r="Z56" s="36"/>
    </row>
    <row r="57" ht="15.75" customHeight="1">
      <c r="A57" s="36"/>
      <c r="B57" s="36"/>
      <c r="C57" s="37"/>
      <c r="D57" s="37"/>
      <c r="E57" s="36"/>
      <c r="F57" s="36"/>
      <c r="G57" s="37"/>
      <c r="I57" s="37"/>
      <c r="J57" s="36"/>
      <c r="K57" s="36"/>
      <c r="L57" s="36"/>
      <c r="M57" s="36"/>
      <c r="N57" s="36"/>
      <c r="O57" s="36"/>
      <c r="P57" s="36"/>
      <c r="Q57" s="36"/>
      <c r="R57" s="36"/>
      <c r="S57" s="36"/>
      <c r="T57" s="36"/>
      <c r="U57" s="36"/>
      <c r="V57" s="36"/>
      <c r="W57" s="36"/>
      <c r="X57" s="36"/>
      <c r="Y57" s="36"/>
      <c r="Z57" s="36"/>
    </row>
    <row r="58" ht="15.75" customHeight="1">
      <c r="A58" s="36"/>
      <c r="B58" s="36"/>
      <c r="C58" s="37"/>
      <c r="D58" s="37"/>
      <c r="E58" s="36"/>
      <c r="F58" s="36"/>
      <c r="G58" s="37"/>
      <c r="I58" s="37"/>
      <c r="J58" s="36"/>
      <c r="K58" s="36"/>
      <c r="L58" s="36"/>
      <c r="M58" s="36"/>
      <c r="N58" s="36"/>
      <c r="O58" s="36"/>
      <c r="P58" s="36"/>
      <c r="Q58" s="36"/>
      <c r="R58" s="36"/>
      <c r="S58" s="36"/>
      <c r="T58" s="36"/>
      <c r="U58" s="36"/>
      <c r="V58" s="36"/>
      <c r="W58" s="36"/>
      <c r="X58" s="36"/>
      <c r="Y58" s="36"/>
      <c r="Z58" s="36"/>
    </row>
    <row r="59" ht="15.75" customHeight="1">
      <c r="A59" s="36"/>
      <c r="B59" s="36"/>
      <c r="C59" s="37"/>
      <c r="D59" s="37"/>
      <c r="E59" s="36"/>
      <c r="F59" s="36"/>
      <c r="G59" s="37"/>
      <c r="I59" s="37"/>
      <c r="J59" s="36"/>
      <c r="K59" s="36"/>
      <c r="L59" s="36"/>
      <c r="M59" s="36"/>
      <c r="N59" s="36"/>
      <c r="O59" s="36"/>
      <c r="P59" s="36"/>
      <c r="Q59" s="36"/>
      <c r="R59" s="36"/>
      <c r="S59" s="36"/>
      <c r="T59" s="36"/>
      <c r="U59" s="36"/>
      <c r="V59" s="36"/>
      <c r="W59" s="36"/>
      <c r="X59" s="36"/>
      <c r="Y59" s="36"/>
      <c r="Z59" s="36"/>
    </row>
    <row r="60" ht="15.75" customHeight="1">
      <c r="A60" s="36"/>
      <c r="B60" s="36"/>
      <c r="C60" s="37"/>
      <c r="D60" s="37"/>
      <c r="E60" s="36"/>
      <c r="F60" s="36"/>
      <c r="G60" s="37"/>
      <c r="I60" s="37"/>
      <c r="J60" s="36"/>
      <c r="K60" s="36"/>
      <c r="L60" s="36"/>
      <c r="M60" s="36"/>
      <c r="N60" s="36"/>
      <c r="O60" s="36"/>
      <c r="P60" s="36"/>
      <c r="Q60" s="36"/>
      <c r="R60" s="36"/>
      <c r="S60" s="36"/>
      <c r="T60" s="36"/>
      <c r="U60" s="36"/>
      <c r="V60" s="36"/>
      <c r="W60" s="36"/>
      <c r="X60" s="36"/>
      <c r="Y60" s="36"/>
      <c r="Z60" s="36"/>
    </row>
    <row r="61" ht="15.75" customHeight="1">
      <c r="A61" s="36"/>
      <c r="B61" s="36"/>
      <c r="C61" s="37"/>
      <c r="D61" s="37"/>
      <c r="E61" s="36"/>
      <c r="F61" s="36"/>
      <c r="G61" s="37"/>
      <c r="I61" s="37"/>
      <c r="J61" s="36"/>
      <c r="K61" s="36"/>
      <c r="L61" s="36"/>
      <c r="M61" s="36"/>
      <c r="N61" s="36"/>
      <c r="O61" s="36"/>
      <c r="P61" s="36"/>
      <c r="Q61" s="36"/>
      <c r="R61" s="36"/>
      <c r="S61" s="36"/>
      <c r="T61" s="36"/>
      <c r="U61" s="36"/>
      <c r="V61" s="36"/>
      <c r="W61" s="36"/>
      <c r="X61" s="36"/>
      <c r="Y61" s="36"/>
      <c r="Z61" s="36"/>
    </row>
    <row r="62" ht="15.75" customHeight="1">
      <c r="A62" s="36"/>
      <c r="B62" s="36"/>
      <c r="C62" s="37"/>
      <c r="D62" s="37"/>
      <c r="E62" s="36"/>
      <c r="F62" s="36"/>
      <c r="G62" s="37"/>
      <c r="I62" s="37"/>
      <c r="J62" s="36"/>
      <c r="K62" s="36"/>
      <c r="L62" s="36"/>
      <c r="M62" s="36"/>
      <c r="N62" s="36"/>
      <c r="O62" s="36"/>
      <c r="P62" s="36"/>
      <c r="Q62" s="36"/>
      <c r="R62" s="36"/>
      <c r="S62" s="36"/>
      <c r="T62" s="36"/>
      <c r="U62" s="36"/>
      <c r="V62" s="36"/>
      <c r="W62" s="36"/>
      <c r="X62" s="36"/>
      <c r="Y62" s="36"/>
      <c r="Z62" s="36"/>
    </row>
    <row r="63" ht="15.75" customHeight="1">
      <c r="A63" s="36"/>
      <c r="B63" s="36"/>
      <c r="C63" s="37"/>
      <c r="D63" s="37"/>
      <c r="E63" s="36"/>
      <c r="F63" s="36"/>
      <c r="G63" s="37"/>
      <c r="I63" s="37"/>
      <c r="J63" s="36"/>
      <c r="K63" s="36"/>
      <c r="L63" s="36"/>
      <c r="M63" s="36"/>
      <c r="N63" s="36"/>
      <c r="O63" s="36"/>
      <c r="P63" s="36"/>
      <c r="Q63" s="36"/>
      <c r="R63" s="36"/>
      <c r="S63" s="36"/>
      <c r="T63" s="36"/>
      <c r="U63" s="36"/>
      <c r="V63" s="36"/>
      <c r="W63" s="36"/>
      <c r="X63" s="36"/>
      <c r="Y63" s="36"/>
      <c r="Z63" s="36"/>
    </row>
    <row r="64" ht="15.75" customHeight="1">
      <c r="A64" s="36"/>
      <c r="B64" s="36"/>
      <c r="C64" s="37"/>
      <c r="D64" s="37"/>
      <c r="E64" s="36"/>
      <c r="F64" s="36"/>
      <c r="G64" s="37"/>
      <c r="I64" s="37"/>
      <c r="J64" s="36"/>
      <c r="K64" s="36"/>
      <c r="L64" s="36"/>
      <c r="M64" s="36"/>
      <c r="N64" s="36"/>
      <c r="O64" s="36"/>
      <c r="P64" s="36"/>
      <c r="Q64" s="36"/>
      <c r="R64" s="36"/>
      <c r="S64" s="36"/>
      <c r="T64" s="36"/>
      <c r="U64" s="36"/>
      <c r="V64" s="36"/>
      <c r="W64" s="36"/>
      <c r="X64" s="36"/>
      <c r="Y64" s="36"/>
      <c r="Z64" s="36"/>
    </row>
    <row r="65" ht="15.75" customHeight="1">
      <c r="A65" s="36"/>
      <c r="B65" s="36"/>
      <c r="C65" s="37"/>
      <c r="D65" s="37"/>
      <c r="E65" s="36"/>
      <c r="F65" s="36"/>
      <c r="G65" s="37"/>
      <c r="I65" s="37"/>
      <c r="J65" s="36"/>
      <c r="K65" s="36"/>
      <c r="L65" s="36"/>
      <c r="M65" s="36"/>
      <c r="N65" s="36"/>
      <c r="O65" s="36"/>
      <c r="P65" s="36"/>
      <c r="Q65" s="36"/>
      <c r="R65" s="36"/>
      <c r="S65" s="36"/>
      <c r="T65" s="36"/>
      <c r="U65" s="36"/>
      <c r="V65" s="36"/>
      <c r="W65" s="36"/>
      <c r="X65" s="36"/>
      <c r="Y65" s="36"/>
      <c r="Z65" s="36"/>
    </row>
    <row r="66" ht="15.75" customHeight="1">
      <c r="A66" s="36"/>
      <c r="B66" s="36"/>
      <c r="C66" s="37"/>
      <c r="D66" s="37"/>
      <c r="E66" s="36"/>
      <c r="F66" s="36"/>
      <c r="G66" s="37"/>
      <c r="I66" s="37"/>
      <c r="J66" s="36"/>
      <c r="K66" s="36"/>
      <c r="L66" s="36"/>
      <c r="M66" s="36"/>
      <c r="N66" s="36"/>
      <c r="O66" s="36"/>
      <c r="P66" s="36"/>
      <c r="Q66" s="36"/>
      <c r="R66" s="36"/>
      <c r="S66" s="36"/>
      <c r="T66" s="36"/>
      <c r="U66" s="36"/>
      <c r="V66" s="36"/>
      <c r="W66" s="36"/>
      <c r="X66" s="36"/>
      <c r="Y66" s="36"/>
      <c r="Z66" s="36"/>
    </row>
    <row r="67" ht="15.75" customHeight="1">
      <c r="A67" s="36"/>
      <c r="B67" s="36"/>
      <c r="C67" s="37"/>
      <c r="D67" s="37"/>
      <c r="E67" s="36"/>
      <c r="F67" s="36"/>
      <c r="G67" s="37"/>
      <c r="I67" s="37"/>
      <c r="J67" s="36"/>
      <c r="K67" s="36"/>
      <c r="L67" s="36"/>
      <c r="M67" s="36"/>
      <c r="N67" s="36"/>
      <c r="O67" s="36"/>
      <c r="P67" s="36"/>
      <c r="Q67" s="36"/>
      <c r="R67" s="36"/>
      <c r="S67" s="36"/>
      <c r="T67" s="36"/>
      <c r="U67" s="36"/>
      <c r="V67" s="36"/>
      <c r="W67" s="36"/>
      <c r="X67" s="36"/>
      <c r="Y67" s="36"/>
      <c r="Z67" s="36"/>
    </row>
    <row r="68" ht="15.75" customHeight="1">
      <c r="A68" s="36"/>
      <c r="B68" s="36"/>
      <c r="C68" s="37"/>
      <c r="D68" s="37"/>
      <c r="E68" s="36"/>
      <c r="F68" s="36"/>
      <c r="G68" s="37"/>
      <c r="I68" s="37"/>
      <c r="J68" s="36"/>
      <c r="K68" s="36"/>
      <c r="L68" s="36"/>
      <c r="M68" s="36"/>
      <c r="N68" s="36"/>
      <c r="O68" s="36"/>
      <c r="P68" s="36"/>
      <c r="Q68" s="36"/>
      <c r="R68" s="36"/>
      <c r="S68" s="36"/>
      <c r="T68" s="36"/>
      <c r="U68" s="36"/>
      <c r="V68" s="36"/>
      <c r="W68" s="36"/>
      <c r="X68" s="36"/>
      <c r="Y68" s="36"/>
      <c r="Z68" s="36"/>
    </row>
    <row r="69" ht="15.75" customHeight="1">
      <c r="A69" s="36"/>
      <c r="B69" s="36"/>
      <c r="C69" s="37"/>
      <c r="D69" s="37"/>
      <c r="E69" s="36"/>
      <c r="F69" s="36"/>
      <c r="G69" s="37"/>
      <c r="I69" s="37"/>
      <c r="J69" s="36"/>
      <c r="K69" s="36"/>
      <c r="L69" s="36"/>
      <c r="M69" s="36"/>
      <c r="N69" s="36"/>
      <c r="O69" s="36"/>
      <c r="P69" s="36"/>
      <c r="Q69" s="36"/>
      <c r="R69" s="36"/>
      <c r="S69" s="36"/>
      <c r="T69" s="36"/>
      <c r="U69" s="36"/>
      <c r="V69" s="36"/>
      <c r="W69" s="36"/>
      <c r="X69" s="36"/>
      <c r="Y69" s="36"/>
      <c r="Z69" s="36"/>
    </row>
    <row r="70" ht="15.75" customHeight="1">
      <c r="A70" s="36"/>
      <c r="B70" s="36"/>
      <c r="C70" s="37"/>
      <c r="D70" s="37"/>
      <c r="E70" s="36"/>
      <c r="F70" s="36"/>
      <c r="G70" s="37"/>
      <c r="I70" s="37"/>
      <c r="J70" s="36"/>
      <c r="K70" s="36"/>
      <c r="L70" s="36"/>
      <c r="M70" s="36"/>
      <c r="N70" s="36"/>
      <c r="O70" s="36"/>
      <c r="P70" s="36"/>
      <c r="Q70" s="36"/>
      <c r="R70" s="36"/>
      <c r="S70" s="36"/>
      <c r="T70" s="36"/>
      <c r="U70" s="36"/>
      <c r="V70" s="36"/>
      <c r="W70" s="36"/>
      <c r="X70" s="36"/>
      <c r="Y70" s="36"/>
      <c r="Z70" s="36"/>
    </row>
    <row r="71" ht="15.75" customHeight="1">
      <c r="A71" s="36"/>
      <c r="B71" s="36"/>
      <c r="C71" s="37"/>
      <c r="D71" s="37"/>
      <c r="E71" s="36"/>
      <c r="F71" s="36"/>
      <c r="G71" s="37"/>
      <c r="I71" s="37"/>
      <c r="J71" s="36"/>
      <c r="K71" s="36"/>
      <c r="L71" s="36"/>
      <c r="M71" s="36"/>
      <c r="N71" s="36"/>
      <c r="O71" s="36"/>
      <c r="P71" s="36"/>
      <c r="Q71" s="36"/>
      <c r="R71" s="36"/>
      <c r="S71" s="36"/>
      <c r="T71" s="36"/>
      <c r="U71" s="36"/>
      <c r="V71" s="36"/>
      <c r="W71" s="36"/>
      <c r="X71" s="36"/>
      <c r="Y71" s="36"/>
      <c r="Z71" s="36"/>
    </row>
    <row r="72" ht="15.75" customHeight="1">
      <c r="A72" s="36"/>
      <c r="B72" s="36"/>
      <c r="C72" s="37"/>
      <c r="D72" s="37"/>
      <c r="E72" s="36"/>
      <c r="F72" s="36"/>
      <c r="G72" s="37"/>
      <c r="I72" s="37"/>
      <c r="J72" s="36"/>
      <c r="K72" s="36"/>
      <c r="L72" s="36"/>
      <c r="M72" s="36"/>
      <c r="N72" s="36"/>
      <c r="O72" s="36"/>
      <c r="P72" s="36"/>
      <c r="Q72" s="36"/>
      <c r="R72" s="36"/>
      <c r="S72" s="36"/>
      <c r="T72" s="36"/>
      <c r="U72" s="36"/>
      <c r="V72" s="36"/>
      <c r="W72" s="36"/>
      <c r="X72" s="36"/>
      <c r="Y72" s="36"/>
      <c r="Z72" s="36"/>
    </row>
    <row r="73" ht="15.75" customHeight="1">
      <c r="A73" s="36"/>
      <c r="B73" s="36"/>
      <c r="C73" s="37"/>
      <c r="D73" s="37"/>
      <c r="E73" s="36"/>
      <c r="F73" s="36"/>
      <c r="G73" s="37"/>
      <c r="I73" s="37"/>
      <c r="J73" s="36"/>
      <c r="K73" s="36"/>
      <c r="L73" s="36"/>
      <c r="M73" s="36"/>
      <c r="N73" s="36"/>
      <c r="O73" s="36"/>
      <c r="P73" s="36"/>
      <c r="Q73" s="36"/>
      <c r="R73" s="36"/>
      <c r="S73" s="36"/>
      <c r="T73" s="36"/>
      <c r="U73" s="36"/>
      <c r="V73" s="36"/>
      <c r="W73" s="36"/>
      <c r="X73" s="36"/>
      <c r="Y73" s="36"/>
      <c r="Z73" s="36"/>
    </row>
    <row r="74" ht="15.75" customHeight="1">
      <c r="A74" s="36"/>
      <c r="B74" s="36"/>
      <c r="C74" s="37"/>
      <c r="D74" s="37"/>
      <c r="E74" s="36"/>
      <c r="F74" s="36"/>
      <c r="G74" s="37"/>
      <c r="I74" s="37"/>
      <c r="J74" s="36"/>
      <c r="K74" s="36"/>
      <c r="L74" s="36"/>
      <c r="M74" s="36"/>
      <c r="N74" s="36"/>
      <c r="O74" s="36"/>
      <c r="P74" s="36"/>
      <c r="Q74" s="36"/>
      <c r="R74" s="36"/>
      <c r="S74" s="36"/>
      <c r="T74" s="36"/>
      <c r="U74" s="36"/>
      <c r="V74" s="36"/>
      <c r="W74" s="36"/>
      <c r="X74" s="36"/>
      <c r="Y74" s="36"/>
      <c r="Z74" s="36"/>
    </row>
    <row r="75" ht="15.75" customHeight="1">
      <c r="A75" s="36"/>
      <c r="B75" s="36"/>
      <c r="C75" s="37"/>
      <c r="D75" s="37"/>
      <c r="E75" s="36"/>
      <c r="F75" s="36"/>
      <c r="G75" s="37"/>
      <c r="I75" s="37"/>
      <c r="J75" s="36"/>
      <c r="K75" s="36"/>
      <c r="L75" s="36"/>
      <c r="M75" s="36"/>
      <c r="N75" s="36"/>
      <c r="O75" s="36"/>
      <c r="P75" s="36"/>
      <c r="Q75" s="36"/>
      <c r="R75" s="36"/>
      <c r="S75" s="36"/>
      <c r="T75" s="36"/>
      <c r="U75" s="36"/>
      <c r="V75" s="36"/>
      <c r="W75" s="36"/>
      <c r="X75" s="36"/>
      <c r="Y75" s="36"/>
      <c r="Z75" s="36"/>
    </row>
    <row r="76" ht="15.75" customHeight="1">
      <c r="A76" s="36"/>
      <c r="B76" s="36"/>
      <c r="C76" s="37"/>
      <c r="D76" s="37"/>
      <c r="E76" s="36"/>
      <c r="F76" s="36"/>
      <c r="G76" s="37"/>
      <c r="I76" s="37"/>
      <c r="J76" s="36"/>
      <c r="K76" s="36"/>
      <c r="L76" s="36"/>
      <c r="M76" s="36"/>
      <c r="N76" s="36"/>
      <c r="O76" s="36"/>
      <c r="P76" s="36"/>
      <c r="Q76" s="36"/>
      <c r="R76" s="36"/>
      <c r="S76" s="36"/>
      <c r="T76" s="36"/>
      <c r="U76" s="36"/>
      <c r="V76" s="36"/>
      <c r="W76" s="36"/>
      <c r="X76" s="36"/>
      <c r="Y76" s="36"/>
      <c r="Z76" s="36"/>
    </row>
    <row r="77" ht="15.75" customHeight="1">
      <c r="A77" s="36"/>
      <c r="B77" s="36"/>
      <c r="C77" s="37"/>
      <c r="D77" s="37"/>
      <c r="E77" s="36"/>
      <c r="F77" s="36"/>
      <c r="G77" s="37"/>
      <c r="I77" s="37"/>
      <c r="J77" s="36"/>
      <c r="K77" s="36"/>
      <c r="L77" s="36"/>
      <c r="M77" s="36"/>
      <c r="N77" s="36"/>
      <c r="O77" s="36"/>
      <c r="P77" s="36"/>
      <c r="Q77" s="36"/>
      <c r="R77" s="36"/>
      <c r="S77" s="36"/>
      <c r="T77" s="36"/>
      <c r="U77" s="36"/>
      <c r="V77" s="36"/>
      <c r="W77" s="36"/>
      <c r="X77" s="36"/>
      <c r="Y77" s="36"/>
      <c r="Z77" s="36"/>
    </row>
    <row r="78" ht="15.75" customHeight="1">
      <c r="A78" s="36"/>
      <c r="B78" s="36"/>
      <c r="C78" s="37"/>
      <c r="D78" s="37"/>
      <c r="E78" s="36"/>
      <c r="F78" s="36"/>
      <c r="G78" s="37"/>
      <c r="I78" s="37"/>
      <c r="J78" s="36"/>
      <c r="K78" s="36"/>
      <c r="L78" s="36"/>
      <c r="M78" s="36"/>
      <c r="N78" s="36"/>
      <c r="O78" s="36"/>
      <c r="P78" s="36"/>
      <c r="Q78" s="36"/>
      <c r="R78" s="36"/>
      <c r="S78" s="36"/>
      <c r="T78" s="36"/>
      <c r="U78" s="36"/>
      <c r="V78" s="36"/>
      <c r="W78" s="36"/>
      <c r="X78" s="36"/>
      <c r="Y78" s="36"/>
      <c r="Z78" s="36"/>
    </row>
    <row r="79" ht="15.75" customHeight="1">
      <c r="A79" s="36"/>
      <c r="B79" s="36"/>
      <c r="C79" s="37"/>
      <c r="D79" s="37"/>
      <c r="E79" s="36"/>
      <c r="F79" s="36"/>
      <c r="G79" s="37"/>
      <c r="I79" s="37"/>
      <c r="J79" s="36"/>
      <c r="K79" s="36"/>
      <c r="L79" s="36"/>
      <c r="M79" s="36"/>
      <c r="N79" s="36"/>
      <c r="O79" s="36"/>
      <c r="P79" s="36"/>
      <c r="Q79" s="36"/>
      <c r="R79" s="36"/>
      <c r="S79" s="36"/>
      <c r="T79" s="36"/>
      <c r="U79" s="36"/>
      <c r="V79" s="36"/>
      <c r="W79" s="36"/>
      <c r="X79" s="36"/>
      <c r="Y79" s="36"/>
      <c r="Z79" s="36"/>
    </row>
    <row r="80" ht="15.75" customHeight="1">
      <c r="A80" s="36"/>
      <c r="B80" s="36"/>
      <c r="C80" s="37"/>
      <c r="D80" s="37"/>
      <c r="E80" s="36"/>
      <c r="F80" s="36"/>
      <c r="G80" s="37"/>
      <c r="I80" s="37"/>
      <c r="J80" s="36"/>
      <c r="K80" s="36"/>
      <c r="L80" s="36"/>
      <c r="M80" s="36"/>
      <c r="N80" s="36"/>
      <c r="O80" s="36"/>
      <c r="P80" s="36"/>
      <c r="Q80" s="36"/>
      <c r="R80" s="36"/>
      <c r="S80" s="36"/>
      <c r="T80" s="36"/>
      <c r="U80" s="36"/>
      <c r="V80" s="36"/>
      <c r="W80" s="36"/>
      <c r="X80" s="36"/>
      <c r="Y80" s="36"/>
      <c r="Z80" s="36"/>
    </row>
    <row r="81" ht="15.75" customHeight="1">
      <c r="A81" s="36"/>
      <c r="B81" s="36"/>
      <c r="C81" s="37"/>
      <c r="D81" s="37"/>
      <c r="E81" s="36"/>
      <c r="F81" s="36"/>
      <c r="G81" s="37"/>
      <c r="I81" s="37"/>
      <c r="J81" s="36"/>
      <c r="K81" s="36"/>
      <c r="L81" s="36"/>
      <c r="M81" s="36"/>
      <c r="N81" s="36"/>
      <c r="O81" s="36"/>
      <c r="P81" s="36"/>
      <c r="Q81" s="36"/>
      <c r="R81" s="36"/>
      <c r="S81" s="36"/>
      <c r="T81" s="36"/>
      <c r="U81" s="36"/>
      <c r="V81" s="36"/>
      <c r="W81" s="36"/>
      <c r="X81" s="36"/>
      <c r="Y81" s="36"/>
      <c r="Z81" s="36"/>
    </row>
    <row r="82" ht="15.75" customHeight="1">
      <c r="A82" s="36"/>
      <c r="B82" s="36"/>
      <c r="C82" s="37"/>
      <c r="D82" s="37"/>
      <c r="E82" s="36"/>
      <c r="F82" s="36"/>
      <c r="G82" s="37"/>
      <c r="I82" s="37"/>
      <c r="J82" s="36"/>
      <c r="K82" s="36"/>
      <c r="L82" s="36"/>
      <c r="M82" s="36"/>
      <c r="N82" s="36"/>
      <c r="O82" s="36"/>
      <c r="P82" s="36"/>
      <c r="Q82" s="36"/>
      <c r="R82" s="36"/>
      <c r="S82" s="36"/>
      <c r="T82" s="36"/>
      <c r="U82" s="36"/>
      <c r="V82" s="36"/>
      <c r="W82" s="36"/>
      <c r="X82" s="36"/>
      <c r="Y82" s="36"/>
      <c r="Z82" s="36"/>
    </row>
    <row r="83" ht="15.75" customHeight="1">
      <c r="A83" s="36"/>
      <c r="B83" s="36"/>
      <c r="C83" s="37"/>
      <c r="D83" s="37"/>
      <c r="E83" s="36"/>
      <c r="F83" s="36"/>
      <c r="G83" s="37"/>
      <c r="I83" s="37"/>
      <c r="J83" s="36"/>
      <c r="K83" s="36"/>
      <c r="L83" s="36"/>
      <c r="M83" s="36"/>
      <c r="N83" s="36"/>
      <c r="O83" s="36"/>
      <c r="P83" s="36"/>
      <c r="Q83" s="36"/>
      <c r="R83" s="36"/>
      <c r="S83" s="36"/>
      <c r="T83" s="36"/>
      <c r="U83" s="36"/>
      <c r="V83" s="36"/>
      <c r="W83" s="36"/>
      <c r="X83" s="36"/>
      <c r="Y83" s="36"/>
      <c r="Z83" s="36"/>
    </row>
    <row r="84" ht="15.75" customHeight="1">
      <c r="A84" s="36"/>
      <c r="B84" s="36"/>
      <c r="C84" s="37"/>
      <c r="D84" s="37"/>
      <c r="E84" s="36"/>
      <c r="F84" s="36"/>
      <c r="G84" s="37"/>
      <c r="I84" s="37"/>
      <c r="J84" s="36"/>
      <c r="K84" s="36"/>
      <c r="L84" s="36"/>
      <c r="M84" s="36"/>
      <c r="N84" s="36"/>
      <c r="O84" s="36"/>
      <c r="P84" s="36"/>
      <c r="Q84" s="36"/>
      <c r="R84" s="36"/>
      <c r="S84" s="36"/>
      <c r="T84" s="36"/>
      <c r="U84" s="36"/>
      <c r="V84" s="36"/>
      <c r="W84" s="36"/>
      <c r="X84" s="36"/>
      <c r="Y84" s="36"/>
      <c r="Z84" s="36"/>
    </row>
    <row r="85" ht="15.75" customHeight="1">
      <c r="A85" s="36"/>
      <c r="B85" s="36"/>
      <c r="C85" s="37"/>
      <c r="D85" s="37"/>
      <c r="E85" s="36"/>
      <c r="F85" s="36"/>
      <c r="G85" s="37"/>
      <c r="I85" s="37"/>
      <c r="J85" s="36"/>
      <c r="K85" s="36"/>
      <c r="L85" s="36"/>
      <c r="M85" s="36"/>
      <c r="N85" s="36"/>
      <c r="O85" s="36"/>
      <c r="P85" s="36"/>
      <c r="Q85" s="36"/>
      <c r="R85" s="36"/>
      <c r="S85" s="36"/>
      <c r="T85" s="36"/>
      <c r="U85" s="36"/>
      <c r="V85" s="36"/>
      <c r="W85" s="36"/>
      <c r="X85" s="36"/>
      <c r="Y85" s="36"/>
      <c r="Z85" s="36"/>
    </row>
    <row r="86" ht="15.75" customHeight="1">
      <c r="A86" s="36"/>
      <c r="B86" s="36"/>
      <c r="C86" s="37"/>
      <c r="D86" s="37"/>
      <c r="E86" s="36"/>
      <c r="F86" s="36"/>
      <c r="G86" s="37"/>
      <c r="I86" s="37"/>
      <c r="J86" s="36"/>
      <c r="K86" s="36"/>
      <c r="L86" s="36"/>
      <c r="M86" s="36"/>
      <c r="N86" s="36"/>
      <c r="O86" s="36"/>
      <c r="P86" s="36"/>
      <c r="Q86" s="36"/>
      <c r="R86" s="36"/>
      <c r="S86" s="36"/>
      <c r="T86" s="36"/>
      <c r="U86" s="36"/>
      <c r="V86" s="36"/>
      <c r="W86" s="36"/>
      <c r="X86" s="36"/>
      <c r="Y86" s="36"/>
      <c r="Z86" s="36"/>
    </row>
    <row r="87" ht="15.75" customHeight="1">
      <c r="A87" s="36"/>
      <c r="B87" s="36"/>
      <c r="C87" s="37"/>
      <c r="D87" s="37"/>
      <c r="E87" s="36"/>
      <c r="F87" s="36"/>
      <c r="G87" s="37"/>
      <c r="I87" s="37"/>
      <c r="J87" s="36"/>
      <c r="K87" s="36"/>
      <c r="L87" s="36"/>
      <c r="M87" s="36"/>
      <c r="N87" s="36"/>
      <c r="O87" s="36"/>
      <c r="P87" s="36"/>
      <c r="Q87" s="36"/>
      <c r="R87" s="36"/>
      <c r="S87" s="36"/>
      <c r="T87" s="36"/>
      <c r="U87" s="36"/>
      <c r="V87" s="36"/>
      <c r="W87" s="36"/>
      <c r="X87" s="36"/>
      <c r="Y87" s="36"/>
      <c r="Z87" s="36"/>
    </row>
    <row r="88" ht="15.75" customHeight="1">
      <c r="A88" s="36"/>
      <c r="B88" s="36"/>
      <c r="C88" s="37"/>
      <c r="D88" s="37"/>
      <c r="E88" s="36"/>
      <c r="F88" s="36"/>
      <c r="G88" s="37"/>
      <c r="I88" s="37"/>
      <c r="J88" s="36"/>
      <c r="K88" s="36"/>
      <c r="L88" s="36"/>
      <c r="M88" s="36"/>
      <c r="N88" s="36"/>
      <c r="O88" s="36"/>
      <c r="P88" s="36"/>
      <c r="Q88" s="36"/>
      <c r="R88" s="36"/>
      <c r="S88" s="36"/>
      <c r="T88" s="36"/>
      <c r="U88" s="36"/>
      <c r="V88" s="36"/>
      <c r="W88" s="36"/>
      <c r="X88" s="36"/>
      <c r="Y88" s="36"/>
      <c r="Z88" s="36"/>
    </row>
    <row r="89" ht="15.75" customHeight="1">
      <c r="A89" s="36"/>
      <c r="B89" s="36"/>
      <c r="C89" s="37"/>
      <c r="D89" s="37"/>
      <c r="E89" s="36"/>
      <c r="F89" s="36"/>
      <c r="G89" s="37"/>
      <c r="I89" s="37"/>
      <c r="J89" s="36"/>
      <c r="K89" s="36"/>
      <c r="L89" s="36"/>
      <c r="M89" s="36"/>
      <c r="N89" s="36"/>
      <c r="O89" s="36"/>
      <c r="P89" s="36"/>
      <c r="Q89" s="36"/>
      <c r="R89" s="36"/>
      <c r="S89" s="36"/>
      <c r="T89" s="36"/>
      <c r="U89" s="36"/>
      <c r="V89" s="36"/>
      <c r="W89" s="36"/>
      <c r="X89" s="36"/>
      <c r="Y89" s="36"/>
      <c r="Z89" s="36"/>
    </row>
    <row r="90" ht="15.75" customHeight="1">
      <c r="A90" s="36"/>
      <c r="B90" s="36"/>
      <c r="C90" s="37"/>
      <c r="D90" s="37"/>
      <c r="E90" s="36"/>
      <c r="F90" s="36"/>
      <c r="G90" s="37"/>
      <c r="I90" s="37"/>
      <c r="J90" s="36"/>
      <c r="K90" s="36"/>
      <c r="L90" s="36"/>
      <c r="M90" s="36"/>
      <c r="N90" s="36"/>
      <c r="O90" s="36"/>
      <c r="P90" s="36"/>
      <c r="Q90" s="36"/>
      <c r="R90" s="36"/>
      <c r="S90" s="36"/>
      <c r="T90" s="36"/>
      <c r="U90" s="36"/>
      <c r="V90" s="36"/>
      <c r="W90" s="36"/>
      <c r="X90" s="36"/>
      <c r="Y90" s="36"/>
      <c r="Z90" s="36"/>
    </row>
    <row r="91" ht="15.75" customHeight="1">
      <c r="A91" s="36"/>
      <c r="B91" s="36"/>
      <c r="C91" s="37"/>
      <c r="D91" s="37"/>
      <c r="E91" s="36"/>
      <c r="F91" s="36"/>
      <c r="G91" s="37"/>
      <c r="I91" s="37"/>
      <c r="J91" s="36"/>
      <c r="K91" s="36"/>
      <c r="L91" s="36"/>
      <c r="M91" s="36"/>
      <c r="N91" s="36"/>
      <c r="O91" s="36"/>
      <c r="P91" s="36"/>
      <c r="Q91" s="36"/>
      <c r="R91" s="36"/>
      <c r="S91" s="36"/>
      <c r="T91" s="36"/>
      <c r="U91" s="36"/>
      <c r="V91" s="36"/>
      <c r="W91" s="36"/>
      <c r="X91" s="36"/>
      <c r="Y91" s="36"/>
      <c r="Z91" s="36"/>
    </row>
    <row r="92" ht="15.75" customHeight="1">
      <c r="A92" s="36"/>
      <c r="B92" s="36"/>
      <c r="C92" s="37"/>
      <c r="D92" s="37"/>
      <c r="E92" s="36"/>
      <c r="F92" s="36"/>
      <c r="G92" s="37"/>
      <c r="I92" s="37"/>
      <c r="J92" s="36"/>
      <c r="K92" s="36"/>
      <c r="L92" s="36"/>
      <c r="M92" s="36"/>
      <c r="N92" s="36"/>
      <c r="O92" s="36"/>
      <c r="P92" s="36"/>
      <c r="Q92" s="36"/>
      <c r="R92" s="36"/>
      <c r="S92" s="36"/>
      <c r="T92" s="36"/>
      <c r="U92" s="36"/>
      <c r="V92" s="36"/>
      <c r="W92" s="36"/>
      <c r="X92" s="36"/>
      <c r="Y92" s="36"/>
      <c r="Z92" s="36"/>
    </row>
    <row r="93" ht="15.75" customHeight="1">
      <c r="A93" s="36"/>
      <c r="B93" s="36"/>
      <c r="C93" s="37"/>
      <c r="D93" s="37"/>
      <c r="E93" s="36"/>
      <c r="F93" s="36"/>
      <c r="G93" s="37"/>
      <c r="I93" s="37"/>
      <c r="J93" s="36"/>
      <c r="K93" s="36"/>
      <c r="L93" s="36"/>
      <c r="M93" s="36"/>
      <c r="N93" s="36"/>
      <c r="O93" s="36"/>
      <c r="P93" s="36"/>
      <c r="Q93" s="36"/>
      <c r="R93" s="36"/>
      <c r="S93" s="36"/>
      <c r="T93" s="36"/>
      <c r="U93" s="36"/>
      <c r="V93" s="36"/>
      <c r="W93" s="36"/>
      <c r="X93" s="36"/>
      <c r="Y93" s="36"/>
      <c r="Z93" s="36"/>
    </row>
    <row r="94" ht="15.75" customHeight="1">
      <c r="A94" s="36"/>
      <c r="B94" s="36"/>
      <c r="C94" s="37"/>
      <c r="D94" s="37"/>
      <c r="E94" s="36"/>
      <c r="F94" s="36"/>
      <c r="G94" s="37"/>
      <c r="I94" s="37"/>
      <c r="J94" s="36"/>
      <c r="K94" s="36"/>
      <c r="L94" s="36"/>
      <c r="M94" s="36"/>
      <c r="N94" s="36"/>
      <c r="O94" s="36"/>
      <c r="P94" s="36"/>
      <c r="Q94" s="36"/>
      <c r="R94" s="36"/>
      <c r="S94" s="36"/>
      <c r="T94" s="36"/>
      <c r="U94" s="36"/>
      <c r="V94" s="36"/>
      <c r="W94" s="36"/>
      <c r="X94" s="36"/>
      <c r="Y94" s="36"/>
      <c r="Z94" s="36"/>
    </row>
    <row r="95" ht="15.75" customHeight="1">
      <c r="A95" s="36"/>
      <c r="B95" s="36"/>
      <c r="C95" s="37"/>
      <c r="D95" s="37"/>
      <c r="E95" s="36"/>
      <c r="F95" s="36"/>
      <c r="G95" s="37"/>
      <c r="I95" s="37"/>
      <c r="J95" s="36"/>
      <c r="K95" s="36"/>
      <c r="L95" s="36"/>
      <c r="M95" s="36"/>
      <c r="N95" s="36"/>
      <c r="O95" s="36"/>
      <c r="P95" s="36"/>
      <c r="Q95" s="36"/>
      <c r="R95" s="36"/>
      <c r="S95" s="36"/>
      <c r="T95" s="36"/>
      <c r="U95" s="36"/>
      <c r="V95" s="36"/>
      <c r="W95" s="36"/>
      <c r="X95" s="36"/>
      <c r="Y95" s="36"/>
      <c r="Z95" s="36"/>
    </row>
    <row r="96" ht="15.75" customHeight="1">
      <c r="A96" s="36"/>
      <c r="B96" s="36"/>
      <c r="C96" s="37"/>
      <c r="D96" s="37"/>
      <c r="E96" s="36"/>
      <c r="F96" s="36"/>
      <c r="G96" s="37"/>
      <c r="I96" s="37"/>
      <c r="J96" s="36"/>
      <c r="K96" s="36"/>
      <c r="L96" s="36"/>
      <c r="M96" s="36"/>
      <c r="N96" s="36"/>
      <c r="O96" s="36"/>
      <c r="P96" s="36"/>
      <c r="Q96" s="36"/>
      <c r="R96" s="36"/>
      <c r="S96" s="36"/>
      <c r="T96" s="36"/>
      <c r="U96" s="36"/>
      <c r="V96" s="36"/>
      <c r="W96" s="36"/>
      <c r="X96" s="36"/>
      <c r="Y96" s="36"/>
      <c r="Z96" s="36"/>
    </row>
    <row r="97" ht="15.75" customHeight="1">
      <c r="A97" s="36"/>
      <c r="B97" s="36"/>
      <c r="C97" s="37"/>
      <c r="D97" s="37"/>
      <c r="E97" s="36"/>
      <c r="F97" s="36"/>
      <c r="G97" s="37"/>
      <c r="I97" s="37"/>
      <c r="J97" s="36"/>
      <c r="K97" s="36"/>
      <c r="L97" s="36"/>
      <c r="M97" s="36"/>
      <c r="N97" s="36"/>
      <c r="O97" s="36"/>
      <c r="P97" s="36"/>
      <c r="Q97" s="36"/>
      <c r="R97" s="36"/>
      <c r="S97" s="36"/>
      <c r="T97" s="36"/>
      <c r="U97" s="36"/>
      <c r="V97" s="36"/>
      <c r="W97" s="36"/>
      <c r="X97" s="36"/>
      <c r="Y97" s="36"/>
      <c r="Z97" s="36"/>
    </row>
    <row r="98" ht="15.75" customHeight="1">
      <c r="A98" s="36"/>
      <c r="B98" s="36"/>
      <c r="C98" s="37"/>
      <c r="D98" s="37"/>
      <c r="E98" s="36"/>
      <c r="F98" s="36"/>
      <c r="G98" s="37"/>
      <c r="I98" s="37"/>
      <c r="J98" s="36"/>
      <c r="K98" s="36"/>
      <c r="L98" s="36"/>
      <c r="M98" s="36"/>
      <c r="N98" s="36"/>
      <c r="O98" s="36"/>
      <c r="P98" s="36"/>
      <c r="Q98" s="36"/>
      <c r="R98" s="36"/>
      <c r="S98" s="36"/>
      <c r="T98" s="36"/>
      <c r="U98" s="36"/>
      <c r="V98" s="36"/>
      <c r="W98" s="36"/>
      <c r="X98" s="36"/>
      <c r="Y98" s="36"/>
      <c r="Z98" s="36"/>
    </row>
    <row r="99" ht="15.75" customHeight="1">
      <c r="A99" s="36"/>
      <c r="B99" s="36"/>
      <c r="C99" s="37"/>
      <c r="D99" s="37"/>
      <c r="E99" s="36"/>
      <c r="F99" s="36"/>
      <c r="G99" s="37"/>
      <c r="I99" s="37"/>
      <c r="J99" s="36"/>
      <c r="K99" s="36"/>
      <c r="L99" s="36"/>
      <c r="M99" s="36"/>
      <c r="N99" s="36"/>
      <c r="O99" s="36"/>
      <c r="P99" s="36"/>
      <c r="Q99" s="36"/>
      <c r="R99" s="36"/>
      <c r="S99" s="36"/>
      <c r="T99" s="36"/>
      <c r="U99" s="36"/>
      <c r="V99" s="36"/>
      <c r="W99" s="36"/>
      <c r="X99" s="36"/>
      <c r="Y99" s="36"/>
      <c r="Z99" s="36"/>
    </row>
    <row r="100" ht="15.75" customHeight="1">
      <c r="A100" s="36"/>
      <c r="B100" s="36"/>
      <c r="C100" s="37"/>
      <c r="D100" s="37"/>
      <c r="E100" s="36"/>
      <c r="F100" s="36"/>
      <c r="G100" s="37"/>
      <c r="I100" s="37"/>
      <c r="J100" s="36"/>
      <c r="K100" s="36"/>
      <c r="L100" s="36"/>
      <c r="M100" s="36"/>
      <c r="N100" s="36"/>
      <c r="O100" s="36"/>
      <c r="P100" s="36"/>
      <c r="Q100" s="36"/>
      <c r="R100" s="36"/>
      <c r="S100" s="36"/>
      <c r="T100" s="36"/>
      <c r="U100" s="36"/>
      <c r="V100" s="36"/>
      <c r="W100" s="36"/>
      <c r="X100" s="36"/>
      <c r="Y100" s="36"/>
      <c r="Z100" s="36"/>
    </row>
    <row r="101" ht="15.75" customHeight="1">
      <c r="A101" s="36"/>
      <c r="B101" s="36"/>
      <c r="C101" s="37"/>
      <c r="D101" s="37"/>
      <c r="E101" s="36"/>
      <c r="F101" s="36"/>
      <c r="G101" s="37"/>
      <c r="I101" s="37"/>
      <c r="J101" s="36"/>
      <c r="K101" s="36"/>
      <c r="L101" s="36"/>
      <c r="M101" s="36"/>
      <c r="N101" s="36"/>
      <c r="O101" s="36"/>
      <c r="P101" s="36"/>
      <c r="Q101" s="36"/>
      <c r="R101" s="36"/>
      <c r="S101" s="36"/>
      <c r="T101" s="36"/>
      <c r="U101" s="36"/>
      <c r="V101" s="36"/>
      <c r="W101" s="36"/>
      <c r="X101" s="36"/>
      <c r="Y101" s="36"/>
      <c r="Z101" s="36"/>
    </row>
    <row r="102" ht="15.75" customHeight="1">
      <c r="A102" s="36"/>
      <c r="B102" s="36"/>
      <c r="C102" s="37"/>
      <c r="D102" s="37"/>
      <c r="E102" s="36"/>
      <c r="F102" s="36"/>
      <c r="G102" s="37"/>
      <c r="I102" s="37"/>
      <c r="J102" s="36"/>
      <c r="K102" s="36"/>
      <c r="L102" s="36"/>
      <c r="M102" s="36"/>
      <c r="N102" s="36"/>
      <c r="O102" s="36"/>
      <c r="P102" s="36"/>
      <c r="Q102" s="36"/>
      <c r="R102" s="36"/>
      <c r="S102" s="36"/>
      <c r="T102" s="36"/>
      <c r="U102" s="36"/>
      <c r="V102" s="36"/>
      <c r="W102" s="36"/>
      <c r="X102" s="36"/>
      <c r="Y102" s="36"/>
      <c r="Z102" s="36"/>
    </row>
    <row r="103" ht="15.75" customHeight="1">
      <c r="A103" s="36"/>
      <c r="B103" s="36"/>
      <c r="C103" s="37"/>
      <c r="D103" s="37"/>
      <c r="E103" s="36"/>
      <c r="F103" s="36"/>
      <c r="G103" s="37"/>
      <c r="I103" s="37"/>
      <c r="J103" s="36"/>
      <c r="K103" s="36"/>
      <c r="L103" s="36"/>
      <c r="M103" s="36"/>
      <c r="N103" s="36"/>
      <c r="O103" s="36"/>
      <c r="P103" s="36"/>
      <c r="Q103" s="36"/>
      <c r="R103" s="36"/>
      <c r="S103" s="36"/>
      <c r="T103" s="36"/>
      <c r="U103" s="36"/>
      <c r="V103" s="36"/>
      <c r="W103" s="36"/>
      <c r="X103" s="36"/>
      <c r="Y103" s="36"/>
      <c r="Z103" s="36"/>
    </row>
    <row r="104" ht="15.75" customHeight="1">
      <c r="A104" s="36"/>
      <c r="B104" s="36"/>
      <c r="C104" s="37"/>
      <c r="D104" s="37"/>
      <c r="E104" s="36"/>
      <c r="F104" s="36"/>
      <c r="G104" s="37"/>
      <c r="I104" s="37"/>
      <c r="J104" s="36"/>
      <c r="K104" s="36"/>
      <c r="L104" s="36"/>
      <c r="M104" s="36"/>
      <c r="N104" s="36"/>
      <c r="O104" s="36"/>
      <c r="P104" s="36"/>
      <c r="Q104" s="36"/>
      <c r="R104" s="36"/>
      <c r="S104" s="36"/>
      <c r="T104" s="36"/>
      <c r="U104" s="36"/>
      <c r="V104" s="36"/>
      <c r="W104" s="36"/>
      <c r="X104" s="36"/>
      <c r="Y104" s="36"/>
      <c r="Z104" s="36"/>
    </row>
    <row r="105" ht="15.75" customHeight="1">
      <c r="A105" s="36"/>
      <c r="B105" s="36"/>
      <c r="C105" s="37"/>
      <c r="D105" s="37"/>
      <c r="E105" s="36"/>
      <c r="F105" s="36"/>
      <c r="G105" s="37"/>
      <c r="I105" s="37"/>
      <c r="J105" s="36"/>
      <c r="K105" s="36"/>
      <c r="L105" s="36"/>
      <c r="M105" s="36"/>
      <c r="N105" s="36"/>
      <c r="O105" s="36"/>
      <c r="P105" s="36"/>
      <c r="Q105" s="36"/>
      <c r="R105" s="36"/>
      <c r="S105" s="36"/>
      <c r="T105" s="36"/>
      <c r="U105" s="36"/>
      <c r="V105" s="36"/>
      <c r="W105" s="36"/>
      <c r="X105" s="36"/>
      <c r="Y105" s="36"/>
      <c r="Z105" s="36"/>
    </row>
    <row r="106" ht="15.75" customHeight="1">
      <c r="A106" s="36"/>
      <c r="B106" s="36"/>
      <c r="C106" s="37"/>
      <c r="D106" s="37"/>
      <c r="E106" s="36"/>
      <c r="F106" s="36"/>
      <c r="G106" s="37"/>
      <c r="I106" s="37"/>
      <c r="J106" s="36"/>
      <c r="K106" s="36"/>
      <c r="L106" s="36"/>
      <c r="M106" s="36"/>
      <c r="N106" s="36"/>
      <c r="O106" s="36"/>
      <c r="P106" s="36"/>
      <c r="Q106" s="36"/>
      <c r="R106" s="36"/>
      <c r="S106" s="36"/>
      <c r="T106" s="36"/>
      <c r="U106" s="36"/>
      <c r="V106" s="36"/>
      <c r="W106" s="36"/>
      <c r="X106" s="36"/>
      <c r="Y106" s="36"/>
      <c r="Z106" s="36"/>
    </row>
    <row r="107" ht="15.75" customHeight="1">
      <c r="A107" s="36"/>
      <c r="B107" s="36"/>
      <c r="C107" s="37"/>
      <c r="D107" s="37"/>
      <c r="E107" s="36"/>
      <c r="F107" s="36"/>
      <c r="G107" s="37"/>
      <c r="I107" s="37"/>
      <c r="J107" s="36"/>
      <c r="K107" s="36"/>
      <c r="L107" s="36"/>
      <c r="M107" s="36"/>
      <c r="N107" s="36"/>
      <c r="O107" s="36"/>
      <c r="P107" s="36"/>
      <c r="Q107" s="36"/>
      <c r="R107" s="36"/>
      <c r="S107" s="36"/>
      <c r="T107" s="36"/>
      <c r="U107" s="36"/>
      <c r="V107" s="36"/>
      <c r="W107" s="36"/>
      <c r="X107" s="36"/>
      <c r="Y107" s="36"/>
      <c r="Z107" s="36"/>
    </row>
    <row r="108" ht="15.75" customHeight="1">
      <c r="A108" s="36"/>
      <c r="B108" s="36"/>
      <c r="C108" s="37"/>
      <c r="D108" s="37"/>
      <c r="E108" s="36"/>
      <c r="F108" s="36"/>
      <c r="G108" s="37"/>
      <c r="I108" s="37"/>
      <c r="J108" s="36"/>
      <c r="K108" s="36"/>
      <c r="L108" s="36"/>
      <c r="M108" s="36"/>
      <c r="N108" s="36"/>
      <c r="O108" s="36"/>
      <c r="P108" s="36"/>
      <c r="Q108" s="36"/>
      <c r="R108" s="36"/>
      <c r="S108" s="36"/>
      <c r="T108" s="36"/>
      <c r="U108" s="36"/>
      <c r="V108" s="36"/>
      <c r="W108" s="36"/>
      <c r="X108" s="36"/>
      <c r="Y108" s="36"/>
      <c r="Z108" s="36"/>
    </row>
    <row r="109" ht="15.75" customHeight="1">
      <c r="A109" s="36"/>
      <c r="B109" s="36"/>
      <c r="C109" s="37"/>
      <c r="D109" s="37"/>
      <c r="E109" s="36"/>
      <c r="F109" s="36"/>
      <c r="G109" s="37"/>
      <c r="I109" s="37"/>
      <c r="J109" s="36"/>
      <c r="K109" s="36"/>
      <c r="L109" s="36"/>
      <c r="M109" s="36"/>
      <c r="N109" s="36"/>
      <c r="O109" s="36"/>
      <c r="P109" s="36"/>
      <c r="Q109" s="36"/>
      <c r="R109" s="36"/>
      <c r="S109" s="36"/>
      <c r="T109" s="36"/>
      <c r="U109" s="36"/>
      <c r="V109" s="36"/>
      <c r="W109" s="36"/>
      <c r="X109" s="36"/>
      <c r="Y109" s="36"/>
      <c r="Z109" s="36"/>
    </row>
    <row r="110" ht="15.75" customHeight="1">
      <c r="A110" s="36"/>
      <c r="B110" s="36"/>
      <c r="C110" s="37"/>
      <c r="D110" s="37"/>
      <c r="E110" s="36"/>
      <c r="F110" s="36"/>
      <c r="G110" s="37"/>
      <c r="I110" s="37"/>
      <c r="J110" s="36"/>
      <c r="K110" s="36"/>
      <c r="L110" s="36"/>
      <c r="M110" s="36"/>
      <c r="N110" s="36"/>
      <c r="O110" s="36"/>
      <c r="P110" s="36"/>
      <c r="Q110" s="36"/>
      <c r="R110" s="36"/>
      <c r="S110" s="36"/>
      <c r="T110" s="36"/>
      <c r="U110" s="36"/>
      <c r="V110" s="36"/>
      <c r="W110" s="36"/>
      <c r="X110" s="36"/>
      <c r="Y110" s="36"/>
      <c r="Z110" s="36"/>
    </row>
    <row r="111" ht="15.75" customHeight="1">
      <c r="A111" s="36"/>
      <c r="B111" s="36"/>
      <c r="C111" s="37"/>
      <c r="D111" s="37"/>
      <c r="E111" s="36"/>
      <c r="F111" s="36"/>
      <c r="G111" s="37"/>
      <c r="I111" s="37"/>
      <c r="J111" s="36"/>
      <c r="K111" s="36"/>
      <c r="L111" s="36"/>
      <c r="M111" s="36"/>
      <c r="N111" s="36"/>
      <c r="O111" s="36"/>
      <c r="P111" s="36"/>
      <c r="Q111" s="36"/>
      <c r="R111" s="36"/>
      <c r="S111" s="36"/>
      <c r="T111" s="36"/>
      <c r="U111" s="36"/>
      <c r="V111" s="36"/>
      <c r="W111" s="36"/>
      <c r="X111" s="36"/>
      <c r="Y111" s="36"/>
      <c r="Z111" s="36"/>
    </row>
    <row r="112" ht="15.75" customHeight="1">
      <c r="A112" s="36"/>
      <c r="B112" s="36"/>
      <c r="C112" s="37"/>
      <c r="D112" s="37"/>
      <c r="E112" s="36"/>
      <c r="F112" s="36"/>
      <c r="G112" s="37"/>
      <c r="I112" s="37"/>
      <c r="J112" s="36"/>
      <c r="K112" s="36"/>
      <c r="L112" s="36"/>
      <c r="M112" s="36"/>
      <c r="N112" s="36"/>
      <c r="O112" s="36"/>
      <c r="P112" s="36"/>
      <c r="Q112" s="36"/>
      <c r="R112" s="36"/>
      <c r="S112" s="36"/>
      <c r="T112" s="36"/>
      <c r="U112" s="36"/>
      <c r="V112" s="36"/>
      <c r="W112" s="36"/>
      <c r="X112" s="36"/>
      <c r="Y112" s="36"/>
      <c r="Z112" s="36"/>
    </row>
    <row r="113" ht="15.75" customHeight="1">
      <c r="A113" s="36"/>
      <c r="B113" s="36"/>
      <c r="C113" s="37"/>
      <c r="D113" s="37"/>
      <c r="E113" s="36"/>
      <c r="F113" s="36"/>
      <c r="G113" s="37"/>
      <c r="I113" s="37"/>
      <c r="J113" s="36"/>
      <c r="K113" s="36"/>
      <c r="L113" s="36"/>
      <c r="M113" s="36"/>
      <c r="N113" s="36"/>
      <c r="O113" s="36"/>
      <c r="P113" s="36"/>
      <c r="Q113" s="36"/>
      <c r="R113" s="36"/>
      <c r="S113" s="36"/>
      <c r="T113" s="36"/>
      <c r="U113" s="36"/>
      <c r="V113" s="36"/>
      <c r="W113" s="36"/>
      <c r="X113" s="36"/>
      <c r="Y113" s="36"/>
      <c r="Z113" s="36"/>
    </row>
    <row r="114" ht="15.75" customHeight="1">
      <c r="A114" s="36"/>
      <c r="B114" s="36"/>
      <c r="C114" s="37"/>
      <c r="D114" s="37"/>
      <c r="E114" s="36"/>
      <c r="F114" s="36"/>
      <c r="G114" s="37"/>
      <c r="I114" s="37"/>
      <c r="J114" s="36"/>
      <c r="K114" s="36"/>
      <c r="L114" s="36"/>
      <c r="M114" s="36"/>
      <c r="N114" s="36"/>
      <c r="O114" s="36"/>
      <c r="P114" s="36"/>
      <c r="Q114" s="36"/>
      <c r="R114" s="36"/>
      <c r="S114" s="36"/>
      <c r="T114" s="36"/>
      <c r="U114" s="36"/>
      <c r="V114" s="36"/>
      <c r="W114" s="36"/>
      <c r="X114" s="36"/>
      <c r="Y114" s="36"/>
      <c r="Z114" s="36"/>
    </row>
    <row r="115" ht="15.75" customHeight="1">
      <c r="A115" s="36"/>
      <c r="B115" s="36"/>
      <c r="C115" s="37"/>
      <c r="D115" s="37"/>
      <c r="E115" s="36"/>
      <c r="F115" s="36"/>
      <c r="G115" s="37"/>
      <c r="I115" s="37"/>
      <c r="J115" s="36"/>
      <c r="K115" s="36"/>
      <c r="L115" s="36"/>
      <c r="M115" s="36"/>
      <c r="N115" s="36"/>
      <c r="O115" s="36"/>
      <c r="P115" s="36"/>
      <c r="Q115" s="36"/>
      <c r="R115" s="36"/>
      <c r="S115" s="36"/>
      <c r="T115" s="36"/>
      <c r="U115" s="36"/>
      <c r="V115" s="36"/>
      <c r="W115" s="36"/>
      <c r="X115" s="36"/>
      <c r="Y115" s="36"/>
      <c r="Z115" s="36"/>
    </row>
    <row r="116" ht="15.75" customHeight="1">
      <c r="A116" s="36"/>
      <c r="B116" s="36"/>
      <c r="C116" s="37"/>
      <c r="D116" s="37"/>
      <c r="E116" s="36"/>
      <c r="F116" s="36"/>
      <c r="G116" s="37"/>
      <c r="I116" s="37"/>
      <c r="J116" s="36"/>
      <c r="K116" s="36"/>
      <c r="L116" s="36"/>
      <c r="M116" s="36"/>
      <c r="N116" s="36"/>
      <c r="O116" s="36"/>
      <c r="P116" s="36"/>
      <c r="Q116" s="36"/>
      <c r="R116" s="36"/>
      <c r="S116" s="36"/>
      <c r="T116" s="36"/>
      <c r="U116" s="36"/>
      <c r="V116" s="36"/>
      <c r="W116" s="36"/>
      <c r="X116" s="36"/>
      <c r="Y116" s="36"/>
      <c r="Z116" s="36"/>
    </row>
    <row r="117" ht="15.75" customHeight="1">
      <c r="A117" s="36"/>
      <c r="B117" s="36"/>
      <c r="C117" s="37"/>
      <c r="D117" s="37"/>
      <c r="E117" s="36"/>
      <c r="F117" s="36"/>
      <c r="G117" s="37"/>
      <c r="I117" s="37"/>
      <c r="J117" s="36"/>
      <c r="K117" s="36"/>
      <c r="L117" s="36"/>
      <c r="M117" s="36"/>
      <c r="N117" s="36"/>
      <c r="O117" s="36"/>
      <c r="P117" s="36"/>
      <c r="Q117" s="36"/>
      <c r="R117" s="36"/>
      <c r="S117" s="36"/>
      <c r="T117" s="36"/>
      <c r="U117" s="36"/>
      <c r="V117" s="36"/>
      <c r="W117" s="36"/>
      <c r="X117" s="36"/>
      <c r="Y117" s="36"/>
      <c r="Z117" s="36"/>
    </row>
    <row r="118" ht="15.75" customHeight="1">
      <c r="A118" s="36"/>
      <c r="B118" s="36"/>
      <c r="C118" s="37"/>
      <c r="D118" s="37"/>
      <c r="E118" s="36"/>
      <c r="F118" s="36"/>
      <c r="G118" s="37"/>
      <c r="I118" s="37"/>
      <c r="J118" s="36"/>
      <c r="K118" s="36"/>
      <c r="L118" s="36"/>
      <c r="M118" s="36"/>
      <c r="N118" s="36"/>
      <c r="O118" s="36"/>
      <c r="P118" s="36"/>
      <c r="Q118" s="36"/>
      <c r="R118" s="36"/>
      <c r="S118" s="36"/>
      <c r="T118" s="36"/>
      <c r="U118" s="36"/>
      <c r="V118" s="36"/>
      <c r="W118" s="36"/>
      <c r="X118" s="36"/>
      <c r="Y118" s="36"/>
      <c r="Z118" s="36"/>
    </row>
    <row r="119" ht="15.75" customHeight="1">
      <c r="A119" s="36"/>
      <c r="B119" s="36"/>
      <c r="C119" s="37"/>
      <c r="D119" s="37"/>
      <c r="E119" s="36"/>
      <c r="F119" s="36"/>
      <c r="G119" s="37"/>
      <c r="I119" s="37"/>
      <c r="J119" s="36"/>
      <c r="K119" s="36"/>
      <c r="L119" s="36"/>
      <c r="M119" s="36"/>
      <c r="N119" s="36"/>
      <c r="O119" s="36"/>
      <c r="P119" s="36"/>
      <c r="Q119" s="36"/>
      <c r="R119" s="36"/>
      <c r="S119" s="36"/>
      <c r="T119" s="36"/>
      <c r="U119" s="36"/>
      <c r="V119" s="36"/>
      <c r="W119" s="36"/>
      <c r="X119" s="36"/>
      <c r="Y119" s="36"/>
      <c r="Z119" s="36"/>
    </row>
    <row r="120" ht="15.75" customHeight="1">
      <c r="A120" s="36"/>
      <c r="B120" s="36"/>
      <c r="C120" s="37"/>
      <c r="D120" s="37"/>
      <c r="E120" s="36"/>
      <c r="F120" s="36"/>
      <c r="G120" s="37"/>
      <c r="I120" s="37"/>
      <c r="J120" s="36"/>
      <c r="K120" s="36"/>
      <c r="L120" s="36"/>
      <c r="M120" s="36"/>
      <c r="N120" s="36"/>
      <c r="O120" s="36"/>
      <c r="P120" s="36"/>
      <c r="Q120" s="36"/>
      <c r="R120" s="36"/>
      <c r="S120" s="36"/>
      <c r="T120" s="36"/>
      <c r="U120" s="36"/>
      <c r="V120" s="36"/>
      <c r="W120" s="36"/>
      <c r="X120" s="36"/>
      <c r="Y120" s="36"/>
      <c r="Z120" s="36"/>
    </row>
    <row r="121" ht="15.75" customHeight="1">
      <c r="A121" s="36"/>
      <c r="B121" s="36"/>
      <c r="C121" s="37"/>
      <c r="D121" s="37"/>
      <c r="E121" s="36"/>
      <c r="F121" s="36"/>
      <c r="G121" s="37"/>
      <c r="I121" s="37"/>
      <c r="J121" s="36"/>
      <c r="K121" s="36"/>
      <c r="L121" s="36"/>
      <c r="M121" s="36"/>
      <c r="N121" s="36"/>
      <c r="O121" s="36"/>
      <c r="P121" s="36"/>
      <c r="Q121" s="36"/>
      <c r="R121" s="36"/>
      <c r="S121" s="36"/>
      <c r="T121" s="36"/>
      <c r="U121" s="36"/>
      <c r="V121" s="36"/>
      <c r="W121" s="36"/>
      <c r="X121" s="36"/>
      <c r="Y121" s="36"/>
      <c r="Z121" s="36"/>
    </row>
    <row r="122" ht="15.75" customHeight="1">
      <c r="A122" s="36"/>
      <c r="B122" s="36"/>
      <c r="C122" s="37"/>
      <c r="D122" s="37"/>
      <c r="E122" s="36"/>
      <c r="F122" s="36"/>
      <c r="G122" s="37"/>
      <c r="I122" s="37"/>
      <c r="J122" s="36"/>
      <c r="K122" s="36"/>
      <c r="L122" s="36"/>
      <c r="M122" s="36"/>
      <c r="N122" s="36"/>
      <c r="O122" s="36"/>
      <c r="P122" s="36"/>
      <c r="Q122" s="36"/>
      <c r="R122" s="36"/>
      <c r="S122" s="36"/>
      <c r="T122" s="36"/>
      <c r="U122" s="36"/>
      <c r="V122" s="36"/>
      <c r="W122" s="36"/>
      <c r="X122" s="36"/>
      <c r="Y122" s="36"/>
      <c r="Z122" s="36"/>
    </row>
    <row r="123" ht="15.75" customHeight="1">
      <c r="A123" s="36"/>
      <c r="B123" s="36"/>
      <c r="C123" s="37"/>
      <c r="D123" s="37"/>
      <c r="E123" s="36"/>
      <c r="F123" s="36"/>
      <c r="G123" s="37"/>
      <c r="I123" s="37"/>
      <c r="J123" s="36"/>
      <c r="K123" s="36"/>
      <c r="L123" s="36"/>
      <c r="M123" s="36"/>
      <c r="N123" s="36"/>
      <c r="O123" s="36"/>
      <c r="P123" s="36"/>
      <c r="Q123" s="36"/>
      <c r="R123" s="36"/>
      <c r="S123" s="36"/>
      <c r="T123" s="36"/>
      <c r="U123" s="36"/>
      <c r="V123" s="36"/>
      <c r="W123" s="36"/>
      <c r="X123" s="36"/>
      <c r="Y123" s="36"/>
      <c r="Z123" s="36"/>
    </row>
    <row r="124" ht="15.75" customHeight="1">
      <c r="A124" s="36"/>
      <c r="B124" s="36"/>
      <c r="C124" s="37"/>
      <c r="D124" s="37"/>
      <c r="E124" s="36"/>
      <c r="F124" s="36"/>
      <c r="G124" s="37"/>
      <c r="I124" s="37"/>
      <c r="J124" s="36"/>
      <c r="K124" s="36"/>
      <c r="L124" s="36"/>
      <c r="M124" s="36"/>
      <c r="N124" s="36"/>
      <c r="O124" s="36"/>
      <c r="P124" s="36"/>
      <c r="Q124" s="36"/>
      <c r="R124" s="36"/>
      <c r="S124" s="36"/>
      <c r="T124" s="36"/>
      <c r="U124" s="36"/>
      <c r="V124" s="36"/>
      <c r="W124" s="36"/>
      <c r="X124" s="36"/>
      <c r="Y124" s="36"/>
      <c r="Z124" s="36"/>
    </row>
    <row r="125" ht="15.75" customHeight="1">
      <c r="A125" s="36"/>
      <c r="B125" s="36"/>
      <c r="C125" s="37"/>
      <c r="D125" s="37"/>
      <c r="E125" s="36"/>
      <c r="F125" s="36"/>
      <c r="G125" s="37"/>
      <c r="I125" s="37"/>
      <c r="J125" s="36"/>
      <c r="K125" s="36"/>
      <c r="L125" s="36"/>
      <c r="M125" s="36"/>
      <c r="N125" s="36"/>
      <c r="O125" s="36"/>
      <c r="P125" s="36"/>
      <c r="Q125" s="36"/>
      <c r="R125" s="36"/>
      <c r="S125" s="36"/>
      <c r="T125" s="36"/>
      <c r="U125" s="36"/>
      <c r="V125" s="36"/>
      <c r="W125" s="36"/>
      <c r="X125" s="36"/>
      <c r="Y125" s="36"/>
      <c r="Z125" s="36"/>
    </row>
    <row r="126" ht="15.75" customHeight="1">
      <c r="A126" s="36"/>
      <c r="B126" s="36"/>
      <c r="C126" s="37"/>
      <c r="D126" s="37"/>
      <c r="E126" s="36"/>
      <c r="F126" s="36"/>
      <c r="G126" s="37"/>
      <c r="I126" s="37"/>
      <c r="J126" s="36"/>
      <c r="K126" s="36"/>
      <c r="L126" s="36"/>
      <c r="M126" s="36"/>
      <c r="N126" s="36"/>
      <c r="O126" s="36"/>
      <c r="P126" s="36"/>
      <c r="Q126" s="36"/>
      <c r="R126" s="36"/>
      <c r="S126" s="36"/>
      <c r="T126" s="36"/>
      <c r="U126" s="36"/>
      <c r="V126" s="36"/>
      <c r="W126" s="36"/>
      <c r="X126" s="36"/>
      <c r="Y126" s="36"/>
      <c r="Z126" s="36"/>
    </row>
    <row r="127" ht="15.75" customHeight="1">
      <c r="A127" s="36"/>
      <c r="B127" s="36"/>
      <c r="C127" s="37"/>
      <c r="D127" s="37"/>
      <c r="E127" s="36"/>
      <c r="F127" s="36"/>
      <c r="G127" s="37"/>
      <c r="I127" s="37"/>
      <c r="J127" s="36"/>
      <c r="K127" s="36"/>
      <c r="L127" s="36"/>
      <c r="M127" s="36"/>
      <c r="N127" s="36"/>
      <c r="O127" s="36"/>
      <c r="P127" s="36"/>
      <c r="Q127" s="36"/>
      <c r="R127" s="36"/>
      <c r="S127" s="36"/>
      <c r="T127" s="36"/>
      <c r="U127" s="36"/>
      <c r="V127" s="36"/>
      <c r="W127" s="36"/>
      <c r="X127" s="36"/>
      <c r="Y127" s="36"/>
      <c r="Z127" s="36"/>
    </row>
    <row r="128" ht="15.75" customHeight="1">
      <c r="A128" s="36"/>
      <c r="B128" s="36"/>
      <c r="C128" s="37"/>
      <c r="D128" s="37"/>
      <c r="E128" s="36"/>
      <c r="F128" s="36"/>
      <c r="G128" s="37"/>
      <c r="I128" s="37"/>
      <c r="J128" s="36"/>
      <c r="K128" s="36"/>
      <c r="L128" s="36"/>
      <c r="M128" s="36"/>
      <c r="N128" s="36"/>
      <c r="O128" s="36"/>
      <c r="P128" s="36"/>
      <c r="Q128" s="36"/>
      <c r="R128" s="36"/>
      <c r="S128" s="36"/>
      <c r="T128" s="36"/>
      <c r="U128" s="36"/>
      <c r="V128" s="36"/>
      <c r="W128" s="36"/>
      <c r="X128" s="36"/>
      <c r="Y128" s="36"/>
      <c r="Z128" s="36"/>
    </row>
    <row r="129" ht="15.75" customHeight="1">
      <c r="A129" s="36"/>
      <c r="B129" s="36"/>
      <c r="C129" s="37"/>
      <c r="D129" s="37"/>
      <c r="E129" s="36"/>
      <c r="F129" s="36"/>
      <c r="G129" s="37"/>
      <c r="I129" s="37"/>
      <c r="J129" s="36"/>
      <c r="K129" s="36"/>
      <c r="L129" s="36"/>
      <c r="M129" s="36"/>
      <c r="N129" s="36"/>
      <c r="O129" s="36"/>
      <c r="P129" s="36"/>
      <c r="Q129" s="36"/>
      <c r="R129" s="36"/>
      <c r="S129" s="36"/>
      <c r="T129" s="36"/>
      <c r="U129" s="36"/>
      <c r="V129" s="36"/>
      <c r="W129" s="36"/>
      <c r="X129" s="36"/>
      <c r="Y129" s="36"/>
      <c r="Z129" s="36"/>
    </row>
    <row r="130" ht="15.75" customHeight="1">
      <c r="A130" s="36"/>
      <c r="B130" s="36"/>
      <c r="C130" s="37"/>
      <c r="D130" s="37"/>
      <c r="E130" s="36"/>
      <c r="F130" s="36"/>
      <c r="G130" s="37"/>
      <c r="I130" s="37"/>
      <c r="J130" s="36"/>
      <c r="K130" s="36"/>
      <c r="L130" s="36"/>
      <c r="M130" s="36"/>
      <c r="N130" s="36"/>
      <c r="O130" s="36"/>
      <c r="P130" s="36"/>
      <c r="Q130" s="36"/>
      <c r="R130" s="36"/>
      <c r="S130" s="36"/>
      <c r="T130" s="36"/>
      <c r="U130" s="36"/>
      <c r="V130" s="36"/>
      <c r="W130" s="36"/>
      <c r="X130" s="36"/>
      <c r="Y130" s="36"/>
      <c r="Z130" s="36"/>
    </row>
    <row r="131" ht="15.75" customHeight="1">
      <c r="A131" s="36"/>
      <c r="B131" s="36"/>
      <c r="C131" s="37"/>
      <c r="D131" s="37"/>
      <c r="E131" s="36"/>
      <c r="F131" s="36"/>
      <c r="G131" s="37"/>
      <c r="I131" s="37"/>
      <c r="J131" s="36"/>
      <c r="K131" s="36"/>
      <c r="L131" s="36"/>
      <c r="M131" s="36"/>
      <c r="N131" s="36"/>
      <c r="O131" s="36"/>
      <c r="P131" s="36"/>
      <c r="Q131" s="36"/>
      <c r="R131" s="36"/>
      <c r="S131" s="36"/>
      <c r="T131" s="36"/>
      <c r="U131" s="36"/>
      <c r="V131" s="36"/>
      <c r="W131" s="36"/>
      <c r="X131" s="36"/>
      <c r="Y131" s="36"/>
      <c r="Z131" s="36"/>
    </row>
    <row r="132" ht="15.75" customHeight="1">
      <c r="A132" s="36"/>
      <c r="B132" s="36"/>
      <c r="C132" s="37"/>
      <c r="D132" s="37"/>
      <c r="E132" s="36"/>
      <c r="F132" s="36"/>
      <c r="G132" s="37"/>
      <c r="I132" s="37"/>
      <c r="J132" s="36"/>
      <c r="K132" s="36"/>
      <c r="L132" s="36"/>
      <c r="M132" s="36"/>
      <c r="N132" s="36"/>
      <c r="O132" s="36"/>
      <c r="P132" s="36"/>
      <c r="Q132" s="36"/>
      <c r="R132" s="36"/>
      <c r="S132" s="36"/>
      <c r="T132" s="36"/>
      <c r="U132" s="36"/>
      <c r="V132" s="36"/>
      <c r="W132" s="36"/>
      <c r="X132" s="36"/>
      <c r="Y132" s="36"/>
      <c r="Z132" s="36"/>
    </row>
    <row r="133" ht="15.75" customHeight="1">
      <c r="A133" s="36"/>
      <c r="B133" s="36"/>
      <c r="C133" s="37"/>
      <c r="D133" s="37"/>
      <c r="E133" s="36"/>
      <c r="F133" s="36"/>
      <c r="G133" s="37"/>
      <c r="I133" s="37"/>
      <c r="J133" s="36"/>
      <c r="K133" s="36"/>
      <c r="L133" s="36"/>
      <c r="M133" s="36"/>
      <c r="N133" s="36"/>
      <c r="O133" s="36"/>
      <c r="P133" s="36"/>
      <c r="Q133" s="36"/>
      <c r="R133" s="36"/>
      <c r="S133" s="36"/>
      <c r="T133" s="36"/>
      <c r="U133" s="36"/>
      <c r="V133" s="36"/>
      <c r="W133" s="36"/>
      <c r="X133" s="36"/>
      <c r="Y133" s="36"/>
      <c r="Z133" s="36"/>
    </row>
    <row r="134" ht="15.75" customHeight="1">
      <c r="A134" s="36"/>
      <c r="B134" s="36"/>
      <c r="C134" s="37"/>
      <c r="D134" s="37"/>
      <c r="E134" s="36"/>
      <c r="F134" s="36"/>
      <c r="G134" s="37"/>
      <c r="I134" s="37"/>
      <c r="J134" s="36"/>
      <c r="K134" s="36"/>
      <c r="L134" s="36"/>
      <c r="M134" s="36"/>
      <c r="N134" s="36"/>
      <c r="O134" s="36"/>
      <c r="P134" s="36"/>
      <c r="Q134" s="36"/>
      <c r="R134" s="36"/>
      <c r="S134" s="36"/>
      <c r="T134" s="36"/>
      <c r="U134" s="36"/>
      <c r="V134" s="36"/>
      <c r="W134" s="36"/>
      <c r="X134" s="36"/>
      <c r="Y134" s="36"/>
      <c r="Z134" s="36"/>
    </row>
    <row r="135" ht="15.75" customHeight="1">
      <c r="A135" s="36"/>
      <c r="B135" s="36"/>
      <c r="C135" s="37"/>
      <c r="D135" s="37"/>
      <c r="E135" s="36"/>
      <c r="F135" s="36"/>
      <c r="G135" s="37"/>
      <c r="I135" s="37"/>
      <c r="J135" s="36"/>
      <c r="K135" s="36"/>
      <c r="L135" s="36"/>
      <c r="M135" s="36"/>
      <c r="N135" s="36"/>
      <c r="O135" s="36"/>
      <c r="P135" s="36"/>
      <c r="Q135" s="36"/>
      <c r="R135" s="36"/>
      <c r="S135" s="36"/>
      <c r="T135" s="36"/>
      <c r="U135" s="36"/>
      <c r="V135" s="36"/>
      <c r="W135" s="36"/>
      <c r="X135" s="36"/>
      <c r="Y135" s="36"/>
      <c r="Z135" s="36"/>
    </row>
    <row r="136" ht="15.75" customHeight="1">
      <c r="A136" s="36"/>
      <c r="B136" s="36"/>
      <c r="C136" s="37"/>
      <c r="D136" s="37"/>
      <c r="E136" s="36"/>
      <c r="F136" s="36"/>
      <c r="G136" s="37"/>
      <c r="I136" s="37"/>
      <c r="J136" s="36"/>
      <c r="K136" s="36"/>
      <c r="L136" s="36"/>
      <c r="M136" s="36"/>
      <c r="N136" s="36"/>
      <c r="O136" s="36"/>
      <c r="P136" s="36"/>
      <c r="Q136" s="36"/>
      <c r="R136" s="36"/>
      <c r="S136" s="36"/>
      <c r="T136" s="36"/>
      <c r="U136" s="36"/>
      <c r="V136" s="36"/>
      <c r="W136" s="36"/>
      <c r="X136" s="36"/>
      <c r="Y136" s="36"/>
      <c r="Z136" s="36"/>
    </row>
    <row r="137" ht="15.75" customHeight="1">
      <c r="A137" s="36"/>
      <c r="B137" s="36"/>
      <c r="C137" s="37"/>
      <c r="D137" s="37"/>
      <c r="E137" s="36"/>
      <c r="F137" s="36"/>
      <c r="G137" s="37"/>
      <c r="I137" s="37"/>
      <c r="J137" s="36"/>
      <c r="K137" s="36"/>
      <c r="L137" s="36"/>
      <c r="M137" s="36"/>
      <c r="N137" s="36"/>
      <c r="O137" s="36"/>
      <c r="P137" s="36"/>
      <c r="Q137" s="36"/>
      <c r="R137" s="36"/>
      <c r="S137" s="36"/>
      <c r="T137" s="36"/>
      <c r="U137" s="36"/>
      <c r="V137" s="36"/>
      <c r="W137" s="36"/>
      <c r="X137" s="36"/>
      <c r="Y137" s="36"/>
      <c r="Z137" s="36"/>
    </row>
    <row r="138" ht="15.75" customHeight="1">
      <c r="A138" s="36"/>
      <c r="B138" s="36"/>
      <c r="C138" s="37"/>
      <c r="D138" s="37"/>
      <c r="E138" s="36"/>
      <c r="F138" s="36"/>
      <c r="G138" s="37"/>
      <c r="I138" s="37"/>
      <c r="J138" s="36"/>
      <c r="K138" s="36"/>
      <c r="L138" s="36"/>
      <c r="M138" s="36"/>
      <c r="N138" s="36"/>
      <c r="O138" s="36"/>
      <c r="P138" s="36"/>
      <c r="Q138" s="36"/>
      <c r="R138" s="36"/>
      <c r="S138" s="36"/>
      <c r="T138" s="36"/>
      <c r="U138" s="36"/>
      <c r="V138" s="36"/>
      <c r="W138" s="36"/>
      <c r="X138" s="36"/>
      <c r="Y138" s="36"/>
      <c r="Z138" s="36"/>
    </row>
    <row r="139" ht="15.75" customHeight="1">
      <c r="A139" s="36"/>
      <c r="B139" s="36"/>
      <c r="C139" s="37"/>
      <c r="D139" s="37"/>
      <c r="E139" s="36"/>
      <c r="F139" s="36"/>
      <c r="G139" s="37"/>
      <c r="I139" s="37"/>
      <c r="J139" s="36"/>
      <c r="K139" s="36"/>
      <c r="L139" s="36"/>
      <c r="M139" s="36"/>
      <c r="N139" s="36"/>
      <c r="O139" s="36"/>
      <c r="P139" s="36"/>
      <c r="Q139" s="36"/>
      <c r="R139" s="36"/>
      <c r="S139" s="36"/>
      <c r="T139" s="36"/>
      <c r="U139" s="36"/>
      <c r="V139" s="36"/>
      <c r="W139" s="36"/>
      <c r="X139" s="36"/>
      <c r="Y139" s="36"/>
      <c r="Z139" s="36"/>
    </row>
    <row r="140" ht="15.75" customHeight="1">
      <c r="A140" s="36"/>
      <c r="B140" s="36"/>
      <c r="C140" s="37"/>
      <c r="D140" s="37"/>
      <c r="E140" s="36"/>
      <c r="F140" s="36"/>
      <c r="G140" s="37"/>
      <c r="I140" s="37"/>
      <c r="J140" s="36"/>
      <c r="K140" s="36"/>
      <c r="L140" s="36"/>
      <c r="M140" s="36"/>
      <c r="N140" s="36"/>
      <c r="O140" s="36"/>
      <c r="P140" s="36"/>
      <c r="Q140" s="36"/>
      <c r="R140" s="36"/>
      <c r="S140" s="36"/>
      <c r="T140" s="36"/>
      <c r="U140" s="36"/>
      <c r="V140" s="36"/>
      <c r="W140" s="36"/>
      <c r="X140" s="36"/>
      <c r="Y140" s="36"/>
      <c r="Z140" s="36"/>
    </row>
    <row r="141" ht="15.75" customHeight="1">
      <c r="A141" s="36"/>
      <c r="B141" s="36"/>
      <c r="C141" s="37"/>
      <c r="D141" s="37"/>
      <c r="E141" s="36"/>
      <c r="F141" s="36"/>
      <c r="G141" s="37"/>
      <c r="I141" s="37"/>
      <c r="J141" s="36"/>
      <c r="K141" s="36"/>
      <c r="L141" s="36"/>
      <c r="M141" s="36"/>
      <c r="N141" s="36"/>
      <c r="O141" s="36"/>
      <c r="P141" s="36"/>
      <c r="Q141" s="36"/>
      <c r="R141" s="36"/>
      <c r="S141" s="36"/>
      <c r="T141" s="36"/>
      <c r="U141" s="36"/>
      <c r="V141" s="36"/>
      <c r="W141" s="36"/>
      <c r="X141" s="36"/>
      <c r="Y141" s="36"/>
      <c r="Z141" s="36"/>
    </row>
    <row r="142" ht="15.75" customHeight="1">
      <c r="A142" s="36"/>
      <c r="B142" s="36"/>
      <c r="C142" s="37"/>
      <c r="D142" s="37"/>
      <c r="E142" s="36"/>
      <c r="F142" s="36"/>
      <c r="G142" s="37"/>
      <c r="I142" s="37"/>
      <c r="J142" s="36"/>
      <c r="K142" s="36"/>
      <c r="L142" s="36"/>
      <c r="M142" s="36"/>
      <c r="N142" s="36"/>
      <c r="O142" s="36"/>
      <c r="P142" s="36"/>
      <c r="Q142" s="36"/>
      <c r="R142" s="36"/>
      <c r="S142" s="36"/>
      <c r="T142" s="36"/>
      <c r="U142" s="36"/>
      <c r="V142" s="36"/>
      <c r="W142" s="36"/>
      <c r="X142" s="36"/>
      <c r="Y142" s="36"/>
      <c r="Z142" s="36"/>
    </row>
    <row r="143" ht="15.75" customHeight="1">
      <c r="A143" s="36"/>
      <c r="B143" s="36"/>
      <c r="C143" s="37"/>
      <c r="D143" s="37"/>
      <c r="E143" s="36"/>
      <c r="F143" s="36"/>
      <c r="G143" s="37"/>
      <c r="I143" s="37"/>
      <c r="J143" s="36"/>
      <c r="K143" s="36"/>
      <c r="L143" s="36"/>
      <c r="M143" s="36"/>
      <c r="N143" s="36"/>
      <c r="O143" s="36"/>
      <c r="P143" s="36"/>
      <c r="Q143" s="36"/>
      <c r="R143" s="36"/>
      <c r="S143" s="36"/>
      <c r="T143" s="36"/>
      <c r="U143" s="36"/>
      <c r="V143" s="36"/>
      <c r="W143" s="36"/>
      <c r="X143" s="36"/>
      <c r="Y143" s="36"/>
      <c r="Z143" s="36"/>
    </row>
    <row r="144" ht="15.75" customHeight="1">
      <c r="A144" s="36"/>
      <c r="B144" s="36"/>
      <c r="C144" s="37"/>
      <c r="D144" s="37"/>
      <c r="E144" s="36"/>
      <c r="F144" s="36"/>
      <c r="G144" s="37"/>
      <c r="I144" s="37"/>
      <c r="J144" s="36"/>
      <c r="K144" s="36"/>
      <c r="L144" s="36"/>
      <c r="M144" s="36"/>
      <c r="N144" s="36"/>
      <c r="O144" s="36"/>
      <c r="P144" s="36"/>
      <c r="Q144" s="36"/>
      <c r="R144" s="36"/>
      <c r="S144" s="36"/>
      <c r="T144" s="36"/>
      <c r="U144" s="36"/>
      <c r="V144" s="36"/>
      <c r="W144" s="36"/>
      <c r="X144" s="36"/>
      <c r="Y144" s="36"/>
      <c r="Z144" s="36"/>
    </row>
    <row r="145" ht="15.75" customHeight="1">
      <c r="A145" s="36"/>
      <c r="B145" s="36"/>
      <c r="C145" s="37"/>
      <c r="D145" s="37"/>
      <c r="E145" s="36"/>
      <c r="F145" s="36"/>
      <c r="G145" s="37"/>
      <c r="I145" s="37"/>
      <c r="J145" s="36"/>
      <c r="K145" s="36"/>
      <c r="L145" s="36"/>
      <c r="M145" s="36"/>
      <c r="N145" s="36"/>
      <c r="O145" s="36"/>
      <c r="P145" s="36"/>
      <c r="Q145" s="36"/>
      <c r="R145" s="36"/>
      <c r="S145" s="36"/>
      <c r="T145" s="36"/>
      <c r="U145" s="36"/>
      <c r="V145" s="36"/>
      <c r="W145" s="36"/>
      <c r="X145" s="36"/>
      <c r="Y145" s="36"/>
      <c r="Z145" s="36"/>
    </row>
    <row r="146" ht="15.75" customHeight="1">
      <c r="A146" s="36"/>
      <c r="B146" s="36"/>
      <c r="C146" s="37"/>
      <c r="D146" s="37"/>
      <c r="E146" s="36"/>
      <c r="F146" s="36"/>
      <c r="G146" s="37"/>
      <c r="I146" s="37"/>
      <c r="J146" s="36"/>
      <c r="K146" s="36"/>
      <c r="L146" s="36"/>
      <c r="M146" s="36"/>
      <c r="N146" s="36"/>
      <c r="O146" s="36"/>
      <c r="P146" s="36"/>
      <c r="Q146" s="36"/>
      <c r="R146" s="36"/>
      <c r="S146" s="36"/>
      <c r="T146" s="36"/>
      <c r="U146" s="36"/>
      <c r="V146" s="36"/>
      <c r="W146" s="36"/>
      <c r="X146" s="36"/>
      <c r="Y146" s="36"/>
      <c r="Z146" s="36"/>
    </row>
    <row r="147" ht="15.75" customHeight="1">
      <c r="A147" s="36"/>
      <c r="B147" s="36"/>
      <c r="C147" s="37"/>
      <c r="D147" s="37"/>
      <c r="E147" s="36"/>
      <c r="F147" s="36"/>
      <c r="G147" s="37"/>
      <c r="I147" s="37"/>
      <c r="J147" s="36"/>
      <c r="K147" s="36"/>
      <c r="L147" s="36"/>
      <c r="M147" s="36"/>
      <c r="N147" s="36"/>
      <c r="O147" s="36"/>
      <c r="P147" s="36"/>
      <c r="Q147" s="36"/>
      <c r="R147" s="36"/>
      <c r="S147" s="36"/>
      <c r="T147" s="36"/>
      <c r="U147" s="36"/>
      <c r="V147" s="36"/>
      <c r="W147" s="36"/>
      <c r="X147" s="36"/>
      <c r="Y147" s="36"/>
      <c r="Z147" s="36"/>
    </row>
    <row r="148" ht="15.75" customHeight="1">
      <c r="A148" s="36"/>
      <c r="B148" s="36"/>
      <c r="C148" s="37"/>
      <c r="D148" s="37"/>
      <c r="E148" s="36"/>
      <c r="F148" s="36"/>
      <c r="G148" s="37"/>
      <c r="I148" s="37"/>
      <c r="J148" s="36"/>
      <c r="K148" s="36"/>
      <c r="L148" s="36"/>
      <c r="M148" s="36"/>
      <c r="N148" s="36"/>
      <c r="O148" s="36"/>
      <c r="P148" s="36"/>
      <c r="Q148" s="36"/>
      <c r="R148" s="36"/>
      <c r="S148" s="36"/>
      <c r="T148" s="36"/>
      <c r="U148" s="36"/>
      <c r="V148" s="36"/>
      <c r="W148" s="36"/>
      <c r="X148" s="36"/>
      <c r="Y148" s="36"/>
      <c r="Z148" s="36"/>
    </row>
    <row r="149" ht="15.75" customHeight="1">
      <c r="A149" s="36"/>
      <c r="B149" s="36"/>
      <c r="C149" s="37"/>
      <c r="D149" s="37"/>
      <c r="E149" s="36"/>
      <c r="F149" s="36"/>
      <c r="G149" s="37"/>
      <c r="I149" s="37"/>
      <c r="J149" s="36"/>
      <c r="K149" s="36"/>
      <c r="L149" s="36"/>
      <c r="M149" s="36"/>
      <c r="N149" s="36"/>
      <c r="O149" s="36"/>
      <c r="P149" s="36"/>
      <c r="Q149" s="36"/>
      <c r="R149" s="36"/>
      <c r="S149" s="36"/>
      <c r="T149" s="36"/>
      <c r="U149" s="36"/>
      <c r="V149" s="36"/>
      <c r="W149" s="36"/>
      <c r="X149" s="36"/>
      <c r="Y149" s="36"/>
      <c r="Z149" s="36"/>
    </row>
    <row r="150" ht="15.75" customHeight="1">
      <c r="A150" s="36"/>
      <c r="B150" s="36"/>
      <c r="C150" s="37"/>
      <c r="D150" s="37"/>
      <c r="E150" s="36"/>
      <c r="F150" s="36"/>
      <c r="G150" s="37"/>
      <c r="I150" s="37"/>
      <c r="J150" s="36"/>
      <c r="K150" s="36"/>
      <c r="L150" s="36"/>
      <c r="M150" s="36"/>
      <c r="N150" s="36"/>
      <c r="O150" s="36"/>
      <c r="P150" s="36"/>
      <c r="Q150" s="36"/>
      <c r="R150" s="36"/>
      <c r="S150" s="36"/>
      <c r="T150" s="36"/>
      <c r="U150" s="36"/>
      <c r="V150" s="36"/>
      <c r="W150" s="36"/>
      <c r="X150" s="36"/>
      <c r="Y150" s="36"/>
      <c r="Z150" s="36"/>
    </row>
    <row r="151" ht="15.75" customHeight="1">
      <c r="A151" s="36"/>
      <c r="B151" s="36"/>
      <c r="C151" s="37"/>
      <c r="D151" s="37"/>
      <c r="E151" s="36"/>
      <c r="F151" s="36"/>
      <c r="G151" s="37"/>
      <c r="I151" s="37"/>
      <c r="J151" s="36"/>
      <c r="K151" s="36"/>
      <c r="L151" s="36"/>
      <c r="M151" s="36"/>
      <c r="N151" s="36"/>
      <c r="O151" s="36"/>
      <c r="P151" s="36"/>
      <c r="Q151" s="36"/>
      <c r="R151" s="36"/>
      <c r="S151" s="36"/>
      <c r="T151" s="36"/>
      <c r="U151" s="36"/>
      <c r="V151" s="36"/>
      <c r="W151" s="36"/>
      <c r="X151" s="36"/>
      <c r="Y151" s="36"/>
      <c r="Z151" s="36"/>
    </row>
    <row r="152" ht="15.75" customHeight="1">
      <c r="A152" s="36"/>
      <c r="B152" s="36"/>
      <c r="C152" s="37"/>
      <c r="D152" s="37"/>
      <c r="E152" s="36"/>
      <c r="F152" s="36"/>
      <c r="G152" s="37"/>
      <c r="I152" s="37"/>
      <c r="J152" s="36"/>
      <c r="K152" s="36"/>
      <c r="L152" s="36"/>
      <c r="M152" s="36"/>
      <c r="N152" s="36"/>
      <c r="O152" s="36"/>
      <c r="P152" s="36"/>
      <c r="Q152" s="36"/>
      <c r="R152" s="36"/>
      <c r="S152" s="36"/>
      <c r="T152" s="36"/>
      <c r="U152" s="36"/>
      <c r="V152" s="36"/>
      <c r="W152" s="36"/>
      <c r="X152" s="36"/>
      <c r="Y152" s="36"/>
      <c r="Z152" s="36"/>
    </row>
    <row r="153" ht="15.75" customHeight="1">
      <c r="A153" s="36"/>
      <c r="B153" s="36"/>
      <c r="C153" s="37"/>
      <c r="D153" s="37"/>
      <c r="E153" s="36"/>
      <c r="F153" s="36"/>
      <c r="G153" s="37"/>
      <c r="I153" s="37"/>
      <c r="J153" s="36"/>
      <c r="K153" s="36"/>
      <c r="L153" s="36"/>
      <c r="M153" s="36"/>
      <c r="N153" s="36"/>
      <c r="O153" s="36"/>
      <c r="P153" s="36"/>
      <c r="Q153" s="36"/>
      <c r="R153" s="36"/>
      <c r="S153" s="36"/>
      <c r="T153" s="36"/>
      <c r="U153" s="36"/>
      <c r="V153" s="36"/>
      <c r="W153" s="36"/>
      <c r="X153" s="36"/>
      <c r="Y153" s="36"/>
      <c r="Z153" s="36"/>
    </row>
    <row r="154" ht="15.75" customHeight="1">
      <c r="A154" s="36"/>
      <c r="B154" s="36"/>
      <c r="C154" s="37"/>
      <c r="D154" s="37"/>
      <c r="E154" s="36"/>
      <c r="F154" s="36"/>
      <c r="G154" s="37"/>
      <c r="I154" s="37"/>
      <c r="J154" s="36"/>
      <c r="K154" s="36"/>
      <c r="L154" s="36"/>
      <c r="M154" s="36"/>
      <c r="N154" s="36"/>
      <c r="O154" s="36"/>
      <c r="P154" s="36"/>
      <c r="Q154" s="36"/>
      <c r="R154" s="36"/>
      <c r="S154" s="36"/>
      <c r="T154" s="36"/>
      <c r="U154" s="36"/>
      <c r="V154" s="36"/>
      <c r="W154" s="36"/>
      <c r="X154" s="36"/>
      <c r="Y154" s="36"/>
      <c r="Z154" s="36"/>
    </row>
    <row r="155" ht="15.75" customHeight="1">
      <c r="A155" s="36"/>
      <c r="B155" s="36"/>
      <c r="C155" s="37"/>
      <c r="D155" s="37"/>
      <c r="E155" s="36"/>
      <c r="F155" s="36"/>
      <c r="G155" s="37"/>
      <c r="I155" s="37"/>
      <c r="J155" s="36"/>
      <c r="K155" s="36"/>
      <c r="L155" s="36"/>
      <c r="M155" s="36"/>
      <c r="N155" s="36"/>
      <c r="O155" s="36"/>
      <c r="P155" s="36"/>
      <c r="Q155" s="36"/>
      <c r="R155" s="36"/>
      <c r="S155" s="36"/>
      <c r="T155" s="36"/>
      <c r="U155" s="36"/>
      <c r="V155" s="36"/>
      <c r="W155" s="36"/>
      <c r="X155" s="36"/>
      <c r="Y155" s="36"/>
      <c r="Z155" s="36"/>
    </row>
    <row r="156" ht="15.75" customHeight="1">
      <c r="A156" s="36"/>
      <c r="B156" s="36"/>
      <c r="C156" s="37"/>
      <c r="D156" s="37"/>
      <c r="E156" s="36"/>
      <c r="F156" s="36"/>
      <c r="G156" s="37"/>
      <c r="I156" s="37"/>
      <c r="J156" s="36"/>
      <c r="K156" s="36"/>
      <c r="L156" s="36"/>
      <c r="M156" s="36"/>
      <c r="N156" s="36"/>
      <c r="O156" s="36"/>
      <c r="P156" s="36"/>
      <c r="Q156" s="36"/>
      <c r="R156" s="36"/>
      <c r="S156" s="36"/>
      <c r="T156" s="36"/>
      <c r="U156" s="36"/>
      <c r="V156" s="36"/>
      <c r="W156" s="36"/>
      <c r="X156" s="36"/>
      <c r="Y156" s="36"/>
      <c r="Z156" s="36"/>
    </row>
    <row r="157" ht="15.75" customHeight="1">
      <c r="A157" s="36"/>
      <c r="B157" s="36"/>
      <c r="C157" s="37"/>
      <c r="D157" s="37"/>
      <c r="E157" s="36"/>
      <c r="F157" s="36"/>
      <c r="G157" s="37"/>
      <c r="I157" s="37"/>
      <c r="J157" s="36"/>
      <c r="K157" s="36"/>
      <c r="L157" s="36"/>
      <c r="M157" s="36"/>
      <c r="N157" s="36"/>
      <c r="O157" s="36"/>
      <c r="P157" s="36"/>
      <c r="Q157" s="36"/>
      <c r="R157" s="36"/>
      <c r="S157" s="36"/>
      <c r="T157" s="36"/>
      <c r="U157" s="36"/>
      <c r="V157" s="36"/>
      <c r="W157" s="36"/>
      <c r="X157" s="36"/>
      <c r="Y157" s="36"/>
      <c r="Z157" s="36"/>
    </row>
    <row r="158" ht="15.75" customHeight="1">
      <c r="A158" s="36"/>
      <c r="B158" s="36"/>
      <c r="C158" s="37"/>
      <c r="D158" s="37"/>
      <c r="E158" s="36"/>
      <c r="F158" s="36"/>
      <c r="G158" s="37"/>
      <c r="I158" s="37"/>
      <c r="J158" s="36"/>
      <c r="K158" s="36"/>
      <c r="L158" s="36"/>
      <c r="M158" s="36"/>
      <c r="N158" s="36"/>
      <c r="O158" s="36"/>
      <c r="P158" s="36"/>
      <c r="Q158" s="36"/>
      <c r="R158" s="36"/>
      <c r="S158" s="36"/>
      <c r="T158" s="36"/>
      <c r="U158" s="36"/>
      <c r="V158" s="36"/>
      <c r="W158" s="36"/>
      <c r="X158" s="36"/>
      <c r="Y158" s="36"/>
      <c r="Z158" s="36"/>
    </row>
    <row r="159" ht="15.75" customHeight="1">
      <c r="A159" s="36"/>
      <c r="B159" s="36"/>
      <c r="C159" s="37"/>
      <c r="D159" s="37"/>
      <c r="E159" s="36"/>
      <c r="F159" s="36"/>
      <c r="G159" s="37"/>
      <c r="I159" s="37"/>
      <c r="J159" s="36"/>
      <c r="K159" s="36"/>
      <c r="L159" s="36"/>
      <c r="M159" s="36"/>
      <c r="N159" s="36"/>
      <c r="O159" s="36"/>
      <c r="P159" s="36"/>
      <c r="Q159" s="36"/>
      <c r="R159" s="36"/>
      <c r="S159" s="36"/>
      <c r="T159" s="36"/>
      <c r="U159" s="36"/>
      <c r="V159" s="36"/>
      <c r="W159" s="36"/>
      <c r="X159" s="36"/>
      <c r="Y159" s="36"/>
      <c r="Z159" s="36"/>
    </row>
    <row r="160" ht="15.75" customHeight="1">
      <c r="A160" s="36"/>
      <c r="B160" s="36"/>
      <c r="C160" s="37"/>
      <c r="D160" s="37"/>
      <c r="E160" s="36"/>
      <c r="F160" s="36"/>
      <c r="G160" s="37"/>
      <c r="I160" s="37"/>
      <c r="J160" s="36"/>
      <c r="K160" s="36"/>
      <c r="L160" s="36"/>
      <c r="M160" s="36"/>
      <c r="N160" s="36"/>
      <c r="O160" s="36"/>
      <c r="P160" s="36"/>
      <c r="Q160" s="36"/>
      <c r="R160" s="36"/>
      <c r="S160" s="36"/>
      <c r="T160" s="36"/>
      <c r="U160" s="36"/>
      <c r="V160" s="36"/>
      <c r="W160" s="36"/>
      <c r="X160" s="36"/>
      <c r="Y160" s="36"/>
      <c r="Z160" s="36"/>
    </row>
    <row r="161" ht="15.75" customHeight="1">
      <c r="A161" s="36"/>
      <c r="B161" s="36"/>
      <c r="C161" s="37"/>
      <c r="D161" s="37"/>
      <c r="E161" s="36"/>
      <c r="F161" s="36"/>
      <c r="G161" s="37"/>
      <c r="I161" s="37"/>
      <c r="J161" s="36"/>
      <c r="K161" s="36"/>
      <c r="L161" s="36"/>
      <c r="M161" s="36"/>
      <c r="N161" s="36"/>
      <c r="O161" s="36"/>
      <c r="P161" s="36"/>
      <c r="Q161" s="36"/>
      <c r="R161" s="36"/>
      <c r="S161" s="36"/>
      <c r="T161" s="36"/>
      <c r="U161" s="36"/>
      <c r="V161" s="36"/>
      <c r="W161" s="36"/>
      <c r="X161" s="36"/>
      <c r="Y161" s="36"/>
      <c r="Z161" s="36"/>
    </row>
    <row r="162" ht="15.75" customHeight="1">
      <c r="A162" s="36"/>
      <c r="B162" s="36"/>
      <c r="C162" s="37"/>
      <c r="D162" s="37"/>
      <c r="E162" s="36"/>
      <c r="F162" s="36"/>
      <c r="G162" s="37"/>
      <c r="I162" s="37"/>
      <c r="J162" s="36"/>
      <c r="K162" s="36"/>
      <c r="L162" s="36"/>
      <c r="M162" s="36"/>
      <c r="N162" s="36"/>
      <c r="O162" s="36"/>
      <c r="P162" s="36"/>
      <c r="Q162" s="36"/>
      <c r="R162" s="36"/>
      <c r="S162" s="36"/>
      <c r="T162" s="36"/>
      <c r="U162" s="36"/>
      <c r="V162" s="36"/>
      <c r="W162" s="36"/>
      <c r="X162" s="36"/>
      <c r="Y162" s="36"/>
      <c r="Z162" s="36"/>
    </row>
    <row r="163" ht="15.75" customHeight="1">
      <c r="A163" s="36"/>
      <c r="B163" s="36"/>
      <c r="C163" s="37"/>
      <c r="D163" s="37"/>
      <c r="E163" s="36"/>
      <c r="F163" s="36"/>
      <c r="G163" s="37"/>
      <c r="I163" s="37"/>
      <c r="J163" s="36"/>
      <c r="K163" s="36"/>
      <c r="L163" s="36"/>
      <c r="M163" s="36"/>
      <c r="N163" s="36"/>
      <c r="O163" s="36"/>
      <c r="P163" s="36"/>
      <c r="Q163" s="36"/>
      <c r="R163" s="36"/>
      <c r="S163" s="36"/>
      <c r="T163" s="36"/>
      <c r="U163" s="36"/>
      <c r="V163" s="36"/>
      <c r="W163" s="36"/>
      <c r="X163" s="36"/>
      <c r="Y163" s="36"/>
      <c r="Z163" s="36"/>
    </row>
    <row r="164" ht="15.75" customHeight="1">
      <c r="A164" s="36"/>
      <c r="B164" s="36"/>
      <c r="C164" s="37"/>
      <c r="D164" s="37"/>
      <c r="E164" s="36"/>
      <c r="F164" s="36"/>
      <c r="G164" s="37"/>
      <c r="I164" s="37"/>
      <c r="J164" s="36"/>
      <c r="K164" s="36"/>
      <c r="L164" s="36"/>
      <c r="M164" s="36"/>
      <c r="N164" s="36"/>
      <c r="O164" s="36"/>
      <c r="P164" s="36"/>
      <c r="Q164" s="36"/>
      <c r="R164" s="36"/>
      <c r="S164" s="36"/>
      <c r="T164" s="36"/>
      <c r="U164" s="36"/>
      <c r="V164" s="36"/>
      <c r="W164" s="36"/>
      <c r="X164" s="36"/>
      <c r="Y164" s="36"/>
      <c r="Z164" s="36"/>
    </row>
    <row r="165" ht="15.75" customHeight="1">
      <c r="A165" s="36"/>
      <c r="B165" s="36"/>
      <c r="C165" s="37"/>
      <c r="D165" s="37"/>
      <c r="E165" s="36"/>
      <c r="F165" s="36"/>
      <c r="G165" s="37"/>
      <c r="I165" s="37"/>
      <c r="J165" s="36"/>
      <c r="K165" s="36"/>
      <c r="L165" s="36"/>
      <c r="M165" s="36"/>
      <c r="N165" s="36"/>
      <c r="O165" s="36"/>
      <c r="P165" s="36"/>
      <c r="Q165" s="36"/>
      <c r="R165" s="36"/>
      <c r="S165" s="36"/>
      <c r="T165" s="36"/>
      <c r="U165" s="36"/>
      <c r="V165" s="36"/>
      <c r="W165" s="36"/>
      <c r="X165" s="36"/>
      <c r="Y165" s="36"/>
      <c r="Z165" s="36"/>
    </row>
    <row r="166" ht="15.75" customHeight="1">
      <c r="A166" s="36"/>
      <c r="B166" s="36"/>
      <c r="C166" s="37"/>
      <c r="D166" s="37"/>
      <c r="E166" s="36"/>
      <c r="F166" s="36"/>
      <c r="G166" s="37"/>
      <c r="I166" s="37"/>
      <c r="J166" s="36"/>
      <c r="K166" s="36"/>
      <c r="L166" s="36"/>
      <c r="M166" s="36"/>
      <c r="N166" s="36"/>
      <c r="O166" s="36"/>
      <c r="P166" s="36"/>
      <c r="Q166" s="36"/>
      <c r="R166" s="36"/>
      <c r="S166" s="36"/>
      <c r="T166" s="36"/>
      <c r="U166" s="36"/>
      <c r="V166" s="36"/>
      <c r="W166" s="36"/>
      <c r="X166" s="36"/>
      <c r="Y166" s="36"/>
      <c r="Z166" s="36"/>
    </row>
    <row r="167" ht="15.75" customHeight="1">
      <c r="A167" s="36"/>
      <c r="B167" s="36"/>
      <c r="C167" s="37"/>
      <c r="D167" s="37"/>
      <c r="E167" s="36"/>
      <c r="F167" s="36"/>
      <c r="G167" s="37"/>
      <c r="I167" s="37"/>
      <c r="J167" s="36"/>
      <c r="K167" s="36"/>
      <c r="L167" s="36"/>
      <c r="M167" s="36"/>
      <c r="N167" s="36"/>
      <c r="O167" s="36"/>
      <c r="P167" s="36"/>
      <c r="Q167" s="36"/>
      <c r="R167" s="36"/>
      <c r="S167" s="36"/>
      <c r="T167" s="36"/>
      <c r="U167" s="36"/>
      <c r="V167" s="36"/>
      <c r="W167" s="36"/>
      <c r="X167" s="36"/>
      <c r="Y167" s="36"/>
      <c r="Z167" s="36"/>
    </row>
    <row r="168" ht="15.75" customHeight="1">
      <c r="A168" s="36"/>
      <c r="B168" s="36"/>
      <c r="C168" s="37"/>
      <c r="D168" s="37"/>
      <c r="E168" s="36"/>
      <c r="F168" s="36"/>
      <c r="G168" s="37"/>
      <c r="I168" s="37"/>
      <c r="J168" s="36"/>
      <c r="K168" s="36"/>
      <c r="L168" s="36"/>
      <c r="M168" s="36"/>
      <c r="N168" s="36"/>
      <c r="O168" s="36"/>
      <c r="P168" s="36"/>
      <c r="Q168" s="36"/>
      <c r="R168" s="36"/>
      <c r="S168" s="36"/>
      <c r="T168" s="36"/>
      <c r="U168" s="36"/>
      <c r="V168" s="36"/>
      <c r="W168" s="36"/>
      <c r="X168" s="36"/>
      <c r="Y168" s="36"/>
      <c r="Z168" s="36"/>
    </row>
    <row r="169" ht="15.75" customHeight="1">
      <c r="A169" s="36"/>
      <c r="B169" s="36"/>
      <c r="C169" s="37"/>
      <c r="D169" s="37"/>
      <c r="E169" s="36"/>
      <c r="F169" s="36"/>
      <c r="G169" s="37"/>
      <c r="I169" s="37"/>
      <c r="J169" s="36"/>
      <c r="K169" s="36"/>
      <c r="L169" s="36"/>
      <c r="M169" s="36"/>
      <c r="N169" s="36"/>
      <c r="O169" s="36"/>
      <c r="P169" s="36"/>
      <c r="Q169" s="36"/>
      <c r="R169" s="36"/>
      <c r="S169" s="36"/>
      <c r="T169" s="36"/>
      <c r="U169" s="36"/>
      <c r="V169" s="36"/>
      <c r="W169" s="36"/>
      <c r="X169" s="36"/>
      <c r="Y169" s="36"/>
      <c r="Z169" s="36"/>
    </row>
    <row r="170" ht="15.75" customHeight="1">
      <c r="A170" s="36"/>
      <c r="B170" s="36"/>
      <c r="C170" s="37"/>
      <c r="D170" s="37"/>
      <c r="E170" s="36"/>
      <c r="F170" s="36"/>
      <c r="G170" s="37"/>
      <c r="I170" s="37"/>
      <c r="J170" s="36"/>
      <c r="K170" s="36"/>
      <c r="L170" s="36"/>
      <c r="M170" s="36"/>
      <c r="N170" s="36"/>
      <c r="O170" s="36"/>
      <c r="P170" s="36"/>
      <c r="Q170" s="36"/>
      <c r="R170" s="36"/>
      <c r="S170" s="36"/>
      <c r="T170" s="36"/>
      <c r="U170" s="36"/>
      <c r="V170" s="36"/>
      <c r="W170" s="36"/>
      <c r="X170" s="36"/>
      <c r="Y170" s="36"/>
      <c r="Z170" s="36"/>
    </row>
    <row r="171" ht="15.75" customHeight="1">
      <c r="A171" s="36"/>
      <c r="B171" s="36"/>
      <c r="C171" s="37"/>
      <c r="D171" s="37"/>
      <c r="E171" s="36"/>
      <c r="F171" s="36"/>
      <c r="G171" s="37"/>
      <c r="I171" s="37"/>
      <c r="J171" s="36"/>
      <c r="K171" s="36"/>
      <c r="L171" s="36"/>
      <c r="M171" s="36"/>
      <c r="N171" s="36"/>
      <c r="O171" s="36"/>
      <c r="P171" s="36"/>
      <c r="Q171" s="36"/>
      <c r="R171" s="36"/>
      <c r="S171" s="36"/>
      <c r="T171" s="36"/>
      <c r="U171" s="36"/>
      <c r="V171" s="36"/>
      <c r="W171" s="36"/>
      <c r="X171" s="36"/>
      <c r="Y171" s="36"/>
      <c r="Z171" s="36"/>
    </row>
    <row r="172" ht="15.75" customHeight="1">
      <c r="A172" s="36"/>
      <c r="B172" s="36"/>
      <c r="C172" s="37"/>
      <c r="D172" s="37"/>
      <c r="E172" s="36"/>
      <c r="F172" s="36"/>
      <c r="G172" s="37"/>
      <c r="I172" s="37"/>
      <c r="J172" s="36"/>
      <c r="K172" s="36"/>
      <c r="L172" s="36"/>
      <c r="M172" s="36"/>
      <c r="N172" s="36"/>
      <c r="O172" s="36"/>
      <c r="P172" s="36"/>
      <c r="Q172" s="36"/>
      <c r="R172" s="36"/>
      <c r="S172" s="36"/>
      <c r="T172" s="36"/>
      <c r="U172" s="36"/>
      <c r="V172" s="36"/>
      <c r="W172" s="36"/>
      <c r="X172" s="36"/>
      <c r="Y172" s="36"/>
      <c r="Z172" s="36"/>
    </row>
    <row r="173" ht="15.75" customHeight="1">
      <c r="A173" s="36"/>
      <c r="B173" s="36"/>
      <c r="C173" s="37"/>
      <c r="D173" s="37"/>
      <c r="E173" s="36"/>
      <c r="F173" s="36"/>
      <c r="G173" s="37"/>
      <c r="I173" s="37"/>
      <c r="J173" s="36"/>
      <c r="K173" s="36"/>
      <c r="L173" s="36"/>
      <c r="M173" s="36"/>
      <c r="N173" s="36"/>
      <c r="O173" s="36"/>
      <c r="P173" s="36"/>
      <c r="Q173" s="36"/>
      <c r="R173" s="36"/>
      <c r="S173" s="36"/>
      <c r="T173" s="36"/>
      <c r="U173" s="36"/>
      <c r="V173" s="36"/>
      <c r="W173" s="36"/>
      <c r="X173" s="36"/>
      <c r="Y173" s="36"/>
      <c r="Z173" s="36"/>
    </row>
    <row r="174" ht="15.75" customHeight="1">
      <c r="A174" s="36"/>
      <c r="B174" s="36"/>
      <c r="C174" s="37"/>
      <c r="D174" s="37"/>
      <c r="E174" s="36"/>
      <c r="F174" s="36"/>
      <c r="G174" s="37"/>
      <c r="I174" s="37"/>
      <c r="J174" s="36"/>
      <c r="K174" s="36"/>
      <c r="L174" s="36"/>
      <c r="M174" s="36"/>
      <c r="N174" s="36"/>
      <c r="O174" s="36"/>
      <c r="P174" s="36"/>
      <c r="Q174" s="36"/>
      <c r="R174" s="36"/>
      <c r="S174" s="36"/>
      <c r="T174" s="36"/>
      <c r="U174" s="36"/>
      <c r="V174" s="36"/>
      <c r="W174" s="36"/>
      <c r="X174" s="36"/>
      <c r="Y174" s="36"/>
      <c r="Z174" s="36"/>
    </row>
    <row r="175" ht="15.75" customHeight="1">
      <c r="A175" s="36"/>
      <c r="B175" s="36"/>
      <c r="C175" s="37"/>
      <c r="D175" s="37"/>
      <c r="E175" s="36"/>
      <c r="F175" s="36"/>
      <c r="G175" s="37"/>
      <c r="I175" s="37"/>
      <c r="J175" s="36"/>
      <c r="K175" s="36"/>
      <c r="L175" s="36"/>
      <c r="M175" s="36"/>
      <c r="N175" s="36"/>
      <c r="O175" s="36"/>
      <c r="P175" s="36"/>
      <c r="Q175" s="36"/>
      <c r="R175" s="36"/>
      <c r="S175" s="36"/>
      <c r="T175" s="36"/>
      <c r="U175" s="36"/>
      <c r="V175" s="36"/>
      <c r="W175" s="36"/>
      <c r="X175" s="36"/>
      <c r="Y175" s="36"/>
      <c r="Z175" s="36"/>
    </row>
    <row r="176" ht="15.75" customHeight="1">
      <c r="A176" s="36"/>
      <c r="B176" s="36"/>
      <c r="C176" s="37"/>
      <c r="D176" s="37"/>
      <c r="E176" s="36"/>
      <c r="F176" s="36"/>
      <c r="G176" s="37"/>
      <c r="I176" s="37"/>
      <c r="J176" s="36"/>
      <c r="K176" s="36"/>
      <c r="L176" s="36"/>
      <c r="M176" s="36"/>
      <c r="N176" s="36"/>
      <c r="O176" s="36"/>
      <c r="P176" s="36"/>
      <c r="Q176" s="36"/>
      <c r="R176" s="36"/>
      <c r="S176" s="36"/>
      <c r="T176" s="36"/>
      <c r="U176" s="36"/>
      <c r="V176" s="36"/>
      <c r="W176" s="36"/>
      <c r="X176" s="36"/>
      <c r="Y176" s="36"/>
      <c r="Z176" s="36"/>
    </row>
    <row r="177" ht="15.75" customHeight="1">
      <c r="A177" s="36"/>
      <c r="B177" s="36"/>
      <c r="C177" s="37"/>
      <c r="D177" s="37"/>
      <c r="E177" s="36"/>
      <c r="F177" s="36"/>
      <c r="G177" s="37"/>
      <c r="I177" s="37"/>
      <c r="J177" s="36"/>
      <c r="K177" s="36"/>
      <c r="L177" s="36"/>
      <c r="M177" s="36"/>
      <c r="N177" s="36"/>
      <c r="O177" s="36"/>
      <c r="P177" s="36"/>
      <c r="Q177" s="36"/>
      <c r="R177" s="36"/>
      <c r="S177" s="36"/>
      <c r="T177" s="36"/>
      <c r="U177" s="36"/>
      <c r="V177" s="36"/>
      <c r="W177" s="36"/>
      <c r="X177" s="36"/>
      <c r="Y177" s="36"/>
      <c r="Z177" s="36"/>
    </row>
    <row r="178" ht="15.75" customHeight="1">
      <c r="A178" s="36"/>
      <c r="B178" s="36"/>
      <c r="C178" s="37"/>
      <c r="D178" s="37"/>
      <c r="E178" s="36"/>
      <c r="F178" s="36"/>
      <c r="G178" s="37"/>
      <c r="I178" s="37"/>
      <c r="J178" s="36"/>
      <c r="K178" s="36"/>
      <c r="L178" s="36"/>
      <c r="M178" s="36"/>
      <c r="N178" s="36"/>
      <c r="O178" s="36"/>
      <c r="P178" s="36"/>
      <c r="Q178" s="36"/>
      <c r="R178" s="36"/>
      <c r="S178" s="36"/>
      <c r="T178" s="36"/>
      <c r="U178" s="36"/>
      <c r="V178" s="36"/>
      <c r="W178" s="36"/>
      <c r="X178" s="36"/>
      <c r="Y178" s="36"/>
      <c r="Z178" s="36"/>
    </row>
    <row r="179" ht="15.75" customHeight="1">
      <c r="A179" s="36"/>
      <c r="B179" s="36"/>
      <c r="C179" s="37"/>
      <c r="D179" s="37"/>
      <c r="E179" s="36"/>
      <c r="F179" s="36"/>
      <c r="G179" s="37"/>
      <c r="I179" s="37"/>
      <c r="J179" s="36"/>
      <c r="K179" s="36"/>
      <c r="L179" s="36"/>
      <c r="M179" s="36"/>
      <c r="N179" s="36"/>
      <c r="O179" s="36"/>
      <c r="P179" s="36"/>
      <c r="Q179" s="36"/>
      <c r="R179" s="36"/>
      <c r="S179" s="36"/>
      <c r="T179" s="36"/>
      <c r="U179" s="36"/>
      <c r="V179" s="36"/>
      <c r="W179" s="36"/>
      <c r="X179" s="36"/>
      <c r="Y179" s="36"/>
      <c r="Z179" s="36"/>
    </row>
    <row r="180" ht="15.75" customHeight="1">
      <c r="A180" s="36"/>
      <c r="B180" s="36"/>
      <c r="C180" s="37"/>
      <c r="D180" s="37"/>
      <c r="E180" s="36"/>
      <c r="F180" s="36"/>
      <c r="G180" s="37"/>
      <c r="I180" s="37"/>
      <c r="J180" s="36"/>
      <c r="K180" s="36"/>
      <c r="L180" s="36"/>
      <c r="M180" s="36"/>
      <c r="N180" s="36"/>
      <c r="O180" s="36"/>
      <c r="P180" s="36"/>
      <c r="Q180" s="36"/>
      <c r="R180" s="36"/>
      <c r="S180" s="36"/>
      <c r="T180" s="36"/>
      <c r="U180" s="36"/>
      <c r="V180" s="36"/>
      <c r="W180" s="36"/>
      <c r="X180" s="36"/>
      <c r="Y180" s="36"/>
      <c r="Z180" s="36"/>
    </row>
    <row r="181" ht="15.75" customHeight="1">
      <c r="A181" s="36"/>
      <c r="B181" s="36"/>
      <c r="C181" s="37"/>
      <c r="D181" s="37"/>
      <c r="E181" s="36"/>
      <c r="F181" s="36"/>
      <c r="G181" s="37"/>
      <c r="I181" s="37"/>
      <c r="J181" s="36"/>
      <c r="K181" s="36"/>
      <c r="L181" s="36"/>
      <c r="M181" s="36"/>
      <c r="N181" s="36"/>
      <c r="O181" s="36"/>
      <c r="P181" s="36"/>
      <c r="Q181" s="36"/>
      <c r="R181" s="36"/>
      <c r="S181" s="36"/>
      <c r="T181" s="36"/>
      <c r="U181" s="36"/>
      <c r="V181" s="36"/>
      <c r="W181" s="36"/>
      <c r="X181" s="36"/>
      <c r="Y181" s="36"/>
      <c r="Z181" s="36"/>
    </row>
    <row r="182" ht="15.75" customHeight="1">
      <c r="A182" s="36"/>
      <c r="B182" s="36"/>
      <c r="C182" s="37"/>
      <c r="D182" s="37"/>
      <c r="E182" s="36"/>
      <c r="F182" s="36"/>
      <c r="G182" s="37"/>
      <c r="I182" s="37"/>
      <c r="J182" s="36"/>
      <c r="K182" s="36"/>
      <c r="L182" s="36"/>
      <c r="M182" s="36"/>
      <c r="N182" s="36"/>
      <c r="O182" s="36"/>
      <c r="P182" s="36"/>
      <c r="Q182" s="36"/>
      <c r="R182" s="36"/>
      <c r="S182" s="36"/>
      <c r="T182" s="36"/>
      <c r="U182" s="36"/>
      <c r="V182" s="36"/>
      <c r="W182" s="36"/>
      <c r="X182" s="36"/>
      <c r="Y182" s="36"/>
      <c r="Z182" s="36"/>
    </row>
    <row r="183" ht="15.75" customHeight="1">
      <c r="A183" s="36"/>
      <c r="B183" s="36"/>
      <c r="C183" s="37"/>
      <c r="D183" s="37"/>
      <c r="E183" s="36"/>
      <c r="F183" s="36"/>
      <c r="G183" s="37"/>
      <c r="I183" s="37"/>
      <c r="J183" s="36"/>
      <c r="K183" s="36"/>
      <c r="L183" s="36"/>
      <c r="M183" s="36"/>
      <c r="N183" s="36"/>
      <c r="O183" s="36"/>
      <c r="P183" s="36"/>
      <c r="Q183" s="36"/>
      <c r="R183" s="36"/>
      <c r="S183" s="36"/>
      <c r="T183" s="36"/>
      <c r="U183" s="36"/>
      <c r="V183" s="36"/>
      <c r="W183" s="36"/>
      <c r="X183" s="36"/>
      <c r="Y183" s="36"/>
      <c r="Z183" s="36"/>
    </row>
    <row r="184" ht="15.75" customHeight="1">
      <c r="A184" s="36"/>
      <c r="B184" s="36"/>
      <c r="C184" s="37"/>
      <c r="D184" s="37"/>
      <c r="E184" s="36"/>
      <c r="F184" s="36"/>
      <c r="G184" s="37"/>
      <c r="I184" s="37"/>
      <c r="J184" s="36"/>
      <c r="K184" s="36"/>
      <c r="L184" s="36"/>
      <c r="M184" s="36"/>
      <c r="N184" s="36"/>
      <c r="O184" s="36"/>
      <c r="P184" s="36"/>
      <c r="Q184" s="36"/>
      <c r="R184" s="36"/>
      <c r="S184" s="36"/>
      <c r="T184" s="36"/>
      <c r="U184" s="36"/>
      <c r="V184" s="36"/>
      <c r="W184" s="36"/>
      <c r="X184" s="36"/>
      <c r="Y184" s="36"/>
      <c r="Z184" s="36"/>
    </row>
    <row r="185" ht="15.75" customHeight="1">
      <c r="A185" s="36"/>
      <c r="B185" s="36"/>
      <c r="C185" s="37"/>
      <c r="D185" s="37"/>
      <c r="E185" s="36"/>
      <c r="F185" s="36"/>
      <c r="G185" s="37"/>
      <c r="I185" s="37"/>
      <c r="J185" s="36"/>
      <c r="K185" s="36"/>
      <c r="L185" s="36"/>
      <c r="M185" s="36"/>
      <c r="N185" s="36"/>
      <c r="O185" s="36"/>
      <c r="P185" s="36"/>
      <c r="Q185" s="36"/>
      <c r="R185" s="36"/>
      <c r="S185" s="36"/>
      <c r="T185" s="36"/>
      <c r="U185" s="36"/>
      <c r="V185" s="36"/>
      <c r="W185" s="36"/>
      <c r="X185" s="36"/>
      <c r="Y185" s="36"/>
      <c r="Z185" s="36"/>
    </row>
    <row r="186" ht="15.75" customHeight="1">
      <c r="A186" s="36"/>
      <c r="B186" s="36"/>
      <c r="C186" s="37"/>
      <c r="D186" s="37"/>
      <c r="E186" s="36"/>
      <c r="F186" s="36"/>
      <c r="G186" s="37"/>
      <c r="I186" s="37"/>
      <c r="J186" s="36"/>
      <c r="K186" s="36"/>
      <c r="L186" s="36"/>
      <c r="M186" s="36"/>
      <c r="N186" s="36"/>
      <c r="O186" s="36"/>
      <c r="P186" s="36"/>
      <c r="Q186" s="36"/>
      <c r="R186" s="36"/>
      <c r="S186" s="36"/>
      <c r="T186" s="36"/>
      <c r="U186" s="36"/>
      <c r="V186" s="36"/>
      <c r="W186" s="36"/>
      <c r="X186" s="36"/>
      <c r="Y186" s="36"/>
      <c r="Z186" s="36"/>
    </row>
    <row r="187" ht="15.75" customHeight="1">
      <c r="A187" s="36"/>
      <c r="B187" s="36"/>
      <c r="C187" s="37"/>
      <c r="D187" s="37"/>
      <c r="E187" s="36"/>
      <c r="F187" s="36"/>
      <c r="G187" s="37"/>
      <c r="I187" s="37"/>
      <c r="J187" s="36"/>
      <c r="K187" s="36"/>
      <c r="L187" s="36"/>
      <c r="M187" s="36"/>
      <c r="N187" s="36"/>
      <c r="O187" s="36"/>
      <c r="P187" s="36"/>
      <c r="Q187" s="36"/>
      <c r="R187" s="36"/>
      <c r="S187" s="36"/>
      <c r="T187" s="36"/>
      <c r="U187" s="36"/>
      <c r="V187" s="36"/>
      <c r="W187" s="36"/>
      <c r="X187" s="36"/>
      <c r="Y187" s="36"/>
      <c r="Z187" s="36"/>
    </row>
    <row r="188" ht="15.75" customHeight="1">
      <c r="A188" s="36"/>
      <c r="B188" s="36"/>
      <c r="C188" s="37"/>
      <c r="D188" s="37"/>
      <c r="E188" s="36"/>
      <c r="F188" s="36"/>
      <c r="G188" s="37"/>
      <c r="I188" s="37"/>
      <c r="J188" s="36"/>
      <c r="K188" s="36"/>
      <c r="L188" s="36"/>
      <c r="M188" s="36"/>
      <c r="N188" s="36"/>
      <c r="O188" s="36"/>
      <c r="P188" s="36"/>
      <c r="Q188" s="36"/>
      <c r="R188" s="36"/>
      <c r="S188" s="36"/>
      <c r="T188" s="36"/>
      <c r="U188" s="36"/>
      <c r="V188" s="36"/>
      <c r="W188" s="36"/>
      <c r="X188" s="36"/>
      <c r="Y188" s="36"/>
      <c r="Z188" s="36"/>
    </row>
    <row r="189" ht="15.75" customHeight="1">
      <c r="A189" s="36"/>
      <c r="B189" s="36"/>
      <c r="C189" s="37"/>
      <c r="D189" s="37"/>
      <c r="E189" s="36"/>
      <c r="F189" s="36"/>
      <c r="G189" s="37"/>
      <c r="I189" s="37"/>
      <c r="J189" s="36"/>
      <c r="K189" s="36"/>
      <c r="L189" s="36"/>
      <c r="M189" s="36"/>
      <c r="N189" s="36"/>
      <c r="O189" s="36"/>
      <c r="P189" s="36"/>
      <c r="Q189" s="36"/>
      <c r="R189" s="36"/>
      <c r="S189" s="36"/>
      <c r="T189" s="36"/>
      <c r="U189" s="36"/>
      <c r="V189" s="36"/>
      <c r="W189" s="36"/>
      <c r="X189" s="36"/>
      <c r="Y189" s="36"/>
      <c r="Z189" s="36"/>
    </row>
    <row r="190" ht="15.75" customHeight="1">
      <c r="A190" s="36"/>
      <c r="B190" s="36"/>
      <c r="C190" s="37"/>
      <c r="D190" s="37"/>
      <c r="E190" s="36"/>
      <c r="F190" s="36"/>
      <c r="G190" s="37"/>
      <c r="I190" s="37"/>
      <c r="J190" s="36"/>
      <c r="K190" s="36"/>
      <c r="L190" s="36"/>
      <c r="M190" s="36"/>
      <c r="N190" s="36"/>
      <c r="O190" s="36"/>
      <c r="P190" s="36"/>
      <c r="Q190" s="36"/>
      <c r="R190" s="36"/>
      <c r="S190" s="36"/>
      <c r="T190" s="36"/>
      <c r="U190" s="36"/>
      <c r="V190" s="36"/>
      <c r="W190" s="36"/>
      <c r="X190" s="36"/>
      <c r="Y190" s="36"/>
      <c r="Z190" s="36"/>
    </row>
    <row r="191" ht="15.75" customHeight="1">
      <c r="A191" s="36"/>
      <c r="B191" s="36"/>
      <c r="C191" s="37"/>
      <c r="D191" s="37"/>
      <c r="E191" s="36"/>
      <c r="F191" s="36"/>
      <c r="G191" s="37"/>
      <c r="I191" s="37"/>
      <c r="J191" s="36"/>
      <c r="K191" s="36"/>
      <c r="L191" s="36"/>
      <c r="M191" s="36"/>
      <c r="N191" s="36"/>
      <c r="O191" s="36"/>
      <c r="P191" s="36"/>
      <c r="Q191" s="36"/>
      <c r="R191" s="36"/>
      <c r="S191" s="36"/>
      <c r="T191" s="36"/>
      <c r="U191" s="36"/>
      <c r="V191" s="36"/>
      <c r="W191" s="36"/>
      <c r="X191" s="36"/>
      <c r="Y191" s="36"/>
      <c r="Z191" s="36"/>
    </row>
    <row r="192" ht="15.75" customHeight="1">
      <c r="A192" s="36"/>
      <c r="B192" s="36"/>
      <c r="C192" s="37"/>
      <c r="D192" s="37"/>
      <c r="E192" s="36"/>
      <c r="F192" s="36"/>
      <c r="G192" s="37"/>
      <c r="I192" s="37"/>
      <c r="J192" s="36"/>
      <c r="K192" s="36"/>
      <c r="L192" s="36"/>
      <c r="M192" s="36"/>
      <c r="N192" s="36"/>
      <c r="O192" s="36"/>
      <c r="P192" s="36"/>
      <c r="Q192" s="36"/>
      <c r="R192" s="36"/>
      <c r="S192" s="36"/>
      <c r="T192" s="36"/>
      <c r="U192" s="36"/>
      <c r="V192" s="36"/>
      <c r="W192" s="36"/>
      <c r="X192" s="36"/>
      <c r="Y192" s="36"/>
      <c r="Z192" s="36"/>
    </row>
    <row r="193" ht="15.75" customHeight="1">
      <c r="A193" s="36"/>
      <c r="B193" s="36"/>
      <c r="C193" s="37"/>
      <c r="D193" s="37"/>
      <c r="E193" s="36"/>
      <c r="F193" s="36"/>
      <c r="G193" s="37"/>
      <c r="I193" s="37"/>
      <c r="J193" s="36"/>
      <c r="K193" s="36"/>
      <c r="L193" s="36"/>
      <c r="M193" s="36"/>
      <c r="N193" s="36"/>
      <c r="O193" s="36"/>
      <c r="P193" s="36"/>
      <c r="Q193" s="36"/>
      <c r="R193" s="36"/>
      <c r="S193" s="36"/>
      <c r="T193" s="36"/>
      <c r="U193" s="36"/>
      <c r="V193" s="36"/>
      <c r="W193" s="36"/>
      <c r="X193" s="36"/>
      <c r="Y193" s="36"/>
      <c r="Z193" s="36"/>
    </row>
    <row r="194" ht="15.75" customHeight="1">
      <c r="A194" s="36"/>
      <c r="B194" s="36"/>
      <c r="C194" s="37"/>
      <c r="D194" s="37"/>
      <c r="E194" s="36"/>
      <c r="F194" s="36"/>
      <c r="G194" s="37"/>
      <c r="I194" s="37"/>
      <c r="J194" s="36"/>
      <c r="K194" s="36"/>
      <c r="L194" s="36"/>
      <c r="M194" s="36"/>
      <c r="N194" s="36"/>
      <c r="O194" s="36"/>
      <c r="P194" s="36"/>
      <c r="Q194" s="36"/>
      <c r="R194" s="36"/>
      <c r="S194" s="36"/>
      <c r="T194" s="36"/>
      <c r="U194" s="36"/>
      <c r="V194" s="36"/>
      <c r="W194" s="36"/>
      <c r="X194" s="36"/>
      <c r="Y194" s="36"/>
      <c r="Z194" s="36"/>
    </row>
    <row r="195" ht="15.75" customHeight="1">
      <c r="A195" s="36"/>
      <c r="B195" s="36"/>
      <c r="C195" s="37"/>
      <c r="D195" s="37"/>
      <c r="E195" s="36"/>
      <c r="F195" s="36"/>
      <c r="G195" s="37"/>
      <c r="I195" s="37"/>
      <c r="J195" s="36"/>
      <c r="K195" s="36"/>
      <c r="L195" s="36"/>
      <c r="M195" s="36"/>
      <c r="N195" s="36"/>
      <c r="O195" s="36"/>
      <c r="P195" s="36"/>
      <c r="Q195" s="36"/>
      <c r="R195" s="36"/>
      <c r="S195" s="36"/>
      <c r="T195" s="36"/>
      <c r="U195" s="36"/>
      <c r="V195" s="36"/>
      <c r="W195" s="36"/>
      <c r="X195" s="36"/>
      <c r="Y195" s="36"/>
      <c r="Z195" s="36"/>
    </row>
    <row r="196" ht="15.75" customHeight="1">
      <c r="A196" s="36"/>
      <c r="B196" s="36"/>
      <c r="C196" s="37"/>
      <c r="D196" s="37"/>
      <c r="E196" s="36"/>
      <c r="F196" s="36"/>
      <c r="G196" s="37"/>
      <c r="I196" s="37"/>
      <c r="J196" s="36"/>
      <c r="K196" s="36"/>
      <c r="L196" s="36"/>
      <c r="M196" s="36"/>
      <c r="N196" s="36"/>
      <c r="O196" s="36"/>
      <c r="P196" s="36"/>
      <c r="Q196" s="36"/>
      <c r="R196" s="36"/>
      <c r="S196" s="36"/>
      <c r="T196" s="36"/>
      <c r="U196" s="36"/>
      <c r="V196" s="36"/>
      <c r="W196" s="36"/>
      <c r="X196" s="36"/>
      <c r="Y196" s="36"/>
      <c r="Z196" s="36"/>
    </row>
    <row r="197" ht="15.75" customHeight="1">
      <c r="A197" s="36"/>
      <c r="B197" s="36"/>
      <c r="C197" s="37"/>
      <c r="D197" s="37"/>
      <c r="E197" s="36"/>
      <c r="F197" s="36"/>
      <c r="G197" s="37"/>
      <c r="I197" s="37"/>
      <c r="J197" s="36"/>
      <c r="K197" s="36"/>
      <c r="L197" s="36"/>
      <c r="M197" s="36"/>
      <c r="N197" s="36"/>
      <c r="O197" s="36"/>
      <c r="P197" s="36"/>
      <c r="Q197" s="36"/>
      <c r="R197" s="36"/>
      <c r="S197" s="36"/>
      <c r="T197" s="36"/>
      <c r="U197" s="36"/>
      <c r="V197" s="36"/>
      <c r="W197" s="36"/>
      <c r="X197" s="36"/>
      <c r="Y197" s="36"/>
      <c r="Z197" s="36"/>
    </row>
    <row r="198" ht="15.75" customHeight="1">
      <c r="A198" s="36"/>
      <c r="B198" s="36"/>
      <c r="C198" s="37"/>
      <c r="D198" s="37"/>
      <c r="E198" s="36"/>
      <c r="F198" s="36"/>
      <c r="G198" s="37"/>
      <c r="I198" s="37"/>
      <c r="J198" s="36"/>
      <c r="K198" s="36"/>
      <c r="L198" s="36"/>
      <c r="M198" s="36"/>
      <c r="N198" s="36"/>
      <c r="O198" s="36"/>
      <c r="P198" s="36"/>
      <c r="Q198" s="36"/>
      <c r="R198" s="36"/>
      <c r="S198" s="36"/>
      <c r="T198" s="36"/>
      <c r="U198" s="36"/>
      <c r="V198" s="36"/>
      <c r="W198" s="36"/>
      <c r="X198" s="36"/>
      <c r="Y198" s="36"/>
      <c r="Z198" s="36"/>
    </row>
    <row r="199" ht="15.75" customHeight="1">
      <c r="A199" s="36"/>
      <c r="B199" s="36"/>
      <c r="C199" s="37"/>
      <c r="D199" s="37"/>
      <c r="E199" s="36"/>
      <c r="F199" s="36"/>
      <c r="G199" s="37"/>
      <c r="I199" s="37"/>
      <c r="J199" s="36"/>
      <c r="K199" s="36"/>
      <c r="L199" s="36"/>
      <c r="M199" s="36"/>
      <c r="N199" s="36"/>
      <c r="O199" s="36"/>
      <c r="P199" s="36"/>
      <c r="Q199" s="36"/>
      <c r="R199" s="36"/>
      <c r="S199" s="36"/>
      <c r="T199" s="36"/>
      <c r="U199" s="36"/>
      <c r="V199" s="36"/>
      <c r="W199" s="36"/>
      <c r="X199" s="36"/>
      <c r="Y199" s="36"/>
      <c r="Z199" s="36"/>
    </row>
    <row r="200" ht="15.75" customHeight="1">
      <c r="A200" s="36"/>
      <c r="B200" s="36"/>
      <c r="C200" s="37"/>
      <c r="D200" s="37"/>
      <c r="E200" s="36"/>
      <c r="F200" s="36"/>
      <c r="G200" s="37"/>
      <c r="I200" s="37"/>
      <c r="J200" s="36"/>
      <c r="K200" s="36"/>
      <c r="L200" s="36"/>
      <c r="M200" s="36"/>
      <c r="N200" s="36"/>
      <c r="O200" s="36"/>
      <c r="P200" s="36"/>
      <c r="Q200" s="36"/>
      <c r="R200" s="36"/>
      <c r="S200" s="36"/>
      <c r="T200" s="36"/>
      <c r="U200" s="36"/>
      <c r="V200" s="36"/>
      <c r="W200" s="36"/>
      <c r="X200" s="36"/>
      <c r="Y200" s="36"/>
      <c r="Z200" s="36"/>
    </row>
    <row r="201" ht="15.75" customHeight="1">
      <c r="A201" s="36"/>
      <c r="B201" s="36"/>
      <c r="C201" s="37"/>
      <c r="D201" s="37"/>
      <c r="E201" s="36"/>
      <c r="F201" s="36"/>
      <c r="G201" s="37"/>
      <c r="I201" s="37"/>
      <c r="J201" s="36"/>
      <c r="K201" s="36"/>
      <c r="L201" s="36"/>
      <c r="M201" s="36"/>
      <c r="N201" s="36"/>
      <c r="O201" s="36"/>
      <c r="P201" s="36"/>
      <c r="Q201" s="36"/>
      <c r="R201" s="36"/>
      <c r="S201" s="36"/>
      <c r="T201" s="36"/>
      <c r="U201" s="36"/>
      <c r="V201" s="36"/>
      <c r="W201" s="36"/>
      <c r="X201" s="36"/>
      <c r="Y201" s="36"/>
      <c r="Z201" s="36"/>
    </row>
    <row r="202" ht="15.75" customHeight="1">
      <c r="A202" s="36"/>
      <c r="B202" s="36"/>
      <c r="C202" s="37"/>
      <c r="D202" s="37"/>
      <c r="E202" s="36"/>
      <c r="F202" s="36"/>
      <c r="G202" s="37"/>
      <c r="I202" s="37"/>
      <c r="J202" s="36"/>
      <c r="K202" s="36"/>
      <c r="L202" s="36"/>
      <c r="M202" s="36"/>
      <c r="N202" s="36"/>
      <c r="O202" s="36"/>
      <c r="P202" s="36"/>
      <c r="Q202" s="36"/>
      <c r="R202" s="36"/>
      <c r="S202" s="36"/>
      <c r="T202" s="36"/>
      <c r="U202" s="36"/>
      <c r="V202" s="36"/>
      <c r="W202" s="36"/>
      <c r="X202" s="36"/>
      <c r="Y202" s="36"/>
      <c r="Z202" s="36"/>
    </row>
    <row r="203" ht="15.75" customHeight="1">
      <c r="A203" s="36"/>
      <c r="B203" s="36"/>
      <c r="C203" s="37"/>
      <c r="D203" s="37"/>
      <c r="E203" s="36"/>
      <c r="F203" s="36"/>
      <c r="G203" s="37"/>
      <c r="I203" s="37"/>
      <c r="J203" s="36"/>
      <c r="K203" s="36"/>
      <c r="L203" s="36"/>
      <c r="M203" s="36"/>
      <c r="N203" s="36"/>
      <c r="O203" s="36"/>
      <c r="P203" s="36"/>
      <c r="Q203" s="36"/>
      <c r="R203" s="36"/>
      <c r="S203" s="36"/>
      <c r="T203" s="36"/>
      <c r="U203" s="36"/>
      <c r="V203" s="36"/>
      <c r="W203" s="36"/>
      <c r="X203" s="36"/>
      <c r="Y203" s="36"/>
      <c r="Z203" s="36"/>
    </row>
    <row r="204" ht="15.75" customHeight="1">
      <c r="A204" s="36"/>
      <c r="B204" s="36"/>
      <c r="C204" s="37"/>
      <c r="D204" s="37"/>
      <c r="E204" s="36"/>
      <c r="F204" s="36"/>
      <c r="G204" s="37"/>
      <c r="I204" s="37"/>
      <c r="J204" s="36"/>
      <c r="K204" s="36"/>
      <c r="L204" s="36"/>
      <c r="M204" s="36"/>
      <c r="N204" s="36"/>
      <c r="O204" s="36"/>
      <c r="P204" s="36"/>
      <c r="Q204" s="36"/>
      <c r="R204" s="36"/>
      <c r="S204" s="36"/>
      <c r="T204" s="36"/>
      <c r="U204" s="36"/>
      <c r="V204" s="36"/>
      <c r="W204" s="36"/>
      <c r="X204" s="36"/>
      <c r="Y204" s="36"/>
      <c r="Z204" s="36"/>
    </row>
    <row r="205" ht="15.75" customHeight="1">
      <c r="A205" s="36"/>
      <c r="B205" s="36"/>
      <c r="C205" s="37"/>
      <c r="D205" s="37"/>
      <c r="E205" s="36"/>
      <c r="F205" s="36"/>
      <c r="G205" s="37"/>
      <c r="I205" s="37"/>
      <c r="J205" s="36"/>
      <c r="K205" s="36"/>
      <c r="L205" s="36"/>
      <c r="M205" s="36"/>
      <c r="N205" s="36"/>
      <c r="O205" s="36"/>
      <c r="P205" s="36"/>
      <c r="Q205" s="36"/>
      <c r="R205" s="36"/>
      <c r="S205" s="36"/>
      <c r="T205" s="36"/>
      <c r="U205" s="36"/>
      <c r="V205" s="36"/>
      <c r="W205" s="36"/>
      <c r="X205" s="36"/>
      <c r="Y205" s="36"/>
      <c r="Z205" s="36"/>
    </row>
    <row r="206" ht="15.75" customHeight="1">
      <c r="A206" s="36"/>
      <c r="B206" s="36"/>
      <c r="C206" s="37"/>
      <c r="D206" s="37"/>
      <c r="E206" s="36"/>
      <c r="F206" s="36"/>
      <c r="G206" s="37"/>
      <c r="I206" s="37"/>
      <c r="J206" s="36"/>
      <c r="K206" s="36"/>
      <c r="L206" s="36"/>
      <c r="M206" s="36"/>
      <c r="N206" s="36"/>
      <c r="O206" s="36"/>
      <c r="P206" s="36"/>
      <c r="Q206" s="36"/>
      <c r="R206" s="36"/>
      <c r="S206" s="36"/>
      <c r="T206" s="36"/>
      <c r="U206" s="36"/>
      <c r="V206" s="36"/>
      <c r="W206" s="36"/>
      <c r="X206" s="36"/>
      <c r="Y206" s="36"/>
      <c r="Z206" s="36"/>
    </row>
    <row r="207" ht="15.75" customHeight="1">
      <c r="A207" s="36"/>
      <c r="B207" s="36"/>
      <c r="C207" s="37"/>
      <c r="D207" s="37"/>
      <c r="E207" s="36"/>
      <c r="F207" s="36"/>
      <c r="G207" s="37"/>
      <c r="I207" s="37"/>
      <c r="J207" s="36"/>
      <c r="K207" s="36"/>
      <c r="L207" s="36"/>
      <c r="M207" s="36"/>
      <c r="N207" s="36"/>
      <c r="O207" s="36"/>
      <c r="P207" s="36"/>
      <c r="Q207" s="36"/>
      <c r="R207" s="36"/>
      <c r="S207" s="36"/>
      <c r="T207" s="36"/>
      <c r="U207" s="36"/>
      <c r="V207" s="36"/>
      <c r="W207" s="36"/>
      <c r="X207" s="36"/>
      <c r="Y207" s="36"/>
      <c r="Z207" s="36"/>
    </row>
    <row r="208" ht="15.75" customHeight="1">
      <c r="A208" s="36"/>
      <c r="B208" s="36"/>
      <c r="C208" s="37"/>
      <c r="D208" s="37"/>
      <c r="E208" s="36"/>
      <c r="F208" s="36"/>
      <c r="G208" s="37"/>
      <c r="I208" s="37"/>
      <c r="J208" s="36"/>
      <c r="K208" s="36"/>
      <c r="L208" s="36"/>
      <c r="M208" s="36"/>
      <c r="N208" s="36"/>
      <c r="O208" s="36"/>
      <c r="P208" s="36"/>
      <c r="Q208" s="36"/>
      <c r="R208" s="36"/>
      <c r="S208" s="36"/>
      <c r="T208" s="36"/>
      <c r="U208" s="36"/>
      <c r="V208" s="36"/>
      <c r="W208" s="36"/>
      <c r="X208" s="36"/>
      <c r="Y208" s="36"/>
      <c r="Z208" s="36"/>
    </row>
    <row r="209" ht="15.75" customHeight="1">
      <c r="A209" s="36"/>
      <c r="B209" s="36"/>
      <c r="C209" s="37"/>
      <c r="D209" s="37"/>
      <c r="E209" s="36"/>
      <c r="F209" s="36"/>
      <c r="G209" s="37"/>
      <c r="I209" s="37"/>
      <c r="J209" s="36"/>
      <c r="K209" s="36"/>
      <c r="L209" s="36"/>
      <c r="M209" s="36"/>
      <c r="N209" s="36"/>
      <c r="O209" s="36"/>
      <c r="P209" s="36"/>
      <c r="Q209" s="36"/>
      <c r="R209" s="36"/>
      <c r="S209" s="36"/>
      <c r="T209" s="36"/>
      <c r="U209" s="36"/>
      <c r="V209" s="36"/>
      <c r="W209" s="36"/>
      <c r="X209" s="36"/>
      <c r="Y209" s="36"/>
      <c r="Z209" s="36"/>
    </row>
    <row r="210" ht="15.75" customHeight="1">
      <c r="A210" s="36"/>
      <c r="B210" s="36"/>
      <c r="C210" s="37"/>
      <c r="D210" s="37"/>
      <c r="E210" s="36"/>
      <c r="F210" s="36"/>
      <c r="G210" s="37"/>
      <c r="I210" s="37"/>
      <c r="J210" s="36"/>
      <c r="K210" s="36"/>
      <c r="L210" s="36"/>
      <c r="M210" s="36"/>
      <c r="N210" s="36"/>
      <c r="O210" s="36"/>
      <c r="P210" s="36"/>
      <c r="Q210" s="36"/>
      <c r="R210" s="36"/>
      <c r="S210" s="36"/>
      <c r="T210" s="36"/>
      <c r="U210" s="36"/>
      <c r="V210" s="36"/>
      <c r="W210" s="36"/>
      <c r="X210" s="36"/>
      <c r="Y210" s="36"/>
      <c r="Z210" s="36"/>
    </row>
    <row r="211" ht="15.75" customHeight="1">
      <c r="A211" s="36"/>
      <c r="B211" s="36"/>
      <c r="C211" s="37"/>
      <c r="D211" s="37"/>
      <c r="E211" s="36"/>
      <c r="F211" s="36"/>
      <c r="G211" s="37"/>
      <c r="I211" s="37"/>
      <c r="J211" s="36"/>
      <c r="K211" s="36"/>
      <c r="L211" s="36"/>
      <c r="M211" s="36"/>
      <c r="N211" s="36"/>
      <c r="O211" s="36"/>
      <c r="P211" s="36"/>
      <c r="Q211" s="36"/>
      <c r="R211" s="36"/>
      <c r="S211" s="36"/>
      <c r="T211" s="36"/>
      <c r="U211" s="36"/>
      <c r="V211" s="36"/>
      <c r="W211" s="36"/>
      <c r="X211" s="36"/>
      <c r="Y211" s="36"/>
      <c r="Z211" s="36"/>
    </row>
    <row r="212" ht="15.75" customHeight="1">
      <c r="A212" s="36"/>
      <c r="B212" s="36"/>
      <c r="C212" s="37"/>
      <c r="D212" s="37"/>
      <c r="E212" s="36"/>
      <c r="F212" s="36"/>
      <c r="G212" s="37"/>
      <c r="I212" s="37"/>
      <c r="J212" s="36"/>
      <c r="K212" s="36"/>
      <c r="L212" s="36"/>
      <c r="M212" s="36"/>
      <c r="N212" s="36"/>
      <c r="O212" s="36"/>
      <c r="P212" s="36"/>
      <c r="Q212" s="36"/>
      <c r="R212" s="36"/>
      <c r="S212" s="36"/>
      <c r="T212" s="36"/>
      <c r="U212" s="36"/>
      <c r="V212" s="36"/>
      <c r="W212" s="36"/>
      <c r="X212" s="36"/>
      <c r="Y212" s="36"/>
      <c r="Z212" s="36"/>
    </row>
    <row r="213" ht="15.75" customHeight="1">
      <c r="A213" s="36"/>
      <c r="B213" s="36"/>
      <c r="C213" s="37"/>
      <c r="D213" s="37"/>
      <c r="E213" s="36"/>
      <c r="F213" s="36"/>
      <c r="G213" s="37"/>
      <c r="I213" s="37"/>
      <c r="J213" s="36"/>
      <c r="K213" s="36"/>
      <c r="L213" s="36"/>
      <c r="M213" s="36"/>
      <c r="N213" s="36"/>
      <c r="O213" s="36"/>
      <c r="P213" s="36"/>
      <c r="Q213" s="36"/>
      <c r="R213" s="36"/>
      <c r="S213" s="36"/>
      <c r="T213" s="36"/>
      <c r="U213" s="36"/>
      <c r="V213" s="36"/>
      <c r="W213" s="36"/>
      <c r="X213" s="36"/>
      <c r="Y213" s="36"/>
      <c r="Z213" s="36"/>
    </row>
    <row r="214" ht="15.75" customHeight="1">
      <c r="A214" s="36"/>
      <c r="B214" s="36"/>
      <c r="C214" s="37"/>
      <c r="D214" s="37"/>
      <c r="E214" s="36"/>
      <c r="F214" s="36"/>
      <c r="G214" s="37"/>
      <c r="I214" s="37"/>
      <c r="J214" s="36"/>
      <c r="K214" s="36"/>
      <c r="L214" s="36"/>
      <c r="M214" s="36"/>
      <c r="N214" s="36"/>
      <c r="O214" s="36"/>
      <c r="P214" s="36"/>
      <c r="Q214" s="36"/>
      <c r="R214" s="36"/>
      <c r="S214" s="36"/>
      <c r="T214" s="36"/>
      <c r="U214" s="36"/>
      <c r="V214" s="36"/>
      <c r="W214" s="36"/>
      <c r="X214" s="36"/>
      <c r="Y214" s="36"/>
      <c r="Z214" s="36"/>
    </row>
    <row r="215" ht="15.75" customHeight="1">
      <c r="A215" s="36"/>
      <c r="B215" s="36"/>
      <c r="C215" s="37"/>
      <c r="D215" s="37"/>
      <c r="E215" s="36"/>
      <c r="F215" s="36"/>
      <c r="G215" s="37"/>
      <c r="I215" s="37"/>
      <c r="J215" s="36"/>
      <c r="K215" s="36"/>
      <c r="L215" s="36"/>
      <c r="M215" s="36"/>
      <c r="N215" s="36"/>
      <c r="O215" s="36"/>
      <c r="P215" s="36"/>
      <c r="Q215" s="36"/>
      <c r="R215" s="36"/>
      <c r="S215" s="36"/>
      <c r="T215" s="36"/>
      <c r="U215" s="36"/>
      <c r="V215" s="36"/>
      <c r="W215" s="36"/>
      <c r="X215" s="36"/>
      <c r="Y215" s="36"/>
      <c r="Z215" s="36"/>
    </row>
    <row r="216" ht="15.75" customHeight="1">
      <c r="A216" s="36"/>
      <c r="B216" s="36"/>
      <c r="C216" s="37"/>
      <c r="D216" s="37"/>
      <c r="E216" s="36"/>
      <c r="F216" s="36"/>
      <c r="G216" s="37"/>
      <c r="I216" s="37"/>
      <c r="J216" s="36"/>
      <c r="K216" s="36"/>
      <c r="L216" s="36"/>
      <c r="M216" s="36"/>
      <c r="N216" s="36"/>
      <c r="O216" s="36"/>
      <c r="P216" s="36"/>
      <c r="Q216" s="36"/>
      <c r="R216" s="36"/>
      <c r="S216" s="36"/>
      <c r="T216" s="36"/>
      <c r="U216" s="36"/>
      <c r="V216" s="36"/>
      <c r="W216" s="36"/>
      <c r="X216" s="36"/>
      <c r="Y216" s="36"/>
      <c r="Z216" s="36"/>
    </row>
    <row r="217" ht="15.75" customHeight="1">
      <c r="A217" s="36"/>
      <c r="B217" s="36"/>
      <c r="C217" s="37"/>
      <c r="D217" s="37"/>
      <c r="E217" s="36"/>
      <c r="F217" s="36"/>
      <c r="G217" s="37"/>
      <c r="I217" s="37"/>
      <c r="J217" s="36"/>
      <c r="K217" s="36"/>
      <c r="L217" s="36"/>
      <c r="M217" s="36"/>
      <c r="N217" s="36"/>
      <c r="O217" s="36"/>
      <c r="P217" s="36"/>
      <c r="Q217" s="36"/>
      <c r="R217" s="36"/>
      <c r="S217" s="36"/>
      <c r="T217" s="36"/>
      <c r="U217" s="36"/>
      <c r="V217" s="36"/>
      <c r="W217" s="36"/>
      <c r="X217" s="36"/>
      <c r="Y217" s="36"/>
      <c r="Z217" s="36"/>
    </row>
    <row r="218" ht="15.75" customHeight="1">
      <c r="A218" s="36"/>
      <c r="B218" s="36"/>
      <c r="C218" s="37"/>
      <c r="D218" s="37"/>
      <c r="E218" s="36"/>
      <c r="F218" s="36"/>
      <c r="G218" s="37"/>
      <c r="I218" s="37"/>
      <c r="J218" s="36"/>
      <c r="K218" s="36"/>
      <c r="L218" s="36"/>
      <c r="M218" s="36"/>
      <c r="N218" s="36"/>
      <c r="O218" s="36"/>
      <c r="P218" s="36"/>
      <c r="Q218" s="36"/>
      <c r="R218" s="36"/>
      <c r="S218" s="36"/>
      <c r="T218" s="36"/>
      <c r="U218" s="36"/>
      <c r="V218" s="36"/>
      <c r="W218" s="36"/>
      <c r="X218" s="36"/>
      <c r="Y218" s="36"/>
      <c r="Z218" s="36"/>
    </row>
    <row r="219" ht="15.75" customHeight="1">
      <c r="A219" s="36"/>
      <c r="B219" s="36"/>
      <c r="C219" s="37"/>
      <c r="D219" s="37"/>
      <c r="E219" s="36"/>
      <c r="F219" s="36"/>
      <c r="G219" s="37"/>
      <c r="I219" s="37"/>
      <c r="J219" s="36"/>
      <c r="K219" s="36"/>
      <c r="L219" s="36"/>
      <c r="M219" s="36"/>
      <c r="N219" s="36"/>
      <c r="O219" s="36"/>
      <c r="P219" s="36"/>
      <c r="Q219" s="36"/>
      <c r="R219" s="36"/>
      <c r="S219" s="36"/>
      <c r="T219" s="36"/>
      <c r="U219" s="36"/>
      <c r="V219" s="36"/>
      <c r="W219" s="36"/>
      <c r="X219" s="36"/>
      <c r="Y219" s="36"/>
      <c r="Z219" s="36"/>
    </row>
    <row r="220" ht="15.75" customHeight="1">
      <c r="A220" s="36"/>
      <c r="B220" s="36"/>
      <c r="C220" s="37"/>
      <c r="D220" s="37"/>
      <c r="E220" s="36"/>
      <c r="F220" s="36"/>
      <c r="G220" s="37"/>
      <c r="I220" s="37"/>
      <c r="J220" s="36"/>
      <c r="K220" s="36"/>
      <c r="L220" s="36"/>
      <c r="M220" s="36"/>
      <c r="N220" s="36"/>
      <c r="O220" s="36"/>
      <c r="P220" s="36"/>
      <c r="Q220" s="36"/>
      <c r="R220" s="36"/>
      <c r="S220" s="36"/>
      <c r="T220" s="36"/>
      <c r="U220" s="36"/>
      <c r="V220" s="36"/>
      <c r="W220" s="36"/>
      <c r="X220" s="36"/>
      <c r="Y220" s="36"/>
      <c r="Z220" s="36"/>
    </row>
    <row r="221" ht="15.75" customHeight="1">
      <c r="A221" s="36"/>
      <c r="B221" s="36"/>
      <c r="C221" s="37"/>
      <c r="D221" s="37"/>
      <c r="E221" s="36"/>
      <c r="F221" s="36"/>
      <c r="G221" s="37"/>
      <c r="I221" s="37"/>
      <c r="J221" s="36"/>
      <c r="K221" s="36"/>
      <c r="L221" s="36"/>
      <c r="M221" s="36"/>
      <c r="N221" s="36"/>
      <c r="O221" s="36"/>
      <c r="P221" s="36"/>
      <c r="Q221" s="36"/>
      <c r="R221" s="36"/>
      <c r="S221" s="36"/>
      <c r="T221" s="36"/>
      <c r="U221" s="36"/>
      <c r="V221" s="36"/>
      <c r="W221" s="36"/>
      <c r="X221" s="36"/>
      <c r="Y221" s="36"/>
      <c r="Z221" s="36"/>
    </row>
    <row r="222" ht="15.75" customHeight="1">
      <c r="A222" s="36"/>
      <c r="B222" s="36"/>
      <c r="C222" s="37"/>
      <c r="D222" s="37"/>
      <c r="E222" s="36"/>
      <c r="F222" s="36"/>
      <c r="G222" s="37"/>
      <c r="I222" s="37"/>
      <c r="J222" s="36"/>
      <c r="K222" s="36"/>
      <c r="L222" s="36"/>
      <c r="M222" s="36"/>
      <c r="N222" s="36"/>
      <c r="O222" s="36"/>
      <c r="P222" s="36"/>
      <c r="Q222" s="36"/>
      <c r="R222" s="36"/>
      <c r="S222" s="36"/>
      <c r="T222" s="36"/>
      <c r="U222" s="36"/>
      <c r="V222" s="36"/>
      <c r="W222" s="36"/>
      <c r="X222" s="36"/>
      <c r="Y222" s="36"/>
      <c r="Z222" s="36"/>
    </row>
    <row r="223" ht="15.75" customHeight="1">
      <c r="A223" s="36"/>
      <c r="B223" s="36"/>
      <c r="C223" s="37"/>
      <c r="D223" s="37"/>
      <c r="E223" s="36"/>
      <c r="F223" s="36"/>
      <c r="G223" s="37"/>
      <c r="I223" s="37"/>
      <c r="J223" s="36"/>
      <c r="K223" s="36"/>
      <c r="L223" s="36"/>
      <c r="M223" s="36"/>
      <c r="N223" s="36"/>
      <c r="O223" s="36"/>
      <c r="P223" s="36"/>
      <c r="Q223" s="36"/>
      <c r="R223" s="36"/>
      <c r="S223" s="36"/>
      <c r="T223" s="36"/>
      <c r="U223" s="36"/>
      <c r="V223" s="36"/>
      <c r="W223" s="36"/>
      <c r="X223" s="36"/>
      <c r="Y223" s="36"/>
      <c r="Z223" s="36"/>
    </row>
    <row r="224" ht="15.75" customHeight="1">
      <c r="A224" s="36"/>
      <c r="B224" s="36"/>
      <c r="C224" s="37"/>
      <c r="D224" s="37"/>
      <c r="E224" s="36"/>
      <c r="F224" s="36"/>
      <c r="G224" s="37"/>
      <c r="I224" s="37"/>
      <c r="J224" s="36"/>
      <c r="K224" s="36"/>
      <c r="L224" s="36"/>
      <c r="M224" s="36"/>
      <c r="N224" s="36"/>
      <c r="O224" s="36"/>
      <c r="P224" s="36"/>
      <c r="Q224" s="36"/>
      <c r="R224" s="36"/>
      <c r="S224" s="36"/>
      <c r="T224" s="36"/>
      <c r="U224" s="36"/>
      <c r="V224" s="36"/>
      <c r="W224" s="36"/>
      <c r="X224" s="36"/>
      <c r="Y224" s="36"/>
      <c r="Z224" s="36"/>
    </row>
    <row r="225" ht="15.75" customHeight="1">
      <c r="A225" s="36"/>
      <c r="B225" s="36"/>
      <c r="C225" s="37"/>
      <c r="D225" s="37"/>
      <c r="E225" s="36"/>
      <c r="F225" s="36"/>
      <c r="G225" s="37"/>
      <c r="I225" s="37"/>
      <c r="J225" s="36"/>
      <c r="K225" s="36"/>
      <c r="L225" s="36"/>
      <c r="M225" s="36"/>
      <c r="N225" s="36"/>
      <c r="O225" s="36"/>
      <c r="P225" s="36"/>
      <c r="Q225" s="36"/>
      <c r="R225" s="36"/>
      <c r="S225" s="36"/>
      <c r="T225" s="36"/>
      <c r="U225" s="36"/>
      <c r="V225" s="36"/>
      <c r="W225" s="36"/>
      <c r="X225" s="36"/>
      <c r="Y225" s="36"/>
      <c r="Z225" s="36"/>
    </row>
    <row r="226" ht="15.75" customHeight="1">
      <c r="A226" s="36"/>
      <c r="B226" s="36"/>
      <c r="C226" s="37"/>
      <c r="D226" s="37"/>
      <c r="E226" s="36"/>
      <c r="F226" s="36"/>
      <c r="G226" s="37"/>
      <c r="I226" s="37"/>
      <c r="J226" s="36"/>
      <c r="K226" s="36"/>
      <c r="L226" s="36"/>
      <c r="M226" s="36"/>
      <c r="N226" s="36"/>
      <c r="O226" s="36"/>
      <c r="P226" s="36"/>
      <c r="Q226" s="36"/>
      <c r="R226" s="36"/>
      <c r="S226" s="36"/>
      <c r="T226" s="36"/>
      <c r="U226" s="36"/>
      <c r="V226" s="36"/>
      <c r="W226" s="36"/>
      <c r="X226" s="36"/>
      <c r="Y226" s="36"/>
      <c r="Z226" s="36"/>
    </row>
    <row r="227" ht="15.75" customHeight="1">
      <c r="A227" s="36"/>
      <c r="B227" s="36"/>
      <c r="C227" s="37"/>
      <c r="D227" s="37"/>
      <c r="E227" s="36"/>
      <c r="F227" s="36"/>
      <c r="G227" s="37"/>
      <c r="I227" s="37"/>
      <c r="J227" s="36"/>
      <c r="K227" s="36"/>
      <c r="L227" s="36"/>
      <c r="M227" s="36"/>
      <c r="N227" s="36"/>
      <c r="O227" s="36"/>
      <c r="P227" s="36"/>
      <c r="Q227" s="36"/>
      <c r="R227" s="36"/>
      <c r="S227" s="36"/>
      <c r="T227" s="36"/>
      <c r="U227" s="36"/>
      <c r="V227" s="36"/>
      <c r="W227" s="36"/>
      <c r="X227" s="36"/>
      <c r="Y227" s="36"/>
      <c r="Z227" s="36"/>
    </row>
    <row r="228" ht="15.75" customHeight="1">
      <c r="A228" s="36"/>
      <c r="B228" s="36"/>
      <c r="C228" s="37"/>
      <c r="D228" s="37"/>
      <c r="E228" s="36"/>
      <c r="F228" s="36"/>
      <c r="G228" s="37"/>
      <c r="I228" s="37"/>
      <c r="J228" s="36"/>
      <c r="K228" s="36"/>
      <c r="L228" s="36"/>
      <c r="M228" s="36"/>
      <c r="N228" s="36"/>
      <c r="O228" s="36"/>
      <c r="P228" s="36"/>
      <c r="Q228" s="36"/>
      <c r="R228" s="36"/>
      <c r="S228" s="36"/>
      <c r="T228" s="36"/>
      <c r="U228" s="36"/>
      <c r="V228" s="36"/>
      <c r="W228" s="36"/>
      <c r="X228" s="36"/>
      <c r="Y228" s="36"/>
      <c r="Z228" s="36"/>
    </row>
    <row r="229" ht="15.75" customHeight="1">
      <c r="A229" s="36"/>
      <c r="B229" s="36"/>
      <c r="C229" s="37"/>
      <c r="D229" s="37"/>
      <c r="E229" s="36"/>
      <c r="F229" s="36"/>
      <c r="G229" s="37"/>
      <c r="I229" s="37"/>
      <c r="J229" s="36"/>
      <c r="K229" s="36"/>
      <c r="L229" s="36"/>
      <c r="M229" s="36"/>
      <c r="N229" s="36"/>
      <c r="O229" s="36"/>
      <c r="P229" s="36"/>
      <c r="Q229" s="36"/>
      <c r="R229" s="36"/>
      <c r="S229" s="36"/>
      <c r="T229" s="36"/>
      <c r="U229" s="36"/>
      <c r="V229" s="36"/>
      <c r="W229" s="36"/>
      <c r="X229" s="36"/>
      <c r="Y229" s="36"/>
      <c r="Z229" s="36"/>
    </row>
    <row r="230" ht="15.75" customHeight="1">
      <c r="A230" s="36"/>
      <c r="B230" s="36"/>
      <c r="C230" s="37"/>
      <c r="D230" s="37"/>
      <c r="E230" s="36"/>
      <c r="F230" s="36"/>
      <c r="G230" s="37"/>
      <c r="I230" s="37"/>
      <c r="J230" s="36"/>
      <c r="K230" s="36"/>
      <c r="L230" s="36"/>
      <c r="M230" s="36"/>
      <c r="N230" s="36"/>
      <c r="O230" s="36"/>
      <c r="P230" s="36"/>
      <c r="Q230" s="36"/>
      <c r="R230" s="36"/>
      <c r="S230" s="36"/>
      <c r="T230" s="36"/>
      <c r="U230" s="36"/>
      <c r="V230" s="36"/>
      <c r="W230" s="36"/>
      <c r="X230" s="36"/>
      <c r="Y230" s="36"/>
      <c r="Z230" s="36"/>
    </row>
    <row r="231" ht="15.75" customHeight="1">
      <c r="A231" s="36"/>
      <c r="B231" s="36"/>
      <c r="C231" s="37"/>
      <c r="D231" s="37"/>
      <c r="E231" s="36"/>
      <c r="F231" s="36"/>
      <c r="G231" s="37"/>
      <c r="I231" s="37"/>
      <c r="J231" s="36"/>
      <c r="K231" s="36"/>
      <c r="L231" s="36"/>
      <c r="M231" s="36"/>
      <c r="N231" s="36"/>
      <c r="O231" s="36"/>
      <c r="P231" s="36"/>
      <c r="Q231" s="36"/>
      <c r="R231" s="36"/>
      <c r="S231" s="36"/>
      <c r="T231" s="36"/>
      <c r="U231" s="36"/>
      <c r="V231" s="36"/>
      <c r="W231" s="36"/>
      <c r="X231" s="36"/>
      <c r="Y231" s="36"/>
      <c r="Z231" s="36"/>
    </row>
    <row r="232" ht="15.75" customHeight="1">
      <c r="A232" s="36"/>
      <c r="B232" s="36"/>
      <c r="C232" s="37"/>
      <c r="D232" s="37"/>
      <c r="E232" s="36"/>
      <c r="F232" s="36"/>
      <c r="G232" s="37"/>
      <c r="I232" s="37"/>
      <c r="J232" s="36"/>
      <c r="K232" s="36"/>
      <c r="L232" s="36"/>
      <c r="M232" s="36"/>
      <c r="N232" s="36"/>
      <c r="O232" s="36"/>
      <c r="P232" s="36"/>
      <c r="Q232" s="36"/>
      <c r="R232" s="36"/>
      <c r="S232" s="36"/>
      <c r="T232" s="36"/>
      <c r="U232" s="36"/>
      <c r="V232" s="36"/>
      <c r="W232" s="36"/>
      <c r="X232" s="36"/>
      <c r="Y232" s="36"/>
      <c r="Z232" s="36"/>
    </row>
    <row r="233" ht="15.75" customHeight="1">
      <c r="A233" s="36"/>
      <c r="B233" s="36"/>
      <c r="C233" s="37"/>
      <c r="D233" s="37"/>
      <c r="E233" s="36"/>
      <c r="F233" s="36"/>
      <c r="G233" s="37"/>
      <c r="I233" s="37"/>
      <c r="J233" s="36"/>
      <c r="K233" s="36"/>
      <c r="L233" s="36"/>
      <c r="M233" s="36"/>
      <c r="N233" s="36"/>
      <c r="O233" s="36"/>
      <c r="P233" s="36"/>
      <c r="Q233" s="36"/>
      <c r="R233" s="36"/>
      <c r="S233" s="36"/>
      <c r="T233" s="36"/>
      <c r="U233" s="36"/>
      <c r="V233" s="36"/>
      <c r="W233" s="36"/>
      <c r="X233" s="36"/>
      <c r="Y233" s="36"/>
      <c r="Z233" s="36"/>
    </row>
    <row r="234" ht="15.75" customHeight="1">
      <c r="A234" s="36"/>
      <c r="B234" s="36"/>
      <c r="C234" s="37"/>
      <c r="D234" s="37"/>
      <c r="E234" s="36"/>
      <c r="F234" s="36"/>
      <c r="G234" s="37"/>
      <c r="I234" s="37"/>
      <c r="J234" s="36"/>
      <c r="K234" s="36"/>
      <c r="L234" s="36"/>
      <c r="M234" s="36"/>
      <c r="N234" s="36"/>
      <c r="O234" s="36"/>
      <c r="P234" s="36"/>
      <c r="Q234" s="36"/>
      <c r="R234" s="36"/>
      <c r="S234" s="36"/>
      <c r="T234" s="36"/>
      <c r="U234" s="36"/>
      <c r="V234" s="36"/>
      <c r="W234" s="36"/>
      <c r="X234" s="36"/>
      <c r="Y234" s="36"/>
      <c r="Z234" s="36"/>
    </row>
    <row r="235" ht="15.75" customHeight="1">
      <c r="A235" s="36"/>
      <c r="B235" s="36"/>
      <c r="C235" s="37"/>
      <c r="D235" s="37"/>
      <c r="E235" s="36"/>
      <c r="F235" s="36"/>
      <c r="G235" s="37"/>
      <c r="I235" s="37"/>
      <c r="J235" s="36"/>
      <c r="K235" s="36"/>
      <c r="L235" s="36"/>
      <c r="M235" s="36"/>
      <c r="N235" s="36"/>
      <c r="O235" s="36"/>
      <c r="P235" s="36"/>
      <c r="Q235" s="36"/>
      <c r="R235" s="36"/>
      <c r="S235" s="36"/>
      <c r="T235" s="36"/>
      <c r="U235" s="36"/>
      <c r="V235" s="36"/>
      <c r="W235" s="36"/>
      <c r="X235" s="36"/>
      <c r="Y235" s="36"/>
      <c r="Z235" s="36"/>
    </row>
    <row r="236" ht="15.75" customHeight="1">
      <c r="A236" s="36"/>
      <c r="B236" s="36"/>
      <c r="C236" s="37"/>
      <c r="D236" s="37"/>
      <c r="E236" s="36"/>
      <c r="F236" s="36"/>
      <c r="G236" s="37"/>
      <c r="I236" s="37"/>
      <c r="J236" s="36"/>
      <c r="K236" s="36"/>
      <c r="L236" s="36"/>
      <c r="M236" s="36"/>
      <c r="N236" s="36"/>
      <c r="O236" s="36"/>
      <c r="P236" s="36"/>
      <c r="Q236" s="36"/>
      <c r="R236" s="36"/>
      <c r="S236" s="36"/>
      <c r="T236" s="36"/>
      <c r="U236" s="36"/>
      <c r="V236" s="36"/>
      <c r="W236" s="36"/>
      <c r="X236" s="36"/>
      <c r="Y236" s="36"/>
      <c r="Z236" s="36"/>
    </row>
    <row r="237" ht="15.75" customHeight="1">
      <c r="A237" s="36"/>
      <c r="B237" s="36"/>
      <c r="C237" s="37"/>
      <c r="D237" s="37"/>
      <c r="E237" s="36"/>
      <c r="F237" s="36"/>
      <c r="G237" s="37"/>
      <c r="I237" s="37"/>
      <c r="J237" s="36"/>
      <c r="K237" s="36"/>
      <c r="L237" s="36"/>
      <c r="M237" s="36"/>
      <c r="N237" s="36"/>
      <c r="O237" s="36"/>
      <c r="P237" s="36"/>
      <c r="Q237" s="36"/>
      <c r="R237" s="36"/>
      <c r="S237" s="36"/>
      <c r="T237" s="36"/>
      <c r="U237" s="36"/>
      <c r="V237" s="36"/>
      <c r="W237" s="36"/>
      <c r="X237" s="36"/>
      <c r="Y237" s="36"/>
      <c r="Z237" s="36"/>
    </row>
    <row r="238" ht="15.75" customHeight="1">
      <c r="A238" s="36"/>
      <c r="B238" s="36"/>
      <c r="C238" s="37"/>
      <c r="D238" s="37"/>
      <c r="E238" s="36"/>
      <c r="F238" s="36"/>
      <c r="G238" s="37"/>
      <c r="I238" s="37"/>
      <c r="J238" s="36"/>
      <c r="K238" s="36"/>
      <c r="L238" s="36"/>
      <c r="M238" s="36"/>
      <c r="N238" s="36"/>
      <c r="O238" s="36"/>
      <c r="P238" s="36"/>
      <c r="Q238" s="36"/>
      <c r="R238" s="36"/>
      <c r="S238" s="36"/>
      <c r="T238" s="36"/>
      <c r="U238" s="36"/>
      <c r="V238" s="36"/>
      <c r="W238" s="36"/>
      <c r="X238" s="36"/>
      <c r="Y238" s="36"/>
      <c r="Z238" s="36"/>
    </row>
    <row r="239" ht="15.75" customHeight="1">
      <c r="A239" s="36"/>
      <c r="B239" s="36"/>
      <c r="C239" s="37"/>
      <c r="D239" s="37"/>
      <c r="E239" s="36"/>
      <c r="F239" s="36"/>
      <c r="G239" s="37"/>
      <c r="I239" s="37"/>
      <c r="J239" s="36"/>
      <c r="K239" s="36"/>
      <c r="L239" s="36"/>
      <c r="M239" s="36"/>
      <c r="N239" s="36"/>
      <c r="O239" s="36"/>
      <c r="P239" s="36"/>
      <c r="Q239" s="36"/>
      <c r="R239" s="36"/>
      <c r="S239" s="36"/>
      <c r="T239" s="36"/>
      <c r="U239" s="36"/>
      <c r="V239" s="36"/>
      <c r="W239" s="36"/>
      <c r="X239" s="36"/>
      <c r="Y239" s="36"/>
      <c r="Z239" s="36"/>
    </row>
    <row r="240" ht="15.75" customHeight="1">
      <c r="A240" s="36"/>
      <c r="B240" s="36"/>
      <c r="C240" s="37"/>
      <c r="D240" s="37"/>
      <c r="E240" s="36"/>
      <c r="F240" s="36"/>
      <c r="G240" s="37"/>
      <c r="I240" s="37"/>
      <c r="J240" s="36"/>
      <c r="K240" s="36"/>
      <c r="L240" s="36"/>
      <c r="M240" s="36"/>
      <c r="N240" s="36"/>
      <c r="O240" s="36"/>
      <c r="P240" s="36"/>
      <c r="Q240" s="36"/>
      <c r="R240" s="36"/>
      <c r="S240" s="36"/>
      <c r="T240" s="36"/>
      <c r="U240" s="36"/>
      <c r="V240" s="36"/>
      <c r="W240" s="36"/>
      <c r="X240" s="36"/>
      <c r="Y240" s="36"/>
      <c r="Z240" s="36"/>
    </row>
    <row r="241" ht="15.75" customHeight="1">
      <c r="A241" s="36"/>
      <c r="B241" s="36"/>
      <c r="C241" s="37"/>
      <c r="D241" s="37"/>
      <c r="E241" s="36"/>
      <c r="F241" s="36"/>
      <c r="G241" s="37"/>
      <c r="I241" s="37"/>
      <c r="J241" s="36"/>
      <c r="K241" s="36"/>
      <c r="L241" s="36"/>
      <c r="M241" s="36"/>
      <c r="N241" s="36"/>
      <c r="O241" s="36"/>
      <c r="P241" s="36"/>
      <c r="Q241" s="36"/>
      <c r="R241" s="36"/>
      <c r="S241" s="36"/>
      <c r="T241" s="36"/>
      <c r="U241" s="36"/>
      <c r="V241" s="36"/>
      <c r="W241" s="36"/>
      <c r="X241" s="36"/>
      <c r="Y241" s="36"/>
      <c r="Z241" s="36"/>
    </row>
    <row r="242" ht="15.75" customHeight="1">
      <c r="A242" s="36"/>
      <c r="B242" s="36"/>
      <c r="C242" s="37"/>
      <c r="D242" s="37"/>
      <c r="E242" s="36"/>
      <c r="F242" s="36"/>
      <c r="G242" s="37"/>
      <c r="I242" s="37"/>
      <c r="J242" s="36"/>
      <c r="K242" s="36"/>
      <c r="L242" s="36"/>
      <c r="M242" s="36"/>
      <c r="N242" s="36"/>
      <c r="O242" s="36"/>
      <c r="P242" s="36"/>
      <c r="Q242" s="36"/>
      <c r="R242" s="36"/>
      <c r="S242" s="36"/>
      <c r="T242" s="36"/>
      <c r="U242" s="36"/>
      <c r="V242" s="36"/>
      <c r="W242" s="36"/>
      <c r="X242" s="36"/>
      <c r="Y242" s="36"/>
      <c r="Z242" s="36"/>
    </row>
    <row r="243" ht="15.75" customHeight="1">
      <c r="A243" s="36"/>
      <c r="B243" s="36"/>
      <c r="C243" s="37"/>
      <c r="D243" s="37"/>
      <c r="E243" s="36"/>
      <c r="F243" s="36"/>
      <c r="G243" s="37"/>
      <c r="I243" s="37"/>
      <c r="J243" s="36"/>
      <c r="K243" s="36"/>
      <c r="L243" s="36"/>
      <c r="M243" s="36"/>
      <c r="N243" s="36"/>
      <c r="O243" s="36"/>
      <c r="P243" s="36"/>
      <c r="Q243" s="36"/>
      <c r="R243" s="36"/>
      <c r="S243" s="36"/>
      <c r="T243" s="36"/>
      <c r="U243" s="36"/>
      <c r="V243" s="36"/>
      <c r="W243" s="36"/>
      <c r="X243" s="36"/>
      <c r="Y243" s="36"/>
      <c r="Z243" s="36"/>
    </row>
    <row r="244" ht="15.75" customHeight="1">
      <c r="A244" s="36"/>
      <c r="B244" s="36"/>
      <c r="C244" s="37"/>
      <c r="D244" s="37"/>
      <c r="E244" s="36"/>
      <c r="F244" s="36"/>
      <c r="G244" s="37"/>
      <c r="I244" s="37"/>
      <c r="J244" s="36"/>
      <c r="K244" s="36"/>
      <c r="L244" s="36"/>
      <c r="M244" s="36"/>
      <c r="N244" s="36"/>
      <c r="O244" s="36"/>
      <c r="P244" s="36"/>
      <c r="Q244" s="36"/>
      <c r="R244" s="36"/>
      <c r="S244" s="36"/>
      <c r="T244" s="36"/>
      <c r="U244" s="36"/>
      <c r="V244" s="36"/>
      <c r="W244" s="36"/>
      <c r="X244" s="36"/>
      <c r="Y244" s="36"/>
      <c r="Z244" s="36"/>
    </row>
    <row r="245" ht="15.75" customHeight="1">
      <c r="A245" s="36"/>
      <c r="B245" s="36"/>
      <c r="C245" s="37"/>
      <c r="D245" s="37"/>
      <c r="E245" s="36"/>
      <c r="F245" s="36"/>
      <c r="G245" s="37"/>
      <c r="I245" s="37"/>
      <c r="J245" s="36"/>
      <c r="K245" s="36"/>
      <c r="L245" s="36"/>
      <c r="M245" s="36"/>
      <c r="N245" s="36"/>
      <c r="O245" s="36"/>
      <c r="P245" s="36"/>
      <c r="Q245" s="36"/>
      <c r="R245" s="36"/>
      <c r="S245" s="36"/>
      <c r="T245" s="36"/>
      <c r="U245" s="36"/>
      <c r="V245" s="36"/>
      <c r="W245" s="36"/>
      <c r="X245" s="36"/>
      <c r="Y245" s="36"/>
      <c r="Z245" s="36"/>
    </row>
    <row r="246" ht="15.75" customHeight="1">
      <c r="A246" s="36"/>
      <c r="B246" s="36"/>
      <c r="C246" s="37"/>
      <c r="D246" s="37"/>
      <c r="E246" s="36"/>
      <c r="F246" s="36"/>
      <c r="G246" s="37"/>
      <c r="I246" s="37"/>
      <c r="J246" s="36"/>
      <c r="K246" s="36"/>
      <c r="L246" s="36"/>
      <c r="M246" s="36"/>
      <c r="N246" s="36"/>
      <c r="O246" s="36"/>
      <c r="P246" s="36"/>
      <c r="Q246" s="36"/>
      <c r="R246" s="36"/>
      <c r="S246" s="36"/>
      <c r="T246" s="36"/>
      <c r="U246" s="36"/>
      <c r="V246" s="36"/>
      <c r="W246" s="36"/>
      <c r="X246" s="36"/>
      <c r="Y246" s="36"/>
      <c r="Z246" s="36"/>
    </row>
    <row r="247" ht="15.75" customHeight="1">
      <c r="A247" s="36"/>
      <c r="B247" s="36"/>
      <c r="C247" s="37"/>
      <c r="D247" s="37"/>
      <c r="E247" s="36"/>
      <c r="F247" s="36"/>
      <c r="G247" s="37"/>
      <c r="I247" s="37"/>
      <c r="J247" s="36"/>
      <c r="K247" s="36"/>
      <c r="L247" s="36"/>
      <c r="M247" s="36"/>
      <c r="N247" s="36"/>
      <c r="O247" s="36"/>
      <c r="P247" s="36"/>
      <c r="Q247" s="36"/>
      <c r="R247" s="36"/>
      <c r="S247" s="36"/>
      <c r="T247" s="36"/>
      <c r="U247" s="36"/>
      <c r="V247" s="36"/>
      <c r="W247" s="36"/>
      <c r="X247" s="36"/>
      <c r="Y247" s="36"/>
      <c r="Z247" s="36"/>
    </row>
    <row r="248" ht="15.75" customHeight="1">
      <c r="A248" s="36"/>
      <c r="B248" s="36"/>
      <c r="C248" s="37"/>
      <c r="D248" s="37"/>
      <c r="E248" s="36"/>
      <c r="F248" s="36"/>
      <c r="G248" s="37"/>
      <c r="I248" s="37"/>
      <c r="J248" s="36"/>
      <c r="K248" s="36"/>
      <c r="L248" s="36"/>
      <c r="M248" s="36"/>
      <c r="N248" s="36"/>
      <c r="O248" s="36"/>
      <c r="P248" s="36"/>
      <c r="Q248" s="36"/>
      <c r="R248" s="36"/>
      <c r="S248" s="36"/>
      <c r="T248" s="36"/>
      <c r="U248" s="36"/>
      <c r="V248" s="36"/>
      <c r="W248" s="36"/>
      <c r="X248" s="36"/>
      <c r="Y248" s="36"/>
      <c r="Z248" s="36"/>
    </row>
    <row r="249" ht="15.75" customHeight="1">
      <c r="A249" s="36"/>
      <c r="B249" s="36"/>
      <c r="C249" s="37"/>
      <c r="D249" s="37"/>
      <c r="E249" s="36"/>
      <c r="F249" s="36"/>
      <c r="G249" s="37"/>
      <c r="I249" s="37"/>
      <c r="J249" s="36"/>
      <c r="K249" s="36"/>
      <c r="L249" s="36"/>
      <c r="M249" s="36"/>
      <c r="N249" s="36"/>
      <c r="O249" s="36"/>
      <c r="P249" s="36"/>
      <c r="Q249" s="36"/>
      <c r="R249" s="36"/>
      <c r="S249" s="36"/>
      <c r="T249" s="36"/>
      <c r="U249" s="36"/>
      <c r="V249" s="36"/>
      <c r="W249" s="36"/>
      <c r="X249" s="36"/>
      <c r="Y249" s="36"/>
      <c r="Z249" s="36"/>
    </row>
    <row r="250" ht="15.75" customHeight="1">
      <c r="A250" s="36"/>
      <c r="B250" s="36"/>
      <c r="C250" s="37"/>
      <c r="D250" s="37"/>
      <c r="E250" s="36"/>
      <c r="F250" s="36"/>
      <c r="G250" s="37"/>
      <c r="I250" s="37"/>
      <c r="J250" s="36"/>
      <c r="K250" s="36"/>
      <c r="L250" s="36"/>
      <c r="M250" s="36"/>
      <c r="N250" s="36"/>
      <c r="O250" s="36"/>
      <c r="P250" s="36"/>
      <c r="Q250" s="36"/>
      <c r="R250" s="36"/>
      <c r="S250" s="36"/>
      <c r="T250" s="36"/>
      <c r="U250" s="36"/>
      <c r="V250" s="36"/>
      <c r="W250" s="36"/>
      <c r="X250" s="36"/>
      <c r="Y250" s="36"/>
      <c r="Z250" s="36"/>
    </row>
    <row r="251" ht="15.75" customHeight="1">
      <c r="A251" s="36"/>
      <c r="B251" s="36"/>
      <c r="C251" s="37"/>
      <c r="D251" s="37"/>
      <c r="E251" s="36"/>
      <c r="F251" s="36"/>
      <c r="G251" s="37"/>
      <c r="I251" s="37"/>
      <c r="J251" s="36"/>
      <c r="K251" s="36"/>
      <c r="L251" s="36"/>
      <c r="M251" s="36"/>
      <c r="N251" s="36"/>
      <c r="O251" s="36"/>
      <c r="P251" s="36"/>
      <c r="Q251" s="36"/>
      <c r="R251" s="36"/>
      <c r="S251" s="36"/>
      <c r="T251" s="36"/>
      <c r="U251" s="36"/>
      <c r="V251" s="36"/>
      <c r="W251" s="36"/>
      <c r="X251" s="36"/>
      <c r="Y251" s="36"/>
      <c r="Z251" s="36"/>
    </row>
    <row r="252" ht="15.75" customHeight="1">
      <c r="A252" s="36"/>
      <c r="B252" s="36"/>
      <c r="C252" s="37"/>
      <c r="D252" s="37"/>
      <c r="E252" s="36"/>
      <c r="F252" s="36"/>
      <c r="G252" s="37"/>
      <c r="I252" s="37"/>
      <c r="J252" s="36"/>
      <c r="K252" s="36"/>
      <c r="L252" s="36"/>
      <c r="M252" s="36"/>
      <c r="N252" s="36"/>
      <c r="O252" s="36"/>
      <c r="P252" s="36"/>
      <c r="Q252" s="36"/>
      <c r="R252" s="36"/>
      <c r="S252" s="36"/>
      <c r="T252" s="36"/>
      <c r="U252" s="36"/>
      <c r="V252" s="36"/>
      <c r="W252" s="36"/>
      <c r="X252" s="36"/>
      <c r="Y252" s="36"/>
      <c r="Z252" s="36"/>
    </row>
    <row r="253" ht="15.75" customHeight="1">
      <c r="A253" s="36"/>
      <c r="B253" s="36"/>
      <c r="C253" s="37"/>
      <c r="D253" s="37"/>
      <c r="E253" s="36"/>
      <c r="F253" s="36"/>
      <c r="G253" s="37"/>
      <c r="I253" s="37"/>
      <c r="J253" s="36"/>
      <c r="K253" s="36"/>
      <c r="L253" s="36"/>
      <c r="M253" s="36"/>
      <c r="N253" s="36"/>
      <c r="O253" s="36"/>
      <c r="P253" s="36"/>
      <c r="Q253" s="36"/>
      <c r="R253" s="36"/>
      <c r="S253" s="36"/>
      <c r="T253" s="36"/>
      <c r="U253" s="36"/>
      <c r="V253" s="36"/>
      <c r="W253" s="36"/>
      <c r="X253" s="36"/>
      <c r="Y253" s="36"/>
      <c r="Z253" s="36"/>
    </row>
    <row r="254" ht="15.75" customHeight="1">
      <c r="A254" s="36"/>
      <c r="B254" s="36"/>
      <c r="C254" s="37"/>
      <c r="D254" s="37"/>
      <c r="E254" s="36"/>
      <c r="F254" s="36"/>
      <c r="G254" s="37"/>
      <c r="I254" s="37"/>
      <c r="J254" s="36"/>
      <c r="K254" s="36"/>
      <c r="L254" s="36"/>
      <c r="M254" s="36"/>
      <c r="N254" s="36"/>
      <c r="O254" s="36"/>
      <c r="P254" s="36"/>
      <c r="Q254" s="36"/>
      <c r="R254" s="36"/>
      <c r="S254" s="36"/>
      <c r="T254" s="36"/>
      <c r="U254" s="36"/>
      <c r="V254" s="36"/>
      <c r="W254" s="36"/>
      <c r="X254" s="36"/>
      <c r="Y254" s="36"/>
      <c r="Z254" s="36"/>
    </row>
    <row r="255" ht="15.75" customHeight="1">
      <c r="A255" s="36"/>
      <c r="B255" s="36"/>
      <c r="C255" s="37"/>
      <c r="D255" s="37"/>
      <c r="E255" s="36"/>
      <c r="F255" s="36"/>
      <c r="G255" s="37"/>
      <c r="I255" s="37"/>
      <c r="J255" s="36"/>
      <c r="K255" s="36"/>
      <c r="L255" s="36"/>
      <c r="M255" s="36"/>
      <c r="N255" s="36"/>
      <c r="O255" s="36"/>
      <c r="P255" s="36"/>
      <c r="Q255" s="36"/>
      <c r="R255" s="36"/>
      <c r="S255" s="36"/>
      <c r="T255" s="36"/>
      <c r="U255" s="36"/>
      <c r="V255" s="36"/>
      <c r="W255" s="36"/>
      <c r="X255" s="36"/>
      <c r="Y255" s="36"/>
      <c r="Z255" s="36"/>
    </row>
    <row r="256" ht="15.75" customHeight="1">
      <c r="A256" s="36"/>
      <c r="B256" s="36"/>
      <c r="C256" s="37"/>
      <c r="D256" s="37"/>
      <c r="E256" s="36"/>
      <c r="F256" s="36"/>
      <c r="G256" s="37"/>
      <c r="I256" s="37"/>
      <c r="J256" s="36"/>
      <c r="K256" s="36"/>
      <c r="L256" s="36"/>
      <c r="M256" s="36"/>
      <c r="N256" s="36"/>
      <c r="O256" s="36"/>
      <c r="P256" s="36"/>
      <c r="Q256" s="36"/>
      <c r="R256" s="36"/>
      <c r="S256" s="36"/>
      <c r="T256" s="36"/>
      <c r="U256" s="36"/>
      <c r="V256" s="36"/>
      <c r="W256" s="36"/>
      <c r="X256" s="36"/>
      <c r="Y256" s="36"/>
      <c r="Z256" s="36"/>
    </row>
    <row r="257" ht="15.75" customHeight="1">
      <c r="A257" s="36"/>
      <c r="B257" s="36"/>
      <c r="C257" s="37"/>
      <c r="D257" s="37"/>
      <c r="E257" s="36"/>
      <c r="F257" s="36"/>
      <c r="G257" s="37"/>
      <c r="I257" s="37"/>
      <c r="J257" s="36"/>
      <c r="K257" s="36"/>
      <c r="L257" s="36"/>
      <c r="M257" s="36"/>
      <c r="N257" s="36"/>
      <c r="O257" s="36"/>
      <c r="P257" s="36"/>
      <c r="Q257" s="36"/>
      <c r="R257" s="36"/>
      <c r="S257" s="36"/>
      <c r="T257" s="36"/>
      <c r="U257" s="36"/>
      <c r="V257" s="36"/>
      <c r="W257" s="36"/>
      <c r="X257" s="36"/>
      <c r="Y257" s="36"/>
      <c r="Z257" s="36"/>
    </row>
    <row r="258" ht="15.75" customHeight="1">
      <c r="A258" s="36"/>
      <c r="B258" s="36"/>
      <c r="C258" s="37"/>
      <c r="D258" s="37"/>
      <c r="E258" s="36"/>
      <c r="F258" s="36"/>
      <c r="G258" s="37"/>
      <c r="I258" s="37"/>
      <c r="J258" s="36"/>
      <c r="K258" s="36"/>
      <c r="L258" s="36"/>
      <c r="M258" s="36"/>
      <c r="N258" s="36"/>
      <c r="O258" s="36"/>
      <c r="P258" s="36"/>
      <c r="Q258" s="36"/>
      <c r="R258" s="36"/>
      <c r="S258" s="36"/>
      <c r="T258" s="36"/>
      <c r="U258" s="36"/>
      <c r="V258" s="36"/>
      <c r="W258" s="36"/>
      <c r="X258" s="36"/>
      <c r="Y258" s="36"/>
      <c r="Z258" s="36"/>
    </row>
    <row r="259" ht="15.75" customHeight="1">
      <c r="A259" s="36"/>
      <c r="B259" s="36"/>
      <c r="C259" s="37"/>
      <c r="D259" s="37"/>
      <c r="E259" s="36"/>
      <c r="F259" s="36"/>
      <c r="G259" s="37"/>
      <c r="I259" s="37"/>
      <c r="J259" s="36"/>
      <c r="K259" s="36"/>
      <c r="L259" s="36"/>
      <c r="M259" s="36"/>
      <c r="N259" s="36"/>
      <c r="O259" s="36"/>
      <c r="P259" s="36"/>
      <c r="Q259" s="36"/>
      <c r="R259" s="36"/>
      <c r="S259" s="36"/>
      <c r="T259" s="36"/>
      <c r="U259" s="36"/>
      <c r="V259" s="36"/>
      <c r="W259" s="36"/>
      <c r="X259" s="36"/>
      <c r="Y259" s="36"/>
      <c r="Z259" s="36"/>
    </row>
    <row r="260" ht="15.75" customHeight="1">
      <c r="A260" s="36"/>
      <c r="B260" s="36"/>
      <c r="C260" s="37"/>
      <c r="D260" s="37"/>
      <c r="E260" s="36"/>
      <c r="F260" s="36"/>
      <c r="G260" s="37"/>
      <c r="I260" s="37"/>
      <c r="J260" s="36"/>
      <c r="K260" s="36"/>
      <c r="L260" s="36"/>
      <c r="M260" s="36"/>
      <c r="N260" s="36"/>
      <c r="O260" s="36"/>
      <c r="P260" s="36"/>
      <c r="Q260" s="36"/>
      <c r="R260" s="36"/>
      <c r="S260" s="36"/>
      <c r="T260" s="36"/>
      <c r="U260" s="36"/>
      <c r="V260" s="36"/>
      <c r="W260" s="36"/>
      <c r="X260" s="36"/>
      <c r="Y260" s="36"/>
      <c r="Z260" s="36"/>
    </row>
    <row r="261" ht="15.75" customHeight="1">
      <c r="A261" s="36"/>
      <c r="B261" s="36"/>
      <c r="C261" s="37"/>
      <c r="D261" s="37"/>
      <c r="E261" s="36"/>
      <c r="F261" s="36"/>
      <c r="G261" s="37"/>
      <c r="I261" s="37"/>
      <c r="J261" s="36"/>
      <c r="K261" s="36"/>
      <c r="L261" s="36"/>
      <c r="M261" s="36"/>
      <c r="N261" s="36"/>
      <c r="O261" s="36"/>
      <c r="P261" s="36"/>
      <c r="Q261" s="36"/>
      <c r="R261" s="36"/>
      <c r="S261" s="36"/>
      <c r="T261" s="36"/>
      <c r="U261" s="36"/>
      <c r="V261" s="36"/>
      <c r="W261" s="36"/>
      <c r="X261" s="36"/>
      <c r="Y261" s="36"/>
      <c r="Z261" s="36"/>
    </row>
    <row r="262" ht="15.75" customHeight="1">
      <c r="A262" s="36"/>
      <c r="B262" s="36"/>
      <c r="C262" s="37"/>
      <c r="D262" s="37"/>
      <c r="E262" s="36"/>
      <c r="F262" s="36"/>
      <c r="G262" s="37"/>
      <c r="I262" s="37"/>
      <c r="J262" s="36"/>
      <c r="K262" s="36"/>
      <c r="L262" s="36"/>
      <c r="M262" s="36"/>
      <c r="N262" s="36"/>
      <c r="O262" s="36"/>
      <c r="P262" s="36"/>
      <c r="Q262" s="36"/>
      <c r="R262" s="36"/>
      <c r="S262" s="36"/>
      <c r="T262" s="36"/>
      <c r="U262" s="36"/>
      <c r="V262" s="36"/>
      <c r="W262" s="36"/>
      <c r="X262" s="36"/>
      <c r="Y262" s="36"/>
      <c r="Z262" s="36"/>
    </row>
    <row r="263" ht="15.75" customHeight="1">
      <c r="A263" s="36"/>
      <c r="B263" s="36"/>
      <c r="C263" s="37"/>
      <c r="D263" s="37"/>
      <c r="E263" s="36"/>
      <c r="F263" s="36"/>
      <c r="G263" s="37"/>
      <c r="I263" s="37"/>
      <c r="J263" s="36"/>
      <c r="K263" s="36"/>
      <c r="L263" s="36"/>
      <c r="M263" s="36"/>
      <c r="N263" s="36"/>
      <c r="O263" s="36"/>
      <c r="P263" s="36"/>
      <c r="Q263" s="36"/>
      <c r="R263" s="36"/>
      <c r="S263" s="36"/>
      <c r="T263" s="36"/>
      <c r="U263" s="36"/>
      <c r="V263" s="36"/>
      <c r="W263" s="36"/>
      <c r="X263" s="36"/>
      <c r="Y263" s="36"/>
      <c r="Z263" s="36"/>
    </row>
    <row r="264" ht="15.75" customHeight="1">
      <c r="A264" s="36"/>
      <c r="B264" s="36"/>
      <c r="C264" s="37"/>
      <c r="D264" s="37"/>
      <c r="E264" s="36"/>
      <c r="F264" s="36"/>
      <c r="G264" s="37"/>
      <c r="I264" s="37"/>
      <c r="J264" s="36"/>
      <c r="K264" s="36"/>
      <c r="L264" s="36"/>
      <c r="M264" s="36"/>
      <c r="N264" s="36"/>
      <c r="O264" s="36"/>
      <c r="P264" s="36"/>
      <c r="Q264" s="36"/>
      <c r="R264" s="36"/>
      <c r="S264" s="36"/>
      <c r="T264" s="36"/>
      <c r="U264" s="36"/>
      <c r="V264" s="36"/>
      <c r="W264" s="36"/>
      <c r="X264" s="36"/>
      <c r="Y264" s="36"/>
      <c r="Z264" s="36"/>
    </row>
    <row r="265" ht="15.75" customHeight="1">
      <c r="A265" s="36"/>
      <c r="B265" s="36"/>
      <c r="C265" s="37"/>
      <c r="D265" s="37"/>
      <c r="E265" s="36"/>
      <c r="F265" s="36"/>
      <c r="G265" s="37"/>
      <c r="I265" s="37"/>
      <c r="J265" s="36"/>
      <c r="K265" s="36"/>
      <c r="L265" s="36"/>
      <c r="M265" s="36"/>
      <c r="N265" s="36"/>
      <c r="O265" s="36"/>
      <c r="P265" s="36"/>
      <c r="Q265" s="36"/>
      <c r="R265" s="36"/>
      <c r="S265" s="36"/>
      <c r="T265" s="36"/>
      <c r="U265" s="36"/>
      <c r="V265" s="36"/>
      <c r="W265" s="36"/>
      <c r="X265" s="36"/>
      <c r="Y265" s="36"/>
      <c r="Z265" s="36"/>
    </row>
    <row r="266" ht="15.75" customHeight="1">
      <c r="A266" s="36"/>
      <c r="B266" s="36"/>
      <c r="C266" s="37"/>
      <c r="D266" s="37"/>
      <c r="E266" s="36"/>
      <c r="F266" s="36"/>
      <c r="G266" s="37"/>
      <c r="I266" s="37"/>
      <c r="J266" s="36"/>
      <c r="K266" s="36"/>
      <c r="L266" s="36"/>
      <c r="M266" s="36"/>
      <c r="N266" s="36"/>
      <c r="O266" s="36"/>
      <c r="P266" s="36"/>
      <c r="Q266" s="36"/>
      <c r="R266" s="36"/>
      <c r="S266" s="36"/>
      <c r="T266" s="36"/>
      <c r="U266" s="36"/>
      <c r="V266" s="36"/>
      <c r="W266" s="36"/>
      <c r="X266" s="36"/>
      <c r="Y266" s="36"/>
      <c r="Z266" s="36"/>
    </row>
    <row r="267" ht="15.75" customHeight="1">
      <c r="A267" s="36"/>
      <c r="B267" s="36"/>
      <c r="C267" s="37"/>
      <c r="D267" s="37"/>
      <c r="E267" s="36"/>
      <c r="F267" s="36"/>
      <c r="G267" s="37"/>
      <c r="I267" s="37"/>
      <c r="J267" s="36"/>
      <c r="K267" s="36"/>
      <c r="L267" s="36"/>
      <c r="M267" s="36"/>
      <c r="N267" s="36"/>
      <c r="O267" s="36"/>
      <c r="P267" s="36"/>
      <c r="Q267" s="36"/>
      <c r="R267" s="36"/>
      <c r="S267" s="36"/>
      <c r="T267" s="36"/>
      <c r="U267" s="36"/>
      <c r="V267" s="36"/>
      <c r="W267" s="36"/>
      <c r="X267" s="36"/>
      <c r="Y267" s="36"/>
      <c r="Z267" s="36"/>
    </row>
    <row r="268" ht="15.75" customHeight="1">
      <c r="A268" s="36"/>
      <c r="B268" s="36"/>
      <c r="C268" s="37"/>
      <c r="D268" s="37"/>
      <c r="E268" s="36"/>
      <c r="F268" s="36"/>
      <c r="G268" s="37"/>
      <c r="I268" s="37"/>
      <c r="J268" s="36"/>
      <c r="K268" s="36"/>
      <c r="L268" s="36"/>
      <c r="M268" s="36"/>
      <c r="N268" s="36"/>
      <c r="O268" s="36"/>
      <c r="P268" s="36"/>
      <c r="Q268" s="36"/>
      <c r="R268" s="36"/>
      <c r="S268" s="36"/>
      <c r="T268" s="36"/>
      <c r="U268" s="36"/>
      <c r="V268" s="36"/>
      <c r="W268" s="36"/>
      <c r="X268" s="36"/>
      <c r="Y268" s="36"/>
      <c r="Z268" s="36"/>
    </row>
    <row r="269" ht="15.75" customHeight="1">
      <c r="A269" s="36"/>
      <c r="B269" s="36"/>
      <c r="C269" s="37"/>
      <c r="D269" s="37"/>
      <c r="E269" s="36"/>
      <c r="F269" s="36"/>
      <c r="G269" s="37"/>
      <c r="I269" s="37"/>
      <c r="J269" s="36"/>
      <c r="K269" s="36"/>
      <c r="L269" s="36"/>
      <c r="M269" s="36"/>
      <c r="N269" s="36"/>
      <c r="O269" s="36"/>
      <c r="P269" s="36"/>
      <c r="Q269" s="36"/>
      <c r="R269" s="36"/>
      <c r="S269" s="36"/>
      <c r="T269" s="36"/>
      <c r="U269" s="36"/>
      <c r="V269" s="36"/>
      <c r="W269" s="36"/>
      <c r="X269" s="36"/>
      <c r="Y269" s="36"/>
      <c r="Z269" s="36"/>
    </row>
    <row r="270" ht="15.75" customHeight="1">
      <c r="A270" s="36"/>
      <c r="B270" s="36"/>
      <c r="C270" s="37"/>
      <c r="D270" s="37"/>
      <c r="E270" s="36"/>
      <c r="F270" s="36"/>
      <c r="G270" s="37"/>
      <c r="I270" s="37"/>
      <c r="J270" s="36"/>
      <c r="K270" s="36"/>
      <c r="L270" s="36"/>
      <c r="M270" s="36"/>
      <c r="N270" s="36"/>
      <c r="O270" s="36"/>
      <c r="P270" s="36"/>
      <c r="Q270" s="36"/>
      <c r="R270" s="36"/>
      <c r="S270" s="36"/>
      <c r="T270" s="36"/>
      <c r="U270" s="36"/>
      <c r="V270" s="36"/>
      <c r="W270" s="36"/>
      <c r="X270" s="36"/>
      <c r="Y270" s="36"/>
      <c r="Z270" s="36"/>
    </row>
    <row r="271" ht="15.75" customHeight="1">
      <c r="A271" s="36"/>
      <c r="B271" s="36"/>
      <c r="C271" s="37"/>
      <c r="D271" s="37"/>
      <c r="E271" s="36"/>
      <c r="F271" s="36"/>
      <c r="G271" s="37"/>
      <c r="I271" s="37"/>
      <c r="J271" s="36"/>
      <c r="K271" s="36"/>
      <c r="L271" s="36"/>
      <c r="M271" s="36"/>
      <c r="N271" s="36"/>
      <c r="O271" s="36"/>
      <c r="P271" s="36"/>
      <c r="Q271" s="36"/>
      <c r="R271" s="36"/>
      <c r="S271" s="36"/>
      <c r="T271" s="36"/>
      <c r="U271" s="36"/>
      <c r="V271" s="36"/>
      <c r="W271" s="36"/>
      <c r="X271" s="36"/>
      <c r="Y271" s="36"/>
      <c r="Z271" s="36"/>
    </row>
    <row r="272" ht="15.75" customHeight="1">
      <c r="A272" s="36"/>
      <c r="B272" s="36"/>
      <c r="C272" s="37"/>
      <c r="D272" s="37"/>
      <c r="E272" s="36"/>
      <c r="F272" s="36"/>
      <c r="G272" s="37"/>
      <c r="I272" s="37"/>
      <c r="J272" s="36"/>
      <c r="K272" s="36"/>
      <c r="L272" s="36"/>
      <c r="M272" s="36"/>
      <c r="N272" s="36"/>
      <c r="O272" s="36"/>
      <c r="P272" s="36"/>
      <c r="Q272" s="36"/>
      <c r="R272" s="36"/>
      <c r="S272" s="36"/>
      <c r="T272" s="36"/>
      <c r="U272" s="36"/>
      <c r="V272" s="36"/>
      <c r="W272" s="36"/>
      <c r="X272" s="36"/>
      <c r="Y272" s="36"/>
      <c r="Z272" s="36"/>
    </row>
    <row r="273" ht="15.75" customHeight="1">
      <c r="A273" s="36"/>
      <c r="B273" s="36"/>
      <c r="C273" s="37"/>
      <c r="D273" s="37"/>
      <c r="E273" s="36"/>
      <c r="F273" s="36"/>
      <c r="G273" s="37"/>
      <c r="I273" s="37"/>
      <c r="J273" s="36"/>
      <c r="K273" s="36"/>
      <c r="L273" s="36"/>
      <c r="M273" s="36"/>
      <c r="N273" s="36"/>
      <c r="O273" s="36"/>
      <c r="P273" s="36"/>
      <c r="Q273" s="36"/>
      <c r="R273" s="36"/>
      <c r="S273" s="36"/>
      <c r="T273" s="36"/>
      <c r="U273" s="36"/>
      <c r="V273" s="36"/>
      <c r="W273" s="36"/>
      <c r="X273" s="36"/>
      <c r="Y273" s="36"/>
      <c r="Z273" s="36"/>
    </row>
    <row r="274" ht="15.75" customHeight="1">
      <c r="A274" s="36"/>
      <c r="B274" s="36"/>
      <c r="C274" s="37"/>
      <c r="D274" s="37"/>
      <c r="E274" s="36"/>
      <c r="F274" s="36"/>
      <c r="G274" s="37"/>
      <c r="I274" s="37"/>
      <c r="J274" s="36"/>
      <c r="K274" s="36"/>
      <c r="L274" s="36"/>
      <c r="M274" s="36"/>
      <c r="N274" s="36"/>
      <c r="O274" s="36"/>
      <c r="P274" s="36"/>
      <c r="Q274" s="36"/>
      <c r="R274" s="36"/>
      <c r="S274" s="36"/>
      <c r="T274" s="36"/>
      <c r="U274" s="36"/>
      <c r="V274" s="36"/>
      <c r="W274" s="36"/>
      <c r="X274" s="36"/>
      <c r="Y274" s="36"/>
      <c r="Z274" s="36"/>
    </row>
    <row r="275" ht="15.75" customHeight="1">
      <c r="A275" s="36"/>
      <c r="B275" s="36"/>
      <c r="C275" s="37"/>
      <c r="D275" s="37"/>
      <c r="E275" s="36"/>
      <c r="F275" s="36"/>
      <c r="G275" s="37"/>
      <c r="I275" s="37"/>
      <c r="J275" s="36"/>
      <c r="K275" s="36"/>
      <c r="L275" s="36"/>
      <c r="M275" s="36"/>
      <c r="N275" s="36"/>
      <c r="O275" s="36"/>
      <c r="P275" s="36"/>
      <c r="Q275" s="36"/>
      <c r="R275" s="36"/>
      <c r="S275" s="36"/>
      <c r="T275" s="36"/>
      <c r="U275" s="36"/>
      <c r="V275" s="36"/>
      <c r="W275" s="36"/>
      <c r="X275" s="36"/>
      <c r="Y275" s="36"/>
      <c r="Z275" s="36"/>
    </row>
    <row r="276" ht="15.75" customHeight="1">
      <c r="A276" s="36"/>
      <c r="B276" s="36"/>
      <c r="C276" s="37"/>
      <c r="D276" s="37"/>
      <c r="E276" s="36"/>
      <c r="F276" s="36"/>
      <c r="G276" s="37"/>
      <c r="I276" s="37"/>
      <c r="J276" s="36"/>
      <c r="K276" s="36"/>
      <c r="L276" s="36"/>
      <c r="M276" s="36"/>
      <c r="N276" s="36"/>
      <c r="O276" s="36"/>
      <c r="P276" s="36"/>
      <c r="Q276" s="36"/>
      <c r="R276" s="36"/>
      <c r="S276" s="36"/>
      <c r="T276" s="36"/>
      <c r="U276" s="36"/>
      <c r="V276" s="36"/>
      <c r="W276" s="36"/>
      <c r="X276" s="36"/>
      <c r="Y276" s="36"/>
      <c r="Z276" s="36"/>
    </row>
    <row r="277" ht="15.75" customHeight="1">
      <c r="A277" s="36"/>
      <c r="B277" s="36"/>
      <c r="C277" s="37"/>
      <c r="D277" s="37"/>
      <c r="E277" s="36"/>
      <c r="F277" s="36"/>
      <c r="G277" s="37"/>
      <c r="I277" s="37"/>
      <c r="J277" s="36"/>
      <c r="K277" s="36"/>
      <c r="L277" s="36"/>
      <c r="M277" s="36"/>
      <c r="N277" s="36"/>
      <c r="O277" s="36"/>
      <c r="P277" s="36"/>
      <c r="Q277" s="36"/>
      <c r="R277" s="36"/>
      <c r="S277" s="36"/>
      <c r="T277" s="36"/>
      <c r="U277" s="36"/>
      <c r="V277" s="36"/>
      <c r="W277" s="36"/>
      <c r="X277" s="36"/>
      <c r="Y277" s="36"/>
      <c r="Z277" s="36"/>
    </row>
    <row r="278" ht="15.75" customHeight="1">
      <c r="A278" s="36"/>
      <c r="B278" s="36"/>
      <c r="C278" s="37"/>
      <c r="D278" s="37"/>
      <c r="E278" s="36"/>
      <c r="F278" s="36"/>
      <c r="G278" s="37"/>
      <c r="I278" s="37"/>
      <c r="J278" s="36"/>
      <c r="K278" s="36"/>
      <c r="L278" s="36"/>
      <c r="M278" s="36"/>
      <c r="N278" s="36"/>
      <c r="O278" s="36"/>
      <c r="P278" s="36"/>
      <c r="Q278" s="36"/>
      <c r="R278" s="36"/>
      <c r="S278" s="36"/>
      <c r="T278" s="36"/>
      <c r="U278" s="36"/>
      <c r="V278" s="36"/>
      <c r="W278" s="36"/>
      <c r="X278" s="36"/>
      <c r="Y278" s="36"/>
      <c r="Z278" s="36"/>
    </row>
    <row r="279" ht="15.75" customHeight="1">
      <c r="A279" s="36"/>
      <c r="B279" s="36"/>
      <c r="C279" s="37"/>
      <c r="D279" s="37"/>
      <c r="E279" s="36"/>
      <c r="F279" s="36"/>
      <c r="G279" s="37"/>
      <c r="I279" s="37"/>
      <c r="J279" s="36"/>
      <c r="K279" s="36"/>
      <c r="L279" s="36"/>
      <c r="M279" s="36"/>
      <c r="N279" s="36"/>
      <c r="O279" s="36"/>
      <c r="P279" s="36"/>
      <c r="Q279" s="36"/>
      <c r="R279" s="36"/>
      <c r="S279" s="36"/>
      <c r="T279" s="36"/>
      <c r="U279" s="36"/>
      <c r="V279" s="36"/>
      <c r="W279" s="36"/>
      <c r="X279" s="36"/>
      <c r="Y279" s="36"/>
      <c r="Z279" s="36"/>
    </row>
    <row r="280" ht="15.75" customHeight="1">
      <c r="A280" s="36"/>
      <c r="B280" s="36"/>
      <c r="C280" s="37"/>
      <c r="D280" s="37"/>
      <c r="E280" s="36"/>
      <c r="F280" s="36"/>
      <c r="G280" s="37"/>
      <c r="I280" s="37"/>
      <c r="J280" s="36"/>
      <c r="K280" s="36"/>
      <c r="L280" s="36"/>
      <c r="M280" s="36"/>
      <c r="N280" s="36"/>
      <c r="O280" s="36"/>
      <c r="P280" s="36"/>
      <c r="Q280" s="36"/>
      <c r="R280" s="36"/>
      <c r="S280" s="36"/>
      <c r="T280" s="36"/>
      <c r="U280" s="36"/>
      <c r="V280" s="36"/>
      <c r="W280" s="36"/>
      <c r="X280" s="36"/>
      <c r="Y280" s="36"/>
      <c r="Z280" s="36"/>
    </row>
    <row r="281" ht="15.75" customHeight="1">
      <c r="A281" s="36"/>
      <c r="B281" s="36"/>
      <c r="C281" s="37"/>
      <c r="D281" s="37"/>
      <c r="E281" s="36"/>
      <c r="F281" s="36"/>
      <c r="G281" s="37"/>
      <c r="I281" s="37"/>
      <c r="J281" s="36"/>
      <c r="K281" s="36"/>
      <c r="L281" s="36"/>
      <c r="M281" s="36"/>
      <c r="N281" s="36"/>
      <c r="O281" s="36"/>
      <c r="P281" s="36"/>
      <c r="Q281" s="36"/>
      <c r="R281" s="36"/>
      <c r="S281" s="36"/>
      <c r="T281" s="36"/>
      <c r="U281" s="36"/>
      <c r="V281" s="36"/>
      <c r="W281" s="36"/>
      <c r="X281" s="36"/>
      <c r="Y281" s="36"/>
      <c r="Z281" s="36"/>
    </row>
    <row r="282" ht="15.75" customHeight="1">
      <c r="A282" s="36"/>
      <c r="B282" s="36"/>
      <c r="C282" s="37"/>
      <c r="D282" s="37"/>
      <c r="E282" s="36"/>
      <c r="F282" s="36"/>
      <c r="G282" s="37"/>
      <c r="I282" s="37"/>
      <c r="J282" s="36"/>
      <c r="K282" s="36"/>
      <c r="L282" s="36"/>
      <c r="M282" s="36"/>
      <c r="N282" s="36"/>
      <c r="O282" s="36"/>
      <c r="P282" s="36"/>
      <c r="Q282" s="36"/>
      <c r="R282" s="36"/>
      <c r="S282" s="36"/>
      <c r="T282" s="36"/>
      <c r="U282" s="36"/>
      <c r="V282" s="36"/>
      <c r="W282" s="36"/>
      <c r="X282" s="36"/>
      <c r="Y282" s="36"/>
      <c r="Z282" s="36"/>
    </row>
    <row r="283" ht="15.75" customHeight="1">
      <c r="A283" s="36"/>
      <c r="B283" s="36"/>
      <c r="C283" s="37"/>
      <c r="D283" s="37"/>
      <c r="E283" s="36"/>
      <c r="F283" s="36"/>
      <c r="G283" s="37"/>
      <c r="I283" s="37"/>
      <c r="J283" s="36"/>
      <c r="K283" s="36"/>
      <c r="L283" s="36"/>
      <c r="M283" s="36"/>
      <c r="N283" s="36"/>
      <c r="O283" s="36"/>
      <c r="P283" s="36"/>
      <c r="Q283" s="36"/>
      <c r="R283" s="36"/>
      <c r="S283" s="36"/>
      <c r="T283" s="36"/>
      <c r="U283" s="36"/>
      <c r="V283" s="36"/>
      <c r="W283" s="36"/>
      <c r="X283" s="36"/>
      <c r="Y283" s="36"/>
      <c r="Z283" s="36"/>
    </row>
    <row r="284" ht="15.75" customHeight="1">
      <c r="A284" s="36"/>
      <c r="B284" s="36"/>
      <c r="C284" s="37"/>
      <c r="D284" s="37"/>
      <c r="E284" s="36"/>
      <c r="F284" s="36"/>
      <c r="G284" s="37"/>
      <c r="I284" s="37"/>
      <c r="J284" s="36"/>
      <c r="K284" s="36"/>
      <c r="L284" s="36"/>
      <c r="M284" s="36"/>
      <c r="N284" s="36"/>
      <c r="O284" s="36"/>
      <c r="P284" s="36"/>
      <c r="Q284" s="36"/>
      <c r="R284" s="36"/>
      <c r="S284" s="36"/>
      <c r="T284" s="36"/>
      <c r="U284" s="36"/>
      <c r="V284" s="36"/>
      <c r="W284" s="36"/>
      <c r="X284" s="36"/>
      <c r="Y284" s="36"/>
      <c r="Z284" s="36"/>
    </row>
    <row r="285" ht="15.75" customHeight="1">
      <c r="A285" s="36"/>
      <c r="B285" s="36"/>
      <c r="C285" s="37"/>
      <c r="D285" s="37"/>
      <c r="E285" s="36"/>
      <c r="F285" s="36"/>
      <c r="G285" s="37"/>
      <c r="I285" s="37"/>
      <c r="J285" s="36"/>
      <c r="K285" s="36"/>
      <c r="L285" s="36"/>
      <c r="M285" s="36"/>
      <c r="N285" s="36"/>
      <c r="O285" s="36"/>
      <c r="P285" s="36"/>
      <c r="Q285" s="36"/>
      <c r="R285" s="36"/>
      <c r="S285" s="36"/>
      <c r="T285" s="36"/>
      <c r="U285" s="36"/>
      <c r="V285" s="36"/>
      <c r="W285" s="36"/>
      <c r="X285" s="36"/>
      <c r="Y285" s="36"/>
      <c r="Z285" s="36"/>
    </row>
    <row r="286" ht="15.75" customHeight="1">
      <c r="A286" s="36"/>
      <c r="B286" s="36"/>
      <c r="C286" s="37"/>
      <c r="D286" s="37"/>
      <c r="E286" s="36"/>
      <c r="F286" s="36"/>
      <c r="G286" s="37"/>
      <c r="I286" s="37"/>
      <c r="J286" s="36"/>
      <c r="K286" s="36"/>
      <c r="L286" s="36"/>
      <c r="M286" s="36"/>
      <c r="N286" s="36"/>
      <c r="O286" s="36"/>
      <c r="P286" s="36"/>
      <c r="Q286" s="36"/>
      <c r="R286" s="36"/>
      <c r="S286" s="36"/>
      <c r="T286" s="36"/>
      <c r="U286" s="36"/>
      <c r="V286" s="36"/>
      <c r="W286" s="36"/>
      <c r="X286" s="36"/>
      <c r="Y286" s="36"/>
      <c r="Z286" s="36"/>
    </row>
    <row r="287" ht="15.75" customHeight="1">
      <c r="A287" s="36"/>
      <c r="B287" s="36"/>
      <c r="C287" s="37"/>
      <c r="D287" s="37"/>
      <c r="E287" s="36"/>
      <c r="F287" s="36"/>
      <c r="G287" s="37"/>
      <c r="I287" s="37"/>
      <c r="J287" s="36"/>
      <c r="K287" s="36"/>
      <c r="L287" s="36"/>
      <c r="M287" s="36"/>
      <c r="N287" s="36"/>
      <c r="O287" s="36"/>
      <c r="P287" s="36"/>
      <c r="Q287" s="36"/>
      <c r="R287" s="36"/>
      <c r="S287" s="36"/>
      <c r="T287" s="36"/>
      <c r="U287" s="36"/>
      <c r="V287" s="36"/>
      <c r="W287" s="36"/>
      <c r="X287" s="36"/>
      <c r="Y287" s="36"/>
      <c r="Z287" s="36"/>
    </row>
    <row r="288" ht="15.75" customHeight="1">
      <c r="A288" s="36"/>
      <c r="B288" s="36"/>
      <c r="C288" s="37"/>
      <c r="D288" s="37"/>
      <c r="E288" s="36"/>
      <c r="F288" s="36"/>
      <c r="G288" s="37"/>
      <c r="I288" s="37"/>
      <c r="J288" s="36"/>
      <c r="K288" s="36"/>
      <c r="L288" s="36"/>
      <c r="M288" s="36"/>
      <c r="N288" s="36"/>
      <c r="O288" s="36"/>
      <c r="P288" s="36"/>
      <c r="Q288" s="36"/>
      <c r="R288" s="36"/>
      <c r="S288" s="36"/>
      <c r="T288" s="36"/>
      <c r="U288" s="36"/>
      <c r="V288" s="36"/>
      <c r="W288" s="36"/>
      <c r="X288" s="36"/>
      <c r="Y288" s="36"/>
      <c r="Z288" s="36"/>
    </row>
    <row r="289" ht="15.75" customHeight="1">
      <c r="A289" s="36"/>
      <c r="B289" s="36"/>
      <c r="C289" s="37"/>
      <c r="D289" s="37"/>
      <c r="E289" s="36"/>
      <c r="F289" s="36"/>
      <c r="G289" s="37"/>
      <c r="I289" s="37"/>
      <c r="J289" s="36"/>
      <c r="K289" s="36"/>
      <c r="L289" s="36"/>
      <c r="M289" s="36"/>
      <c r="N289" s="36"/>
      <c r="O289" s="36"/>
      <c r="P289" s="36"/>
      <c r="Q289" s="36"/>
      <c r="R289" s="36"/>
      <c r="S289" s="36"/>
      <c r="T289" s="36"/>
      <c r="U289" s="36"/>
      <c r="V289" s="36"/>
      <c r="W289" s="36"/>
      <c r="X289" s="36"/>
      <c r="Y289" s="36"/>
      <c r="Z289" s="36"/>
    </row>
    <row r="290" ht="15.75" customHeight="1">
      <c r="A290" s="36"/>
      <c r="B290" s="36"/>
      <c r="C290" s="37"/>
      <c r="D290" s="37"/>
      <c r="E290" s="36"/>
      <c r="F290" s="36"/>
      <c r="G290" s="37"/>
      <c r="I290" s="37"/>
      <c r="J290" s="36"/>
      <c r="K290" s="36"/>
      <c r="L290" s="36"/>
      <c r="M290" s="36"/>
      <c r="N290" s="36"/>
      <c r="O290" s="36"/>
      <c r="P290" s="36"/>
      <c r="Q290" s="36"/>
      <c r="R290" s="36"/>
      <c r="S290" s="36"/>
      <c r="T290" s="36"/>
      <c r="U290" s="36"/>
      <c r="V290" s="36"/>
      <c r="W290" s="36"/>
      <c r="X290" s="36"/>
      <c r="Y290" s="36"/>
      <c r="Z290" s="36"/>
    </row>
    <row r="291" ht="15.75" customHeight="1">
      <c r="A291" s="36"/>
      <c r="B291" s="36"/>
      <c r="C291" s="37"/>
      <c r="D291" s="37"/>
      <c r="E291" s="36"/>
      <c r="F291" s="36"/>
      <c r="G291" s="37"/>
      <c r="I291" s="37"/>
      <c r="J291" s="36"/>
      <c r="K291" s="36"/>
      <c r="L291" s="36"/>
      <c r="M291" s="36"/>
      <c r="N291" s="36"/>
      <c r="O291" s="36"/>
      <c r="P291" s="36"/>
      <c r="Q291" s="36"/>
      <c r="R291" s="36"/>
      <c r="S291" s="36"/>
      <c r="T291" s="36"/>
      <c r="U291" s="36"/>
      <c r="V291" s="36"/>
      <c r="W291" s="36"/>
      <c r="X291" s="36"/>
      <c r="Y291" s="36"/>
      <c r="Z291" s="36"/>
    </row>
    <row r="292" ht="15.75" customHeight="1">
      <c r="A292" s="36"/>
      <c r="B292" s="36"/>
      <c r="C292" s="37"/>
      <c r="D292" s="37"/>
      <c r="E292" s="36"/>
      <c r="F292" s="36"/>
      <c r="G292" s="37"/>
      <c r="I292" s="37"/>
      <c r="J292" s="36"/>
      <c r="K292" s="36"/>
      <c r="L292" s="36"/>
      <c r="M292" s="36"/>
      <c r="N292" s="36"/>
      <c r="O292" s="36"/>
      <c r="P292" s="36"/>
      <c r="Q292" s="36"/>
      <c r="R292" s="36"/>
      <c r="S292" s="36"/>
      <c r="T292" s="36"/>
      <c r="U292" s="36"/>
      <c r="V292" s="36"/>
      <c r="W292" s="36"/>
      <c r="X292" s="36"/>
      <c r="Y292" s="36"/>
      <c r="Z292" s="36"/>
    </row>
    <row r="293" ht="15.75" customHeight="1">
      <c r="A293" s="36"/>
      <c r="B293" s="36"/>
      <c r="C293" s="37"/>
      <c r="D293" s="37"/>
      <c r="E293" s="36"/>
      <c r="F293" s="36"/>
      <c r="G293" s="37"/>
      <c r="I293" s="37"/>
      <c r="J293" s="36"/>
      <c r="K293" s="36"/>
      <c r="L293" s="36"/>
      <c r="M293" s="36"/>
      <c r="N293" s="36"/>
      <c r="O293" s="36"/>
      <c r="P293" s="36"/>
      <c r="Q293" s="36"/>
      <c r="R293" s="36"/>
      <c r="S293" s="36"/>
      <c r="T293" s="36"/>
      <c r="U293" s="36"/>
      <c r="V293" s="36"/>
      <c r="W293" s="36"/>
      <c r="X293" s="36"/>
      <c r="Y293" s="36"/>
      <c r="Z293" s="36"/>
    </row>
    <row r="294" ht="15.75" customHeight="1">
      <c r="A294" s="36"/>
      <c r="B294" s="36"/>
      <c r="C294" s="37"/>
      <c r="D294" s="37"/>
      <c r="E294" s="36"/>
      <c r="F294" s="36"/>
      <c r="G294" s="37"/>
      <c r="I294" s="37"/>
      <c r="J294" s="36"/>
      <c r="K294" s="36"/>
      <c r="L294" s="36"/>
      <c r="M294" s="36"/>
      <c r="N294" s="36"/>
      <c r="O294" s="36"/>
      <c r="P294" s="36"/>
      <c r="Q294" s="36"/>
      <c r="R294" s="36"/>
      <c r="S294" s="36"/>
      <c r="T294" s="36"/>
      <c r="U294" s="36"/>
      <c r="V294" s="36"/>
      <c r="W294" s="36"/>
      <c r="X294" s="36"/>
      <c r="Y294" s="36"/>
      <c r="Z294" s="36"/>
    </row>
    <row r="295" ht="15.75" customHeight="1">
      <c r="A295" s="36"/>
      <c r="B295" s="36"/>
      <c r="C295" s="37"/>
      <c r="D295" s="37"/>
      <c r="E295" s="36"/>
      <c r="F295" s="36"/>
      <c r="G295" s="37"/>
      <c r="I295" s="37"/>
      <c r="J295" s="36"/>
      <c r="K295" s="36"/>
      <c r="L295" s="36"/>
      <c r="M295" s="36"/>
      <c r="N295" s="36"/>
      <c r="O295" s="36"/>
      <c r="P295" s="36"/>
      <c r="Q295" s="36"/>
      <c r="R295" s="36"/>
      <c r="S295" s="36"/>
      <c r="T295" s="36"/>
      <c r="U295" s="36"/>
      <c r="V295" s="36"/>
      <c r="W295" s="36"/>
      <c r="X295" s="36"/>
      <c r="Y295" s="36"/>
      <c r="Z295" s="36"/>
    </row>
    <row r="296" ht="15.75" customHeight="1">
      <c r="A296" s="36"/>
      <c r="B296" s="36"/>
      <c r="C296" s="37"/>
      <c r="D296" s="37"/>
      <c r="E296" s="36"/>
      <c r="F296" s="36"/>
      <c r="G296" s="37"/>
      <c r="I296" s="37"/>
      <c r="J296" s="36"/>
      <c r="K296" s="36"/>
      <c r="L296" s="36"/>
      <c r="M296" s="36"/>
      <c r="N296" s="36"/>
      <c r="O296" s="36"/>
      <c r="P296" s="36"/>
      <c r="Q296" s="36"/>
      <c r="R296" s="36"/>
      <c r="S296" s="36"/>
      <c r="T296" s="36"/>
      <c r="U296" s="36"/>
      <c r="V296" s="36"/>
      <c r="W296" s="36"/>
      <c r="X296" s="36"/>
      <c r="Y296" s="36"/>
      <c r="Z296" s="36"/>
    </row>
    <row r="297" ht="15.75" customHeight="1">
      <c r="A297" s="36"/>
      <c r="B297" s="36"/>
      <c r="C297" s="37"/>
      <c r="D297" s="37"/>
      <c r="E297" s="36"/>
      <c r="F297" s="36"/>
      <c r="G297" s="37"/>
      <c r="I297" s="37"/>
      <c r="J297" s="36"/>
      <c r="K297" s="36"/>
      <c r="L297" s="36"/>
      <c r="M297" s="36"/>
      <c r="N297" s="36"/>
      <c r="O297" s="36"/>
      <c r="P297" s="36"/>
      <c r="Q297" s="36"/>
      <c r="R297" s="36"/>
      <c r="S297" s="36"/>
      <c r="T297" s="36"/>
      <c r="U297" s="36"/>
      <c r="V297" s="36"/>
      <c r="W297" s="36"/>
      <c r="X297" s="36"/>
      <c r="Y297" s="36"/>
      <c r="Z297" s="36"/>
    </row>
    <row r="298" ht="15.75" customHeight="1">
      <c r="A298" s="36"/>
      <c r="B298" s="36"/>
      <c r="C298" s="37"/>
      <c r="D298" s="37"/>
      <c r="E298" s="36"/>
      <c r="F298" s="36"/>
      <c r="G298" s="37"/>
      <c r="I298" s="37"/>
      <c r="J298" s="36"/>
      <c r="K298" s="36"/>
      <c r="L298" s="36"/>
      <c r="M298" s="36"/>
      <c r="N298" s="36"/>
      <c r="O298" s="36"/>
      <c r="P298" s="36"/>
      <c r="Q298" s="36"/>
      <c r="R298" s="36"/>
      <c r="S298" s="36"/>
      <c r="T298" s="36"/>
      <c r="U298" s="36"/>
      <c r="V298" s="36"/>
      <c r="W298" s="36"/>
      <c r="X298" s="36"/>
      <c r="Y298" s="36"/>
      <c r="Z298" s="36"/>
    </row>
    <row r="299" ht="15.75" customHeight="1">
      <c r="A299" s="36"/>
      <c r="B299" s="36"/>
      <c r="C299" s="37"/>
      <c r="D299" s="37"/>
      <c r="E299" s="36"/>
      <c r="F299" s="36"/>
      <c r="G299" s="37"/>
      <c r="I299" s="37"/>
      <c r="J299" s="36"/>
      <c r="K299" s="36"/>
      <c r="L299" s="36"/>
      <c r="M299" s="36"/>
      <c r="N299" s="36"/>
      <c r="O299" s="36"/>
      <c r="P299" s="36"/>
      <c r="Q299" s="36"/>
      <c r="R299" s="36"/>
      <c r="S299" s="36"/>
      <c r="T299" s="36"/>
      <c r="U299" s="36"/>
      <c r="V299" s="36"/>
      <c r="W299" s="36"/>
      <c r="X299" s="36"/>
      <c r="Y299" s="36"/>
      <c r="Z299" s="36"/>
    </row>
    <row r="300" ht="15.75" customHeight="1">
      <c r="A300" s="36"/>
      <c r="B300" s="36"/>
      <c r="C300" s="37"/>
      <c r="D300" s="37"/>
      <c r="E300" s="36"/>
      <c r="F300" s="36"/>
      <c r="G300" s="37"/>
      <c r="I300" s="37"/>
      <c r="J300" s="36"/>
      <c r="K300" s="36"/>
      <c r="L300" s="36"/>
      <c r="M300" s="36"/>
      <c r="N300" s="36"/>
      <c r="O300" s="36"/>
      <c r="P300" s="36"/>
      <c r="Q300" s="36"/>
      <c r="R300" s="36"/>
      <c r="S300" s="36"/>
      <c r="T300" s="36"/>
      <c r="U300" s="36"/>
      <c r="V300" s="36"/>
      <c r="W300" s="36"/>
      <c r="X300" s="36"/>
      <c r="Y300" s="36"/>
      <c r="Z300" s="36"/>
    </row>
    <row r="301" ht="15.75" customHeight="1">
      <c r="A301" s="36"/>
      <c r="B301" s="36"/>
      <c r="C301" s="37"/>
      <c r="D301" s="37"/>
      <c r="E301" s="36"/>
      <c r="F301" s="36"/>
      <c r="G301" s="37"/>
      <c r="I301" s="37"/>
      <c r="J301" s="36"/>
      <c r="K301" s="36"/>
      <c r="L301" s="36"/>
      <c r="M301" s="36"/>
      <c r="N301" s="36"/>
      <c r="O301" s="36"/>
      <c r="P301" s="36"/>
      <c r="Q301" s="36"/>
      <c r="R301" s="36"/>
      <c r="S301" s="36"/>
      <c r="T301" s="36"/>
      <c r="U301" s="36"/>
      <c r="V301" s="36"/>
      <c r="W301" s="36"/>
      <c r="X301" s="36"/>
      <c r="Y301" s="36"/>
      <c r="Z301" s="36"/>
    </row>
    <row r="302" ht="15.75" customHeight="1">
      <c r="A302" s="36"/>
      <c r="B302" s="36"/>
      <c r="C302" s="37"/>
      <c r="D302" s="37"/>
      <c r="E302" s="36"/>
      <c r="F302" s="36"/>
      <c r="G302" s="37"/>
      <c r="I302" s="37"/>
      <c r="J302" s="36"/>
      <c r="K302" s="36"/>
      <c r="L302" s="36"/>
      <c r="M302" s="36"/>
      <c r="N302" s="36"/>
      <c r="O302" s="36"/>
      <c r="P302" s="36"/>
      <c r="Q302" s="36"/>
      <c r="R302" s="36"/>
      <c r="S302" s="36"/>
      <c r="T302" s="36"/>
      <c r="U302" s="36"/>
      <c r="V302" s="36"/>
      <c r="W302" s="36"/>
      <c r="X302" s="36"/>
      <c r="Y302" s="36"/>
      <c r="Z302" s="36"/>
    </row>
    <row r="303" ht="15.75" customHeight="1">
      <c r="A303" s="36"/>
      <c r="B303" s="36"/>
      <c r="C303" s="37"/>
      <c r="D303" s="37"/>
      <c r="E303" s="36"/>
      <c r="F303" s="36"/>
      <c r="G303" s="37"/>
      <c r="I303" s="37"/>
      <c r="J303" s="36"/>
      <c r="K303" s="36"/>
      <c r="L303" s="36"/>
      <c r="M303" s="36"/>
      <c r="N303" s="36"/>
      <c r="O303" s="36"/>
      <c r="P303" s="36"/>
      <c r="Q303" s="36"/>
      <c r="R303" s="36"/>
      <c r="S303" s="36"/>
      <c r="T303" s="36"/>
      <c r="U303" s="36"/>
      <c r="V303" s="36"/>
      <c r="W303" s="36"/>
      <c r="X303" s="36"/>
      <c r="Y303" s="36"/>
      <c r="Z303" s="36"/>
    </row>
    <row r="304" ht="15.75" customHeight="1">
      <c r="A304" s="36"/>
      <c r="B304" s="36"/>
      <c r="C304" s="37"/>
      <c r="D304" s="37"/>
      <c r="E304" s="36"/>
      <c r="F304" s="36"/>
      <c r="G304" s="37"/>
      <c r="I304" s="37"/>
      <c r="J304" s="36"/>
      <c r="K304" s="36"/>
      <c r="L304" s="36"/>
      <c r="M304" s="36"/>
      <c r="N304" s="36"/>
      <c r="O304" s="36"/>
      <c r="P304" s="36"/>
      <c r="Q304" s="36"/>
      <c r="R304" s="36"/>
      <c r="S304" s="36"/>
      <c r="T304" s="36"/>
      <c r="U304" s="36"/>
      <c r="V304" s="36"/>
      <c r="W304" s="36"/>
      <c r="X304" s="36"/>
      <c r="Y304" s="36"/>
      <c r="Z304" s="36"/>
    </row>
    <row r="305" ht="15.75" customHeight="1">
      <c r="A305" s="36"/>
      <c r="B305" s="36"/>
      <c r="C305" s="37"/>
      <c r="D305" s="37"/>
      <c r="E305" s="36"/>
      <c r="F305" s="36"/>
      <c r="G305" s="37"/>
      <c r="I305" s="37"/>
      <c r="J305" s="36"/>
      <c r="K305" s="36"/>
      <c r="L305" s="36"/>
      <c r="M305" s="36"/>
      <c r="N305" s="36"/>
      <c r="O305" s="36"/>
      <c r="P305" s="36"/>
      <c r="Q305" s="36"/>
      <c r="R305" s="36"/>
      <c r="S305" s="36"/>
      <c r="T305" s="36"/>
      <c r="U305" s="36"/>
      <c r="V305" s="36"/>
      <c r="W305" s="36"/>
      <c r="X305" s="36"/>
      <c r="Y305" s="36"/>
      <c r="Z305" s="36"/>
    </row>
    <row r="306" ht="15.75" customHeight="1">
      <c r="A306" s="36"/>
      <c r="B306" s="36"/>
      <c r="C306" s="37"/>
      <c r="D306" s="37"/>
      <c r="E306" s="36"/>
      <c r="F306" s="36"/>
      <c r="G306" s="37"/>
      <c r="I306" s="37"/>
      <c r="J306" s="36"/>
      <c r="K306" s="36"/>
      <c r="L306" s="36"/>
      <c r="M306" s="36"/>
      <c r="N306" s="36"/>
      <c r="O306" s="36"/>
      <c r="P306" s="36"/>
      <c r="Q306" s="36"/>
      <c r="R306" s="36"/>
      <c r="S306" s="36"/>
      <c r="T306" s="36"/>
      <c r="U306" s="36"/>
      <c r="V306" s="36"/>
      <c r="W306" s="36"/>
      <c r="X306" s="36"/>
      <c r="Y306" s="36"/>
      <c r="Z306" s="36"/>
    </row>
    <row r="307" ht="15.75" customHeight="1">
      <c r="A307" s="36"/>
      <c r="B307" s="36"/>
      <c r="C307" s="37"/>
      <c r="D307" s="37"/>
      <c r="E307" s="36"/>
      <c r="F307" s="36"/>
      <c r="G307" s="37"/>
      <c r="I307" s="37"/>
      <c r="J307" s="36"/>
      <c r="K307" s="36"/>
      <c r="L307" s="36"/>
      <c r="M307" s="36"/>
      <c r="N307" s="36"/>
      <c r="O307" s="36"/>
      <c r="P307" s="36"/>
      <c r="Q307" s="36"/>
      <c r="R307" s="36"/>
      <c r="S307" s="36"/>
      <c r="T307" s="36"/>
      <c r="U307" s="36"/>
      <c r="V307" s="36"/>
      <c r="W307" s="36"/>
      <c r="X307" s="36"/>
      <c r="Y307" s="36"/>
      <c r="Z307" s="36"/>
    </row>
    <row r="308" ht="15.75" customHeight="1">
      <c r="A308" s="36"/>
      <c r="B308" s="36"/>
      <c r="C308" s="37"/>
      <c r="D308" s="37"/>
      <c r="E308" s="36"/>
      <c r="F308" s="36"/>
      <c r="G308" s="37"/>
      <c r="I308" s="37"/>
      <c r="J308" s="36"/>
      <c r="K308" s="36"/>
      <c r="L308" s="36"/>
      <c r="M308" s="36"/>
      <c r="N308" s="36"/>
      <c r="O308" s="36"/>
      <c r="P308" s="36"/>
      <c r="Q308" s="36"/>
      <c r="R308" s="36"/>
      <c r="S308" s="36"/>
      <c r="T308" s="36"/>
      <c r="U308" s="36"/>
      <c r="V308" s="36"/>
      <c r="W308" s="36"/>
      <c r="X308" s="36"/>
      <c r="Y308" s="36"/>
      <c r="Z308" s="36"/>
    </row>
    <row r="309" ht="15.75" customHeight="1">
      <c r="A309" s="36"/>
      <c r="B309" s="36"/>
      <c r="C309" s="37"/>
      <c r="D309" s="37"/>
      <c r="E309" s="36"/>
      <c r="F309" s="36"/>
      <c r="G309" s="37"/>
      <c r="I309" s="37"/>
      <c r="J309" s="36"/>
      <c r="K309" s="36"/>
      <c r="L309" s="36"/>
      <c r="M309" s="36"/>
      <c r="N309" s="36"/>
      <c r="O309" s="36"/>
      <c r="P309" s="36"/>
      <c r="Q309" s="36"/>
      <c r="R309" s="36"/>
      <c r="S309" s="36"/>
      <c r="T309" s="36"/>
      <c r="U309" s="36"/>
      <c r="V309" s="36"/>
      <c r="W309" s="36"/>
      <c r="X309" s="36"/>
      <c r="Y309" s="36"/>
      <c r="Z309" s="36"/>
    </row>
    <row r="310" ht="15.75" customHeight="1">
      <c r="A310" s="36"/>
      <c r="B310" s="36"/>
      <c r="C310" s="37"/>
      <c r="D310" s="37"/>
      <c r="E310" s="36"/>
      <c r="F310" s="36"/>
      <c r="G310" s="37"/>
      <c r="I310" s="37"/>
      <c r="J310" s="36"/>
      <c r="K310" s="36"/>
      <c r="L310" s="36"/>
      <c r="M310" s="36"/>
      <c r="N310" s="36"/>
      <c r="O310" s="36"/>
      <c r="P310" s="36"/>
      <c r="Q310" s="36"/>
      <c r="R310" s="36"/>
      <c r="S310" s="36"/>
      <c r="T310" s="36"/>
      <c r="U310" s="36"/>
      <c r="V310" s="36"/>
      <c r="W310" s="36"/>
      <c r="X310" s="36"/>
      <c r="Y310" s="36"/>
      <c r="Z310" s="36"/>
    </row>
    <row r="311" ht="15.75" customHeight="1">
      <c r="A311" s="36"/>
      <c r="B311" s="36"/>
      <c r="C311" s="37"/>
      <c r="D311" s="37"/>
      <c r="E311" s="36"/>
      <c r="F311" s="36"/>
      <c r="G311" s="37"/>
      <c r="I311" s="37"/>
      <c r="J311" s="36"/>
      <c r="K311" s="36"/>
      <c r="L311" s="36"/>
      <c r="M311" s="36"/>
      <c r="N311" s="36"/>
      <c r="O311" s="36"/>
      <c r="P311" s="36"/>
      <c r="Q311" s="36"/>
      <c r="R311" s="36"/>
      <c r="S311" s="36"/>
      <c r="T311" s="36"/>
      <c r="U311" s="36"/>
      <c r="V311" s="36"/>
      <c r="W311" s="36"/>
      <c r="X311" s="36"/>
      <c r="Y311" s="36"/>
      <c r="Z311" s="36"/>
    </row>
    <row r="312" ht="15.75" customHeight="1">
      <c r="A312" s="36"/>
      <c r="B312" s="36"/>
      <c r="C312" s="37"/>
      <c r="D312" s="37"/>
      <c r="E312" s="36"/>
      <c r="F312" s="36"/>
      <c r="G312" s="37"/>
      <c r="I312" s="37"/>
      <c r="J312" s="36"/>
      <c r="K312" s="36"/>
      <c r="L312" s="36"/>
      <c r="M312" s="36"/>
      <c r="N312" s="36"/>
      <c r="O312" s="36"/>
      <c r="P312" s="36"/>
      <c r="Q312" s="36"/>
      <c r="R312" s="36"/>
      <c r="S312" s="36"/>
      <c r="T312" s="36"/>
      <c r="U312" s="36"/>
      <c r="V312" s="36"/>
      <c r="W312" s="36"/>
      <c r="X312" s="36"/>
      <c r="Y312" s="36"/>
      <c r="Z312" s="36"/>
    </row>
    <row r="313" ht="15.75" customHeight="1">
      <c r="A313" s="36"/>
      <c r="B313" s="36"/>
      <c r="C313" s="37"/>
      <c r="D313" s="37"/>
      <c r="E313" s="36"/>
      <c r="F313" s="36"/>
      <c r="G313" s="37"/>
      <c r="I313" s="37"/>
      <c r="J313" s="36"/>
      <c r="K313" s="36"/>
      <c r="L313" s="36"/>
      <c r="M313" s="36"/>
      <c r="N313" s="36"/>
      <c r="O313" s="36"/>
      <c r="P313" s="36"/>
      <c r="Q313" s="36"/>
      <c r="R313" s="36"/>
      <c r="S313" s="36"/>
      <c r="T313" s="36"/>
      <c r="U313" s="36"/>
      <c r="V313" s="36"/>
      <c r="W313" s="36"/>
      <c r="X313" s="36"/>
      <c r="Y313" s="36"/>
      <c r="Z313" s="36"/>
    </row>
    <row r="314" ht="15.75" customHeight="1">
      <c r="A314" s="36"/>
      <c r="B314" s="36"/>
      <c r="C314" s="37"/>
      <c r="D314" s="37"/>
      <c r="E314" s="36"/>
      <c r="F314" s="36"/>
      <c r="G314" s="37"/>
      <c r="I314" s="37"/>
      <c r="J314" s="36"/>
      <c r="K314" s="36"/>
      <c r="L314" s="36"/>
      <c r="M314" s="36"/>
      <c r="N314" s="36"/>
      <c r="O314" s="36"/>
      <c r="P314" s="36"/>
      <c r="Q314" s="36"/>
      <c r="R314" s="36"/>
      <c r="S314" s="36"/>
      <c r="T314" s="36"/>
      <c r="U314" s="36"/>
      <c r="V314" s="36"/>
      <c r="W314" s="36"/>
      <c r="X314" s="36"/>
      <c r="Y314" s="36"/>
      <c r="Z314" s="36"/>
    </row>
    <row r="315" ht="15.75" customHeight="1">
      <c r="A315" s="36"/>
      <c r="B315" s="36"/>
      <c r="C315" s="37"/>
      <c r="D315" s="37"/>
      <c r="E315" s="36"/>
      <c r="F315" s="36"/>
      <c r="G315" s="37"/>
      <c r="I315" s="37"/>
      <c r="J315" s="36"/>
      <c r="K315" s="36"/>
      <c r="L315" s="36"/>
      <c r="M315" s="36"/>
      <c r="N315" s="36"/>
      <c r="O315" s="36"/>
      <c r="P315" s="36"/>
      <c r="Q315" s="36"/>
      <c r="R315" s="36"/>
      <c r="S315" s="36"/>
      <c r="T315" s="36"/>
      <c r="U315" s="36"/>
      <c r="V315" s="36"/>
      <c r="W315" s="36"/>
      <c r="X315" s="36"/>
      <c r="Y315" s="36"/>
      <c r="Z315" s="36"/>
    </row>
    <row r="316" ht="15.75" customHeight="1">
      <c r="A316" s="36"/>
      <c r="B316" s="36"/>
      <c r="C316" s="37"/>
      <c r="D316" s="37"/>
      <c r="E316" s="36"/>
      <c r="F316" s="36"/>
      <c r="G316" s="37"/>
      <c r="I316" s="37"/>
      <c r="J316" s="36"/>
      <c r="K316" s="36"/>
      <c r="L316" s="36"/>
      <c r="M316" s="36"/>
      <c r="N316" s="36"/>
      <c r="O316" s="36"/>
      <c r="P316" s="36"/>
      <c r="Q316" s="36"/>
      <c r="R316" s="36"/>
      <c r="S316" s="36"/>
      <c r="T316" s="36"/>
      <c r="U316" s="36"/>
      <c r="V316" s="36"/>
      <c r="W316" s="36"/>
      <c r="X316" s="36"/>
      <c r="Y316" s="36"/>
      <c r="Z316" s="36"/>
    </row>
    <row r="317" ht="15.75" customHeight="1">
      <c r="A317" s="36"/>
      <c r="B317" s="36"/>
      <c r="C317" s="37"/>
      <c r="D317" s="37"/>
      <c r="E317" s="36"/>
      <c r="F317" s="36"/>
      <c r="G317" s="37"/>
      <c r="I317" s="37"/>
      <c r="J317" s="36"/>
      <c r="K317" s="36"/>
      <c r="L317" s="36"/>
      <c r="M317" s="36"/>
      <c r="N317" s="36"/>
      <c r="O317" s="36"/>
      <c r="P317" s="36"/>
      <c r="Q317" s="36"/>
      <c r="R317" s="36"/>
      <c r="S317" s="36"/>
      <c r="T317" s="36"/>
      <c r="U317" s="36"/>
      <c r="V317" s="36"/>
      <c r="W317" s="36"/>
      <c r="X317" s="36"/>
      <c r="Y317" s="36"/>
      <c r="Z317" s="36"/>
    </row>
    <row r="318" ht="15.75" customHeight="1">
      <c r="A318" s="36"/>
      <c r="B318" s="36"/>
      <c r="C318" s="37"/>
      <c r="D318" s="37"/>
      <c r="E318" s="36"/>
      <c r="F318" s="36"/>
      <c r="G318" s="37"/>
      <c r="I318" s="37"/>
      <c r="J318" s="36"/>
      <c r="K318" s="36"/>
      <c r="L318" s="36"/>
      <c r="M318" s="36"/>
      <c r="N318" s="36"/>
      <c r="O318" s="36"/>
      <c r="P318" s="36"/>
      <c r="Q318" s="36"/>
      <c r="R318" s="36"/>
      <c r="S318" s="36"/>
      <c r="T318" s="36"/>
      <c r="U318" s="36"/>
      <c r="V318" s="36"/>
      <c r="W318" s="36"/>
      <c r="X318" s="36"/>
      <c r="Y318" s="36"/>
      <c r="Z318" s="36"/>
    </row>
    <row r="319" ht="15.75" customHeight="1">
      <c r="A319" s="36"/>
      <c r="B319" s="36"/>
      <c r="C319" s="37"/>
      <c r="D319" s="37"/>
      <c r="E319" s="36"/>
      <c r="F319" s="36"/>
      <c r="G319" s="37"/>
      <c r="I319" s="37"/>
      <c r="J319" s="36"/>
      <c r="K319" s="36"/>
      <c r="L319" s="36"/>
      <c r="M319" s="36"/>
      <c r="N319" s="36"/>
      <c r="O319" s="36"/>
      <c r="P319" s="36"/>
      <c r="Q319" s="36"/>
      <c r="R319" s="36"/>
      <c r="S319" s="36"/>
      <c r="T319" s="36"/>
      <c r="U319" s="36"/>
      <c r="V319" s="36"/>
      <c r="W319" s="36"/>
      <c r="X319" s="36"/>
      <c r="Y319" s="36"/>
      <c r="Z319" s="36"/>
    </row>
    <row r="320" ht="15.75" customHeight="1">
      <c r="A320" s="36"/>
      <c r="B320" s="36"/>
      <c r="C320" s="37"/>
      <c r="D320" s="37"/>
      <c r="E320" s="36"/>
      <c r="F320" s="36"/>
      <c r="G320" s="37"/>
      <c r="I320" s="37"/>
      <c r="J320" s="36"/>
      <c r="K320" s="36"/>
      <c r="L320" s="36"/>
      <c r="M320" s="36"/>
      <c r="N320" s="36"/>
      <c r="O320" s="36"/>
      <c r="P320" s="36"/>
      <c r="Q320" s="36"/>
      <c r="R320" s="36"/>
      <c r="S320" s="36"/>
      <c r="T320" s="36"/>
      <c r="U320" s="36"/>
      <c r="V320" s="36"/>
      <c r="W320" s="36"/>
      <c r="X320" s="36"/>
      <c r="Y320" s="36"/>
      <c r="Z320" s="36"/>
    </row>
    <row r="321" ht="15.75" customHeight="1">
      <c r="A321" s="36"/>
      <c r="B321" s="36"/>
      <c r="C321" s="37"/>
      <c r="D321" s="37"/>
      <c r="E321" s="36"/>
      <c r="F321" s="36"/>
      <c r="G321" s="37"/>
      <c r="I321" s="37"/>
      <c r="J321" s="36"/>
      <c r="K321" s="36"/>
      <c r="L321" s="36"/>
      <c r="M321" s="36"/>
      <c r="N321" s="36"/>
      <c r="O321" s="36"/>
      <c r="P321" s="36"/>
      <c r="Q321" s="36"/>
      <c r="R321" s="36"/>
      <c r="S321" s="36"/>
      <c r="T321" s="36"/>
      <c r="U321" s="36"/>
      <c r="V321" s="36"/>
      <c r="W321" s="36"/>
      <c r="X321" s="36"/>
      <c r="Y321" s="36"/>
      <c r="Z321" s="36"/>
    </row>
    <row r="322" ht="15.75" customHeight="1">
      <c r="A322" s="36"/>
      <c r="B322" s="36"/>
      <c r="C322" s="37"/>
      <c r="D322" s="37"/>
      <c r="E322" s="36"/>
      <c r="F322" s="36"/>
      <c r="G322" s="37"/>
      <c r="I322" s="37"/>
      <c r="J322" s="36"/>
      <c r="K322" s="36"/>
      <c r="L322" s="36"/>
      <c r="M322" s="36"/>
      <c r="N322" s="36"/>
      <c r="O322" s="36"/>
      <c r="P322" s="36"/>
      <c r="Q322" s="36"/>
      <c r="R322" s="36"/>
      <c r="S322" s="36"/>
      <c r="T322" s="36"/>
      <c r="U322" s="36"/>
      <c r="V322" s="36"/>
      <c r="W322" s="36"/>
      <c r="X322" s="36"/>
      <c r="Y322" s="36"/>
      <c r="Z322" s="36"/>
    </row>
    <row r="323" ht="15.75" customHeight="1">
      <c r="A323" s="36"/>
      <c r="B323" s="36"/>
      <c r="C323" s="37"/>
      <c r="D323" s="37"/>
      <c r="E323" s="36"/>
      <c r="F323" s="36"/>
      <c r="G323" s="37"/>
      <c r="I323" s="37"/>
      <c r="J323" s="36"/>
      <c r="K323" s="36"/>
      <c r="L323" s="36"/>
      <c r="M323" s="36"/>
      <c r="N323" s="36"/>
      <c r="O323" s="36"/>
      <c r="P323" s="36"/>
      <c r="Q323" s="36"/>
      <c r="R323" s="36"/>
      <c r="S323" s="36"/>
      <c r="T323" s="36"/>
      <c r="U323" s="36"/>
      <c r="V323" s="36"/>
      <c r="W323" s="36"/>
      <c r="X323" s="36"/>
      <c r="Y323" s="36"/>
      <c r="Z323" s="36"/>
    </row>
    <row r="324" ht="15.75" customHeight="1">
      <c r="A324" s="36"/>
      <c r="B324" s="36"/>
      <c r="C324" s="37"/>
      <c r="D324" s="37"/>
      <c r="E324" s="36"/>
      <c r="F324" s="36"/>
      <c r="G324" s="37"/>
      <c r="I324" s="37"/>
      <c r="J324" s="36"/>
      <c r="K324" s="36"/>
      <c r="L324" s="36"/>
      <c r="M324" s="36"/>
      <c r="N324" s="36"/>
      <c r="O324" s="36"/>
      <c r="P324" s="36"/>
      <c r="Q324" s="36"/>
      <c r="R324" s="36"/>
      <c r="S324" s="36"/>
      <c r="T324" s="36"/>
      <c r="U324" s="36"/>
      <c r="V324" s="36"/>
      <c r="W324" s="36"/>
      <c r="X324" s="36"/>
      <c r="Y324" s="36"/>
      <c r="Z324" s="36"/>
    </row>
    <row r="325" ht="15.75" customHeight="1">
      <c r="A325" s="36"/>
      <c r="B325" s="36"/>
      <c r="C325" s="37"/>
      <c r="D325" s="37"/>
      <c r="E325" s="36"/>
      <c r="F325" s="36"/>
      <c r="G325" s="37"/>
      <c r="I325" s="37"/>
      <c r="J325" s="36"/>
      <c r="K325" s="36"/>
      <c r="L325" s="36"/>
      <c r="M325" s="36"/>
      <c r="N325" s="36"/>
      <c r="O325" s="36"/>
      <c r="P325" s="36"/>
      <c r="Q325" s="36"/>
      <c r="R325" s="36"/>
      <c r="S325" s="36"/>
      <c r="T325" s="36"/>
      <c r="U325" s="36"/>
      <c r="V325" s="36"/>
      <c r="W325" s="36"/>
      <c r="X325" s="36"/>
      <c r="Y325" s="36"/>
      <c r="Z325" s="36"/>
    </row>
    <row r="326" ht="15.75" customHeight="1">
      <c r="A326" s="36"/>
      <c r="B326" s="36"/>
      <c r="C326" s="37"/>
      <c r="D326" s="37"/>
      <c r="E326" s="36"/>
      <c r="F326" s="36"/>
      <c r="G326" s="37"/>
      <c r="I326" s="37"/>
      <c r="J326" s="36"/>
      <c r="K326" s="36"/>
      <c r="L326" s="36"/>
      <c r="M326" s="36"/>
      <c r="N326" s="36"/>
      <c r="O326" s="36"/>
      <c r="P326" s="36"/>
      <c r="Q326" s="36"/>
      <c r="R326" s="36"/>
      <c r="S326" s="36"/>
      <c r="T326" s="36"/>
      <c r="U326" s="36"/>
      <c r="V326" s="36"/>
      <c r="W326" s="36"/>
      <c r="X326" s="36"/>
      <c r="Y326" s="36"/>
      <c r="Z326" s="36"/>
    </row>
    <row r="327" ht="15.75" customHeight="1">
      <c r="A327" s="36"/>
      <c r="B327" s="36"/>
      <c r="C327" s="37"/>
      <c r="D327" s="37"/>
      <c r="E327" s="36"/>
      <c r="F327" s="36"/>
      <c r="G327" s="37"/>
      <c r="I327" s="37"/>
      <c r="J327" s="36"/>
      <c r="K327" s="36"/>
      <c r="L327" s="36"/>
      <c r="M327" s="36"/>
      <c r="N327" s="36"/>
      <c r="O327" s="36"/>
      <c r="P327" s="36"/>
      <c r="Q327" s="36"/>
      <c r="R327" s="36"/>
      <c r="S327" s="36"/>
      <c r="T327" s="36"/>
      <c r="U327" s="36"/>
      <c r="V327" s="36"/>
      <c r="W327" s="36"/>
      <c r="X327" s="36"/>
      <c r="Y327" s="36"/>
      <c r="Z327" s="36"/>
    </row>
    <row r="328" ht="15.75" customHeight="1">
      <c r="A328" s="36"/>
      <c r="B328" s="36"/>
      <c r="C328" s="37"/>
      <c r="D328" s="37"/>
      <c r="E328" s="36"/>
      <c r="F328" s="36"/>
      <c r="G328" s="37"/>
      <c r="I328" s="37"/>
      <c r="J328" s="36"/>
      <c r="K328" s="36"/>
      <c r="L328" s="36"/>
      <c r="M328" s="36"/>
      <c r="N328" s="36"/>
      <c r="O328" s="36"/>
      <c r="P328" s="36"/>
      <c r="Q328" s="36"/>
      <c r="R328" s="36"/>
      <c r="S328" s="36"/>
      <c r="T328" s="36"/>
      <c r="U328" s="36"/>
      <c r="V328" s="36"/>
      <c r="W328" s="36"/>
      <c r="X328" s="36"/>
      <c r="Y328" s="36"/>
      <c r="Z328" s="36"/>
    </row>
    <row r="329" ht="15.75" customHeight="1">
      <c r="A329" s="36"/>
      <c r="B329" s="36"/>
      <c r="C329" s="37"/>
      <c r="D329" s="37"/>
      <c r="E329" s="36"/>
      <c r="F329" s="36"/>
      <c r="G329" s="37"/>
      <c r="I329" s="37"/>
      <c r="J329" s="36"/>
      <c r="K329" s="36"/>
      <c r="L329" s="36"/>
      <c r="M329" s="36"/>
      <c r="N329" s="36"/>
      <c r="O329" s="36"/>
      <c r="P329" s="36"/>
      <c r="Q329" s="36"/>
      <c r="R329" s="36"/>
      <c r="S329" s="36"/>
      <c r="T329" s="36"/>
      <c r="U329" s="36"/>
      <c r="V329" s="36"/>
      <c r="W329" s="36"/>
      <c r="X329" s="36"/>
      <c r="Y329" s="36"/>
      <c r="Z329" s="36"/>
    </row>
    <row r="330" ht="15.75" customHeight="1">
      <c r="A330" s="36"/>
      <c r="B330" s="36"/>
      <c r="C330" s="37"/>
      <c r="D330" s="37"/>
      <c r="E330" s="36"/>
      <c r="F330" s="36"/>
      <c r="G330" s="37"/>
      <c r="I330" s="37"/>
      <c r="J330" s="36"/>
      <c r="K330" s="36"/>
      <c r="L330" s="36"/>
      <c r="M330" s="36"/>
      <c r="N330" s="36"/>
      <c r="O330" s="36"/>
      <c r="P330" s="36"/>
      <c r="Q330" s="36"/>
      <c r="R330" s="36"/>
      <c r="S330" s="36"/>
      <c r="T330" s="36"/>
      <c r="U330" s="36"/>
      <c r="V330" s="36"/>
      <c r="W330" s="36"/>
      <c r="X330" s="36"/>
      <c r="Y330" s="36"/>
      <c r="Z330" s="36"/>
    </row>
    <row r="331" ht="15.75" customHeight="1">
      <c r="A331" s="36"/>
      <c r="B331" s="36"/>
      <c r="C331" s="37"/>
      <c r="D331" s="37"/>
      <c r="E331" s="36"/>
      <c r="F331" s="36"/>
      <c r="G331" s="37"/>
      <c r="I331" s="37"/>
      <c r="J331" s="36"/>
      <c r="K331" s="36"/>
      <c r="L331" s="36"/>
      <c r="M331" s="36"/>
      <c r="N331" s="36"/>
      <c r="O331" s="36"/>
      <c r="P331" s="36"/>
      <c r="Q331" s="36"/>
      <c r="R331" s="36"/>
      <c r="S331" s="36"/>
      <c r="T331" s="36"/>
      <c r="U331" s="36"/>
      <c r="V331" s="36"/>
      <c r="W331" s="36"/>
      <c r="X331" s="36"/>
      <c r="Y331" s="36"/>
      <c r="Z331" s="36"/>
    </row>
    <row r="332" ht="15.75" customHeight="1">
      <c r="A332" s="36"/>
      <c r="B332" s="36"/>
      <c r="C332" s="37"/>
      <c r="D332" s="37"/>
      <c r="E332" s="36"/>
      <c r="F332" s="36"/>
      <c r="G332" s="37"/>
      <c r="I332" s="37"/>
      <c r="J332" s="36"/>
      <c r="K332" s="36"/>
      <c r="L332" s="36"/>
      <c r="M332" s="36"/>
      <c r="N332" s="36"/>
      <c r="O332" s="36"/>
      <c r="P332" s="36"/>
      <c r="Q332" s="36"/>
      <c r="R332" s="36"/>
      <c r="S332" s="36"/>
      <c r="T332" s="36"/>
      <c r="U332" s="36"/>
      <c r="V332" s="36"/>
      <c r="W332" s="36"/>
      <c r="X332" s="36"/>
      <c r="Y332" s="36"/>
      <c r="Z332" s="36"/>
    </row>
    <row r="333" ht="15.75" customHeight="1">
      <c r="A333" s="36"/>
      <c r="B333" s="36"/>
      <c r="C333" s="37"/>
      <c r="D333" s="37"/>
      <c r="E333" s="36"/>
      <c r="F333" s="36"/>
      <c r="G333" s="37"/>
      <c r="I333" s="37"/>
      <c r="J333" s="36"/>
      <c r="K333" s="36"/>
      <c r="L333" s="36"/>
      <c r="M333" s="36"/>
      <c r="N333" s="36"/>
      <c r="O333" s="36"/>
      <c r="P333" s="36"/>
      <c r="Q333" s="36"/>
      <c r="R333" s="36"/>
      <c r="S333" s="36"/>
      <c r="T333" s="36"/>
      <c r="U333" s="36"/>
      <c r="V333" s="36"/>
      <c r="W333" s="36"/>
      <c r="X333" s="36"/>
      <c r="Y333" s="36"/>
      <c r="Z333" s="36"/>
    </row>
    <row r="334" ht="15.75" customHeight="1">
      <c r="A334" s="36"/>
      <c r="B334" s="36"/>
      <c r="C334" s="37"/>
      <c r="D334" s="37"/>
      <c r="E334" s="36"/>
      <c r="F334" s="36"/>
      <c r="G334" s="37"/>
      <c r="I334" s="37"/>
      <c r="J334" s="36"/>
      <c r="K334" s="36"/>
      <c r="L334" s="36"/>
      <c r="M334" s="36"/>
      <c r="N334" s="36"/>
      <c r="O334" s="36"/>
      <c r="P334" s="36"/>
      <c r="Q334" s="36"/>
      <c r="R334" s="36"/>
      <c r="S334" s="36"/>
      <c r="T334" s="36"/>
      <c r="U334" s="36"/>
      <c r="V334" s="36"/>
      <c r="W334" s="36"/>
      <c r="X334" s="36"/>
      <c r="Y334" s="36"/>
      <c r="Z334" s="36"/>
    </row>
    <row r="335" ht="15.75" customHeight="1">
      <c r="A335" s="36"/>
      <c r="B335" s="36"/>
      <c r="C335" s="37"/>
      <c r="D335" s="37"/>
      <c r="E335" s="36"/>
      <c r="F335" s="36"/>
      <c r="G335" s="37"/>
      <c r="I335" s="37"/>
      <c r="J335" s="36"/>
      <c r="K335" s="36"/>
      <c r="L335" s="36"/>
      <c r="M335" s="36"/>
      <c r="N335" s="36"/>
      <c r="O335" s="36"/>
      <c r="P335" s="36"/>
      <c r="Q335" s="36"/>
      <c r="R335" s="36"/>
      <c r="S335" s="36"/>
      <c r="T335" s="36"/>
      <c r="U335" s="36"/>
      <c r="V335" s="36"/>
      <c r="W335" s="36"/>
      <c r="X335" s="36"/>
      <c r="Y335" s="36"/>
      <c r="Z335" s="36"/>
    </row>
    <row r="336" ht="15.75" customHeight="1">
      <c r="A336" s="36"/>
      <c r="B336" s="36"/>
      <c r="C336" s="37"/>
      <c r="D336" s="37"/>
      <c r="E336" s="36"/>
      <c r="F336" s="36"/>
      <c r="G336" s="37"/>
      <c r="I336" s="37"/>
      <c r="J336" s="36"/>
      <c r="K336" s="36"/>
      <c r="L336" s="36"/>
      <c r="M336" s="36"/>
      <c r="N336" s="36"/>
      <c r="O336" s="36"/>
      <c r="P336" s="36"/>
      <c r="Q336" s="36"/>
      <c r="R336" s="36"/>
      <c r="S336" s="36"/>
      <c r="T336" s="36"/>
      <c r="U336" s="36"/>
      <c r="V336" s="36"/>
      <c r="W336" s="36"/>
      <c r="X336" s="36"/>
      <c r="Y336" s="36"/>
      <c r="Z336" s="36"/>
    </row>
    <row r="337" ht="15.75" customHeight="1">
      <c r="A337" s="36"/>
      <c r="B337" s="36"/>
      <c r="C337" s="37"/>
      <c r="D337" s="37"/>
      <c r="E337" s="36"/>
      <c r="F337" s="36"/>
      <c r="G337" s="37"/>
      <c r="I337" s="37"/>
      <c r="J337" s="36"/>
      <c r="K337" s="36"/>
      <c r="L337" s="36"/>
      <c r="M337" s="36"/>
      <c r="N337" s="36"/>
      <c r="O337" s="36"/>
      <c r="P337" s="36"/>
      <c r="Q337" s="36"/>
      <c r="R337" s="36"/>
      <c r="S337" s="36"/>
      <c r="T337" s="36"/>
      <c r="U337" s="36"/>
      <c r="V337" s="36"/>
      <c r="W337" s="36"/>
      <c r="X337" s="36"/>
      <c r="Y337" s="36"/>
      <c r="Z337" s="36"/>
    </row>
    <row r="338" ht="15.75" customHeight="1">
      <c r="A338" s="36"/>
      <c r="B338" s="36"/>
      <c r="C338" s="37"/>
      <c r="D338" s="37"/>
      <c r="E338" s="36"/>
      <c r="F338" s="36"/>
      <c r="G338" s="37"/>
      <c r="I338" s="37"/>
      <c r="J338" s="36"/>
      <c r="K338" s="36"/>
      <c r="L338" s="36"/>
      <c r="M338" s="36"/>
      <c r="N338" s="36"/>
      <c r="O338" s="36"/>
      <c r="P338" s="36"/>
      <c r="Q338" s="36"/>
      <c r="R338" s="36"/>
      <c r="S338" s="36"/>
      <c r="T338" s="36"/>
      <c r="U338" s="36"/>
      <c r="V338" s="36"/>
      <c r="W338" s="36"/>
      <c r="X338" s="36"/>
      <c r="Y338" s="36"/>
      <c r="Z338" s="36"/>
    </row>
    <row r="339" ht="15.75" customHeight="1">
      <c r="A339" s="36"/>
      <c r="B339" s="36"/>
      <c r="C339" s="37"/>
      <c r="D339" s="37"/>
      <c r="E339" s="36"/>
      <c r="F339" s="36"/>
      <c r="G339" s="37"/>
      <c r="I339" s="37"/>
      <c r="J339" s="36"/>
      <c r="K339" s="36"/>
      <c r="L339" s="36"/>
      <c r="M339" s="36"/>
      <c r="N339" s="36"/>
      <c r="O339" s="36"/>
      <c r="P339" s="36"/>
      <c r="Q339" s="36"/>
      <c r="R339" s="36"/>
      <c r="S339" s="36"/>
      <c r="T339" s="36"/>
      <c r="U339" s="36"/>
      <c r="V339" s="36"/>
      <c r="W339" s="36"/>
      <c r="X339" s="36"/>
      <c r="Y339" s="36"/>
      <c r="Z339" s="36"/>
    </row>
    <row r="340" ht="15.75" customHeight="1">
      <c r="A340" s="36"/>
      <c r="B340" s="36"/>
      <c r="C340" s="37"/>
      <c r="D340" s="37"/>
      <c r="E340" s="36"/>
      <c r="F340" s="36"/>
      <c r="G340" s="37"/>
      <c r="I340" s="37"/>
      <c r="J340" s="36"/>
      <c r="K340" s="36"/>
      <c r="L340" s="36"/>
      <c r="M340" s="36"/>
      <c r="N340" s="36"/>
      <c r="O340" s="36"/>
      <c r="P340" s="36"/>
      <c r="Q340" s="36"/>
      <c r="R340" s="36"/>
      <c r="S340" s="36"/>
      <c r="T340" s="36"/>
      <c r="U340" s="36"/>
      <c r="V340" s="36"/>
      <c r="W340" s="36"/>
      <c r="X340" s="36"/>
      <c r="Y340" s="36"/>
      <c r="Z340" s="36"/>
    </row>
    <row r="341" ht="15.75" customHeight="1">
      <c r="A341" s="36"/>
      <c r="B341" s="36"/>
      <c r="C341" s="37"/>
      <c r="D341" s="37"/>
      <c r="E341" s="36"/>
      <c r="F341" s="36"/>
      <c r="G341" s="37"/>
      <c r="I341" s="37"/>
      <c r="J341" s="36"/>
      <c r="K341" s="36"/>
      <c r="L341" s="36"/>
      <c r="M341" s="36"/>
      <c r="N341" s="36"/>
      <c r="O341" s="36"/>
      <c r="P341" s="36"/>
      <c r="Q341" s="36"/>
      <c r="R341" s="36"/>
      <c r="S341" s="36"/>
      <c r="T341" s="36"/>
      <c r="U341" s="36"/>
      <c r="V341" s="36"/>
      <c r="W341" s="36"/>
      <c r="X341" s="36"/>
      <c r="Y341" s="36"/>
      <c r="Z341" s="36"/>
    </row>
    <row r="342" ht="15.75" customHeight="1">
      <c r="A342" s="36"/>
      <c r="B342" s="36"/>
      <c r="C342" s="37"/>
      <c r="D342" s="37"/>
      <c r="E342" s="36"/>
      <c r="F342" s="36"/>
      <c r="G342" s="37"/>
      <c r="I342" s="37"/>
      <c r="J342" s="36"/>
      <c r="K342" s="36"/>
      <c r="L342" s="36"/>
      <c r="M342" s="36"/>
      <c r="N342" s="36"/>
      <c r="O342" s="36"/>
      <c r="P342" s="36"/>
      <c r="Q342" s="36"/>
      <c r="R342" s="36"/>
      <c r="S342" s="36"/>
      <c r="T342" s="36"/>
      <c r="U342" s="36"/>
      <c r="V342" s="36"/>
      <c r="W342" s="36"/>
      <c r="X342" s="36"/>
      <c r="Y342" s="36"/>
      <c r="Z342" s="36"/>
    </row>
    <row r="343" ht="15.75" customHeight="1">
      <c r="A343" s="36"/>
      <c r="B343" s="36"/>
      <c r="C343" s="37"/>
      <c r="D343" s="37"/>
      <c r="E343" s="36"/>
      <c r="F343" s="36"/>
      <c r="G343" s="37"/>
      <c r="I343" s="37"/>
      <c r="J343" s="36"/>
      <c r="K343" s="36"/>
      <c r="L343" s="36"/>
      <c r="M343" s="36"/>
      <c r="N343" s="36"/>
      <c r="O343" s="36"/>
      <c r="P343" s="36"/>
      <c r="Q343" s="36"/>
      <c r="R343" s="36"/>
      <c r="S343" s="36"/>
      <c r="T343" s="36"/>
      <c r="U343" s="36"/>
      <c r="V343" s="36"/>
      <c r="W343" s="36"/>
      <c r="X343" s="36"/>
      <c r="Y343" s="36"/>
      <c r="Z343" s="36"/>
    </row>
    <row r="344" ht="15.75" customHeight="1">
      <c r="A344" s="36"/>
      <c r="B344" s="36"/>
      <c r="C344" s="37"/>
      <c r="D344" s="37"/>
      <c r="E344" s="36"/>
      <c r="F344" s="36"/>
      <c r="G344" s="37"/>
      <c r="I344" s="37"/>
      <c r="J344" s="36"/>
      <c r="K344" s="36"/>
      <c r="L344" s="36"/>
      <c r="M344" s="36"/>
      <c r="N344" s="36"/>
      <c r="O344" s="36"/>
      <c r="P344" s="36"/>
      <c r="Q344" s="36"/>
      <c r="R344" s="36"/>
      <c r="S344" s="36"/>
      <c r="T344" s="36"/>
      <c r="U344" s="36"/>
      <c r="V344" s="36"/>
      <c r="W344" s="36"/>
      <c r="X344" s="36"/>
      <c r="Y344" s="36"/>
      <c r="Z344" s="36"/>
    </row>
    <row r="345" ht="15.75" customHeight="1">
      <c r="A345" s="36"/>
      <c r="B345" s="36"/>
      <c r="C345" s="37"/>
      <c r="D345" s="37"/>
      <c r="E345" s="36"/>
      <c r="F345" s="36"/>
      <c r="G345" s="37"/>
      <c r="I345" s="37"/>
      <c r="J345" s="36"/>
      <c r="K345" s="36"/>
      <c r="L345" s="36"/>
      <c r="M345" s="36"/>
      <c r="N345" s="36"/>
      <c r="O345" s="36"/>
      <c r="P345" s="36"/>
      <c r="Q345" s="36"/>
      <c r="R345" s="36"/>
      <c r="S345" s="36"/>
      <c r="T345" s="36"/>
      <c r="U345" s="36"/>
      <c r="V345" s="36"/>
      <c r="W345" s="36"/>
      <c r="X345" s="36"/>
      <c r="Y345" s="36"/>
      <c r="Z345" s="36"/>
    </row>
    <row r="346" ht="15.75" customHeight="1">
      <c r="A346" s="36"/>
      <c r="B346" s="36"/>
      <c r="C346" s="37"/>
      <c r="D346" s="37"/>
      <c r="E346" s="36"/>
      <c r="F346" s="36"/>
      <c r="G346" s="37"/>
      <c r="I346" s="37"/>
      <c r="J346" s="36"/>
      <c r="K346" s="36"/>
      <c r="L346" s="36"/>
      <c r="M346" s="36"/>
      <c r="N346" s="36"/>
      <c r="O346" s="36"/>
      <c r="P346" s="36"/>
      <c r="Q346" s="36"/>
      <c r="R346" s="36"/>
      <c r="S346" s="36"/>
      <c r="T346" s="36"/>
      <c r="U346" s="36"/>
      <c r="V346" s="36"/>
      <c r="W346" s="36"/>
      <c r="X346" s="36"/>
      <c r="Y346" s="36"/>
      <c r="Z346" s="36"/>
    </row>
    <row r="347" ht="15.75" customHeight="1">
      <c r="A347" s="36"/>
      <c r="B347" s="36"/>
      <c r="C347" s="37"/>
      <c r="D347" s="37"/>
      <c r="E347" s="36"/>
      <c r="F347" s="36"/>
      <c r="G347" s="37"/>
      <c r="I347" s="37"/>
      <c r="J347" s="36"/>
      <c r="K347" s="36"/>
      <c r="L347" s="36"/>
      <c r="M347" s="36"/>
      <c r="N347" s="36"/>
      <c r="O347" s="36"/>
      <c r="P347" s="36"/>
      <c r="Q347" s="36"/>
      <c r="R347" s="36"/>
      <c r="S347" s="36"/>
      <c r="T347" s="36"/>
      <c r="U347" s="36"/>
      <c r="V347" s="36"/>
      <c r="W347" s="36"/>
      <c r="X347" s="36"/>
      <c r="Y347" s="36"/>
      <c r="Z347" s="36"/>
    </row>
    <row r="348" ht="15.75" customHeight="1">
      <c r="A348" s="36"/>
      <c r="B348" s="36"/>
      <c r="C348" s="37"/>
      <c r="D348" s="37"/>
      <c r="E348" s="36"/>
      <c r="F348" s="36"/>
      <c r="G348" s="37"/>
      <c r="I348" s="37"/>
      <c r="J348" s="36"/>
      <c r="K348" s="36"/>
      <c r="L348" s="36"/>
      <c r="M348" s="36"/>
      <c r="N348" s="36"/>
      <c r="O348" s="36"/>
      <c r="P348" s="36"/>
      <c r="Q348" s="36"/>
      <c r="R348" s="36"/>
      <c r="S348" s="36"/>
      <c r="T348" s="36"/>
      <c r="U348" s="36"/>
      <c r="V348" s="36"/>
      <c r="W348" s="36"/>
      <c r="X348" s="36"/>
      <c r="Y348" s="36"/>
      <c r="Z348" s="36"/>
    </row>
    <row r="349" ht="15.75" customHeight="1">
      <c r="A349" s="36"/>
      <c r="B349" s="36"/>
      <c r="C349" s="37"/>
      <c r="D349" s="37"/>
      <c r="E349" s="36"/>
      <c r="F349" s="36"/>
      <c r="G349" s="37"/>
      <c r="I349" s="37"/>
      <c r="J349" s="36"/>
      <c r="K349" s="36"/>
      <c r="L349" s="36"/>
      <c r="M349" s="36"/>
      <c r="N349" s="36"/>
      <c r="O349" s="36"/>
      <c r="P349" s="36"/>
      <c r="Q349" s="36"/>
      <c r="R349" s="36"/>
      <c r="S349" s="36"/>
      <c r="T349" s="36"/>
      <c r="U349" s="36"/>
      <c r="V349" s="36"/>
      <c r="W349" s="36"/>
      <c r="X349" s="36"/>
      <c r="Y349" s="36"/>
      <c r="Z349" s="36"/>
    </row>
    <row r="350" ht="15.75" customHeight="1">
      <c r="A350" s="36"/>
      <c r="B350" s="36"/>
      <c r="C350" s="37"/>
      <c r="D350" s="37"/>
      <c r="E350" s="36"/>
      <c r="F350" s="36"/>
      <c r="G350" s="37"/>
      <c r="I350" s="37"/>
      <c r="J350" s="36"/>
      <c r="K350" s="36"/>
      <c r="L350" s="36"/>
      <c r="M350" s="36"/>
      <c r="N350" s="36"/>
      <c r="O350" s="36"/>
      <c r="P350" s="36"/>
      <c r="Q350" s="36"/>
      <c r="R350" s="36"/>
      <c r="S350" s="36"/>
      <c r="T350" s="36"/>
      <c r="U350" s="36"/>
      <c r="V350" s="36"/>
      <c r="W350" s="36"/>
      <c r="X350" s="36"/>
      <c r="Y350" s="36"/>
      <c r="Z350" s="36"/>
    </row>
    <row r="351" ht="15.75" customHeight="1">
      <c r="A351" s="36"/>
      <c r="B351" s="36"/>
      <c r="C351" s="37"/>
      <c r="D351" s="37"/>
      <c r="E351" s="36"/>
      <c r="F351" s="36"/>
      <c r="G351" s="37"/>
      <c r="I351" s="37"/>
      <c r="J351" s="36"/>
      <c r="K351" s="36"/>
      <c r="L351" s="36"/>
      <c r="M351" s="36"/>
      <c r="N351" s="36"/>
      <c r="O351" s="36"/>
      <c r="P351" s="36"/>
      <c r="Q351" s="36"/>
      <c r="R351" s="36"/>
      <c r="S351" s="36"/>
      <c r="T351" s="36"/>
      <c r="U351" s="36"/>
      <c r="V351" s="36"/>
      <c r="W351" s="36"/>
      <c r="X351" s="36"/>
      <c r="Y351" s="36"/>
      <c r="Z351" s="36"/>
    </row>
    <row r="352" ht="15.75" customHeight="1">
      <c r="A352" s="36"/>
      <c r="B352" s="36"/>
      <c r="C352" s="37"/>
      <c r="D352" s="37"/>
      <c r="E352" s="36"/>
      <c r="F352" s="36"/>
      <c r="G352" s="37"/>
      <c r="I352" s="37"/>
      <c r="J352" s="36"/>
      <c r="K352" s="36"/>
      <c r="L352" s="36"/>
      <c r="M352" s="36"/>
      <c r="N352" s="36"/>
      <c r="O352" s="36"/>
      <c r="P352" s="36"/>
      <c r="Q352" s="36"/>
      <c r="R352" s="36"/>
      <c r="S352" s="36"/>
      <c r="T352" s="36"/>
      <c r="U352" s="36"/>
      <c r="V352" s="36"/>
      <c r="W352" s="36"/>
      <c r="X352" s="36"/>
      <c r="Y352" s="36"/>
      <c r="Z352" s="36"/>
    </row>
    <row r="353" ht="15.75" customHeight="1">
      <c r="A353" s="36"/>
      <c r="B353" s="36"/>
      <c r="C353" s="37"/>
      <c r="D353" s="37"/>
      <c r="E353" s="36"/>
      <c r="F353" s="36"/>
      <c r="G353" s="37"/>
      <c r="I353" s="37"/>
      <c r="J353" s="36"/>
      <c r="K353" s="36"/>
      <c r="L353" s="36"/>
      <c r="M353" s="36"/>
      <c r="N353" s="36"/>
      <c r="O353" s="36"/>
      <c r="P353" s="36"/>
      <c r="Q353" s="36"/>
      <c r="R353" s="36"/>
      <c r="S353" s="36"/>
      <c r="T353" s="36"/>
      <c r="U353" s="36"/>
      <c r="V353" s="36"/>
      <c r="W353" s="36"/>
      <c r="X353" s="36"/>
      <c r="Y353" s="36"/>
      <c r="Z353" s="36"/>
    </row>
    <row r="354" ht="15.75" customHeight="1">
      <c r="A354" s="36"/>
      <c r="B354" s="36"/>
      <c r="C354" s="37"/>
      <c r="D354" s="37"/>
      <c r="E354" s="36"/>
      <c r="F354" s="36"/>
      <c r="G354" s="37"/>
      <c r="I354" s="37"/>
      <c r="J354" s="36"/>
      <c r="K354" s="36"/>
      <c r="L354" s="36"/>
      <c r="M354" s="36"/>
      <c r="N354" s="36"/>
      <c r="O354" s="36"/>
      <c r="P354" s="36"/>
      <c r="Q354" s="36"/>
      <c r="R354" s="36"/>
      <c r="S354" s="36"/>
      <c r="T354" s="36"/>
      <c r="U354" s="36"/>
      <c r="V354" s="36"/>
      <c r="W354" s="36"/>
      <c r="X354" s="36"/>
      <c r="Y354" s="36"/>
      <c r="Z354" s="36"/>
    </row>
    <row r="355" ht="15.75" customHeight="1">
      <c r="A355" s="36"/>
      <c r="B355" s="36"/>
      <c r="C355" s="37"/>
      <c r="D355" s="37"/>
      <c r="E355" s="36"/>
      <c r="F355" s="36"/>
      <c r="G355" s="37"/>
      <c r="I355" s="37"/>
      <c r="J355" s="36"/>
      <c r="K355" s="36"/>
      <c r="L355" s="36"/>
      <c r="M355" s="36"/>
      <c r="N355" s="36"/>
      <c r="O355" s="36"/>
      <c r="P355" s="36"/>
      <c r="Q355" s="36"/>
      <c r="R355" s="36"/>
      <c r="S355" s="36"/>
      <c r="T355" s="36"/>
      <c r="U355" s="36"/>
      <c r="V355" s="36"/>
      <c r="W355" s="36"/>
      <c r="X355" s="36"/>
      <c r="Y355" s="36"/>
      <c r="Z355" s="36"/>
    </row>
    <row r="356" ht="15.75" customHeight="1">
      <c r="A356" s="36"/>
      <c r="B356" s="36"/>
      <c r="C356" s="37"/>
      <c r="D356" s="37"/>
      <c r="E356" s="36"/>
      <c r="F356" s="36"/>
      <c r="G356" s="37"/>
      <c r="I356" s="37"/>
      <c r="J356" s="36"/>
      <c r="K356" s="36"/>
      <c r="L356" s="36"/>
      <c r="M356" s="36"/>
      <c r="N356" s="36"/>
      <c r="O356" s="36"/>
      <c r="P356" s="36"/>
      <c r="Q356" s="36"/>
      <c r="R356" s="36"/>
      <c r="S356" s="36"/>
      <c r="T356" s="36"/>
      <c r="U356" s="36"/>
      <c r="V356" s="36"/>
      <c r="W356" s="36"/>
      <c r="X356" s="36"/>
      <c r="Y356" s="36"/>
      <c r="Z356" s="36"/>
    </row>
    <row r="357" ht="15.75" customHeight="1">
      <c r="A357" s="36"/>
      <c r="B357" s="36"/>
      <c r="C357" s="37"/>
      <c r="D357" s="37"/>
      <c r="E357" s="36"/>
      <c r="F357" s="36"/>
      <c r="G357" s="37"/>
      <c r="I357" s="37"/>
      <c r="J357" s="36"/>
      <c r="K357" s="36"/>
      <c r="L357" s="36"/>
      <c r="M357" s="36"/>
      <c r="N357" s="36"/>
      <c r="O357" s="36"/>
      <c r="P357" s="36"/>
      <c r="Q357" s="36"/>
      <c r="R357" s="36"/>
      <c r="S357" s="36"/>
      <c r="T357" s="36"/>
      <c r="U357" s="36"/>
      <c r="V357" s="36"/>
      <c r="W357" s="36"/>
      <c r="X357" s="36"/>
      <c r="Y357" s="36"/>
      <c r="Z357" s="36"/>
    </row>
    <row r="358" ht="15.75" customHeight="1">
      <c r="A358" s="36"/>
      <c r="B358" s="36"/>
      <c r="C358" s="37"/>
      <c r="D358" s="37"/>
      <c r="E358" s="36"/>
      <c r="F358" s="36"/>
      <c r="G358" s="37"/>
      <c r="I358" s="37"/>
      <c r="J358" s="36"/>
      <c r="K358" s="36"/>
      <c r="L358" s="36"/>
      <c r="M358" s="36"/>
      <c r="N358" s="36"/>
      <c r="O358" s="36"/>
      <c r="P358" s="36"/>
      <c r="Q358" s="36"/>
      <c r="R358" s="36"/>
      <c r="S358" s="36"/>
      <c r="T358" s="36"/>
      <c r="U358" s="36"/>
      <c r="V358" s="36"/>
      <c r="W358" s="36"/>
      <c r="X358" s="36"/>
      <c r="Y358" s="36"/>
      <c r="Z358" s="36"/>
    </row>
    <row r="359" ht="15.75" customHeight="1">
      <c r="A359" s="36"/>
      <c r="B359" s="36"/>
      <c r="C359" s="37"/>
      <c r="D359" s="37"/>
      <c r="E359" s="36"/>
      <c r="F359" s="36"/>
      <c r="G359" s="37"/>
      <c r="I359" s="37"/>
      <c r="J359" s="36"/>
      <c r="K359" s="36"/>
      <c r="L359" s="36"/>
      <c r="M359" s="36"/>
      <c r="N359" s="36"/>
      <c r="O359" s="36"/>
      <c r="P359" s="36"/>
      <c r="Q359" s="36"/>
      <c r="R359" s="36"/>
      <c r="S359" s="36"/>
      <c r="T359" s="36"/>
      <c r="U359" s="36"/>
      <c r="V359" s="36"/>
      <c r="W359" s="36"/>
      <c r="X359" s="36"/>
      <c r="Y359" s="36"/>
      <c r="Z359" s="36"/>
    </row>
    <row r="360" ht="15.75" customHeight="1">
      <c r="A360" s="36"/>
      <c r="B360" s="36"/>
      <c r="C360" s="37"/>
      <c r="D360" s="37"/>
      <c r="E360" s="36"/>
      <c r="F360" s="36"/>
      <c r="G360" s="37"/>
      <c r="I360" s="37"/>
      <c r="J360" s="36"/>
      <c r="K360" s="36"/>
      <c r="L360" s="36"/>
      <c r="M360" s="36"/>
      <c r="N360" s="36"/>
      <c r="O360" s="36"/>
      <c r="P360" s="36"/>
      <c r="Q360" s="36"/>
      <c r="R360" s="36"/>
      <c r="S360" s="36"/>
      <c r="T360" s="36"/>
      <c r="U360" s="36"/>
      <c r="V360" s="36"/>
      <c r="W360" s="36"/>
      <c r="X360" s="36"/>
      <c r="Y360" s="36"/>
      <c r="Z360" s="36"/>
    </row>
    <row r="361" ht="15.75" customHeight="1">
      <c r="A361" s="36"/>
      <c r="B361" s="36"/>
      <c r="C361" s="37"/>
      <c r="D361" s="37"/>
      <c r="E361" s="36"/>
      <c r="F361" s="36"/>
      <c r="G361" s="37"/>
      <c r="I361" s="37"/>
      <c r="J361" s="36"/>
      <c r="K361" s="36"/>
      <c r="L361" s="36"/>
      <c r="M361" s="36"/>
      <c r="N361" s="36"/>
      <c r="O361" s="36"/>
      <c r="P361" s="36"/>
      <c r="Q361" s="36"/>
      <c r="R361" s="36"/>
      <c r="S361" s="36"/>
      <c r="T361" s="36"/>
      <c r="U361" s="36"/>
      <c r="V361" s="36"/>
      <c r="W361" s="36"/>
      <c r="X361" s="36"/>
      <c r="Y361" s="36"/>
      <c r="Z361" s="36"/>
    </row>
    <row r="362" ht="15.75" customHeight="1">
      <c r="A362" s="36"/>
      <c r="B362" s="36"/>
      <c r="C362" s="37"/>
      <c r="D362" s="37"/>
      <c r="E362" s="36"/>
      <c r="F362" s="36"/>
      <c r="G362" s="37"/>
      <c r="I362" s="37"/>
      <c r="J362" s="36"/>
      <c r="K362" s="36"/>
      <c r="L362" s="36"/>
      <c r="M362" s="36"/>
      <c r="N362" s="36"/>
      <c r="O362" s="36"/>
      <c r="P362" s="36"/>
      <c r="Q362" s="36"/>
      <c r="R362" s="36"/>
      <c r="S362" s="36"/>
      <c r="T362" s="36"/>
      <c r="U362" s="36"/>
      <c r="V362" s="36"/>
      <c r="W362" s="36"/>
      <c r="X362" s="36"/>
      <c r="Y362" s="36"/>
      <c r="Z362" s="36"/>
    </row>
    <row r="363" ht="15.75" customHeight="1">
      <c r="A363" s="36"/>
      <c r="B363" s="36"/>
      <c r="C363" s="37"/>
      <c r="D363" s="37"/>
      <c r="E363" s="36"/>
      <c r="F363" s="36"/>
      <c r="G363" s="37"/>
      <c r="I363" s="37"/>
      <c r="J363" s="36"/>
      <c r="K363" s="36"/>
      <c r="L363" s="36"/>
      <c r="M363" s="36"/>
      <c r="N363" s="36"/>
      <c r="O363" s="36"/>
      <c r="P363" s="36"/>
      <c r="Q363" s="36"/>
      <c r="R363" s="36"/>
      <c r="S363" s="36"/>
      <c r="T363" s="36"/>
      <c r="U363" s="36"/>
      <c r="V363" s="36"/>
      <c r="W363" s="36"/>
      <c r="X363" s="36"/>
      <c r="Y363" s="36"/>
      <c r="Z363" s="36"/>
    </row>
    <row r="364" ht="15.75" customHeight="1">
      <c r="A364" s="36"/>
      <c r="B364" s="36"/>
      <c r="C364" s="37"/>
      <c r="D364" s="37"/>
      <c r="E364" s="36"/>
      <c r="F364" s="36"/>
      <c r="G364" s="37"/>
      <c r="I364" s="37"/>
      <c r="J364" s="36"/>
      <c r="K364" s="36"/>
      <c r="L364" s="36"/>
      <c r="M364" s="36"/>
      <c r="N364" s="36"/>
      <c r="O364" s="36"/>
      <c r="P364" s="36"/>
      <c r="Q364" s="36"/>
      <c r="R364" s="36"/>
      <c r="S364" s="36"/>
      <c r="T364" s="36"/>
      <c r="U364" s="36"/>
      <c r="V364" s="36"/>
      <c r="W364" s="36"/>
      <c r="X364" s="36"/>
      <c r="Y364" s="36"/>
      <c r="Z364" s="36"/>
    </row>
    <row r="365" ht="15.75" customHeight="1">
      <c r="A365" s="36"/>
      <c r="B365" s="36"/>
      <c r="C365" s="37"/>
      <c r="D365" s="37"/>
      <c r="E365" s="36"/>
      <c r="F365" s="36"/>
      <c r="G365" s="37"/>
      <c r="I365" s="37"/>
      <c r="J365" s="36"/>
      <c r="K365" s="36"/>
      <c r="L365" s="36"/>
      <c r="M365" s="36"/>
      <c r="N365" s="36"/>
      <c r="O365" s="36"/>
      <c r="P365" s="36"/>
      <c r="Q365" s="36"/>
      <c r="R365" s="36"/>
      <c r="S365" s="36"/>
      <c r="T365" s="36"/>
      <c r="U365" s="36"/>
      <c r="V365" s="36"/>
      <c r="W365" s="36"/>
      <c r="X365" s="36"/>
      <c r="Y365" s="36"/>
      <c r="Z365" s="36"/>
    </row>
    <row r="366" ht="15.75" customHeight="1">
      <c r="A366" s="36"/>
      <c r="B366" s="36"/>
      <c r="C366" s="37"/>
      <c r="D366" s="37"/>
      <c r="E366" s="36"/>
      <c r="F366" s="36"/>
      <c r="G366" s="37"/>
      <c r="I366" s="37"/>
      <c r="J366" s="36"/>
      <c r="K366" s="36"/>
      <c r="L366" s="36"/>
      <c r="M366" s="36"/>
      <c r="N366" s="36"/>
      <c r="O366" s="36"/>
      <c r="P366" s="36"/>
      <c r="Q366" s="36"/>
      <c r="R366" s="36"/>
      <c r="S366" s="36"/>
      <c r="T366" s="36"/>
      <c r="U366" s="36"/>
      <c r="V366" s="36"/>
      <c r="W366" s="36"/>
      <c r="X366" s="36"/>
      <c r="Y366" s="36"/>
      <c r="Z366" s="36"/>
    </row>
    <row r="367" ht="15.75" customHeight="1">
      <c r="A367" s="36"/>
      <c r="B367" s="36"/>
      <c r="C367" s="37"/>
      <c r="D367" s="37"/>
      <c r="E367" s="36"/>
      <c r="F367" s="36"/>
      <c r="G367" s="37"/>
      <c r="I367" s="37"/>
      <c r="J367" s="36"/>
      <c r="K367" s="36"/>
      <c r="L367" s="36"/>
      <c r="M367" s="36"/>
      <c r="N367" s="36"/>
      <c r="O367" s="36"/>
      <c r="P367" s="36"/>
      <c r="Q367" s="36"/>
      <c r="R367" s="36"/>
      <c r="S367" s="36"/>
      <c r="T367" s="36"/>
      <c r="U367" s="36"/>
      <c r="V367" s="36"/>
      <c r="W367" s="36"/>
      <c r="X367" s="36"/>
      <c r="Y367" s="36"/>
      <c r="Z367" s="36"/>
    </row>
    <row r="368" ht="15.75" customHeight="1">
      <c r="A368" s="36"/>
      <c r="B368" s="36"/>
      <c r="C368" s="37"/>
      <c r="D368" s="37"/>
      <c r="E368" s="36"/>
      <c r="F368" s="36"/>
      <c r="G368" s="37"/>
      <c r="I368" s="37"/>
      <c r="J368" s="36"/>
      <c r="K368" s="36"/>
      <c r="L368" s="36"/>
      <c r="M368" s="36"/>
      <c r="N368" s="36"/>
      <c r="O368" s="36"/>
      <c r="P368" s="36"/>
      <c r="Q368" s="36"/>
      <c r="R368" s="36"/>
      <c r="S368" s="36"/>
      <c r="T368" s="36"/>
      <c r="U368" s="36"/>
      <c r="V368" s="36"/>
      <c r="W368" s="36"/>
      <c r="X368" s="36"/>
      <c r="Y368" s="36"/>
      <c r="Z368" s="36"/>
    </row>
    <row r="369" ht="15.75" customHeight="1">
      <c r="A369" s="36"/>
      <c r="B369" s="36"/>
      <c r="C369" s="37"/>
      <c r="D369" s="37"/>
      <c r="E369" s="36"/>
      <c r="F369" s="36"/>
      <c r="G369" s="37"/>
      <c r="I369" s="37"/>
      <c r="J369" s="36"/>
      <c r="K369" s="36"/>
      <c r="L369" s="36"/>
      <c r="M369" s="36"/>
      <c r="N369" s="36"/>
      <c r="O369" s="36"/>
      <c r="P369" s="36"/>
      <c r="Q369" s="36"/>
      <c r="R369" s="36"/>
      <c r="S369" s="36"/>
      <c r="T369" s="36"/>
      <c r="U369" s="36"/>
      <c r="V369" s="36"/>
      <c r="W369" s="36"/>
      <c r="X369" s="36"/>
      <c r="Y369" s="36"/>
      <c r="Z369" s="36"/>
    </row>
    <row r="370" ht="15.75" customHeight="1">
      <c r="A370" s="36"/>
      <c r="B370" s="36"/>
      <c r="C370" s="37"/>
      <c r="D370" s="37"/>
      <c r="E370" s="36"/>
      <c r="F370" s="36"/>
      <c r="G370" s="37"/>
      <c r="I370" s="37"/>
      <c r="J370" s="36"/>
      <c r="K370" s="36"/>
      <c r="L370" s="36"/>
      <c r="M370" s="36"/>
      <c r="N370" s="36"/>
      <c r="O370" s="36"/>
      <c r="P370" s="36"/>
      <c r="Q370" s="36"/>
      <c r="R370" s="36"/>
      <c r="S370" s="36"/>
      <c r="T370" s="36"/>
      <c r="U370" s="36"/>
      <c r="V370" s="36"/>
      <c r="W370" s="36"/>
      <c r="X370" s="36"/>
      <c r="Y370" s="36"/>
      <c r="Z370" s="36"/>
    </row>
    <row r="371" ht="15.75" customHeight="1">
      <c r="A371" s="36"/>
      <c r="B371" s="36"/>
      <c r="C371" s="37"/>
      <c r="D371" s="37"/>
      <c r="E371" s="36"/>
      <c r="F371" s="36"/>
      <c r="G371" s="37"/>
      <c r="I371" s="37"/>
      <c r="J371" s="36"/>
      <c r="K371" s="36"/>
      <c r="L371" s="36"/>
      <c r="M371" s="36"/>
      <c r="N371" s="36"/>
      <c r="O371" s="36"/>
      <c r="P371" s="36"/>
      <c r="Q371" s="36"/>
      <c r="R371" s="36"/>
      <c r="S371" s="36"/>
      <c r="T371" s="36"/>
      <c r="U371" s="36"/>
      <c r="V371" s="36"/>
      <c r="W371" s="36"/>
      <c r="X371" s="36"/>
      <c r="Y371" s="36"/>
      <c r="Z371" s="36"/>
    </row>
    <row r="372" ht="15.75" customHeight="1">
      <c r="A372" s="36"/>
      <c r="B372" s="36"/>
      <c r="C372" s="37"/>
      <c r="D372" s="37"/>
      <c r="E372" s="36"/>
      <c r="F372" s="36"/>
      <c r="G372" s="37"/>
      <c r="I372" s="37"/>
      <c r="J372" s="36"/>
      <c r="K372" s="36"/>
      <c r="L372" s="36"/>
      <c r="M372" s="36"/>
      <c r="N372" s="36"/>
      <c r="O372" s="36"/>
      <c r="P372" s="36"/>
      <c r="Q372" s="36"/>
      <c r="R372" s="36"/>
      <c r="S372" s="36"/>
      <c r="T372" s="36"/>
      <c r="U372" s="36"/>
      <c r="V372" s="36"/>
      <c r="W372" s="36"/>
      <c r="X372" s="36"/>
      <c r="Y372" s="36"/>
      <c r="Z372" s="36"/>
    </row>
    <row r="373" ht="15.75" customHeight="1">
      <c r="A373" s="36"/>
      <c r="B373" s="36"/>
      <c r="C373" s="37"/>
      <c r="D373" s="37"/>
      <c r="E373" s="36"/>
      <c r="F373" s="36"/>
      <c r="G373" s="37"/>
      <c r="I373" s="37"/>
      <c r="J373" s="36"/>
      <c r="K373" s="36"/>
      <c r="L373" s="36"/>
      <c r="M373" s="36"/>
      <c r="N373" s="36"/>
      <c r="O373" s="36"/>
      <c r="P373" s="36"/>
      <c r="Q373" s="36"/>
      <c r="R373" s="36"/>
      <c r="S373" s="36"/>
      <c r="T373" s="36"/>
      <c r="U373" s="36"/>
      <c r="V373" s="36"/>
      <c r="W373" s="36"/>
      <c r="X373" s="36"/>
      <c r="Y373" s="36"/>
      <c r="Z373" s="36"/>
    </row>
    <row r="374" ht="15.75" customHeight="1">
      <c r="A374" s="36"/>
      <c r="B374" s="36"/>
      <c r="C374" s="37"/>
      <c r="D374" s="37"/>
      <c r="E374" s="36"/>
      <c r="F374" s="36"/>
      <c r="G374" s="37"/>
      <c r="I374" s="37"/>
      <c r="J374" s="36"/>
      <c r="K374" s="36"/>
      <c r="L374" s="36"/>
      <c r="M374" s="36"/>
      <c r="N374" s="36"/>
      <c r="O374" s="36"/>
      <c r="P374" s="36"/>
      <c r="Q374" s="36"/>
      <c r="R374" s="36"/>
      <c r="S374" s="36"/>
      <c r="T374" s="36"/>
      <c r="U374" s="36"/>
      <c r="V374" s="36"/>
      <c r="W374" s="36"/>
      <c r="X374" s="36"/>
      <c r="Y374" s="36"/>
      <c r="Z374" s="36"/>
    </row>
    <row r="375" ht="15.75" customHeight="1">
      <c r="A375" s="36"/>
      <c r="B375" s="36"/>
      <c r="C375" s="37"/>
      <c r="D375" s="37"/>
      <c r="E375" s="36"/>
      <c r="F375" s="36"/>
      <c r="G375" s="37"/>
      <c r="I375" s="37"/>
      <c r="J375" s="36"/>
      <c r="K375" s="36"/>
      <c r="L375" s="36"/>
      <c r="M375" s="36"/>
      <c r="N375" s="36"/>
      <c r="O375" s="36"/>
      <c r="P375" s="36"/>
      <c r="Q375" s="36"/>
      <c r="R375" s="36"/>
      <c r="S375" s="36"/>
      <c r="T375" s="36"/>
      <c r="U375" s="36"/>
      <c r="V375" s="36"/>
      <c r="W375" s="36"/>
      <c r="X375" s="36"/>
      <c r="Y375" s="36"/>
      <c r="Z375" s="36"/>
    </row>
    <row r="376" ht="15.75" customHeight="1">
      <c r="A376" s="36"/>
      <c r="B376" s="36"/>
      <c r="C376" s="37"/>
      <c r="D376" s="37"/>
      <c r="E376" s="36"/>
      <c r="F376" s="36"/>
      <c r="G376" s="37"/>
      <c r="I376" s="37"/>
      <c r="J376" s="36"/>
      <c r="K376" s="36"/>
      <c r="L376" s="36"/>
      <c r="M376" s="36"/>
      <c r="N376" s="36"/>
      <c r="O376" s="36"/>
      <c r="P376" s="36"/>
      <c r="Q376" s="36"/>
      <c r="R376" s="36"/>
      <c r="S376" s="36"/>
      <c r="T376" s="36"/>
      <c r="U376" s="36"/>
      <c r="V376" s="36"/>
      <c r="W376" s="36"/>
      <c r="X376" s="36"/>
      <c r="Y376" s="36"/>
      <c r="Z376" s="36"/>
    </row>
    <row r="377" ht="15.75" customHeight="1">
      <c r="A377" s="36"/>
      <c r="B377" s="36"/>
      <c r="C377" s="37"/>
      <c r="D377" s="37"/>
      <c r="E377" s="36"/>
      <c r="F377" s="36"/>
      <c r="G377" s="37"/>
      <c r="I377" s="37"/>
      <c r="J377" s="36"/>
      <c r="K377" s="36"/>
      <c r="L377" s="36"/>
      <c r="M377" s="36"/>
      <c r="N377" s="36"/>
      <c r="O377" s="36"/>
      <c r="P377" s="36"/>
      <c r="Q377" s="36"/>
      <c r="R377" s="36"/>
      <c r="S377" s="36"/>
      <c r="T377" s="36"/>
      <c r="U377" s="36"/>
      <c r="V377" s="36"/>
      <c r="W377" s="36"/>
      <c r="X377" s="36"/>
      <c r="Y377" s="36"/>
      <c r="Z377" s="36"/>
    </row>
    <row r="378" ht="15.75" customHeight="1">
      <c r="A378" s="36"/>
      <c r="B378" s="36"/>
      <c r="C378" s="37"/>
      <c r="D378" s="37"/>
      <c r="E378" s="36"/>
      <c r="F378" s="36"/>
      <c r="G378" s="37"/>
      <c r="I378" s="37"/>
      <c r="J378" s="36"/>
      <c r="K378" s="36"/>
      <c r="L378" s="36"/>
      <c r="M378" s="36"/>
      <c r="N378" s="36"/>
      <c r="O378" s="36"/>
      <c r="P378" s="36"/>
      <c r="Q378" s="36"/>
      <c r="R378" s="36"/>
      <c r="S378" s="36"/>
      <c r="T378" s="36"/>
      <c r="U378" s="36"/>
      <c r="V378" s="36"/>
      <c r="W378" s="36"/>
      <c r="X378" s="36"/>
      <c r="Y378" s="36"/>
      <c r="Z378" s="36"/>
    </row>
    <row r="379" ht="15.75" customHeight="1">
      <c r="A379" s="36"/>
      <c r="B379" s="36"/>
      <c r="C379" s="37"/>
      <c r="D379" s="37"/>
      <c r="E379" s="36"/>
      <c r="F379" s="36"/>
      <c r="G379" s="37"/>
      <c r="I379" s="37"/>
      <c r="J379" s="36"/>
      <c r="K379" s="36"/>
      <c r="L379" s="36"/>
      <c r="M379" s="36"/>
      <c r="N379" s="36"/>
      <c r="O379" s="36"/>
      <c r="P379" s="36"/>
      <c r="Q379" s="36"/>
      <c r="R379" s="36"/>
      <c r="S379" s="36"/>
      <c r="T379" s="36"/>
      <c r="U379" s="36"/>
      <c r="V379" s="36"/>
      <c r="W379" s="36"/>
      <c r="X379" s="36"/>
      <c r="Y379" s="36"/>
      <c r="Z379" s="36"/>
    </row>
    <row r="380" ht="15.75" customHeight="1">
      <c r="A380" s="36"/>
      <c r="B380" s="36"/>
      <c r="C380" s="37"/>
      <c r="D380" s="37"/>
      <c r="E380" s="36"/>
      <c r="F380" s="36"/>
      <c r="G380" s="37"/>
      <c r="I380" s="37"/>
      <c r="J380" s="36"/>
      <c r="K380" s="36"/>
      <c r="L380" s="36"/>
      <c r="M380" s="36"/>
      <c r="N380" s="36"/>
      <c r="O380" s="36"/>
      <c r="P380" s="36"/>
      <c r="Q380" s="36"/>
      <c r="R380" s="36"/>
      <c r="S380" s="36"/>
      <c r="T380" s="36"/>
      <c r="U380" s="36"/>
      <c r="V380" s="36"/>
      <c r="W380" s="36"/>
      <c r="X380" s="36"/>
      <c r="Y380" s="36"/>
      <c r="Z380" s="36"/>
    </row>
    <row r="381" ht="15.75" customHeight="1">
      <c r="A381" s="36"/>
      <c r="B381" s="36"/>
      <c r="C381" s="37"/>
      <c r="D381" s="37"/>
      <c r="E381" s="36"/>
      <c r="F381" s="36"/>
      <c r="G381" s="37"/>
      <c r="I381" s="37"/>
      <c r="J381" s="36"/>
      <c r="K381" s="36"/>
      <c r="L381" s="36"/>
      <c r="M381" s="36"/>
      <c r="N381" s="36"/>
      <c r="O381" s="36"/>
      <c r="P381" s="36"/>
      <c r="Q381" s="36"/>
      <c r="R381" s="36"/>
      <c r="S381" s="36"/>
      <c r="T381" s="36"/>
      <c r="U381" s="36"/>
      <c r="V381" s="36"/>
      <c r="W381" s="36"/>
      <c r="X381" s="36"/>
      <c r="Y381" s="36"/>
      <c r="Z381" s="36"/>
    </row>
    <row r="382" ht="15.75" customHeight="1">
      <c r="A382" s="36"/>
      <c r="B382" s="36"/>
      <c r="C382" s="37"/>
      <c r="D382" s="37"/>
      <c r="E382" s="36"/>
      <c r="F382" s="36"/>
      <c r="G382" s="37"/>
      <c r="I382" s="37"/>
      <c r="J382" s="36"/>
      <c r="K382" s="36"/>
      <c r="L382" s="36"/>
      <c r="M382" s="36"/>
      <c r="N382" s="36"/>
      <c r="O382" s="36"/>
      <c r="P382" s="36"/>
      <c r="Q382" s="36"/>
      <c r="R382" s="36"/>
      <c r="S382" s="36"/>
      <c r="T382" s="36"/>
      <c r="U382" s="36"/>
      <c r="V382" s="36"/>
      <c r="W382" s="36"/>
      <c r="X382" s="36"/>
      <c r="Y382" s="36"/>
      <c r="Z382" s="36"/>
    </row>
    <row r="383" ht="15.75" customHeight="1">
      <c r="A383" s="36"/>
      <c r="B383" s="36"/>
      <c r="C383" s="37"/>
      <c r="D383" s="37"/>
      <c r="E383" s="36"/>
      <c r="F383" s="36"/>
      <c r="G383" s="37"/>
      <c r="I383" s="37"/>
      <c r="J383" s="36"/>
      <c r="K383" s="36"/>
      <c r="L383" s="36"/>
      <c r="M383" s="36"/>
      <c r="N383" s="36"/>
      <c r="O383" s="36"/>
      <c r="P383" s="36"/>
      <c r="Q383" s="36"/>
      <c r="R383" s="36"/>
      <c r="S383" s="36"/>
      <c r="T383" s="36"/>
      <c r="U383" s="36"/>
      <c r="V383" s="36"/>
      <c r="W383" s="36"/>
      <c r="X383" s="36"/>
      <c r="Y383" s="36"/>
      <c r="Z383" s="36"/>
    </row>
    <row r="384" ht="15.75" customHeight="1">
      <c r="A384" s="36"/>
      <c r="B384" s="36"/>
      <c r="C384" s="37"/>
      <c r="D384" s="37"/>
      <c r="E384" s="36"/>
      <c r="F384" s="36"/>
      <c r="G384" s="37"/>
      <c r="I384" s="37"/>
      <c r="J384" s="36"/>
      <c r="K384" s="36"/>
      <c r="L384" s="36"/>
      <c r="M384" s="36"/>
      <c r="N384" s="36"/>
      <c r="O384" s="36"/>
      <c r="P384" s="36"/>
      <c r="Q384" s="36"/>
      <c r="R384" s="36"/>
      <c r="S384" s="36"/>
      <c r="T384" s="36"/>
      <c r="U384" s="36"/>
      <c r="V384" s="36"/>
      <c r="W384" s="36"/>
      <c r="X384" s="36"/>
      <c r="Y384" s="36"/>
      <c r="Z384" s="36"/>
    </row>
    <row r="385" ht="15.75" customHeight="1">
      <c r="A385" s="36"/>
      <c r="B385" s="36"/>
      <c r="C385" s="37"/>
      <c r="D385" s="37"/>
      <c r="E385" s="36"/>
      <c r="F385" s="36"/>
      <c r="G385" s="37"/>
      <c r="I385" s="37"/>
      <c r="J385" s="36"/>
      <c r="K385" s="36"/>
      <c r="L385" s="36"/>
      <c r="M385" s="36"/>
      <c r="N385" s="36"/>
      <c r="O385" s="36"/>
      <c r="P385" s="36"/>
      <c r="Q385" s="36"/>
      <c r="R385" s="36"/>
      <c r="S385" s="36"/>
      <c r="T385" s="36"/>
      <c r="U385" s="36"/>
      <c r="V385" s="36"/>
      <c r="W385" s="36"/>
      <c r="X385" s="36"/>
      <c r="Y385" s="36"/>
      <c r="Z385" s="36"/>
    </row>
    <row r="386" ht="15.75" customHeight="1">
      <c r="A386" s="36"/>
      <c r="B386" s="36"/>
      <c r="C386" s="37"/>
      <c r="D386" s="37"/>
      <c r="E386" s="36"/>
      <c r="F386" s="36"/>
      <c r="G386" s="37"/>
      <c r="I386" s="37"/>
      <c r="J386" s="36"/>
      <c r="K386" s="36"/>
      <c r="L386" s="36"/>
      <c r="M386" s="36"/>
      <c r="N386" s="36"/>
      <c r="O386" s="36"/>
      <c r="P386" s="36"/>
      <c r="Q386" s="36"/>
      <c r="R386" s="36"/>
      <c r="S386" s="36"/>
      <c r="T386" s="36"/>
      <c r="U386" s="36"/>
      <c r="V386" s="36"/>
      <c r="W386" s="36"/>
      <c r="X386" s="36"/>
      <c r="Y386" s="36"/>
      <c r="Z386" s="36"/>
    </row>
    <row r="387" ht="15.75" customHeight="1">
      <c r="A387" s="36"/>
      <c r="B387" s="36"/>
      <c r="C387" s="37"/>
      <c r="D387" s="37"/>
      <c r="E387" s="36"/>
      <c r="F387" s="36"/>
      <c r="G387" s="37"/>
      <c r="I387" s="37"/>
      <c r="J387" s="36"/>
      <c r="K387" s="36"/>
      <c r="L387" s="36"/>
      <c r="M387" s="36"/>
      <c r="N387" s="36"/>
      <c r="O387" s="36"/>
      <c r="P387" s="36"/>
      <c r="Q387" s="36"/>
      <c r="R387" s="36"/>
      <c r="S387" s="36"/>
      <c r="T387" s="36"/>
      <c r="U387" s="36"/>
      <c r="V387" s="36"/>
      <c r="W387" s="36"/>
      <c r="X387" s="36"/>
      <c r="Y387" s="36"/>
      <c r="Z387" s="36"/>
    </row>
    <row r="388" ht="15.75" customHeight="1">
      <c r="A388" s="36"/>
      <c r="B388" s="36"/>
      <c r="C388" s="37"/>
      <c r="D388" s="37"/>
      <c r="E388" s="36"/>
      <c r="F388" s="36"/>
      <c r="G388" s="37"/>
      <c r="I388" s="37"/>
      <c r="J388" s="36"/>
      <c r="K388" s="36"/>
      <c r="L388" s="36"/>
      <c r="M388" s="36"/>
      <c r="N388" s="36"/>
      <c r="O388" s="36"/>
      <c r="P388" s="36"/>
      <c r="Q388" s="36"/>
      <c r="R388" s="36"/>
      <c r="S388" s="36"/>
      <c r="T388" s="36"/>
      <c r="U388" s="36"/>
      <c r="V388" s="36"/>
      <c r="W388" s="36"/>
      <c r="X388" s="36"/>
      <c r="Y388" s="36"/>
      <c r="Z388" s="36"/>
    </row>
    <row r="389" ht="15.75" customHeight="1">
      <c r="A389" s="36"/>
      <c r="B389" s="36"/>
      <c r="C389" s="37"/>
      <c r="D389" s="37"/>
      <c r="E389" s="36"/>
      <c r="F389" s="36"/>
      <c r="G389" s="37"/>
      <c r="I389" s="37"/>
      <c r="J389" s="36"/>
      <c r="K389" s="36"/>
      <c r="L389" s="36"/>
      <c r="M389" s="36"/>
      <c r="N389" s="36"/>
      <c r="O389" s="36"/>
      <c r="P389" s="36"/>
      <c r="Q389" s="36"/>
      <c r="R389" s="36"/>
      <c r="S389" s="36"/>
      <c r="T389" s="36"/>
      <c r="U389" s="36"/>
      <c r="V389" s="36"/>
      <c r="W389" s="36"/>
      <c r="X389" s="36"/>
      <c r="Y389" s="36"/>
      <c r="Z389" s="36"/>
    </row>
    <row r="390" ht="15.75" customHeight="1">
      <c r="A390" s="36"/>
      <c r="B390" s="36"/>
      <c r="C390" s="37"/>
      <c r="D390" s="37"/>
      <c r="E390" s="36"/>
      <c r="F390" s="36"/>
      <c r="G390" s="37"/>
      <c r="I390" s="37"/>
      <c r="J390" s="36"/>
      <c r="K390" s="36"/>
      <c r="L390" s="36"/>
      <c r="M390" s="36"/>
      <c r="N390" s="36"/>
      <c r="O390" s="36"/>
      <c r="P390" s="36"/>
      <c r="Q390" s="36"/>
      <c r="R390" s="36"/>
      <c r="S390" s="36"/>
      <c r="T390" s="36"/>
      <c r="U390" s="36"/>
      <c r="V390" s="36"/>
      <c r="W390" s="36"/>
      <c r="X390" s="36"/>
      <c r="Y390" s="36"/>
      <c r="Z390" s="36"/>
    </row>
    <row r="391" ht="15.75" customHeight="1">
      <c r="A391" s="36"/>
      <c r="B391" s="36"/>
      <c r="C391" s="37"/>
      <c r="D391" s="37"/>
      <c r="E391" s="36"/>
      <c r="F391" s="36"/>
      <c r="G391" s="37"/>
      <c r="I391" s="37"/>
      <c r="J391" s="36"/>
      <c r="K391" s="36"/>
      <c r="L391" s="36"/>
      <c r="M391" s="36"/>
      <c r="N391" s="36"/>
      <c r="O391" s="36"/>
      <c r="P391" s="36"/>
      <c r="Q391" s="36"/>
      <c r="R391" s="36"/>
      <c r="S391" s="36"/>
      <c r="T391" s="36"/>
      <c r="U391" s="36"/>
      <c r="V391" s="36"/>
      <c r="W391" s="36"/>
      <c r="X391" s="36"/>
      <c r="Y391" s="36"/>
      <c r="Z391" s="36"/>
    </row>
    <row r="392" ht="15.75" customHeight="1">
      <c r="A392" s="36"/>
      <c r="B392" s="36"/>
      <c r="C392" s="37"/>
      <c r="D392" s="37"/>
      <c r="E392" s="36"/>
      <c r="F392" s="36"/>
      <c r="G392" s="37"/>
      <c r="I392" s="37"/>
      <c r="J392" s="36"/>
      <c r="K392" s="36"/>
      <c r="L392" s="36"/>
      <c r="M392" s="36"/>
      <c r="N392" s="36"/>
      <c r="O392" s="36"/>
      <c r="P392" s="36"/>
      <c r="Q392" s="36"/>
      <c r="R392" s="36"/>
      <c r="S392" s="36"/>
      <c r="T392" s="36"/>
      <c r="U392" s="36"/>
      <c r="V392" s="36"/>
      <c r="W392" s="36"/>
      <c r="X392" s="36"/>
      <c r="Y392" s="36"/>
      <c r="Z392" s="36"/>
    </row>
    <row r="393" ht="15.75" customHeight="1">
      <c r="A393" s="36"/>
      <c r="B393" s="36"/>
      <c r="C393" s="37"/>
      <c r="D393" s="37"/>
      <c r="E393" s="36"/>
      <c r="F393" s="36"/>
      <c r="G393" s="37"/>
      <c r="I393" s="37"/>
      <c r="J393" s="36"/>
      <c r="K393" s="36"/>
      <c r="L393" s="36"/>
      <c r="M393" s="36"/>
      <c r="N393" s="36"/>
      <c r="O393" s="36"/>
      <c r="P393" s="36"/>
      <c r="Q393" s="36"/>
      <c r="R393" s="36"/>
      <c r="S393" s="36"/>
      <c r="T393" s="36"/>
      <c r="U393" s="36"/>
      <c r="V393" s="36"/>
      <c r="W393" s="36"/>
      <c r="X393" s="36"/>
      <c r="Y393" s="36"/>
      <c r="Z393" s="36"/>
    </row>
    <row r="394" ht="15.75" customHeight="1">
      <c r="A394" s="36"/>
      <c r="B394" s="36"/>
      <c r="C394" s="37"/>
      <c r="D394" s="37"/>
      <c r="E394" s="36"/>
      <c r="F394" s="36"/>
      <c r="G394" s="37"/>
      <c r="I394" s="37"/>
      <c r="J394" s="36"/>
      <c r="K394" s="36"/>
      <c r="L394" s="36"/>
      <c r="M394" s="36"/>
      <c r="N394" s="36"/>
      <c r="O394" s="36"/>
      <c r="P394" s="36"/>
      <c r="Q394" s="36"/>
      <c r="R394" s="36"/>
      <c r="S394" s="36"/>
      <c r="T394" s="36"/>
      <c r="U394" s="36"/>
      <c r="V394" s="36"/>
      <c r="W394" s="36"/>
      <c r="X394" s="36"/>
      <c r="Y394" s="36"/>
      <c r="Z394" s="36"/>
    </row>
    <row r="395" ht="15.75" customHeight="1">
      <c r="A395" s="36"/>
      <c r="B395" s="36"/>
      <c r="C395" s="37"/>
      <c r="D395" s="37"/>
      <c r="E395" s="36"/>
      <c r="F395" s="36"/>
      <c r="G395" s="37"/>
      <c r="I395" s="37"/>
      <c r="J395" s="36"/>
      <c r="K395" s="36"/>
      <c r="L395" s="36"/>
      <c r="M395" s="36"/>
      <c r="N395" s="36"/>
      <c r="O395" s="36"/>
      <c r="P395" s="36"/>
      <c r="Q395" s="36"/>
      <c r="R395" s="36"/>
      <c r="S395" s="36"/>
      <c r="T395" s="36"/>
      <c r="U395" s="36"/>
      <c r="V395" s="36"/>
      <c r="W395" s="36"/>
      <c r="X395" s="36"/>
      <c r="Y395" s="36"/>
      <c r="Z395" s="36"/>
    </row>
    <row r="396" ht="15.75" customHeight="1">
      <c r="A396" s="36"/>
      <c r="B396" s="36"/>
      <c r="C396" s="37"/>
      <c r="D396" s="37"/>
      <c r="E396" s="36"/>
      <c r="F396" s="36"/>
      <c r="G396" s="37"/>
      <c r="I396" s="37"/>
      <c r="J396" s="36"/>
      <c r="K396" s="36"/>
      <c r="L396" s="36"/>
      <c r="M396" s="36"/>
      <c r="N396" s="36"/>
      <c r="O396" s="36"/>
      <c r="P396" s="36"/>
      <c r="Q396" s="36"/>
      <c r="R396" s="36"/>
      <c r="S396" s="36"/>
      <c r="T396" s="36"/>
      <c r="U396" s="36"/>
      <c r="V396" s="36"/>
      <c r="W396" s="36"/>
      <c r="X396" s="36"/>
      <c r="Y396" s="36"/>
      <c r="Z396" s="36"/>
    </row>
    <row r="397" ht="15.75" customHeight="1">
      <c r="A397" s="36"/>
      <c r="B397" s="36"/>
      <c r="C397" s="37"/>
      <c r="D397" s="37"/>
      <c r="E397" s="36"/>
      <c r="F397" s="36"/>
      <c r="G397" s="37"/>
      <c r="I397" s="37"/>
      <c r="J397" s="36"/>
      <c r="K397" s="36"/>
      <c r="L397" s="36"/>
      <c r="M397" s="36"/>
      <c r="N397" s="36"/>
      <c r="O397" s="36"/>
      <c r="P397" s="36"/>
      <c r="Q397" s="36"/>
      <c r="R397" s="36"/>
      <c r="S397" s="36"/>
      <c r="T397" s="36"/>
      <c r="U397" s="36"/>
      <c r="V397" s="36"/>
      <c r="W397" s="36"/>
      <c r="X397" s="36"/>
      <c r="Y397" s="36"/>
      <c r="Z397" s="36"/>
    </row>
    <row r="398" ht="15.75" customHeight="1">
      <c r="A398" s="36"/>
      <c r="B398" s="36"/>
      <c r="C398" s="37"/>
      <c r="D398" s="37"/>
      <c r="E398" s="36"/>
      <c r="F398" s="36"/>
      <c r="G398" s="37"/>
      <c r="I398" s="37"/>
      <c r="J398" s="36"/>
      <c r="K398" s="36"/>
      <c r="L398" s="36"/>
      <c r="M398" s="36"/>
      <c r="N398" s="36"/>
      <c r="O398" s="36"/>
      <c r="P398" s="36"/>
      <c r="Q398" s="36"/>
      <c r="R398" s="36"/>
      <c r="S398" s="36"/>
      <c r="T398" s="36"/>
      <c r="U398" s="36"/>
      <c r="V398" s="36"/>
      <c r="W398" s="36"/>
      <c r="X398" s="36"/>
      <c r="Y398" s="36"/>
      <c r="Z398" s="36"/>
    </row>
    <row r="399" ht="15.75" customHeight="1">
      <c r="A399" s="36"/>
      <c r="B399" s="36"/>
      <c r="C399" s="37"/>
      <c r="D399" s="37"/>
      <c r="E399" s="36"/>
      <c r="F399" s="36"/>
      <c r="G399" s="37"/>
      <c r="I399" s="37"/>
      <c r="J399" s="36"/>
      <c r="K399" s="36"/>
      <c r="L399" s="36"/>
      <c r="M399" s="36"/>
      <c r="N399" s="36"/>
      <c r="O399" s="36"/>
      <c r="P399" s="36"/>
      <c r="Q399" s="36"/>
      <c r="R399" s="36"/>
      <c r="S399" s="36"/>
      <c r="T399" s="36"/>
      <c r="U399" s="36"/>
      <c r="V399" s="36"/>
      <c r="W399" s="36"/>
      <c r="X399" s="36"/>
      <c r="Y399" s="36"/>
      <c r="Z399" s="36"/>
    </row>
    <row r="400" ht="15.75" customHeight="1">
      <c r="A400" s="36"/>
      <c r="B400" s="36"/>
      <c r="C400" s="37"/>
      <c r="D400" s="37"/>
      <c r="E400" s="36"/>
      <c r="F400" s="36"/>
      <c r="G400" s="37"/>
      <c r="I400" s="37"/>
      <c r="J400" s="36"/>
      <c r="K400" s="36"/>
      <c r="L400" s="36"/>
      <c r="M400" s="36"/>
      <c r="N400" s="36"/>
      <c r="O400" s="36"/>
      <c r="P400" s="36"/>
      <c r="Q400" s="36"/>
      <c r="R400" s="36"/>
      <c r="S400" s="36"/>
      <c r="T400" s="36"/>
      <c r="U400" s="36"/>
      <c r="V400" s="36"/>
      <c r="W400" s="36"/>
      <c r="X400" s="36"/>
      <c r="Y400" s="36"/>
      <c r="Z400" s="36"/>
    </row>
    <row r="401" ht="15.75" customHeight="1">
      <c r="A401" s="36"/>
      <c r="B401" s="36"/>
      <c r="C401" s="37"/>
      <c r="D401" s="37"/>
      <c r="E401" s="36"/>
      <c r="F401" s="36"/>
      <c r="G401" s="37"/>
      <c r="I401" s="37"/>
      <c r="J401" s="36"/>
      <c r="K401" s="36"/>
      <c r="L401" s="36"/>
      <c r="M401" s="36"/>
      <c r="N401" s="36"/>
      <c r="O401" s="36"/>
      <c r="P401" s="36"/>
      <c r="Q401" s="36"/>
      <c r="R401" s="36"/>
      <c r="S401" s="36"/>
      <c r="T401" s="36"/>
      <c r="U401" s="36"/>
      <c r="V401" s="36"/>
      <c r="W401" s="36"/>
      <c r="X401" s="36"/>
      <c r="Y401" s="36"/>
      <c r="Z401" s="36"/>
    </row>
    <row r="402" ht="15.75" customHeight="1">
      <c r="A402" s="36"/>
      <c r="B402" s="36"/>
      <c r="C402" s="37"/>
      <c r="D402" s="37"/>
      <c r="E402" s="36"/>
      <c r="F402" s="36"/>
      <c r="G402" s="37"/>
      <c r="I402" s="37"/>
      <c r="J402" s="36"/>
      <c r="K402" s="36"/>
      <c r="L402" s="36"/>
      <c r="M402" s="36"/>
      <c r="N402" s="36"/>
      <c r="O402" s="36"/>
      <c r="P402" s="36"/>
      <c r="Q402" s="36"/>
      <c r="R402" s="36"/>
      <c r="S402" s="36"/>
      <c r="T402" s="36"/>
      <c r="U402" s="36"/>
      <c r="V402" s="36"/>
      <c r="W402" s="36"/>
      <c r="X402" s="36"/>
      <c r="Y402" s="36"/>
      <c r="Z402" s="36"/>
    </row>
    <row r="403" ht="15.75" customHeight="1">
      <c r="A403" s="36"/>
      <c r="B403" s="36"/>
      <c r="C403" s="37"/>
      <c r="D403" s="37"/>
      <c r="E403" s="36"/>
      <c r="F403" s="36"/>
      <c r="G403" s="37"/>
      <c r="I403" s="37"/>
      <c r="J403" s="36"/>
      <c r="K403" s="36"/>
      <c r="L403" s="36"/>
      <c r="M403" s="36"/>
      <c r="N403" s="36"/>
      <c r="O403" s="36"/>
      <c r="P403" s="36"/>
      <c r="Q403" s="36"/>
      <c r="R403" s="36"/>
      <c r="S403" s="36"/>
      <c r="T403" s="36"/>
      <c r="U403" s="36"/>
      <c r="V403" s="36"/>
      <c r="W403" s="36"/>
      <c r="X403" s="36"/>
      <c r="Y403" s="36"/>
      <c r="Z403" s="36"/>
    </row>
    <row r="404" ht="15.75" customHeight="1">
      <c r="A404" s="36"/>
      <c r="B404" s="36"/>
      <c r="C404" s="37"/>
      <c r="D404" s="37"/>
      <c r="E404" s="36"/>
      <c r="F404" s="36"/>
      <c r="G404" s="37"/>
      <c r="I404" s="37"/>
      <c r="J404" s="36"/>
      <c r="K404" s="36"/>
      <c r="L404" s="36"/>
      <c r="M404" s="36"/>
      <c r="N404" s="36"/>
      <c r="O404" s="36"/>
      <c r="P404" s="36"/>
      <c r="Q404" s="36"/>
      <c r="R404" s="36"/>
      <c r="S404" s="36"/>
      <c r="T404" s="36"/>
      <c r="U404" s="36"/>
      <c r="V404" s="36"/>
      <c r="W404" s="36"/>
      <c r="X404" s="36"/>
      <c r="Y404" s="36"/>
      <c r="Z404" s="36"/>
    </row>
    <row r="405" ht="15.75" customHeight="1">
      <c r="A405" s="36"/>
      <c r="B405" s="36"/>
      <c r="C405" s="37"/>
      <c r="D405" s="37"/>
      <c r="E405" s="36"/>
      <c r="F405" s="36"/>
      <c r="G405" s="37"/>
      <c r="I405" s="37"/>
      <c r="J405" s="36"/>
      <c r="K405" s="36"/>
      <c r="L405" s="36"/>
      <c r="M405" s="36"/>
      <c r="N405" s="36"/>
      <c r="O405" s="36"/>
      <c r="P405" s="36"/>
      <c r="Q405" s="36"/>
      <c r="R405" s="36"/>
      <c r="S405" s="36"/>
      <c r="T405" s="36"/>
      <c r="U405" s="36"/>
      <c r="V405" s="36"/>
      <c r="W405" s="36"/>
      <c r="X405" s="36"/>
      <c r="Y405" s="36"/>
      <c r="Z405" s="36"/>
    </row>
    <row r="406" ht="15.75" customHeight="1">
      <c r="A406" s="36"/>
      <c r="B406" s="36"/>
      <c r="C406" s="37"/>
      <c r="D406" s="37"/>
      <c r="E406" s="36"/>
      <c r="F406" s="36"/>
      <c r="G406" s="37"/>
      <c r="I406" s="37"/>
      <c r="J406" s="36"/>
      <c r="K406" s="36"/>
      <c r="L406" s="36"/>
      <c r="M406" s="36"/>
      <c r="N406" s="36"/>
      <c r="O406" s="36"/>
      <c r="P406" s="36"/>
      <c r="Q406" s="36"/>
      <c r="R406" s="36"/>
      <c r="S406" s="36"/>
      <c r="T406" s="36"/>
      <c r="U406" s="36"/>
      <c r="V406" s="36"/>
      <c r="W406" s="36"/>
      <c r="X406" s="36"/>
      <c r="Y406" s="36"/>
      <c r="Z406" s="36"/>
    </row>
    <row r="407" ht="15.75" customHeight="1">
      <c r="A407" s="36"/>
      <c r="B407" s="36"/>
      <c r="C407" s="37"/>
      <c r="D407" s="37"/>
      <c r="E407" s="36"/>
      <c r="F407" s="36"/>
      <c r="G407" s="37"/>
      <c r="I407" s="37"/>
      <c r="J407" s="36"/>
      <c r="K407" s="36"/>
      <c r="L407" s="36"/>
      <c r="M407" s="36"/>
      <c r="N407" s="36"/>
      <c r="O407" s="36"/>
      <c r="P407" s="36"/>
      <c r="Q407" s="36"/>
      <c r="R407" s="36"/>
      <c r="S407" s="36"/>
      <c r="T407" s="36"/>
      <c r="U407" s="36"/>
      <c r="V407" s="36"/>
      <c r="W407" s="36"/>
      <c r="X407" s="36"/>
      <c r="Y407" s="36"/>
      <c r="Z407" s="36"/>
    </row>
    <row r="408" ht="15.75" customHeight="1">
      <c r="A408" s="36"/>
      <c r="B408" s="36"/>
      <c r="C408" s="37"/>
      <c r="D408" s="37"/>
      <c r="E408" s="36"/>
      <c r="F408" s="36"/>
      <c r="G408" s="37"/>
      <c r="I408" s="37"/>
      <c r="J408" s="36"/>
      <c r="K408" s="36"/>
      <c r="L408" s="36"/>
      <c r="M408" s="36"/>
      <c r="N408" s="36"/>
      <c r="O408" s="36"/>
      <c r="P408" s="36"/>
      <c r="Q408" s="36"/>
      <c r="R408" s="36"/>
      <c r="S408" s="36"/>
      <c r="T408" s="36"/>
      <c r="U408" s="36"/>
      <c r="V408" s="36"/>
      <c r="W408" s="36"/>
      <c r="X408" s="36"/>
      <c r="Y408" s="36"/>
      <c r="Z408" s="36"/>
    </row>
    <row r="409" ht="15.75" customHeight="1">
      <c r="A409" s="36"/>
      <c r="B409" s="36"/>
      <c r="C409" s="37"/>
      <c r="D409" s="37"/>
      <c r="E409" s="36"/>
      <c r="F409" s="36"/>
      <c r="G409" s="37"/>
      <c r="I409" s="37"/>
      <c r="J409" s="36"/>
      <c r="K409" s="36"/>
      <c r="L409" s="36"/>
      <c r="M409" s="36"/>
      <c r="N409" s="36"/>
      <c r="O409" s="36"/>
      <c r="P409" s="36"/>
      <c r="Q409" s="36"/>
      <c r="R409" s="36"/>
      <c r="S409" s="36"/>
      <c r="T409" s="36"/>
      <c r="U409" s="36"/>
      <c r="V409" s="36"/>
      <c r="W409" s="36"/>
      <c r="X409" s="36"/>
      <c r="Y409" s="36"/>
      <c r="Z409" s="36"/>
    </row>
    <row r="410" ht="15.75" customHeight="1">
      <c r="A410" s="36"/>
      <c r="B410" s="36"/>
      <c r="C410" s="37"/>
      <c r="D410" s="37"/>
      <c r="E410" s="36"/>
      <c r="F410" s="36"/>
      <c r="G410" s="37"/>
      <c r="I410" s="37"/>
      <c r="J410" s="36"/>
      <c r="K410" s="36"/>
      <c r="L410" s="36"/>
      <c r="M410" s="36"/>
      <c r="N410" s="36"/>
      <c r="O410" s="36"/>
      <c r="P410" s="36"/>
      <c r="Q410" s="36"/>
      <c r="R410" s="36"/>
      <c r="S410" s="36"/>
      <c r="T410" s="36"/>
      <c r="U410" s="36"/>
      <c r="V410" s="36"/>
      <c r="W410" s="36"/>
      <c r="X410" s="36"/>
      <c r="Y410" s="36"/>
      <c r="Z410" s="36"/>
    </row>
    <row r="411" ht="15.75" customHeight="1">
      <c r="A411" s="36"/>
      <c r="B411" s="36"/>
      <c r="C411" s="37"/>
      <c r="D411" s="37"/>
      <c r="E411" s="36"/>
      <c r="F411" s="36"/>
      <c r="G411" s="37"/>
      <c r="I411" s="37"/>
      <c r="J411" s="36"/>
      <c r="K411" s="36"/>
      <c r="L411" s="36"/>
      <c r="M411" s="36"/>
      <c r="N411" s="36"/>
      <c r="O411" s="36"/>
      <c r="P411" s="36"/>
      <c r="Q411" s="36"/>
      <c r="R411" s="36"/>
      <c r="S411" s="36"/>
      <c r="T411" s="36"/>
      <c r="U411" s="36"/>
      <c r="V411" s="36"/>
      <c r="W411" s="36"/>
      <c r="X411" s="36"/>
      <c r="Y411" s="36"/>
      <c r="Z411" s="36"/>
    </row>
    <row r="412" ht="15.75" customHeight="1">
      <c r="A412" s="36"/>
      <c r="B412" s="36"/>
      <c r="C412" s="37"/>
      <c r="D412" s="37"/>
      <c r="E412" s="36"/>
      <c r="F412" s="36"/>
      <c r="G412" s="37"/>
      <c r="I412" s="37"/>
      <c r="J412" s="36"/>
      <c r="K412" s="36"/>
      <c r="L412" s="36"/>
      <c r="M412" s="36"/>
      <c r="N412" s="36"/>
      <c r="O412" s="36"/>
      <c r="P412" s="36"/>
      <c r="Q412" s="36"/>
      <c r="R412" s="36"/>
      <c r="S412" s="36"/>
      <c r="T412" s="36"/>
      <c r="U412" s="36"/>
      <c r="V412" s="36"/>
      <c r="W412" s="36"/>
      <c r="X412" s="36"/>
      <c r="Y412" s="36"/>
      <c r="Z412" s="36"/>
    </row>
    <row r="413" ht="15.75" customHeight="1">
      <c r="A413" s="36"/>
      <c r="B413" s="36"/>
      <c r="C413" s="37"/>
      <c r="D413" s="37"/>
      <c r="E413" s="36"/>
      <c r="F413" s="36"/>
      <c r="G413" s="37"/>
      <c r="I413" s="37"/>
      <c r="J413" s="36"/>
      <c r="K413" s="36"/>
      <c r="L413" s="36"/>
      <c r="M413" s="36"/>
      <c r="N413" s="36"/>
      <c r="O413" s="36"/>
      <c r="P413" s="36"/>
      <c r="Q413" s="36"/>
      <c r="R413" s="36"/>
      <c r="S413" s="36"/>
      <c r="T413" s="36"/>
      <c r="U413" s="36"/>
      <c r="V413" s="36"/>
      <c r="W413" s="36"/>
      <c r="X413" s="36"/>
      <c r="Y413" s="36"/>
      <c r="Z413" s="36"/>
    </row>
    <row r="414" ht="15.75" customHeight="1">
      <c r="A414" s="36"/>
      <c r="B414" s="36"/>
      <c r="C414" s="37"/>
      <c r="D414" s="37"/>
      <c r="E414" s="36"/>
      <c r="F414" s="36"/>
      <c r="G414" s="37"/>
      <c r="I414" s="37"/>
      <c r="J414" s="36"/>
      <c r="K414" s="36"/>
      <c r="L414" s="36"/>
      <c r="M414" s="36"/>
      <c r="N414" s="36"/>
      <c r="O414" s="36"/>
      <c r="P414" s="36"/>
      <c r="Q414" s="36"/>
      <c r="R414" s="36"/>
      <c r="S414" s="36"/>
      <c r="T414" s="36"/>
      <c r="U414" s="36"/>
      <c r="V414" s="36"/>
      <c r="W414" s="36"/>
      <c r="X414" s="36"/>
      <c r="Y414" s="36"/>
      <c r="Z414" s="36"/>
    </row>
    <row r="415" ht="15.75" customHeight="1">
      <c r="A415" s="36"/>
      <c r="B415" s="36"/>
      <c r="C415" s="37"/>
      <c r="D415" s="37"/>
      <c r="E415" s="36"/>
      <c r="F415" s="36"/>
      <c r="G415" s="37"/>
      <c r="I415" s="37"/>
      <c r="J415" s="36"/>
      <c r="K415" s="36"/>
      <c r="L415" s="36"/>
      <c r="M415" s="36"/>
      <c r="N415" s="36"/>
      <c r="O415" s="36"/>
      <c r="P415" s="36"/>
      <c r="Q415" s="36"/>
      <c r="R415" s="36"/>
      <c r="S415" s="36"/>
      <c r="T415" s="36"/>
      <c r="U415" s="36"/>
      <c r="V415" s="36"/>
      <c r="W415" s="36"/>
      <c r="X415" s="36"/>
      <c r="Y415" s="36"/>
      <c r="Z415" s="36"/>
    </row>
    <row r="416" ht="15.75" customHeight="1">
      <c r="A416" s="36"/>
      <c r="B416" s="36"/>
      <c r="C416" s="37"/>
      <c r="D416" s="37"/>
      <c r="E416" s="36"/>
      <c r="F416" s="36"/>
      <c r="G416" s="37"/>
      <c r="I416" s="37"/>
      <c r="J416" s="36"/>
      <c r="K416" s="36"/>
      <c r="L416" s="36"/>
      <c r="M416" s="36"/>
      <c r="N416" s="36"/>
      <c r="O416" s="36"/>
      <c r="P416" s="36"/>
      <c r="Q416" s="36"/>
      <c r="R416" s="36"/>
      <c r="S416" s="36"/>
      <c r="T416" s="36"/>
      <c r="U416" s="36"/>
      <c r="V416" s="36"/>
      <c r="W416" s="36"/>
      <c r="X416" s="36"/>
      <c r="Y416" s="36"/>
      <c r="Z416" s="36"/>
    </row>
    <row r="417" ht="15.75" customHeight="1">
      <c r="A417" s="36"/>
      <c r="B417" s="36"/>
      <c r="C417" s="37"/>
      <c r="D417" s="37"/>
      <c r="E417" s="36"/>
      <c r="F417" s="36"/>
      <c r="G417" s="37"/>
      <c r="I417" s="37"/>
      <c r="J417" s="36"/>
      <c r="K417" s="36"/>
      <c r="L417" s="36"/>
      <c r="M417" s="36"/>
      <c r="N417" s="36"/>
      <c r="O417" s="36"/>
      <c r="P417" s="36"/>
      <c r="Q417" s="36"/>
      <c r="R417" s="36"/>
      <c r="S417" s="36"/>
      <c r="T417" s="36"/>
      <c r="U417" s="36"/>
      <c r="V417" s="36"/>
      <c r="W417" s="36"/>
      <c r="X417" s="36"/>
      <c r="Y417" s="36"/>
      <c r="Z417" s="36"/>
    </row>
    <row r="418" ht="15.75" customHeight="1">
      <c r="A418" s="36"/>
      <c r="B418" s="36"/>
      <c r="C418" s="37"/>
      <c r="D418" s="37"/>
      <c r="E418" s="36"/>
      <c r="F418" s="36"/>
      <c r="G418" s="37"/>
      <c r="I418" s="37"/>
      <c r="J418" s="36"/>
      <c r="K418" s="36"/>
      <c r="L418" s="36"/>
      <c r="M418" s="36"/>
      <c r="N418" s="36"/>
      <c r="O418" s="36"/>
      <c r="P418" s="36"/>
      <c r="Q418" s="36"/>
      <c r="R418" s="36"/>
      <c r="S418" s="36"/>
      <c r="T418" s="36"/>
      <c r="U418" s="36"/>
      <c r="V418" s="36"/>
      <c r="W418" s="36"/>
      <c r="X418" s="36"/>
      <c r="Y418" s="36"/>
      <c r="Z418" s="36"/>
    </row>
    <row r="419" ht="15.75" customHeight="1">
      <c r="A419" s="36"/>
      <c r="B419" s="36"/>
      <c r="C419" s="37"/>
      <c r="D419" s="37"/>
      <c r="E419" s="36"/>
      <c r="F419" s="36"/>
      <c r="G419" s="37"/>
      <c r="I419" s="37"/>
      <c r="J419" s="36"/>
      <c r="K419" s="36"/>
      <c r="L419" s="36"/>
      <c r="M419" s="36"/>
      <c r="N419" s="36"/>
      <c r="O419" s="36"/>
      <c r="P419" s="36"/>
      <c r="Q419" s="36"/>
      <c r="R419" s="36"/>
      <c r="S419" s="36"/>
      <c r="T419" s="36"/>
      <c r="U419" s="36"/>
      <c r="V419" s="36"/>
      <c r="W419" s="36"/>
      <c r="X419" s="36"/>
      <c r="Y419" s="36"/>
      <c r="Z419" s="36"/>
    </row>
    <row r="420" ht="15.75" customHeight="1">
      <c r="A420" s="36"/>
      <c r="B420" s="36"/>
      <c r="C420" s="37"/>
      <c r="D420" s="37"/>
      <c r="E420" s="36"/>
      <c r="F420" s="36"/>
      <c r="G420" s="37"/>
      <c r="I420" s="37"/>
      <c r="J420" s="36"/>
      <c r="K420" s="36"/>
      <c r="L420" s="36"/>
      <c r="M420" s="36"/>
      <c r="N420" s="36"/>
      <c r="O420" s="36"/>
      <c r="P420" s="36"/>
      <c r="Q420" s="36"/>
      <c r="R420" s="36"/>
      <c r="S420" s="36"/>
      <c r="T420" s="36"/>
      <c r="U420" s="36"/>
      <c r="V420" s="36"/>
      <c r="W420" s="36"/>
      <c r="X420" s="36"/>
      <c r="Y420" s="36"/>
      <c r="Z420" s="36"/>
    </row>
    <row r="421" ht="15.75" customHeight="1">
      <c r="A421" s="36"/>
      <c r="B421" s="36"/>
      <c r="C421" s="37"/>
      <c r="D421" s="37"/>
      <c r="E421" s="36"/>
      <c r="F421" s="36"/>
      <c r="G421" s="37"/>
      <c r="I421" s="37"/>
      <c r="J421" s="36"/>
      <c r="K421" s="36"/>
      <c r="L421" s="36"/>
      <c r="M421" s="36"/>
      <c r="N421" s="36"/>
      <c r="O421" s="36"/>
      <c r="P421" s="36"/>
      <c r="Q421" s="36"/>
      <c r="R421" s="36"/>
      <c r="S421" s="36"/>
      <c r="T421" s="36"/>
      <c r="U421" s="36"/>
      <c r="V421" s="36"/>
      <c r="W421" s="36"/>
      <c r="X421" s="36"/>
      <c r="Y421" s="36"/>
      <c r="Z421" s="36"/>
    </row>
    <row r="422" ht="15.75" customHeight="1">
      <c r="A422" s="36"/>
      <c r="B422" s="36"/>
      <c r="C422" s="37"/>
      <c r="D422" s="37"/>
      <c r="E422" s="36"/>
      <c r="F422" s="36"/>
      <c r="G422" s="37"/>
      <c r="I422" s="37"/>
      <c r="J422" s="36"/>
      <c r="K422" s="36"/>
      <c r="L422" s="36"/>
      <c r="M422" s="36"/>
      <c r="N422" s="36"/>
      <c r="O422" s="36"/>
      <c r="P422" s="36"/>
      <c r="Q422" s="36"/>
      <c r="R422" s="36"/>
      <c r="S422" s="36"/>
      <c r="T422" s="36"/>
      <c r="U422" s="36"/>
      <c r="V422" s="36"/>
      <c r="W422" s="36"/>
      <c r="X422" s="36"/>
      <c r="Y422" s="36"/>
      <c r="Z422" s="36"/>
    </row>
    <row r="423" ht="15.75" customHeight="1">
      <c r="A423" s="36"/>
      <c r="B423" s="36"/>
      <c r="C423" s="37"/>
      <c r="D423" s="37"/>
      <c r="E423" s="36"/>
      <c r="F423" s="36"/>
      <c r="G423" s="37"/>
      <c r="I423" s="37"/>
      <c r="J423" s="36"/>
      <c r="K423" s="36"/>
      <c r="L423" s="36"/>
      <c r="M423" s="36"/>
      <c r="N423" s="36"/>
      <c r="O423" s="36"/>
      <c r="P423" s="36"/>
      <c r="Q423" s="36"/>
      <c r="R423" s="36"/>
      <c r="S423" s="36"/>
      <c r="T423" s="36"/>
      <c r="U423" s="36"/>
      <c r="V423" s="36"/>
      <c r="W423" s="36"/>
      <c r="X423" s="36"/>
      <c r="Y423" s="36"/>
      <c r="Z423" s="36"/>
    </row>
    <row r="424" ht="15.75" customHeight="1">
      <c r="A424" s="36"/>
      <c r="B424" s="36"/>
      <c r="C424" s="37"/>
      <c r="D424" s="37"/>
      <c r="E424" s="36"/>
      <c r="F424" s="36"/>
      <c r="G424" s="37"/>
      <c r="I424" s="37"/>
      <c r="J424" s="36"/>
      <c r="K424" s="36"/>
      <c r="L424" s="36"/>
      <c r="M424" s="36"/>
      <c r="N424" s="36"/>
      <c r="O424" s="36"/>
      <c r="P424" s="36"/>
      <c r="Q424" s="36"/>
      <c r="R424" s="36"/>
      <c r="S424" s="36"/>
      <c r="T424" s="36"/>
      <c r="U424" s="36"/>
      <c r="V424" s="36"/>
      <c r="W424" s="36"/>
      <c r="X424" s="36"/>
      <c r="Y424" s="36"/>
      <c r="Z424" s="36"/>
    </row>
    <row r="425" ht="15.75" customHeight="1">
      <c r="A425" s="36"/>
      <c r="B425" s="36"/>
      <c r="C425" s="37"/>
      <c r="D425" s="37"/>
      <c r="E425" s="36"/>
      <c r="F425" s="36"/>
      <c r="G425" s="37"/>
      <c r="I425" s="37"/>
      <c r="J425" s="36"/>
      <c r="K425" s="36"/>
      <c r="L425" s="36"/>
      <c r="M425" s="36"/>
      <c r="N425" s="36"/>
      <c r="O425" s="36"/>
      <c r="P425" s="36"/>
      <c r="Q425" s="36"/>
      <c r="R425" s="36"/>
      <c r="S425" s="36"/>
      <c r="T425" s="36"/>
      <c r="U425" s="36"/>
      <c r="V425" s="36"/>
      <c r="W425" s="36"/>
      <c r="X425" s="36"/>
      <c r="Y425" s="36"/>
      <c r="Z425" s="36"/>
    </row>
    <row r="426" ht="15.75" customHeight="1">
      <c r="A426" s="36"/>
      <c r="B426" s="36"/>
      <c r="C426" s="37"/>
      <c r="D426" s="37"/>
      <c r="E426" s="36"/>
      <c r="F426" s="36"/>
      <c r="G426" s="37"/>
      <c r="I426" s="37"/>
      <c r="J426" s="36"/>
      <c r="K426" s="36"/>
      <c r="L426" s="36"/>
      <c r="M426" s="36"/>
      <c r="N426" s="36"/>
      <c r="O426" s="36"/>
      <c r="P426" s="36"/>
      <c r="Q426" s="36"/>
      <c r="R426" s="36"/>
      <c r="S426" s="36"/>
      <c r="T426" s="36"/>
      <c r="U426" s="36"/>
      <c r="V426" s="36"/>
      <c r="W426" s="36"/>
      <c r="X426" s="36"/>
      <c r="Y426" s="36"/>
      <c r="Z426" s="36"/>
    </row>
    <row r="427" ht="15.75" customHeight="1">
      <c r="A427" s="36"/>
      <c r="B427" s="36"/>
      <c r="C427" s="37"/>
      <c r="D427" s="37"/>
      <c r="E427" s="36"/>
      <c r="F427" s="36"/>
      <c r="G427" s="37"/>
      <c r="I427" s="37"/>
      <c r="J427" s="36"/>
      <c r="K427" s="36"/>
      <c r="L427" s="36"/>
      <c r="M427" s="36"/>
      <c r="N427" s="36"/>
      <c r="O427" s="36"/>
      <c r="P427" s="36"/>
      <c r="Q427" s="36"/>
      <c r="R427" s="36"/>
      <c r="S427" s="36"/>
      <c r="T427" s="36"/>
      <c r="U427" s="36"/>
      <c r="V427" s="36"/>
      <c r="W427" s="36"/>
      <c r="X427" s="36"/>
      <c r="Y427" s="36"/>
      <c r="Z427" s="36"/>
    </row>
    <row r="428" ht="15.75" customHeight="1">
      <c r="A428" s="36"/>
      <c r="B428" s="36"/>
      <c r="C428" s="37"/>
      <c r="D428" s="37"/>
      <c r="E428" s="36"/>
      <c r="F428" s="36"/>
      <c r="G428" s="37"/>
      <c r="I428" s="37"/>
      <c r="J428" s="36"/>
      <c r="K428" s="36"/>
      <c r="L428" s="36"/>
      <c r="M428" s="36"/>
      <c r="N428" s="36"/>
      <c r="O428" s="36"/>
      <c r="P428" s="36"/>
      <c r="Q428" s="36"/>
      <c r="R428" s="36"/>
      <c r="S428" s="36"/>
      <c r="T428" s="36"/>
      <c r="U428" s="36"/>
      <c r="V428" s="36"/>
      <c r="W428" s="36"/>
      <c r="X428" s="36"/>
      <c r="Y428" s="36"/>
      <c r="Z428" s="36"/>
    </row>
    <row r="429" ht="15.75" customHeight="1">
      <c r="A429" s="36"/>
      <c r="B429" s="36"/>
      <c r="C429" s="37"/>
      <c r="D429" s="37"/>
      <c r="E429" s="36"/>
      <c r="F429" s="36"/>
      <c r="G429" s="37"/>
      <c r="I429" s="37"/>
      <c r="J429" s="36"/>
      <c r="K429" s="36"/>
      <c r="L429" s="36"/>
      <c r="M429" s="36"/>
      <c r="N429" s="36"/>
      <c r="O429" s="36"/>
      <c r="P429" s="36"/>
      <c r="Q429" s="36"/>
      <c r="R429" s="36"/>
      <c r="S429" s="36"/>
      <c r="T429" s="36"/>
      <c r="U429" s="36"/>
      <c r="V429" s="36"/>
      <c r="W429" s="36"/>
      <c r="X429" s="36"/>
      <c r="Y429" s="36"/>
      <c r="Z429" s="36"/>
    </row>
    <row r="430" ht="15.75" customHeight="1">
      <c r="A430" s="36"/>
      <c r="B430" s="36"/>
      <c r="C430" s="37"/>
      <c r="D430" s="37"/>
      <c r="E430" s="36"/>
      <c r="F430" s="36"/>
      <c r="G430" s="37"/>
      <c r="I430" s="37"/>
      <c r="J430" s="36"/>
      <c r="K430" s="36"/>
      <c r="L430" s="36"/>
      <c r="M430" s="36"/>
      <c r="N430" s="36"/>
      <c r="O430" s="36"/>
      <c r="P430" s="36"/>
      <c r="Q430" s="36"/>
      <c r="R430" s="36"/>
      <c r="S430" s="36"/>
      <c r="T430" s="36"/>
      <c r="U430" s="36"/>
      <c r="V430" s="36"/>
      <c r="W430" s="36"/>
      <c r="X430" s="36"/>
      <c r="Y430" s="36"/>
      <c r="Z430" s="36"/>
    </row>
    <row r="431" ht="15.75" customHeight="1">
      <c r="A431" s="36"/>
      <c r="B431" s="36"/>
      <c r="C431" s="37"/>
      <c r="D431" s="37"/>
      <c r="E431" s="36"/>
      <c r="F431" s="36"/>
      <c r="G431" s="37"/>
      <c r="I431" s="37"/>
      <c r="J431" s="36"/>
      <c r="K431" s="36"/>
      <c r="L431" s="36"/>
      <c r="M431" s="36"/>
      <c r="N431" s="36"/>
      <c r="O431" s="36"/>
      <c r="P431" s="36"/>
      <c r="Q431" s="36"/>
      <c r="R431" s="36"/>
      <c r="S431" s="36"/>
      <c r="T431" s="36"/>
      <c r="U431" s="36"/>
      <c r="V431" s="36"/>
      <c r="W431" s="36"/>
      <c r="X431" s="36"/>
      <c r="Y431" s="36"/>
      <c r="Z431" s="36"/>
    </row>
    <row r="432" ht="15.75" customHeight="1">
      <c r="A432" s="36"/>
      <c r="B432" s="36"/>
      <c r="C432" s="37"/>
      <c r="D432" s="37"/>
      <c r="E432" s="36"/>
      <c r="F432" s="36"/>
      <c r="G432" s="37"/>
      <c r="I432" s="37"/>
      <c r="J432" s="36"/>
      <c r="K432" s="36"/>
      <c r="L432" s="36"/>
      <c r="M432" s="36"/>
      <c r="N432" s="36"/>
      <c r="O432" s="36"/>
      <c r="P432" s="36"/>
      <c r="Q432" s="36"/>
      <c r="R432" s="36"/>
      <c r="S432" s="36"/>
      <c r="T432" s="36"/>
      <c r="U432" s="36"/>
      <c r="V432" s="36"/>
      <c r="W432" s="36"/>
      <c r="X432" s="36"/>
      <c r="Y432" s="36"/>
      <c r="Z432" s="36"/>
    </row>
    <row r="433" ht="15.75" customHeight="1">
      <c r="A433" s="36"/>
      <c r="B433" s="36"/>
      <c r="C433" s="37"/>
      <c r="D433" s="37"/>
      <c r="E433" s="36"/>
      <c r="F433" s="36"/>
      <c r="G433" s="37"/>
      <c r="I433" s="37"/>
      <c r="J433" s="36"/>
      <c r="K433" s="36"/>
      <c r="L433" s="36"/>
      <c r="M433" s="36"/>
      <c r="N433" s="36"/>
      <c r="O433" s="36"/>
      <c r="P433" s="36"/>
      <c r="Q433" s="36"/>
      <c r="R433" s="36"/>
      <c r="S433" s="36"/>
      <c r="T433" s="36"/>
      <c r="U433" s="36"/>
      <c r="V433" s="36"/>
      <c r="W433" s="36"/>
      <c r="X433" s="36"/>
      <c r="Y433" s="36"/>
      <c r="Z433" s="36"/>
    </row>
    <row r="434" ht="15.75" customHeight="1">
      <c r="A434" s="36"/>
      <c r="B434" s="36"/>
      <c r="C434" s="37"/>
      <c r="D434" s="37"/>
      <c r="E434" s="36"/>
      <c r="F434" s="36"/>
      <c r="G434" s="37"/>
      <c r="I434" s="37"/>
      <c r="J434" s="36"/>
      <c r="K434" s="36"/>
      <c r="L434" s="36"/>
      <c r="M434" s="36"/>
      <c r="N434" s="36"/>
      <c r="O434" s="36"/>
      <c r="P434" s="36"/>
      <c r="Q434" s="36"/>
      <c r="R434" s="36"/>
      <c r="S434" s="36"/>
      <c r="T434" s="36"/>
      <c r="U434" s="36"/>
      <c r="V434" s="36"/>
      <c r="W434" s="36"/>
      <c r="X434" s="36"/>
      <c r="Y434" s="36"/>
      <c r="Z434" s="36"/>
    </row>
    <row r="435" ht="15.75" customHeight="1">
      <c r="A435" s="36"/>
      <c r="B435" s="36"/>
      <c r="C435" s="37"/>
      <c r="D435" s="37"/>
      <c r="E435" s="36"/>
      <c r="F435" s="36"/>
      <c r="G435" s="37"/>
      <c r="I435" s="37"/>
      <c r="J435" s="36"/>
      <c r="K435" s="36"/>
      <c r="L435" s="36"/>
      <c r="M435" s="36"/>
      <c r="N435" s="36"/>
      <c r="O435" s="36"/>
      <c r="P435" s="36"/>
      <c r="Q435" s="36"/>
      <c r="R435" s="36"/>
      <c r="S435" s="36"/>
      <c r="T435" s="36"/>
      <c r="U435" s="36"/>
      <c r="V435" s="36"/>
      <c r="W435" s="36"/>
      <c r="X435" s="36"/>
      <c r="Y435" s="36"/>
      <c r="Z435" s="36"/>
    </row>
    <row r="436" ht="15.75" customHeight="1">
      <c r="A436" s="36"/>
      <c r="B436" s="36"/>
      <c r="C436" s="37"/>
      <c r="D436" s="37"/>
      <c r="E436" s="36"/>
      <c r="F436" s="36"/>
      <c r="G436" s="37"/>
      <c r="I436" s="37"/>
      <c r="J436" s="36"/>
      <c r="K436" s="36"/>
      <c r="L436" s="36"/>
      <c r="M436" s="36"/>
      <c r="N436" s="36"/>
      <c r="O436" s="36"/>
      <c r="P436" s="36"/>
      <c r="Q436" s="36"/>
      <c r="R436" s="36"/>
      <c r="S436" s="36"/>
      <c r="T436" s="36"/>
      <c r="U436" s="36"/>
      <c r="V436" s="36"/>
      <c r="W436" s="36"/>
      <c r="X436" s="36"/>
      <c r="Y436" s="36"/>
      <c r="Z436" s="36"/>
    </row>
    <row r="437" ht="15.75" customHeight="1">
      <c r="A437" s="36"/>
      <c r="B437" s="36"/>
      <c r="C437" s="37"/>
      <c r="D437" s="37"/>
      <c r="E437" s="36"/>
      <c r="F437" s="36"/>
      <c r="G437" s="37"/>
      <c r="I437" s="37"/>
      <c r="J437" s="36"/>
      <c r="K437" s="36"/>
      <c r="L437" s="36"/>
      <c r="M437" s="36"/>
      <c r="N437" s="36"/>
      <c r="O437" s="36"/>
      <c r="P437" s="36"/>
      <c r="Q437" s="36"/>
      <c r="R437" s="36"/>
      <c r="S437" s="36"/>
      <c r="T437" s="36"/>
      <c r="U437" s="36"/>
      <c r="V437" s="36"/>
      <c r="W437" s="36"/>
      <c r="X437" s="36"/>
      <c r="Y437" s="36"/>
      <c r="Z437" s="36"/>
    </row>
    <row r="438" ht="15.75" customHeight="1">
      <c r="A438" s="36"/>
      <c r="B438" s="36"/>
      <c r="C438" s="37"/>
      <c r="D438" s="37"/>
      <c r="E438" s="36"/>
      <c r="F438" s="36"/>
      <c r="G438" s="37"/>
      <c r="I438" s="37"/>
      <c r="J438" s="36"/>
      <c r="K438" s="36"/>
      <c r="L438" s="36"/>
      <c r="M438" s="36"/>
      <c r="N438" s="36"/>
      <c r="O438" s="36"/>
      <c r="P438" s="36"/>
      <c r="Q438" s="36"/>
      <c r="R438" s="36"/>
      <c r="S438" s="36"/>
      <c r="T438" s="36"/>
      <c r="U438" s="36"/>
      <c r="V438" s="36"/>
      <c r="W438" s="36"/>
      <c r="X438" s="36"/>
      <c r="Y438" s="36"/>
      <c r="Z438" s="36"/>
    </row>
    <row r="439" ht="15.75" customHeight="1">
      <c r="A439" s="36"/>
      <c r="B439" s="36"/>
      <c r="C439" s="37"/>
      <c r="D439" s="37"/>
      <c r="E439" s="36"/>
      <c r="F439" s="36"/>
      <c r="G439" s="37"/>
      <c r="I439" s="37"/>
      <c r="J439" s="36"/>
      <c r="K439" s="36"/>
      <c r="L439" s="36"/>
      <c r="M439" s="36"/>
      <c r="N439" s="36"/>
      <c r="O439" s="36"/>
      <c r="P439" s="36"/>
      <c r="Q439" s="36"/>
      <c r="R439" s="36"/>
      <c r="S439" s="36"/>
      <c r="T439" s="36"/>
      <c r="U439" s="36"/>
      <c r="V439" s="36"/>
      <c r="W439" s="36"/>
      <c r="X439" s="36"/>
      <c r="Y439" s="36"/>
      <c r="Z439" s="36"/>
    </row>
    <row r="440" ht="15.75" customHeight="1">
      <c r="A440" s="36"/>
      <c r="B440" s="36"/>
      <c r="C440" s="37"/>
      <c r="D440" s="37"/>
      <c r="E440" s="36"/>
      <c r="F440" s="36"/>
      <c r="G440" s="37"/>
      <c r="I440" s="37"/>
      <c r="J440" s="36"/>
      <c r="K440" s="36"/>
      <c r="L440" s="36"/>
      <c r="M440" s="36"/>
      <c r="N440" s="36"/>
      <c r="O440" s="36"/>
      <c r="P440" s="36"/>
      <c r="Q440" s="36"/>
      <c r="R440" s="36"/>
      <c r="S440" s="36"/>
      <c r="T440" s="36"/>
      <c r="U440" s="36"/>
      <c r="V440" s="36"/>
      <c r="W440" s="36"/>
      <c r="X440" s="36"/>
      <c r="Y440" s="36"/>
      <c r="Z440" s="36"/>
    </row>
    <row r="441" ht="15.75" customHeight="1">
      <c r="A441" s="36"/>
      <c r="B441" s="36"/>
      <c r="C441" s="37"/>
      <c r="D441" s="37"/>
      <c r="E441" s="36"/>
      <c r="F441" s="36"/>
      <c r="G441" s="37"/>
      <c r="I441" s="37"/>
      <c r="J441" s="36"/>
      <c r="K441" s="36"/>
      <c r="L441" s="36"/>
      <c r="M441" s="36"/>
      <c r="N441" s="36"/>
      <c r="O441" s="36"/>
      <c r="P441" s="36"/>
      <c r="Q441" s="36"/>
      <c r="R441" s="36"/>
      <c r="S441" s="36"/>
      <c r="T441" s="36"/>
      <c r="U441" s="36"/>
      <c r="V441" s="36"/>
      <c r="W441" s="36"/>
      <c r="X441" s="36"/>
      <c r="Y441" s="36"/>
      <c r="Z441" s="36"/>
    </row>
    <row r="442" ht="15.75" customHeight="1">
      <c r="A442" s="36"/>
      <c r="B442" s="36"/>
      <c r="C442" s="37"/>
      <c r="D442" s="37"/>
      <c r="E442" s="36"/>
      <c r="F442" s="36"/>
      <c r="G442" s="37"/>
      <c r="I442" s="37"/>
      <c r="J442" s="36"/>
      <c r="K442" s="36"/>
      <c r="L442" s="36"/>
      <c r="M442" s="36"/>
      <c r="N442" s="36"/>
      <c r="O442" s="36"/>
      <c r="P442" s="36"/>
      <c r="Q442" s="36"/>
      <c r="R442" s="36"/>
      <c r="S442" s="36"/>
      <c r="T442" s="36"/>
      <c r="U442" s="36"/>
      <c r="V442" s="36"/>
      <c r="W442" s="36"/>
      <c r="X442" s="36"/>
      <c r="Y442" s="36"/>
      <c r="Z442" s="36"/>
    </row>
    <row r="443" ht="15.75" customHeight="1">
      <c r="A443" s="36"/>
      <c r="B443" s="36"/>
      <c r="C443" s="37"/>
      <c r="D443" s="37"/>
      <c r="E443" s="36"/>
      <c r="F443" s="36"/>
      <c r="G443" s="37"/>
      <c r="I443" s="37"/>
      <c r="J443" s="36"/>
      <c r="K443" s="36"/>
      <c r="L443" s="36"/>
      <c r="M443" s="36"/>
      <c r="N443" s="36"/>
      <c r="O443" s="36"/>
      <c r="P443" s="36"/>
      <c r="Q443" s="36"/>
      <c r="R443" s="36"/>
      <c r="S443" s="36"/>
      <c r="T443" s="36"/>
      <c r="U443" s="36"/>
      <c r="V443" s="36"/>
      <c r="W443" s="36"/>
      <c r="X443" s="36"/>
      <c r="Y443" s="36"/>
      <c r="Z443" s="36"/>
    </row>
    <row r="444" ht="15.75" customHeight="1">
      <c r="A444" s="36"/>
      <c r="B444" s="36"/>
      <c r="C444" s="37"/>
      <c r="D444" s="37"/>
      <c r="E444" s="36"/>
      <c r="F444" s="36"/>
      <c r="G444" s="37"/>
      <c r="I444" s="37"/>
      <c r="J444" s="36"/>
      <c r="K444" s="36"/>
      <c r="L444" s="36"/>
      <c r="M444" s="36"/>
      <c r="N444" s="36"/>
      <c r="O444" s="36"/>
      <c r="P444" s="36"/>
      <c r="Q444" s="36"/>
      <c r="R444" s="36"/>
      <c r="S444" s="36"/>
      <c r="T444" s="36"/>
      <c r="U444" s="36"/>
      <c r="V444" s="36"/>
      <c r="W444" s="36"/>
      <c r="X444" s="36"/>
      <c r="Y444" s="36"/>
      <c r="Z444" s="36"/>
    </row>
    <row r="445" ht="15.75" customHeight="1">
      <c r="A445" s="36"/>
      <c r="B445" s="36"/>
      <c r="C445" s="37"/>
      <c r="D445" s="37"/>
      <c r="E445" s="36"/>
      <c r="F445" s="36"/>
      <c r="G445" s="37"/>
      <c r="I445" s="37"/>
      <c r="J445" s="36"/>
      <c r="K445" s="36"/>
      <c r="L445" s="36"/>
      <c r="M445" s="36"/>
      <c r="N445" s="36"/>
      <c r="O445" s="36"/>
      <c r="P445" s="36"/>
      <c r="Q445" s="36"/>
      <c r="R445" s="36"/>
      <c r="S445" s="36"/>
      <c r="T445" s="36"/>
      <c r="U445" s="36"/>
      <c r="V445" s="36"/>
      <c r="W445" s="36"/>
      <c r="X445" s="36"/>
      <c r="Y445" s="36"/>
      <c r="Z445" s="36"/>
    </row>
    <row r="446" ht="15.75" customHeight="1">
      <c r="A446" s="36"/>
      <c r="B446" s="36"/>
      <c r="C446" s="37"/>
      <c r="D446" s="37"/>
      <c r="E446" s="36"/>
      <c r="F446" s="36"/>
      <c r="G446" s="37"/>
      <c r="I446" s="37"/>
      <c r="J446" s="36"/>
      <c r="K446" s="36"/>
      <c r="L446" s="36"/>
      <c r="M446" s="36"/>
      <c r="N446" s="36"/>
      <c r="O446" s="36"/>
      <c r="P446" s="36"/>
      <c r="Q446" s="36"/>
      <c r="R446" s="36"/>
      <c r="S446" s="36"/>
      <c r="T446" s="36"/>
      <c r="U446" s="36"/>
      <c r="V446" s="36"/>
      <c r="W446" s="36"/>
      <c r="X446" s="36"/>
      <c r="Y446" s="36"/>
      <c r="Z446" s="36"/>
    </row>
    <row r="447" ht="15.75" customHeight="1">
      <c r="A447" s="36"/>
      <c r="B447" s="36"/>
      <c r="C447" s="37"/>
      <c r="D447" s="37"/>
      <c r="E447" s="36"/>
      <c r="F447" s="36"/>
      <c r="G447" s="37"/>
      <c r="I447" s="37"/>
      <c r="J447" s="36"/>
      <c r="K447" s="36"/>
      <c r="L447" s="36"/>
      <c r="M447" s="36"/>
      <c r="N447" s="36"/>
      <c r="O447" s="36"/>
      <c r="P447" s="36"/>
      <c r="Q447" s="36"/>
      <c r="R447" s="36"/>
      <c r="S447" s="36"/>
      <c r="T447" s="36"/>
      <c r="U447" s="36"/>
      <c r="V447" s="36"/>
      <c r="W447" s="36"/>
      <c r="X447" s="36"/>
      <c r="Y447" s="36"/>
      <c r="Z447" s="36"/>
    </row>
    <row r="448" ht="15.75" customHeight="1">
      <c r="A448" s="36"/>
      <c r="B448" s="36"/>
      <c r="C448" s="37"/>
      <c r="D448" s="37"/>
      <c r="E448" s="36"/>
      <c r="F448" s="36"/>
      <c r="G448" s="37"/>
      <c r="I448" s="37"/>
      <c r="J448" s="36"/>
      <c r="K448" s="36"/>
      <c r="L448" s="36"/>
      <c r="M448" s="36"/>
      <c r="N448" s="36"/>
      <c r="O448" s="36"/>
      <c r="P448" s="36"/>
      <c r="Q448" s="36"/>
      <c r="R448" s="36"/>
      <c r="S448" s="36"/>
      <c r="T448" s="36"/>
      <c r="U448" s="36"/>
      <c r="V448" s="36"/>
      <c r="W448" s="36"/>
      <c r="X448" s="36"/>
      <c r="Y448" s="36"/>
      <c r="Z448" s="36"/>
    </row>
    <row r="449" ht="15.75" customHeight="1">
      <c r="A449" s="36"/>
      <c r="B449" s="36"/>
      <c r="C449" s="37"/>
      <c r="D449" s="37"/>
      <c r="E449" s="36"/>
      <c r="F449" s="36"/>
      <c r="G449" s="37"/>
      <c r="I449" s="37"/>
      <c r="J449" s="36"/>
      <c r="K449" s="36"/>
      <c r="L449" s="36"/>
      <c r="M449" s="36"/>
      <c r="N449" s="36"/>
      <c r="O449" s="36"/>
      <c r="P449" s="36"/>
      <c r="Q449" s="36"/>
      <c r="R449" s="36"/>
      <c r="S449" s="36"/>
      <c r="T449" s="36"/>
      <c r="U449" s="36"/>
      <c r="V449" s="36"/>
      <c r="W449" s="36"/>
      <c r="X449" s="36"/>
      <c r="Y449" s="36"/>
      <c r="Z449" s="36"/>
    </row>
    <row r="450" ht="15.75" customHeight="1">
      <c r="A450" s="36"/>
      <c r="B450" s="36"/>
      <c r="C450" s="37"/>
      <c r="D450" s="37"/>
      <c r="E450" s="36"/>
      <c r="F450" s="36"/>
      <c r="G450" s="37"/>
      <c r="I450" s="37"/>
      <c r="J450" s="36"/>
      <c r="K450" s="36"/>
      <c r="L450" s="36"/>
      <c r="M450" s="36"/>
      <c r="N450" s="36"/>
      <c r="O450" s="36"/>
      <c r="P450" s="36"/>
      <c r="Q450" s="36"/>
      <c r="R450" s="36"/>
      <c r="S450" s="36"/>
      <c r="T450" s="36"/>
      <c r="U450" s="36"/>
      <c r="V450" s="36"/>
      <c r="W450" s="36"/>
      <c r="X450" s="36"/>
      <c r="Y450" s="36"/>
      <c r="Z450" s="36"/>
    </row>
    <row r="451" ht="15.75" customHeight="1">
      <c r="A451" s="36"/>
      <c r="B451" s="36"/>
      <c r="C451" s="37"/>
      <c r="D451" s="37"/>
      <c r="E451" s="36"/>
      <c r="F451" s="36"/>
      <c r="G451" s="37"/>
      <c r="I451" s="37"/>
      <c r="J451" s="36"/>
      <c r="K451" s="36"/>
      <c r="L451" s="36"/>
      <c r="M451" s="36"/>
      <c r="N451" s="36"/>
      <c r="O451" s="36"/>
      <c r="P451" s="36"/>
      <c r="Q451" s="36"/>
      <c r="R451" s="36"/>
      <c r="S451" s="36"/>
      <c r="T451" s="36"/>
      <c r="U451" s="36"/>
      <c r="V451" s="36"/>
      <c r="W451" s="36"/>
      <c r="X451" s="36"/>
      <c r="Y451" s="36"/>
      <c r="Z451" s="36"/>
    </row>
    <row r="452" ht="15.75" customHeight="1">
      <c r="A452" s="36"/>
      <c r="B452" s="36"/>
      <c r="C452" s="37"/>
      <c r="D452" s="37"/>
      <c r="E452" s="36"/>
      <c r="F452" s="36"/>
      <c r="G452" s="37"/>
      <c r="I452" s="37"/>
      <c r="J452" s="36"/>
      <c r="K452" s="36"/>
      <c r="L452" s="36"/>
      <c r="M452" s="36"/>
      <c r="N452" s="36"/>
      <c r="O452" s="36"/>
      <c r="P452" s="36"/>
      <c r="Q452" s="36"/>
      <c r="R452" s="36"/>
      <c r="S452" s="36"/>
      <c r="T452" s="36"/>
      <c r="U452" s="36"/>
      <c r="V452" s="36"/>
      <c r="W452" s="36"/>
      <c r="X452" s="36"/>
      <c r="Y452" s="36"/>
      <c r="Z452" s="36"/>
    </row>
    <row r="453" ht="15.75" customHeight="1">
      <c r="A453" s="36"/>
      <c r="B453" s="36"/>
      <c r="C453" s="37"/>
      <c r="D453" s="37"/>
      <c r="E453" s="36"/>
      <c r="F453" s="36"/>
      <c r="G453" s="37"/>
      <c r="I453" s="37"/>
      <c r="J453" s="36"/>
      <c r="K453" s="36"/>
      <c r="L453" s="36"/>
      <c r="M453" s="36"/>
      <c r="N453" s="36"/>
      <c r="O453" s="36"/>
      <c r="P453" s="36"/>
      <c r="Q453" s="36"/>
      <c r="R453" s="36"/>
      <c r="S453" s="36"/>
      <c r="T453" s="36"/>
      <c r="U453" s="36"/>
      <c r="V453" s="36"/>
      <c r="W453" s="36"/>
      <c r="X453" s="36"/>
      <c r="Y453" s="36"/>
      <c r="Z453" s="36"/>
    </row>
    <row r="454" ht="15.75" customHeight="1">
      <c r="A454" s="36"/>
      <c r="B454" s="36"/>
      <c r="C454" s="37"/>
      <c r="D454" s="37"/>
      <c r="E454" s="36"/>
      <c r="F454" s="36"/>
      <c r="G454" s="37"/>
      <c r="I454" s="37"/>
      <c r="J454" s="36"/>
      <c r="K454" s="36"/>
      <c r="L454" s="36"/>
      <c r="M454" s="36"/>
      <c r="N454" s="36"/>
      <c r="O454" s="36"/>
      <c r="P454" s="36"/>
      <c r="Q454" s="36"/>
      <c r="R454" s="36"/>
      <c r="S454" s="36"/>
      <c r="T454" s="36"/>
      <c r="U454" s="36"/>
      <c r="V454" s="36"/>
      <c r="W454" s="36"/>
      <c r="X454" s="36"/>
      <c r="Y454" s="36"/>
      <c r="Z454" s="36"/>
    </row>
    <row r="455" ht="15.75" customHeight="1">
      <c r="A455" s="36"/>
      <c r="B455" s="36"/>
      <c r="C455" s="37"/>
      <c r="D455" s="37"/>
      <c r="E455" s="36"/>
      <c r="F455" s="36"/>
      <c r="G455" s="37"/>
      <c r="I455" s="37"/>
      <c r="J455" s="36"/>
      <c r="K455" s="36"/>
      <c r="L455" s="36"/>
      <c r="M455" s="36"/>
      <c r="N455" s="36"/>
      <c r="O455" s="36"/>
      <c r="P455" s="36"/>
      <c r="Q455" s="36"/>
      <c r="R455" s="36"/>
      <c r="S455" s="36"/>
      <c r="T455" s="36"/>
      <c r="U455" s="36"/>
      <c r="V455" s="36"/>
      <c r="W455" s="36"/>
      <c r="X455" s="36"/>
      <c r="Y455" s="36"/>
      <c r="Z455" s="36"/>
    </row>
    <row r="456" ht="15.75" customHeight="1">
      <c r="A456" s="36"/>
      <c r="B456" s="36"/>
      <c r="C456" s="37"/>
      <c r="D456" s="37"/>
      <c r="E456" s="36"/>
      <c r="F456" s="36"/>
      <c r="G456" s="37"/>
      <c r="I456" s="37"/>
      <c r="J456" s="36"/>
      <c r="K456" s="36"/>
      <c r="L456" s="36"/>
      <c r="M456" s="36"/>
      <c r="N456" s="36"/>
      <c r="O456" s="36"/>
      <c r="P456" s="36"/>
      <c r="Q456" s="36"/>
      <c r="R456" s="36"/>
      <c r="S456" s="36"/>
      <c r="T456" s="36"/>
      <c r="U456" s="36"/>
      <c r="V456" s="36"/>
      <c r="W456" s="36"/>
      <c r="X456" s="36"/>
      <c r="Y456" s="36"/>
      <c r="Z456" s="36"/>
    </row>
    <row r="457" ht="15.75" customHeight="1">
      <c r="A457" s="36"/>
      <c r="B457" s="36"/>
      <c r="C457" s="37"/>
      <c r="D457" s="37"/>
      <c r="E457" s="36"/>
      <c r="F457" s="36"/>
      <c r="G457" s="37"/>
      <c r="I457" s="37"/>
      <c r="J457" s="36"/>
      <c r="K457" s="36"/>
      <c r="L457" s="36"/>
      <c r="M457" s="36"/>
      <c r="N457" s="36"/>
      <c r="O457" s="36"/>
      <c r="P457" s="36"/>
      <c r="Q457" s="36"/>
      <c r="R457" s="36"/>
      <c r="S457" s="36"/>
      <c r="T457" s="36"/>
      <c r="U457" s="36"/>
      <c r="V457" s="36"/>
      <c r="W457" s="36"/>
      <c r="X457" s="36"/>
      <c r="Y457" s="36"/>
      <c r="Z457" s="36"/>
    </row>
    <row r="458" ht="15.75" customHeight="1">
      <c r="A458" s="36"/>
      <c r="B458" s="36"/>
      <c r="C458" s="37"/>
      <c r="D458" s="37"/>
      <c r="E458" s="36"/>
      <c r="F458" s="36"/>
      <c r="G458" s="37"/>
      <c r="I458" s="37"/>
      <c r="J458" s="36"/>
      <c r="K458" s="36"/>
      <c r="L458" s="36"/>
      <c r="M458" s="36"/>
      <c r="N458" s="36"/>
      <c r="O458" s="36"/>
      <c r="P458" s="36"/>
      <c r="Q458" s="36"/>
      <c r="R458" s="36"/>
      <c r="S458" s="36"/>
      <c r="T458" s="36"/>
      <c r="U458" s="36"/>
      <c r="V458" s="36"/>
      <c r="W458" s="36"/>
      <c r="X458" s="36"/>
      <c r="Y458" s="36"/>
      <c r="Z458" s="36"/>
    </row>
    <row r="459" ht="15.75" customHeight="1">
      <c r="A459" s="36"/>
      <c r="B459" s="36"/>
      <c r="C459" s="37"/>
      <c r="D459" s="37"/>
      <c r="E459" s="36"/>
      <c r="F459" s="36"/>
      <c r="G459" s="37"/>
      <c r="I459" s="37"/>
      <c r="J459" s="36"/>
      <c r="K459" s="36"/>
      <c r="L459" s="36"/>
      <c r="M459" s="36"/>
      <c r="N459" s="36"/>
      <c r="O459" s="36"/>
      <c r="P459" s="36"/>
      <c r="Q459" s="36"/>
      <c r="R459" s="36"/>
      <c r="S459" s="36"/>
      <c r="T459" s="36"/>
      <c r="U459" s="36"/>
      <c r="V459" s="36"/>
      <c r="W459" s="36"/>
      <c r="X459" s="36"/>
      <c r="Y459" s="36"/>
      <c r="Z459" s="36"/>
    </row>
    <row r="460" ht="15.75" customHeight="1">
      <c r="A460" s="36"/>
      <c r="B460" s="36"/>
      <c r="C460" s="37"/>
      <c r="D460" s="37"/>
      <c r="E460" s="36"/>
      <c r="F460" s="36"/>
      <c r="G460" s="37"/>
      <c r="I460" s="37"/>
      <c r="J460" s="36"/>
      <c r="K460" s="36"/>
      <c r="L460" s="36"/>
      <c r="M460" s="36"/>
      <c r="N460" s="36"/>
      <c r="O460" s="36"/>
      <c r="P460" s="36"/>
      <c r="Q460" s="36"/>
      <c r="R460" s="36"/>
      <c r="S460" s="36"/>
      <c r="T460" s="36"/>
      <c r="U460" s="36"/>
      <c r="V460" s="36"/>
      <c r="W460" s="36"/>
      <c r="X460" s="36"/>
      <c r="Y460" s="36"/>
      <c r="Z460" s="36"/>
    </row>
    <row r="461" ht="15.75" customHeight="1">
      <c r="A461" s="36"/>
      <c r="B461" s="36"/>
      <c r="C461" s="37"/>
      <c r="D461" s="37"/>
      <c r="E461" s="36"/>
      <c r="F461" s="36"/>
      <c r="G461" s="37"/>
      <c r="I461" s="37"/>
      <c r="J461" s="36"/>
      <c r="K461" s="36"/>
      <c r="L461" s="36"/>
      <c r="M461" s="36"/>
      <c r="N461" s="36"/>
      <c r="O461" s="36"/>
      <c r="P461" s="36"/>
      <c r="Q461" s="36"/>
      <c r="R461" s="36"/>
      <c r="S461" s="36"/>
      <c r="T461" s="36"/>
      <c r="U461" s="36"/>
      <c r="V461" s="36"/>
      <c r="W461" s="36"/>
      <c r="X461" s="36"/>
      <c r="Y461" s="36"/>
      <c r="Z461" s="36"/>
    </row>
    <row r="462" ht="15.75" customHeight="1">
      <c r="A462" s="36"/>
      <c r="B462" s="36"/>
      <c r="C462" s="37"/>
      <c r="D462" s="37"/>
      <c r="E462" s="36"/>
      <c r="F462" s="36"/>
      <c r="G462" s="37"/>
      <c r="I462" s="37"/>
      <c r="J462" s="36"/>
      <c r="K462" s="36"/>
      <c r="L462" s="36"/>
      <c r="M462" s="36"/>
      <c r="N462" s="36"/>
      <c r="O462" s="36"/>
      <c r="P462" s="36"/>
      <c r="Q462" s="36"/>
      <c r="R462" s="36"/>
      <c r="S462" s="36"/>
      <c r="T462" s="36"/>
      <c r="U462" s="36"/>
      <c r="V462" s="36"/>
      <c r="W462" s="36"/>
      <c r="X462" s="36"/>
      <c r="Y462" s="36"/>
      <c r="Z462" s="36"/>
    </row>
    <row r="463" ht="15.75" customHeight="1">
      <c r="A463" s="36"/>
      <c r="B463" s="36"/>
      <c r="C463" s="37"/>
      <c r="D463" s="37"/>
      <c r="E463" s="36"/>
      <c r="F463" s="36"/>
      <c r="G463" s="37"/>
      <c r="I463" s="37"/>
      <c r="J463" s="36"/>
      <c r="K463" s="36"/>
      <c r="L463" s="36"/>
      <c r="M463" s="36"/>
      <c r="N463" s="36"/>
      <c r="O463" s="36"/>
      <c r="P463" s="36"/>
      <c r="Q463" s="36"/>
      <c r="R463" s="36"/>
      <c r="S463" s="36"/>
      <c r="T463" s="36"/>
      <c r="U463" s="36"/>
      <c r="V463" s="36"/>
      <c r="W463" s="36"/>
      <c r="X463" s="36"/>
      <c r="Y463" s="36"/>
      <c r="Z463" s="36"/>
    </row>
    <row r="464" ht="15.75" customHeight="1">
      <c r="A464" s="36"/>
      <c r="B464" s="36"/>
      <c r="C464" s="37"/>
      <c r="D464" s="37"/>
      <c r="E464" s="36"/>
      <c r="F464" s="36"/>
      <c r="G464" s="37"/>
      <c r="I464" s="37"/>
      <c r="J464" s="36"/>
      <c r="K464" s="36"/>
      <c r="L464" s="36"/>
      <c r="M464" s="36"/>
      <c r="N464" s="36"/>
      <c r="O464" s="36"/>
      <c r="P464" s="36"/>
      <c r="Q464" s="36"/>
      <c r="R464" s="36"/>
      <c r="S464" s="36"/>
      <c r="T464" s="36"/>
      <c r="U464" s="36"/>
      <c r="V464" s="36"/>
      <c r="W464" s="36"/>
      <c r="X464" s="36"/>
      <c r="Y464" s="36"/>
      <c r="Z464" s="36"/>
    </row>
    <row r="465" ht="15.75" customHeight="1">
      <c r="A465" s="36"/>
      <c r="B465" s="36"/>
      <c r="C465" s="37"/>
      <c r="D465" s="37"/>
      <c r="E465" s="36"/>
      <c r="F465" s="36"/>
      <c r="G465" s="37"/>
      <c r="I465" s="37"/>
      <c r="J465" s="36"/>
      <c r="K465" s="36"/>
      <c r="L465" s="36"/>
      <c r="M465" s="36"/>
      <c r="N465" s="36"/>
      <c r="O465" s="36"/>
      <c r="P465" s="36"/>
      <c r="Q465" s="36"/>
      <c r="R465" s="36"/>
      <c r="S465" s="36"/>
      <c r="T465" s="36"/>
      <c r="U465" s="36"/>
      <c r="V465" s="36"/>
      <c r="W465" s="36"/>
      <c r="X465" s="36"/>
      <c r="Y465" s="36"/>
      <c r="Z465" s="36"/>
    </row>
    <row r="466" ht="15.75" customHeight="1">
      <c r="A466" s="36"/>
      <c r="B466" s="36"/>
      <c r="C466" s="37"/>
      <c r="D466" s="37"/>
      <c r="E466" s="36"/>
      <c r="F466" s="36"/>
      <c r="G466" s="37"/>
      <c r="I466" s="37"/>
      <c r="J466" s="36"/>
      <c r="K466" s="36"/>
      <c r="L466" s="36"/>
      <c r="M466" s="36"/>
      <c r="N466" s="36"/>
      <c r="O466" s="36"/>
      <c r="P466" s="36"/>
      <c r="Q466" s="36"/>
      <c r="R466" s="36"/>
      <c r="S466" s="36"/>
      <c r="T466" s="36"/>
      <c r="U466" s="36"/>
      <c r="V466" s="36"/>
      <c r="W466" s="36"/>
      <c r="X466" s="36"/>
      <c r="Y466" s="36"/>
      <c r="Z466" s="36"/>
    </row>
    <row r="467" ht="15.75" customHeight="1">
      <c r="A467" s="36"/>
      <c r="B467" s="36"/>
      <c r="C467" s="37"/>
      <c r="D467" s="37"/>
      <c r="E467" s="36"/>
      <c r="F467" s="36"/>
      <c r="G467" s="37"/>
      <c r="I467" s="37"/>
      <c r="J467" s="36"/>
      <c r="K467" s="36"/>
      <c r="L467" s="36"/>
      <c r="M467" s="36"/>
      <c r="N467" s="36"/>
      <c r="O467" s="36"/>
      <c r="P467" s="36"/>
      <c r="Q467" s="36"/>
      <c r="R467" s="36"/>
      <c r="S467" s="36"/>
      <c r="T467" s="36"/>
      <c r="U467" s="36"/>
      <c r="V467" s="36"/>
      <c r="W467" s="36"/>
      <c r="X467" s="36"/>
      <c r="Y467" s="36"/>
      <c r="Z467" s="36"/>
    </row>
    <row r="468" ht="15.75" customHeight="1">
      <c r="A468" s="36"/>
      <c r="B468" s="36"/>
      <c r="C468" s="37"/>
      <c r="D468" s="37"/>
      <c r="E468" s="36"/>
      <c r="F468" s="36"/>
      <c r="G468" s="37"/>
      <c r="I468" s="37"/>
      <c r="J468" s="36"/>
      <c r="K468" s="36"/>
      <c r="L468" s="36"/>
      <c r="M468" s="36"/>
      <c r="N468" s="36"/>
      <c r="O468" s="36"/>
      <c r="P468" s="36"/>
      <c r="Q468" s="36"/>
      <c r="R468" s="36"/>
      <c r="S468" s="36"/>
      <c r="T468" s="36"/>
      <c r="U468" s="36"/>
      <c r="V468" s="36"/>
      <c r="W468" s="36"/>
      <c r="X468" s="36"/>
      <c r="Y468" s="36"/>
      <c r="Z468" s="36"/>
    </row>
    <row r="469" ht="15.75" customHeight="1">
      <c r="A469" s="36"/>
      <c r="B469" s="36"/>
      <c r="C469" s="37"/>
      <c r="D469" s="37"/>
      <c r="E469" s="36"/>
      <c r="F469" s="36"/>
      <c r="G469" s="37"/>
      <c r="I469" s="37"/>
      <c r="J469" s="36"/>
      <c r="K469" s="36"/>
      <c r="L469" s="36"/>
      <c r="M469" s="36"/>
      <c r="N469" s="36"/>
      <c r="O469" s="36"/>
      <c r="P469" s="36"/>
      <c r="Q469" s="36"/>
      <c r="R469" s="36"/>
      <c r="S469" s="36"/>
      <c r="T469" s="36"/>
      <c r="U469" s="36"/>
      <c r="V469" s="36"/>
      <c r="W469" s="36"/>
      <c r="X469" s="36"/>
      <c r="Y469" s="36"/>
      <c r="Z469" s="36"/>
    </row>
    <row r="470" ht="15.75" customHeight="1">
      <c r="A470" s="36"/>
      <c r="B470" s="36"/>
      <c r="C470" s="37"/>
      <c r="D470" s="37"/>
      <c r="E470" s="36"/>
      <c r="F470" s="36"/>
      <c r="G470" s="37"/>
      <c r="I470" s="37"/>
      <c r="J470" s="36"/>
      <c r="K470" s="36"/>
      <c r="L470" s="36"/>
      <c r="M470" s="36"/>
      <c r="N470" s="36"/>
      <c r="O470" s="36"/>
      <c r="P470" s="36"/>
      <c r="Q470" s="36"/>
      <c r="R470" s="36"/>
      <c r="S470" s="36"/>
      <c r="T470" s="36"/>
      <c r="U470" s="36"/>
      <c r="V470" s="36"/>
      <c r="W470" s="36"/>
      <c r="X470" s="36"/>
      <c r="Y470" s="36"/>
      <c r="Z470" s="36"/>
    </row>
    <row r="471" ht="15.75" customHeight="1">
      <c r="A471" s="36"/>
      <c r="B471" s="36"/>
      <c r="C471" s="37"/>
      <c r="D471" s="37"/>
      <c r="E471" s="36"/>
      <c r="F471" s="36"/>
      <c r="G471" s="37"/>
      <c r="I471" s="37"/>
      <c r="J471" s="36"/>
      <c r="K471" s="36"/>
      <c r="L471" s="36"/>
      <c r="M471" s="36"/>
      <c r="N471" s="36"/>
      <c r="O471" s="36"/>
      <c r="P471" s="36"/>
      <c r="Q471" s="36"/>
      <c r="R471" s="36"/>
      <c r="S471" s="36"/>
      <c r="T471" s="36"/>
      <c r="U471" s="36"/>
      <c r="V471" s="36"/>
      <c r="W471" s="36"/>
      <c r="X471" s="36"/>
      <c r="Y471" s="36"/>
      <c r="Z471" s="36"/>
    </row>
    <row r="472" ht="15.75" customHeight="1">
      <c r="A472" s="36"/>
      <c r="B472" s="36"/>
      <c r="C472" s="37"/>
      <c r="D472" s="37"/>
      <c r="E472" s="36"/>
      <c r="F472" s="36"/>
      <c r="G472" s="37"/>
      <c r="I472" s="37"/>
      <c r="J472" s="36"/>
      <c r="K472" s="36"/>
      <c r="L472" s="36"/>
      <c r="M472" s="36"/>
      <c r="N472" s="36"/>
      <c r="O472" s="36"/>
      <c r="P472" s="36"/>
      <c r="Q472" s="36"/>
      <c r="R472" s="36"/>
      <c r="S472" s="36"/>
      <c r="T472" s="36"/>
      <c r="U472" s="36"/>
      <c r="V472" s="36"/>
      <c r="W472" s="36"/>
      <c r="X472" s="36"/>
      <c r="Y472" s="36"/>
      <c r="Z472" s="36"/>
    </row>
    <row r="473" ht="15.75" customHeight="1">
      <c r="A473" s="36"/>
      <c r="B473" s="36"/>
      <c r="C473" s="37"/>
      <c r="D473" s="37"/>
      <c r="E473" s="36"/>
      <c r="F473" s="36"/>
      <c r="G473" s="37"/>
      <c r="I473" s="37"/>
      <c r="J473" s="36"/>
      <c r="K473" s="36"/>
      <c r="L473" s="36"/>
      <c r="M473" s="36"/>
      <c r="N473" s="36"/>
      <c r="O473" s="36"/>
      <c r="P473" s="36"/>
      <c r="Q473" s="36"/>
      <c r="R473" s="36"/>
      <c r="S473" s="36"/>
      <c r="T473" s="36"/>
      <c r="U473" s="36"/>
      <c r="V473" s="36"/>
      <c r="W473" s="36"/>
      <c r="X473" s="36"/>
      <c r="Y473" s="36"/>
      <c r="Z473" s="36"/>
    </row>
    <row r="474" ht="15.75" customHeight="1">
      <c r="A474" s="36"/>
      <c r="B474" s="36"/>
      <c r="C474" s="37"/>
      <c r="D474" s="37"/>
      <c r="E474" s="36"/>
      <c r="F474" s="36"/>
      <c r="G474" s="37"/>
      <c r="I474" s="37"/>
      <c r="J474" s="36"/>
      <c r="K474" s="36"/>
      <c r="L474" s="36"/>
      <c r="M474" s="36"/>
      <c r="N474" s="36"/>
      <c r="O474" s="36"/>
      <c r="P474" s="36"/>
      <c r="Q474" s="36"/>
      <c r="R474" s="36"/>
      <c r="S474" s="36"/>
      <c r="T474" s="36"/>
      <c r="U474" s="36"/>
      <c r="V474" s="36"/>
      <c r="W474" s="36"/>
      <c r="X474" s="36"/>
      <c r="Y474" s="36"/>
      <c r="Z474" s="36"/>
    </row>
    <row r="475" ht="15.75" customHeight="1">
      <c r="A475" s="36"/>
      <c r="B475" s="36"/>
      <c r="C475" s="37"/>
      <c r="D475" s="37"/>
      <c r="E475" s="36"/>
      <c r="F475" s="36"/>
      <c r="G475" s="37"/>
      <c r="I475" s="37"/>
      <c r="J475" s="36"/>
      <c r="K475" s="36"/>
      <c r="L475" s="36"/>
      <c r="M475" s="36"/>
      <c r="N475" s="36"/>
      <c r="O475" s="36"/>
      <c r="P475" s="36"/>
      <c r="Q475" s="36"/>
      <c r="R475" s="36"/>
      <c r="S475" s="36"/>
      <c r="T475" s="36"/>
      <c r="U475" s="36"/>
      <c r="V475" s="36"/>
      <c r="W475" s="36"/>
      <c r="X475" s="36"/>
      <c r="Y475" s="36"/>
      <c r="Z475" s="36"/>
    </row>
    <row r="476" ht="15.75" customHeight="1">
      <c r="A476" s="36"/>
      <c r="B476" s="36"/>
      <c r="C476" s="37"/>
      <c r="D476" s="37"/>
      <c r="E476" s="36"/>
      <c r="F476" s="36"/>
      <c r="G476" s="37"/>
      <c r="I476" s="37"/>
      <c r="J476" s="36"/>
      <c r="K476" s="36"/>
      <c r="L476" s="36"/>
      <c r="M476" s="36"/>
      <c r="N476" s="36"/>
      <c r="O476" s="36"/>
      <c r="P476" s="36"/>
      <c r="Q476" s="36"/>
      <c r="R476" s="36"/>
      <c r="S476" s="36"/>
      <c r="T476" s="36"/>
      <c r="U476" s="36"/>
      <c r="V476" s="36"/>
      <c r="W476" s="36"/>
      <c r="X476" s="36"/>
      <c r="Y476" s="36"/>
      <c r="Z476" s="36"/>
    </row>
    <row r="477" ht="15.75" customHeight="1">
      <c r="A477" s="36"/>
      <c r="B477" s="36"/>
      <c r="C477" s="37"/>
      <c r="D477" s="37"/>
      <c r="E477" s="36"/>
      <c r="F477" s="36"/>
      <c r="G477" s="37"/>
      <c r="I477" s="37"/>
      <c r="J477" s="36"/>
      <c r="K477" s="36"/>
      <c r="L477" s="36"/>
      <c r="M477" s="36"/>
      <c r="N477" s="36"/>
      <c r="O477" s="36"/>
      <c r="P477" s="36"/>
      <c r="Q477" s="36"/>
      <c r="R477" s="36"/>
      <c r="S477" s="36"/>
      <c r="T477" s="36"/>
      <c r="U477" s="36"/>
      <c r="V477" s="36"/>
      <c r="W477" s="36"/>
      <c r="X477" s="36"/>
      <c r="Y477" s="36"/>
      <c r="Z477" s="36"/>
    </row>
    <row r="478" ht="15.75" customHeight="1">
      <c r="A478" s="36"/>
      <c r="B478" s="36"/>
      <c r="C478" s="37"/>
      <c r="D478" s="37"/>
      <c r="E478" s="36"/>
      <c r="F478" s="36"/>
      <c r="G478" s="37"/>
      <c r="I478" s="37"/>
      <c r="J478" s="36"/>
      <c r="K478" s="36"/>
      <c r="L478" s="36"/>
      <c r="M478" s="36"/>
      <c r="N478" s="36"/>
      <c r="O478" s="36"/>
      <c r="P478" s="36"/>
      <c r="Q478" s="36"/>
      <c r="R478" s="36"/>
      <c r="S478" s="36"/>
      <c r="T478" s="36"/>
      <c r="U478" s="36"/>
      <c r="V478" s="36"/>
      <c r="W478" s="36"/>
      <c r="X478" s="36"/>
      <c r="Y478" s="36"/>
      <c r="Z478" s="36"/>
    </row>
    <row r="479" ht="15.75" customHeight="1">
      <c r="A479" s="36"/>
      <c r="B479" s="36"/>
      <c r="C479" s="37"/>
      <c r="D479" s="37"/>
      <c r="E479" s="36"/>
      <c r="F479" s="36"/>
      <c r="G479" s="37"/>
      <c r="I479" s="37"/>
      <c r="J479" s="36"/>
      <c r="K479" s="36"/>
      <c r="L479" s="36"/>
      <c r="M479" s="36"/>
      <c r="N479" s="36"/>
      <c r="O479" s="36"/>
      <c r="P479" s="36"/>
      <c r="Q479" s="36"/>
      <c r="R479" s="36"/>
      <c r="S479" s="36"/>
      <c r="T479" s="36"/>
      <c r="U479" s="36"/>
      <c r="V479" s="36"/>
      <c r="W479" s="36"/>
      <c r="X479" s="36"/>
      <c r="Y479" s="36"/>
      <c r="Z479" s="36"/>
    </row>
    <row r="480" ht="15.75" customHeight="1">
      <c r="A480" s="36"/>
      <c r="B480" s="36"/>
      <c r="C480" s="37"/>
      <c r="D480" s="37"/>
      <c r="E480" s="36"/>
      <c r="F480" s="36"/>
      <c r="G480" s="37"/>
      <c r="I480" s="37"/>
      <c r="J480" s="36"/>
      <c r="K480" s="36"/>
      <c r="L480" s="36"/>
      <c r="M480" s="36"/>
      <c r="N480" s="36"/>
      <c r="O480" s="36"/>
      <c r="P480" s="36"/>
      <c r="Q480" s="36"/>
      <c r="R480" s="36"/>
      <c r="S480" s="36"/>
      <c r="T480" s="36"/>
      <c r="U480" s="36"/>
      <c r="V480" s="36"/>
      <c r="W480" s="36"/>
      <c r="X480" s="36"/>
      <c r="Y480" s="36"/>
      <c r="Z480" s="36"/>
    </row>
    <row r="481" ht="15.75" customHeight="1">
      <c r="A481" s="36"/>
      <c r="B481" s="36"/>
      <c r="C481" s="37"/>
      <c r="D481" s="37"/>
      <c r="E481" s="36"/>
      <c r="F481" s="36"/>
      <c r="G481" s="37"/>
      <c r="I481" s="37"/>
      <c r="J481" s="36"/>
      <c r="K481" s="36"/>
      <c r="L481" s="36"/>
      <c r="M481" s="36"/>
      <c r="N481" s="36"/>
      <c r="O481" s="36"/>
      <c r="P481" s="36"/>
      <c r="Q481" s="36"/>
      <c r="R481" s="36"/>
      <c r="S481" s="36"/>
      <c r="T481" s="36"/>
      <c r="U481" s="36"/>
      <c r="V481" s="36"/>
      <c r="W481" s="36"/>
      <c r="X481" s="36"/>
      <c r="Y481" s="36"/>
      <c r="Z481" s="36"/>
    </row>
    <row r="482" ht="15.75" customHeight="1">
      <c r="A482" s="36"/>
      <c r="B482" s="36"/>
      <c r="C482" s="37"/>
      <c r="D482" s="37"/>
      <c r="E482" s="36"/>
      <c r="F482" s="36"/>
      <c r="G482" s="37"/>
      <c r="I482" s="37"/>
      <c r="J482" s="36"/>
      <c r="K482" s="36"/>
      <c r="L482" s="36"/>
      <c r="M482" s="36"/>
      <c r="N482" s="36"/>
      <c r="O482" s="36"/>
      <c r="P482" s="36"/>
      <c r="Q482" s="36"/>
      <c r="R482" s="36"/>
      <c r="S482" s="36"/>
      <c r="T482" s="36"/>
      <c r="U482" s="36"/>
      <c r="V482" s="36"/>
      <c r="W482" s="36"/>
      <c r="X482" s="36"/>
      <c r="Y482" s="36"/>
      <c r="Z482" s="36"/>
    </row>
    <row r="483" ht="15.75" customHeight="1">
      <c r="A483" s="36"/>
      <c r="B483" s="36"/>
      <c r="C483" s="37"/>
      <c r="D483" s="37"/>
      <c r="E483" s="36"/>
      <c r="F483" s="36"/>
      <c r="G483" s="37"/>
      <c r="I483" s="37"/>
      <c r="J483" s="36"/>
      <c r="K483" s="36"/>
      <c r="L483" s="36"/>
      <c r="M483" s="36"/>
      <c r="N483" s="36"/>
      <c r="O483" s="36"/>
      <c r="P483" s="36"/>
      <c r="Q483" s="36"/>
      <c r="R483" s="36"/>
      <c r="S483" s="36"/>
      <c r="T483" s="36"/>
      <c r="U483" s="36"/>
      <c r="V483" s="36"/>
      <c r="W483" s="36"/>
      <c r="X483" s="36"/>
      <c r="Y483" s="36"/>
      <c r="Z483" s="36"/>
    </row>
    <row r="484" ht="15.75" customHeight="1">
      <c r="A484" s="36"/>
      <c r="B484" s="36"/>
      <c r="C484" s="37"/>
      <c r="D484" s="37"/>
      <c r="E484" s="36"/>
      <c r="F484" s="36"/>
      <c r="G484" s="37"/>
      <c r="I484" s="37"/>
      <c r="J484" s="36"/>
      <c r="K484" s="36"/>
      <c r="L484" s="36"/>
      <c r="M484" s="36"/>
      <c r="N484" s="36"/>
      <c r="O484" s="36"/>
      <c r="P484" s="36"/>
      <c r="Q484" s="36"/>
      <c r="R484" s="36"/>
      <c r="S484" s="36"/>
      <c r="T484" s="36"/>
      <c r="U484" s="36"/>
      <c r="V484" s="36"/>
      <c r="W484" s="36"/>
      <c r="X484" s="36"/>
      <c r="Y484" s="36"/>
      <c r="Z484" s="36"/>
    </row>
    <row r="485" ht="15.75" customHeight="1">
      <c r="A485" s="36"/>
      <c r="B485" s="36"/>
      <c r="C485" s="37"/>
      <c r="D485" s="37"/>
      <c r="E485" s="36"/>
      <c r="F485" s="36"/>
      <c r="G485" s="37"/>
      <c r="I485" s="37"/>
      <c r="J485" s="36"/>
      <c r="K485" s="36"/>
      <c r="L485" s="36"/>
      <c r="M485" s="36"/>
      <c r="N485" s="36"/>
      <c r="O485" s="36"/>
      <c r="P485" s="36"/>
      <c r="Q485" s="36"/>
      <c r="R485" s="36"/>
      <c r="S485" s="36"/>
      <c r="T485" s="36"/>
      <c r="U485" s="36"/>
      <c r="V485" s="36"/>
      <c r="W485" s="36"/>
      <c r="X485" s="36"/>
      <c r="Y485" s="36"/>
      <c r="Z485" s="36"/>
    </row>
    <row r="486" ht="15.75" customHeight="1">
      <c r="A486" s="36"/>
      <c r="B486" s="36"/>
      <c r="C486" s="37"/>
      <c r="D486" s="37"/>
      <c r="E486" s="36"/>
      <c r="F486" s="36"/>
      <c r="G486" s="37"/>
      <c r="I486" s="37"/>
      <c r="J486" s="36"/>
      <c r="K486" s="36"/>
      <c r="L486" s="36"/>
      <c r="M486" s="36"/>
      <c r="N486" s="36"/>
      <c r="O486" s="36"/>
      <c r="P486" s="36"/>
      <c r="Q486" s="36"/>
      <c r="R486" s="36"/>
      <c r="S486" s="36"/>
      <c r="T486" s="36"/>
      <c r="U486" s="36"/>
      <c r="V486" s="36"/>
      <c r="W486" s="36"/>
      <c r="X486" s="36"/>
      <c r="Y486" s="36"/>
      <c r="Z486" s="36"/>
    </row>
    <row r="487" ht="15.75" customHeight="1">
      <c r="A487" s="36"/>
      <c r="B487" s="36"/>
      <c r="C487" s="37"/>
      <c r="D487" s="37"/>
      <c r="E487" s="36"/>
      <c r="F487" s="36"/>
      <c r="G487" s="37"/>
      <c r="I487" s="37"/>
      <c r="J487" s="36"/>
      <c r="K487" s="36"/>
      <c r="L487" s="36"/>
      <c r="M487" s="36"/>
      <c r="N487" s="36"/>
      <c r="O487" s="36"/>
      <c r="P487" s="36"/>
      <c r="Q487" s="36"/>
      <c r="R487" s="36"/>
      <c r="S487" s="36"/>
      <c r="T487" s="36"/>
      <c r="U487" s="36"/>
      <c r="V487" s="36"/>
      <c r="W487" s="36"/>
      <c r="X487" s="36"/>
      <c r="Y487" s="36"/>
      <c r="Z487" s="36"/>
    </row>
    <row r="488" ht="15.75" customHeight="1">
      <c r="A488" s="36"/>
      <c r="B488" s="36"/>
      <c r="C488" s="37"/>
      <c r="D488" s="37"/>
      <c r="E488" s="36"/>
      <c r="F488" s="36"/>
      <c r="G488" s="37"/>
      <c r="I488" s="37"/>
      <c r="J488" s="36"/>
      <c r="K488" s="36"/>
      <c r="L488" s="36"/>
      <c r="M488" s="36"/>
      <c r="N488" s="36"/>
      <c r="O488" s="36"/>
      <c r="P488" s="36"/>
      <c r="Q488" s="36"/>
      <c r="R488" s="36"/>
      <c r="S488" s="36"/>
      <c r="T488" s="36"/>
      <c r="U488" s="36"/>
      <c r="V488" s="36"/>
      <c r="W488" s="36"/>
      <c r="X488" s="36"/>
      <c r="Y488" s="36"/>
      <c r="Z488" s="36"/>
    </row>
    <row r="489" ht="15.75" customHeight="1">
      <c r="A489" s="36"/>
      <c r="B489" s="36"/>
      <c r="C489" s="37"/>
      <c r="D489" s="37"/>
      <c r="E489" s="36"/>
      <c r="F489" s="36"/>
      <c r="G489" s="37"/>
      <c r="I489" s="37"/>
      <c r="J489" s="36"/>
      <c r="K489" s="36"/>
      <c r="L489" s="36"/>
      <c r="M489" s="36"/>
      <c r="N489" s="36"/>
      <c r="O489" s="36"/>
      <c r="P489" s="36"/>
      <c r="Q489" s="36"/>
      <c r="R489" s="36"/>
      <c r="S489" s="36"/>
      <c r="T489" s="36"/>
      <c r="U489" s="36"/>
      <c r="V489" s="36"/>
      <c r="W489" s="36"/>
      <c r="X489" s="36"/>
      <c r="Y489" s="36"/>
      <c r="Z489" s="36"/>
    </row>
    <row r="490" ht="15.75" customHeight="1">
      <c r="A490" s="36"/>
      <c r="B490" s="36"/>
      <c r="C490" s="37"/>
      <c r="D490" s="37"/>
      <c r="E490" s="36"/>
      <c r="F490" s="36"/>
      <c r="G490" s="37"/>
      <c r="I490" s="37"/>
      <c r="J490" s="36"/>
      <c r="K490" s="36"/>
      <c r="L490" s="36"/>
      <c r="M490" s="36"/>
      <c r="N490" s="36"/>
      <c r="O490" s="36"/>
      <c r="P490" s="36"/>
      <c r="Q490" s="36"/>
      <c r="R490" s="36"/>
      <c r="S490" s="36"/>
      <c r="T490" s="36"/>
      <c r="U490" s="36"/>
      <c r="V490" s="36"/>
      <c r="W490" s="36"/>
      <c r="X490" s="36"/>
      <c r="Y490" s="36"/>
      <c r="Z490" s="36"/>
    </row>
    <row r="491" ht="15.75" customHeight="1">
      <c r="A491" s="36"/>
      <c r="B491" s="36"/>
      <c r="C491" s="37"/>
      <c r="D491" s="37"/>
      <c r="E491" s="36"/>
      <c r="F491" s="36"/>
      <c r="G491" s="37"/>
      <c r="I491" s="37"/>
      <c r="J491" s="36"/>
      <c r="K491" s="36"/>
      <c r="L491" s="36"/>
      <c r="M491" s="36"/>
      <c r="N491" s="36"/>
      <c r="O491" s="36"/>
      <c r="P491" s="36"/>
      <c r="Q491" s="36"/>
      <c r="R491" s="36"/>
      <c r="S491" s="36"/>
      <c r="T491" s="36"/>
      <c r="U491" s="36"/>
      <c r="V491" s="36"/>
      <c r="W491" s="36"/>
      <c r="X491" s="36"/>
      <c r="Y491" s="36"/>
      <c r="Z491" s="36"/>
    </row>
    <row r="492" ht="15.75" customHeight="1">
      <c r="A492" s="36"/>
      <c r="B492" s="36"/>
      <c r="C492" s="37"/>
      <c r="D492" s="37"/>
      <c r="E492" s="36"/>
      <c r="F492" s="36"/>
      <c r="G492" s="37"/>
      <c r="I492" s="37"/>
      <c r="J492" s="36"/>
      <c r="K492" s="36"/>
      <c r="L492" s="36"/>
      <c r="M492" s="36"/>
      <c r="N492" s="36"/>
      <c r="O492" s="36"/>
      <c r="P492" s="36"/>
      <c r="Q492" s="36"/>
      <c r="R492" s="36"/>
      <c r="S492" s="36"/>
      <c r="T492" s="36"/>
      <c r="U492" s="36"/>
      <c r="V492" s="36"/>
      <c r="W492" s="36"/>
      <c r="X492" s="36"/>
      <c r="Y492" s="36"/>
      <c r="Z492" s="36"/>
    </row>
    <row r="493" ht="15.75" customHeight="1">
      <c r="A493" s="36"/>
      <c r="B493" s="36"/>
      <c r="C493" s="37"/>
      <c r="D493" s="37"/>
      <c r="E493" s="36"/>
      <c r="F493" s="36"/>
      <c r="G493" s="37"/>
      <c r="I493" s="37"/>
      <c r="J493" s="36"/>
      <c r="K493" s="36"/>
      <c r="L493" s="36"/>
      <c r="M493" s="36"/>
      <c r="N493" s="36"/>
      <c r="O493" s="36"/>
      <c r="P493" s="36"/>
      <c r="Q493" s="36"/>
      <c r="R493" s="36"/>
      <c r="S493" s="36"/>
      <c r="T493" s="36"/>
      <c r="U493" s="36"/>
      <c r="V493" s="36"/>
      <c r="W493" s="36"/>
      <c r="X493" s="36"/>
      <c r="Y493" s="36"/>
      <c r="Z493" s="36"/>
    </row>
    <row r="494" ht="15.75" customHeight="1">
      <c r="A494" s="36"/>
      <c r="B494" s="36"/>
      <c r="C494" s="37"/>
      <c r="D494" s="37"/>
      <c r="E494" s="36"/>
      <c r="F494" s="36"/>
      <c r="G494" s="37"/>
      <c r="I494" s="37"/>
      <c r="J494" s="36"/>
      <c r="K494" s="36"/>
      <c r="L494" s="36"/>
      <c r="M494" s="36"/>
      <c r="N494" s="36"/>
      <c r="O494" s="36"/>
      <c r="P494" s="36"/>
      <c r="Q494" s="36"/>
      <c r="R494" s="36"/>
      <c r="S494" s="36"/>
      <c r="T494" s="36"/>
      <c r="U494" s="36"/>
      <c r="V494" s="36"/>
      <c r="W494" s="36"/>
      <c r="X494" s="36"/>
      <c r="Y494" s="36"/>
      <c r="Z494" s="36"/>
    </row>
    <row r="495" ht="15.75" customHeight="1">
      <c r="A495" s="36"/>
      <c r="B495" s="36"/>
      <c r="C495" s="37"/>
      <c r="D495" s="37"/>
      <c r="E495" s="36"/>
      <c r="F495" s="36"/>
      <c r="G495" s="37"/>
      <c r="I495" s="37"/>
      <c r="J495" s="36"/>
      <c r="K495" s="36"/>
      <c r="L495" s="36"/>
      <c r="M495" s="36"/>
      <c r="N495" s="36"/>
      <c r="O495" s="36"/>
      <c r="P495" s="36"/>
      <c r="Q495" s="36"/>
      <c r="R495" s="36"/>
      <c r="S495" s="36"/>
      <c r="T495" s="36"/>
      <c r="U495" s="36"/>
      <c r="V495" s="36"/>
      <c r="W495" s="36"/>
      <c r="X495" s="36"/>
      <c r="Y495" s="36"/>
      <c r="Z495" s="36"/>
    </row>
    <row r="496" ht="15.75" customHeight="1">
      <c r="A496" s="36"/>
      <c r="B496" s="36"/>
      <c r="C496" s="37"/>
      <c r="D496" s="37"/>
      <c r="E496" s="36"/>
      <c r="F496" s="36"/>
      <c r="G496" s="37"/>
      <c r="I496" s="37"/>
      <c r="J496" s="36"/>
      <c r="K496" s="36"/>
      <c r="L496" s="36"/>
      <c r="M496" s="36"/>
      <c r="N496" s="36"/>
      <c r="O496" s="36"/>
      <c r="P496" s="36"/>
      <c r="Q496" s="36"/>
      <c r="R496" s="36"/>
      <c r="S496" s="36"/>
      <c r="T496" s="36"/>
      <c r="U496" s="36"/>
      <c r="V496" s="36"/>
      <c r="W496" s="36"/>
      <c r="X496" s="36"/>
      <c r="Y496" s="36"/>
      <c r="Z496" s="36"/>
    </row>
    <row r="497" ht="15.75" customHeight="1">
      <c r="A497" s="36"/>
      <c r="B497" s="36"/>
      <c r="C497" s="37"/>
      <c r="D497" s="37"/>
      <c r="E497" s="36"/>
      <c r="F497" s="36"/>
      <c r="G497" s="37"/>
      <c r="I497" s="37"/>
      <c r="J497" s="36"/>
      <c r="K497" s="36"/>
      <c r="L497" s="36"/>
      <c r="M497" s="36"/>
      <c r="N497" s="36"/>
      <c r="O497" s="36"/>
      <c r="P497" s="36"/>
      <c r="Q497" s="36"/>
      <c r="R497" s="36"/>
      <c r="S497" s="36"/>
      <c r="T497" s="36"/>
      <c r="U497" s="36"/>
      <c r="V497" s="36"/>
      <c r="W497" s="36"/>
      <c r="X497" s="36"/>
      <c r="Y497" s="36"/>
      <c r="Z497" s="36"/>
    </row>
    <row r="498" ht="15.75" customHeight="1">
      <c r="A498" s="36"/>
      <c r="B498" s="36"/>
      <c r="C498" s="37"/>
      <c r="D498" s="37"/>
      <c r="E498" s="36"/>
      <c r="F498" s="36"/>
      <c r="G498" s="37"/>
      <c r="I498" s="37"/>
      <c r="J498" s="36"/>
      <c r="K498" s="36"/>
      <c r="L498" s="36"/>
      <c r="M498" s="36"/>
      <c r="N498" s="36"/>
      <c r="O498" s="36"/>
      <c r="P498" s="36"/>
      <c r="Q498" s="36"/>
      <c r="R498" s="36"/>
      <c r="S498" s="36"/>
      <c r="T498" s="36"/>
      <c r="U498" s="36"/>
      <c r="V498" s="36"/>
      <c r="W498" s="36"/>
      <c r="X498" s="36"/>
      <c r="Y498" s="36"/>
      <c r="Z498" s="36"/>
    </row>
    <row r="499" ht="15.75" customHeight="1">
      <c r="A499" s="36"/>
      <c r="B499" s="36"/>
      <c r="C499" s="37"/>
      <c r="D499" s="37"/>
      <c r="E499" s="36"/>
      <c r="F499" s="36"/>
      <c r="G499" s="37"/>
      <c r="I499" s="37"/>
      <c r="J499" s="36"/>
      <c r="K499" s="36"/>
      <c r="L499" s="36"/>
      <c r="M499" s="36"/>
      <c r="N499" s="36"/>
      <c r="O499" s="36"/>
      <c r="P499" s="36"/>
      <c r="Q499" s="36"/>
      <c r="R499" s="36"/>
      <c r="S499" s="36"/>
      <c r="T499" s="36"/>
      <c r="U499" s="36"/>
      <c r="V499" s="36"/>
      <c r="W499" s="36"/>
      <c r="X499" s="36"/>
      <c r="Y499" s="36"/>
      <c r="Z499" s="36"/>
    </row>
    <row r="500" ht="15.75" customHeight="1">
      <c r="A500" s="36"/>
      <c r="B500" s="36"/>
      <c r="C500" s="37"/>
      <c r="D500" s="37"/>
      <c r="E500" s="36"/>
      <c r="F500" s="36"/>
      <c r="G500" s="37"/>
      <c r="I500" s="37"/>
      <c r="J500" s="36"/>
      <c r="K500" s="36"/>
      <c r="L500" s="36"/>
      <c r="M500" s="36"/>
      <c r="N500" s="36"/>
      <c r="O500" s="36"/>
      <c r="P500" s="36"/>
      <c r="Q500" s="36"/>
      <c r="R500" s="36"/>
      <c r="S500" s="36"/>
      <c r="T500" s="36"/>
      <c r="U500" s="36"/>
      <c r="V500" s="36"/>
      <c r="W500" s="36"/>
      <c r="X500" s="36"/>
      <c r="Y500" s="36"/>
      <c r="Z500" s="36"/>
    </row>
    <row r="501" ht="15.75" customHeight="1">
      <c r="A501" s="36"/>
      <c r="B501" s="36"/>
      <c r="C501" s="37"/>
      <c r="D501" s="37"/>
      <c r="E501" s="36"/>
      <c r="F501" s="36"/>
      <c r="G501" s="37"/>
      <c r="I501" s="37"/>
      <c r="J501" s="36"/>
      <c r="K501" s="36"/>
      <c r="L501" s="36"/>
      <c r="M501" s="36"/>
      <c r="N501" s="36"/>
      <c r="O501" s="36"/>
      <c r="P501" s="36"/>
      <c r="Q501" s="36"/>
      <c r="R501" s="36"/>
      <c r="S501" s="36"/>
      <c r="T501" s="36"/>
      <c r="U501" s="36"/>
      <c r="V501" s="36"/>
      <c r="W501" s="36"/>
      <c r="X501" s="36"/>
      <c r="Y501" s="36"/>
      <c r="Z501" s="36"/>
    </row>
    <row r="502" ht="15.75" customHeight="1">
      <c r="A502" s="36"/>
      <c r="B502" s="36"/>
      <c r="C502" s="37"/>
      <c r="D502" s="37"/>
      <c r="E502" s="36"/>
      <c r="F502" s="36"/>
      <c r="G502" s="37"/>
      <c r="I502" s="37"/>
      <c r="J502" s="36"/>
      <c r="K502" s="36"/>
      <c r="L502" s="36"/>
      <c r="M502" s="36"/>
      <c r="N502" s="36"/>
      <c r="O502" s="36"/>
      <c r="P502" s="36"/>
      <c r="Q502" s="36"/>
      <c r="R502" s="36"/>
      <c r="S502" s="36"/>
      <c r="T502" s="36"/>
      <c r="U502" s="36"/>
      <c r="V502" s="36"/>
      <c r="W502" s="36"/>
      <c r="X502" s="36"/>
      <c r="Y502" s="36"/>
      <c r="Z502" s="36"/>
    </row>
    <row r="503" ht="15.75" customHeight="1">
      <c r="A503" s="36"/>
      <c r="B503" s="36"/>
      <c r="C503" s="37"/>
      <c r="D503" s="37"/>
      <c r="E503" s="36"/>
      <c r="F503" s="36"/>
      <c r="G503" s="37"/>
      <c r="I503" s="37"/>
      <c r="J503" s="36"/>
      <c r="K503" s="36"/>
      <c r="L503" s="36"/>
      <c r="M503" s="36"/>
      <c r="N503" s="36"/>
      <c r="O503" s="36"/>
      <c r="P503" s="36"/>
      <c r="Q503" s="36"/>
      <c r="R503" s="36"/>
      <c r="S503" s="36"/>
      <c r="T503" s="36"/>
      <c r="U503" s="36"/>
      <c r="V503" s="36"/>
      <c r="W503" s="36"/>
      <c r="X503" s="36"/>
      <c r="Y503" s="36"/>
      <c r="Z503" s="36"/>
    </row>
    <row r="504" ht="15.75" customHeight="1">
      <c r="A504" s="36"/>
      <c r="B504" s="36"/>
      <c r="C504" s="37"/>
      <c r="D504" s="37"/>
      <c r="E504" s="36"/>
      <c r="F504" s="36"/>
      <c r="G504" s="37"/>
      <c r="I504" s="37"/>
      <c r="J504" s="36"/>
      <c r="K504" s="36"/>
      <c r="L504" s="36"/>
      <c r="M504" s="36"/>
      <c r="N504" s="36"/>
      <c r="O504" s="36"/>
      <c r="P504" s="36"/>
      <c r="Q504" s="36"/>
      <c r="R504" s="36"/>
      <c r="S504" s="36"/>
      <c r="T504" s="36"/>
      <c r="U504" s="36"/>
      <c r="V504" s="36"/>
      <c r="W504" s="36"/>
      <c r="X504" s="36"/>
      <c r="Y504" s="36"/>
      <c r="Z504" s="36"/>
    </row>
    <row r="505" ht="15.75" customHeight="1">
      <c r="A505" s="36"/>
      <c r="B505" s="36"/>
      <c r="C505" s="37"/>
      <c r="D505" s="37"/>
      <c r="E505" s="36"/>
      <c r="F505" s="36"/>
      <c r="G505" s="37"/>
      <c r="I505" s="37"/>
      <c r="J505" s="36"/>
      <c r="K505" s="36"/>
      <c r="L505" s="36"/>
      <c r="M505" s="36"/>
      <c r="N505" s="36"/>
      <c r="O505" s="36"/>
      <c r="P505" s="36"/>
      <c r="Q505" s="36"/>
      <c r="R505" s="36"/>
      <c r="S505" s="36"/>
      <c r="T505" s="36"/>
      <c r="U505" s="36"/>
      <c r="V505" s="36"/>
      <c r="W505" s="36"/>
      <c r="X505" s="36"/>
      <c r="Y505" s="36"/>
      <c r="Z505" s="36"/>
    </row>
    <row r="506" ht="15.75" customHeight="1">
      <c r="A506" s="36"/>
      <c r="B506" s="36"/>
      <c r="C506" s="37"/>
      <c r="D506" s="37"/>
      <c r="E506" s="36"/>
      <c r="F506" s="36"/>
      <c r="G506" s="37"/>
      <c r="I506" s="37"/>
      <c r="J506" s="36"/>
      <c r="K506" s="36"/>
      <c r="L506" s="36"/>
      <c r="M506" s="36"/>
      <c r="N506" s="36"/>
      <c r="O506" s="36"/>
      <c r="P506" s="36"/>
      <c r="Q506" s="36"/>
      <c r="R506" s="36"/>
      <c r="S506" s="36"/>
      <c r="T506" s="36"/>
      <c r="U506" s="36"/>
      <c r="V506" s="36"/>
      <c r="W506" s="36"/>
      <c r="X506" s="36"/>
      <c r="Y506" s="36"/>
      <c r="Z506" s="36"/>
    </row>
    <row r="507" ht="15.75" customHeight="1">
      <c r="A507" s="36"/>
      <c r="B507" s="36"/>
      <c r="C507" s="37"/>
      <c r="D507" s="37"/>
      <c r="E507" s="36"/>
      <c r="F507" s="36"/>
      <c r="G507" s="37"/>
      <c r="I507" s="37"/>
      <c r="J507" s="36"/>
      <c r="K507" s="36"/>
      <c r="L507" s="36"/>
      <c r="M507" s="36"/>
      <c r="N507" s="36"/>
      <c r="O507" s="36"/>
      <c r="P507" s="36"/>
      <c r="Q507" s="36"/>
      <c r="R507" s="36"/>
      <c r="S507" s="36"/>
      <c r="T507" s="36"/>
      <c r="U507" s="36"/>
      <c r="V507" s="36"/>
      <c r="W507" s="36"/>
      <c r="X507" s="36"/>
      <c r="Y507" s="36"/>
      <c r="Z507" s="36"/>
    </row>
    <row r="508" ht="15.75" customHeight="1">
      <c r="A508" s="36"/>
      <c r="B508" s="36"/>
      <c r="C508" s="37"/>
      <c r="D508" s="37"/>
      <c r="E508" s="36"/>
      <c r="F508" s="36"/>
      <c r="G508" s="37"/>
      <c r="I508" s="37"/>
      <c r="J508" s="36"/>
      <c r="K508" s="36"/>
      <c r="L508" s="36"/>
      <c r="M508" s="36"/>
      <c r="N508" s="36"/>
      <c r="O508" s="36"/>
      <c r="P508" s="36"/>
      <c r="Q508" s="36"/>
      <c r="R508" s="36"/>
      <c r="S508" s="36"/>
      <c r="T508" s="36"/>
      <c r="U508" s="36"/>
      <c r="V508" s="36"/>
      <c r="W508" s="36"/>
      <c r="X508" s="36"/>
      <c r="Y508" s="36"/>
      <c r="Z508" s="36"/>
    </row>
    <row r="509" ht="15.75" customHeight="1">
      <c r="A509" s="36"/>
      <c r="B509" s="36"/>
      <c r="C509" s="37"/>
      <c r="D509" s="37"/>
      <c r="E509" s="36"/>
      <c r="F509" s="36"/>
      <c r="G509" s="37"/>
      <c r="I509" s="37"/>
      <c r="J509" s="36"/>
      <c r="K509" s="36"/>
      <c r="L509" s="36"/>
      <c r="M509" s="36"/>
      <c r="N509" s="36"/>
      <c r="O509" s="36"/>
      <c r="P509" s="36"/>
      <c r="Q509" s="36"/>
      <c r="R509" s="36"/>
      <c r="S509" s="36"/>
      <c r="T509" s="36"/>
      <c r="U509" s="36"/>
      <c r="V509" s="36"/>
      <c r="W509" s="36"/>
      <c r="X509" s="36"/>
      <c r="Y509" s="36"/>
      <c r="Z509" s="36"/>
    </row>
    <row r="510" ht="15.75" customHeight="1">
      <c r="A510" s="36"/>
      <c r="B510" s="36"/>
      <c r="C510" s="37"/>
      <c r="D510" s="37"/>
      <c r="E510" s="36"/>
      <c r="F510" s="36"/>
      <c r="G510" s="37"/>
      <c r="I510" s="37"/>
      <c r="J510" s="36"/>
      <c r="K510" s="36"/>
      <c r="L510" s="36"/>
      <c r="M510" s="36"/>
      <c r="N510" s="36"/>
      <c r="O510" s="36"/>
      <c r="P510" s="36"/>
      <c r="Q510" s="36"/>
      <c r="R510" s="36"/>
      <c r="S510" s="36"/>
      <c r="T510" s="36"/>
      <c r="U510" s="36"/>
      <c r="V510" s="36"/>
      <c r="W510" s="36"/>
      <c r="X510" s="36"/>
      <c r="Y510" s="36"/>
      <c r="Z510" s="36"/>
    </row>
    <row r="511" ht="15.75" customHeight="1">
      <c r="A511" s="36"/>
      <c r="B511" s="36"/>
      <c r="C511" s="37"/>
      <c r="D511" s="37"/>
      <c r="E511" s="36"/>
      <c r="F511" s="36"/>
      <c r="G511" s="37"/>
      <c r="I511" s="37"/>
      <c r="J511" s="36"/>
      <c r="K511" s="36"/>
      <c r="L511" s="36"/>
      <c r="M511" s="36"/>
      <c r="N511" s="36"/>
      <c r="O511" s="36"/>
      <c r="P511" s="36"/>
      <c r="Q511" s="36"/>
      <c r="R511" s="36"/>
      <c r="S511" s="36"/>
      <c r="T511" s="36"/>
      <c r="U511" s="36"/>
      <c r="V511" s="36"/>
      <c r="W511" s="36"/>
      <c r="X511" s="36"/>
      <c r="Y511" s="36"/>
      <c r="Z511" s="36"/>
    </row>
    <row r="512" ht="15.75" customHeight="1">
      <c r="A512" s="36"/>
      <c r="B512" s="36"/>
      <c r="C512" s="37"/>
      <c r="D512" s="37"/>
      <c r="E512" s="36"/>
      <c r="F512" s="36"/>
      <c r="G512" s="37"/>
      <c r="I512" s="37"/>
      <c r="J512" s="36"/>
      <c r="K512" s="36"/>
      <c r="L512" s="36"/>
      <c r="M512" s="36"/>
      <c r="N512" s="36"/>
      <c r="O512" s="36"/>
      <c r="P512" s="36"/>
      <c r="Q512" s="36"/>
      <c r="R512" s="36"/>
      <c r="S512" s="36"/>
      <c r="T512" s="36"/>
      <c r="U512" s="36"/>
      <c r="V512" s="36"/>
      <c r="W512" s="36"/>
      <c r="X512" s="36"/>
      <c r="Y512" s="36"/>
      <c r="Z512" s="36"/>
    </row>
    <row r="513" ht="15.75" customHeight="1">
      <c r="A513" s="36"/>
      <c r="B513" s="36"/>
      <c r="C513" s="37"/>
      <c r="D513" s="37"/>
      <c r="E513" s="36"/>
      <c r="F513" s="36"/>
      <c r="G513" s="37"/>
      <c r="I513" s="37"/>
      <c r="J513" s="36"/>
      <c r="K513" s="36"/>
      <c r="L513" s="36"/>
      <c r="M513" s="36"/>
      <c r="N513" s="36"/>
      <c r="O513" s="36"/>
      <c r="P513" s="36"/>
      <c r="Q513" s="36"/>
      <c r="R513" s="36"/>
      <c r="S513" s="36"/>
      <c r="T513" s="36"/>
      <c r="U513" s="36"/>
      <c r="V513" s="36"/>
      <c r="W513" s="36"/>
      <c r="X513" s="36"/>
      <c r="Y513" s="36"/>
      <c r="Z513" s="36"/>
    </row>
    <row r="514" ht="15.75" customHeight="1">
      <c r="A514" s="36"/>
      <c r="B514" s="36"/>
      <c r="C514" s="37"/>
      <c r="D514" s="37"/>
      <c r="E514" s="36"/>
      <c r="F514" s="36"/>
      <c r="G514" s="37"/>
      <c r="I514" s="37"/>
      <c r="J514" s="36"/>
      <c r="K514" s="36"/>
      <c r="L514" s="36"/>
      <c r="M514" s="36"/>
      <c r="N514" s="36"/>
      <c r="O514" s="36"/>
      <c r="P514" s="36"/>
      <c r="Q514" s="36"/>
      <c r="R514" s="36"/>
      <c r="S514" s="36"/>
      <c r="T514" s="36"/>
      <c r="U514" s="36"/>
      <c r="V514" s="36"/>
      <c r="W514" s="36"/>
      <c r="X514" s="36"/>
      <c r="Y514" s="36"/>
      <c r="Z514" s="36"/>
    </row>
    <row r="515" ht="15.75" customHeight="1">
      <c r="A515" s="36"/>
      <c r="B515" s="36"/>
      <c r="C515" s="37"/>
      <c r="D515" s="37"/>
      <c r="E515" s="36"/>
      <c r="F515" s="36"/>
      <c r="G515" s="37"/>
      <c r="I515" s="37"/>
      <c r="J515" s="36"/>
      <c r="K515" s="36"/>
      <c r="L515" s="36"/>
      <c r="M515" s="36"/>
      <c r="N515" s="36"/>
      <c r="O515" s="36"/>
      <c r="P515" s="36"/>
      <c r="Q515" s="36"/>
      <c r="R515" s="36"/>
      <c r="S515" s="36"/>
      <c r="T515" s="36"/>
      <c r="U515" s="36"/>
      <c r="V515" s="36"/>
      <c r="W515" s="36"/>
      <c r="X515" s="36"/>
      <c r="Y515" s="36"/>
      <c r="Z515" s="36"/>
    </row>
    <row r="516" ht="15.75" customHeight="1">
      <c r="A516" s="36"/>
      <c r="B516" s="36"/>
      <c r="C516" s="37"/>
      <c r="D516" s="37"/>
      <c r="E516" s="36"/>
      <c r="F516" s="36"/>
      <c r="G516" s="37"/>
      <c r="I516" s="37"/>
      <c r="J516" s="36"/>
      <c r="K516" s="36"/>
      <c r="L516" s="36"/>
      <c r="M516" s="36"/>
      <c r="N516" s="36"/>
      <c r="O516" s="36"/>
      <c r="P516" s="36"/>
      <c r="Q516" s="36"/>
      <c r="R516" s="36"/>
      <c r="S516" s="36"/>
      <c r="T516" s="36"/>
      <c r="U516" s="36"/>
      <c r="V516" s="36"/>
      <c r="W516" s="36"/>
      <c r="X516" s="36"/>
      <c r="Y516" s="36"/>
      <c r="Z516" s="36"/>
    </row>
    <row r="517" ht="15.75" customHeight="1">
      <c r="A517" s="36"/>
      <c r="B517" s="36"/>
      <c r="C517" s="37"/>
      <c r="D517" s="37"/>
      <c r="E517" s="36"/>
      <c r="F517" s="36"/>
      <c r="G517" s="37"/>
      <c r="I517" s="37"/>
      <c r="J517" s="36"/>
      <c r="K517" s="36"/>
      <c r="L517" s="36"/>
      <c r="M517" s="36"/>
      <c r="N517" s="36"/>
      <c r="O517" s="36"/>
      <c r="P517" s="36"/>
      <c r="Q517" s="36"/>
      <c r="R517" s="36"/>
      <c r="S517" s="36"/>
      <c r="T517" s="36"/>
      <c r="U517" s="36"/>
      <c r="V517" s="36"/>
      <c r="W517" s="36"/>
      <c r="X517" s="36"/>
      <c r="Y517" s="36"/>
      <c r="Z517" s="36"/>
    </row>
    <row r="518" ht="15.75" customHeight="1">
      <c r="A518" s="36"/>
      <c r="B518" s="36"/>
      <c r="C518" s="37"/>
      <c r="D518" s="37"/>
      <c r="E518" s="36"/>
      <c r="F518" s="36"/>
      <c r="G518" s="37"/>
      <c r="I518" s="37"/>
      <c r="J518" s="36"/>
      <c r="K518" s="36"/>
      <c r="L518" s="36"/>
      <c r="M518" s="36"/>
      <c r="N518" s="36"/>
      <c r="O518" s="36"/>
      <c r="P518" s="36"/>
      <c r="Q518" s="36"/>
      <c r="R518" s="36"/>
      <c r="S518" s="36"/>
      <c r="T518" s="36"/>
      <c r="U518" s="36"/>
      <c r="V518" s="36"/>
      <c r="W518" s="36"/>
      <c r="X518" s="36"/>
      <c r="Y518" s="36"/>
      <c r="Z518" s="36"/>
    </row>
    <row r="519" ht="15.75" customHeight="1">
      <c r="A519" s="36"/>
      <c r="B519" s="36"/>
      <c r="C519" s="37"/>
      <c r="D519" s="37"/>
      <c r="E519" s="36"/>
      <c r="F519" s="36"/>
      <c r="G519" s="37"/>
      <c r="I519" s="37"/>
      <c r="J519" s="36"/>
      <c r="K519" s="36"/>
      <c r="L519" s="36"/>
      <c r="M519" s="36"/>
      <c r="N519" s="36"/>
      <c r="O519" s="36"/>
      <c r="P519" s="36"/>
      <c r="Q519" s="36"/>
      <c r="R519" s="36"/>
      <c r="S519" s="36"/>
      <c r="T519" s="36"/>
      <c r="U519" s="36"/>
      <c r="V519" s="36"/>
      <c r="W519" s="36"/>
      <c r="X519" s="36"/>
      <c r="Y519" s="36"/>
      <c r="Z519" s="36"/>
    </row>
    <row r="520" ht="15.75" customHeight="1">
      <c r="A520" s="36"/>
      <c r="B520" s="36"/>
      <c r="C520" s="37"/>
      <c r="D520" s="37"/>
      <c r="E520" s="36"/>
      <c r="F520" s="36"/>
      <c r="G520" s="37"/>
      <c r="I520" s="37"/>
      <c r="J520" s="36"/>
      <c r="K520" s="36"/>
      <c r="L520" s="36"/>
      <c r="M520" s="36"/>
      <c r="N520" s="36"/>
      <c r="O520" s="36"/>
      <c r="P520" s="36"/>
      <c r="Q520" s="36"/>
      <c r="R520" s="36"/>
      <c r="S520" s="36"/>
      <c r="T520" s="36"/>
      <c r="U520" s="36"/>
      <c r="V520" s="36"/>
      <c r="W520" s="36"/>
      <c r="X520" s="36"/>
      <c r="Y520" s="36"/>
      <c r="Z520" s="36"/>
    </row>
    <row r="521" ht="15.75" customHeight="1">
      <c r="A521" s="36"/>
      <c r="B521" s="36"/>
      <c r="C521" s="37"/>
      <c r="D521" s="37"/>
      <c r="E521" s="36"/>
      <c r="F521" s="36"/>
      <c r="G521" s="37"/>
      <c r="I521" s="37"/>
      <c r="J521" s="36"/>
      <c r="K521" s="36"/>
      <c r="L521" s="36"/>
      <c r="M521" s="36"/>
      <c r="N521" s="36"/>
      <c r="O521" s="36"/>
      <c r="P521" s="36"/>
      <c r="Q521" s="36"/>
      <c r="R521" s="36"/>
      <c r="S521" s="36"/>
      <c r="T521" s="36"/>
      <c r="U521" s="36"/>
      <c r="V521" s="36"/>
      <c r="W521" s="36"/>
      <c r="X521" s="36"/>
      <c r="Y521" s="36"/>
      <c r="Z521" s="36"/>
    </row>
    <row r="522" ht="15.75" customHeight="1">
      <c r="A522" s="36"/>
      <c r="B522" s="36"/>
      <c r="C522" s="37"/>
      <c r="D522" s="37"/>
      <c r="E522" s="36"/>
      <c r="F522" s="36"/>
      <c r="G522" s="37"/>
      <c r="I522" s="37"/>
      <c r="J522" s="36"/>
      <c r="K522" s="36"/>
      <c r="L522" s="36"/>
      <c r="M522" s="36"/>
      <c r="N522" s="36"/>
      <c r="O522" s="36"/>
      <c r="P522" s="36"/>
      <c r="Q522" s="36"/>
      <c r="R522" s="36"/>
      <c r="S522" s="36"/>
      <c r="T522" s="36"/>
      <c r="U522" s="36"/>
      <c r="V522" s="36"/>
      <c r="W522" s="36"/>
      <c r="X522" s="36"/>
      <c r="Y522" s="36"/>
      <c r="Z522" s="36"/>
    </row>
    <row r="523" ht="15.75" customHeight="1">
      <c r="A523" s="36"/>
      <c r="B523" s="36"/>
      <c r="C523" s="37"/>
      <c r="D523" s="37"/>
      <c r="E523" s="36"/>
      <c r="F523" s="36"/>
      <c r="G523" s="37"/>
      <c r="I523" s="37"/>
      <c r="J523" s="36"/>
      <c r="K523" s="36"/>
      <c r="L523" s="36"/>
      <c r="M523" s="36"/>
      <c r="N523" s="36"/>
      <c r="O523" s="36"/>
      <c r="P523" s="36"/>
      <c r="Q523" s="36"/>
      <c r="R523" s="36"/>
      <c r="S523" s="36"/>
      <c r="T523" s="36"/>
      <c r="U523" s="36"/>
      <c r="V523" s="36"/>
      <c r="W523" s="36"/>
      <c r="X523" s="36"/>
      <c r="Y523" s="36"/>
      <c r="Z523" s="36"/>
    </row>
    <row r="524" ht="15.75" customHeight="1">
      <c r="A524" s="36"/>
      <c r="B524" s="36"/>
      <c r="C524" s="37"/>
      <c r="D524" s="37"/>
      <c r="E524" s="36"/>
      <c r="F524" s="36"/>
      <c r="G524" s="37"/>
      <c r="I524" s="37"/>
      <c r="J524" s="36"/>
      <c r="K524" s="36"/>
      <c r="L524" s="36"/>
      <c r="M524" s="36"/>
      <c r="N524" s="36"/>
      <c r="O524" s="36"/>
      <c r="P524" s="36"/>
      <c r="Q524" s="36"/>
      <c r="R524" s="36"/>
      <c r="S524" s="36"/>
      <c r="T524" s="36"/>
      <c r="U524" s="36"/>
      <c r="V524" s="36"/>
      <c r="W524" s="36"/>
      <c r="X524" s="36"/>
      <c r="Y524" s="36"/>
      <c r="Z524" s="36"/>
    </row>
    <row r="525" ht="15.75" customHeight="1">
      <c r="A525" s="36"/>
      <c r="B525" s="36"/>
      <c r="C525" s="37"/>
      <c r="D525" s="37"/>
      <c r="E525" s="36"/>
      <c r="F525" s="36"/>
      <c r="G525" s="37"/>
      <c r="I525" s="37"/>
      <c r="J525" s="36"/>
      <c r="K525" s="36"/>
      <c r="L525" s="36"/>
      <c r="M525" s="36"/>
      <c r="N525" s="36"/>
      <c r="O525" s="36"/>
      <c r="P525" s="36"/>
      <c r="Q525" s="36"/>
      <c r="R525" s="36"/>
      <c r="S525" s="36"/>
      <c r="T525" s="36"/>
      <c r="U525" s="36"/>
      <c r="V525" s="36"/>
      <c r="W525" s="36"/>
      <c r="X525" s="36"/>
      <c r="Y525" s="36"/>
      <c r="Z525" s="36"/>
    </row>
    <row r="526" ht="15.75" customHeight="1">
      <c r="A526" s="36"/>
      <c r="B526" s="36"/>
      <c r="C526" s="37"/>
      <c r="D526" s="37"/>
      <c r="E526" s="36"/>
      <c r="F526" s="36"/>
      <c r="G526" s="37"/>
      <c r="I526" s="37"/>
      <c r="J526" s="36"/>
      <c r="K526" s="36"/>
      <c r="L526" s="36"/>
      <c r="M526" s="36"/>
      <c r="N526" s="36"/>
      <c r="O526" s="36"/>
      <c r="P526" s="36"/>
      <c r="Q526" s="36"/>
      <c r="R526" s="36"/>
      <c r="S526" s="36"/>
      <c r="T526" s="36"/>
      <c r="U526" s="36"/>
      <c r="V526" s="36"/>
      <c r="W526" s="36"/>
      <c r="X526" s="36"/>
      <c r="Y526" s="36"/>
      <c r="Z526" s="36"/>
    </row>
    <row r="527" ht="15.75" customHeight="1">
      <c r="A527" s="36"/>
      <c r="B527" s="36"/>
      <c r="C527" s="37"/>
      <c r="D527" s="37"/>
      <c r="E527" s="36"/>
      <c r="F527" s="36"/>
      <c r="G527" s="37"/>
      <c r="I527" s="37"/>
      <c r="J527" s="36"/>
      <c r="K527" s="36"/>
      <c r="L527" s="36"/>
      <c r="M527" s="36"/>
      <c r="N527" s="36"/>
      <c r="O527" s="36"/>
      <c r="P527" s="36"/>
      <c r="Q527" s="36"/>
      <c r="R527" s="36"/>
      <c r="S527" s="36"/>
      <c r="T527" s="36"/>
      <c r="U527" s="36"/>
      <c r="V527" s="36"/>
      <c r="W527" s="36"/>
      <c r="X527" s="36"/>
      <c r="Y527" s="36"/>
      <c r="Z527" s="36"/>
    </row>
    <row r="528" ht="15.75" customHeight="1">
      <c r="A528" s="36"/>
      <c r="B528" s="36"/>
      <c r="C528" s="37"/>
      <c r="D528" s="37"/>
      <c r="E528" s="36"/>
      <c r="F528" s="36"/>
      <c r="G528" s="37"/>
      <c r="I528" s="37"/>
      <c r="J528" s="36"/>
      <c r="K528" s="36"/>
      <c r="L528" s="36"/>
      <c r="M528" s="36"/>
      <c r="N528" s="36"/>
      <c r="O528" s="36"/>
      <c r="P528" s="36"/>
      <c r="Q528" s="36"/>
      <c r="R528" s="36"/>
      <c r="S528" s="36"/>
      <c r="T528" s="36"/>
      <c r="U528" s="36"/>
      <c r="V528" s="36"/>
      <c r="W528" s="36"/>
      <c r="X528" s="36"/>
      <c r="Y528" s="36"/>
      <c r="Z528" s="36"/>
    </row>
    <row r="529" ht="15.75" customHeight="1">
      <c r="A529" s="36"/>
      <c r="B529" s="36"/>
      <c r="C529" s="37"/>
      <c r="D529" s="37"/>
      <c r="E529" s="36"/>
      <c r="F529" s="36"/>
      <c r="G529" s="37"/>
      <c r="I529" s="37"/>
      <c r="J529" s="36"/>
      <c r="K529" s="36"/>
      <c r="L529" s="36"/>
      <c r="M529" s="36"/>
      <c r="N529" s="36"/>
      <c r="O529" s="36"/>
      <c r="P529" s="36"/>
      <c r="Q529" s="36"/>
      <c r="R529" s="36"/>
      <c r="S529" s="36"/>
      <c r="T529" s="36"/>
      <c r="U529" s="36"/>
      <c r="V529" s="36"/>
      <c r="W529" s="36"/>
      <c r="X529" s="36"/>
      <c r="Y529" s="36"/>
      <c r="Z529" s="36"/>
    </row>
    <row r="530" ht="15.75" customHeight="1">
      <c r="A530" s="36"/>
      <c r="B530" s="36"/>
      <c r="C530" s="37"/>
      <c r="D530" s="37"/>
      <c r="E530" s="36"/>
      <c r="F530" s="36"/>
      <c r="G530" s="37"/>
      <c r="I530" s="37"/>
      <c r="J530" s="36"/>
      <c r="K530" s="36"/>
      <c r="L530" s="36"/>
      <c r="M530" s="36"/>
      <c r="N530" s="36"/>
      <c r="O530" s="36"/>
      <c r="P530" s="36"/>
      <c r="Q530" s="36"/>
      <c r="R530" s="36"/>
      <c r="S530" s="36"/>
      <c r="T530" s="36"/>
      <c r="U530" s="36"/>
      <c r="V530" s="36"/>
      <c r="W530" s="36"/>
      <c r="X530" s="36"/>
      <c r="Y530" s="36"/>
      <c r="Z530" s="36"/>
    </row>
    <row r="531" ht="15.75" customHeight="1">
      <c r="A531" s="36"/>
      <c r="B531" s="36"/>
      <c r="C531" s="37"/>
      <c r="D531" s="37"/>
      <c r="E531" s="36"/>
      <c r="F531" s="36"/>
      <c r="G531" s="37"/>
      <c r="I531" s="37"/>
      <c r="J531" s="36"/>
      <c r="K531" s="36"/>
      <c r="L531" s="36"/>
      <c r="M531" s="36"/>
      <c r="N531" s="36"/>
      <c r="O531" s="36"/>
      <c r="P531" s="36"/>
      <c r="Q531" s="36"/>
      <c r="R531" s="36"/>
      <c r="S531" s="36"/>
      <c r="T531" s="36"/>
      <c r="U531" s="36"/>
      <c r="V531" s="36"/>
      <c r="W531" s="36"/>
      <c r="X531" s="36"/>
      <c r="Y531" s="36"/>
      <c r="Z531" s="36"/>
    </row>
    <row r="532" ht="15.75" customHeight="1">
      <c r="A532" s="36"/>
      <c r="B532" s="36"/>
      <c r="C532" s="37"/>
      <c r="D532" s="37"/>
      <c r="E532" s="36"/>
      <c r="F532" s="36"/>
      <c r="G532" s="37"/>
      <c r="I532" s="37"/>
      <c r="J532" s="36"/>
      <c r="K532" s="36"/>
      <c r="L532" s="36"/>
      <c r="M532" s="36"/>
      <c r="N532" s="36"/>
      <c r="O532" s="36"/>
      <c r="P532" s="36"/>
      <c r="Q532" s="36"/>
      <c r="R532" s="36"/>
      <c r="S532" s="36"/>
      <c r="T532" s="36"/>
      <c r="U532" s="36"/>
      <c r="V532" s="36"/>
      <c r="W532" s="36"/>
      <c r="X532" s="36"/>
      <c r="Y532" s="36"/>
      <c r="Z532" s="36"/>
    </row>
    <row r="533" ht="15.75" customHeight="1">
      <c r="A533" s="36"/>
      <c r="B533" s="36"/>
      <c r="C533" s="37"/>
      <c r="D533" s="37"/>
      <c r="E533" s="36"/>
      <c r="F533" s="36"/>
      <c r="G533" s="37"/>
      <c r="I533" s="37"/>
      <c r="J533" s="36"/>
      <c r="K533" s="36"/>
      <c r="L533" s="36"/>
      <c r="M533" s="36"/>
      <c r="N533" s="36"/>
      <c r="O533" s="36"/>
      <c r="P533" s="36"/>
      <c r="Q533" s="36"/>
      <c r="R533" s="36"/>
      <c r="S533" s="36"/>
      <c r="T533" s="36"/>
      <c r="U533" s="36"/>
      <c r="V533" s="36"/>
      <c r="W533" s="36"/>
      <c r="X533" s="36"/>
      <c r="Y533" s="36"/>
      <c r="Z533" s="36"/>
    </row>
    <row r="534" ht="15.75" customHeight="1">
      <c r="A534" s="36"/>
      <c r="B534" s="36"/>
      <c r="C534" s="37"/>
      <c r="D534" s="37"/>
      <c r="E534" s="36"/>
      <c r="F534" s="36"/>
      <c r="G534" s="37"/>
      <c r="I534" s="37"/>
      <c r="J534" s="36"/>
      <c r="K534" s="36"/>
      <c r="L534" s="36"/>
      <c r="M534" s="36"/>
      <c r="N534" s="36"/>
      <c r="O534" s="36"/>
      <c r="P534" s="36"/>
      <c r="Q534" s="36"/>
      <c r="R534" s="36"/>
      <c r="S534" s="36"/>
      <c r="T534" s="36"/>
      <c r="U534" s="36"/>
      <c r="V534" s="36"/>
      <c r="W534" s="36"/>
      <c r="X534" s="36"/>
      <c r="Y534" s="36"/>
      <c r="Z534" s="36"/>
    </row>
    <row r="535" ht="15.75" customHeight="1">
      <c r="A535" s="36"/>
      <c r="B535" s="36"/>
      <c r="C535" s="37"/>
      <c r="D535" s="37"/>
      <c r="E535" s="36"/>
      <c r="F535" s="36"/>
      <c r="G535" s="37"/>
      <c r="I535" s="37"/>
      <c r="J535" s="36"/>
      <c r="K535" s="36"/>
      <c r="L535" s="36"/>
      <c r="M535" s="36"/>
      <c r="N535" s="36"/>
      <c r="O535" s="36"/>
      <c r="P535" s="36"/>
      <c r="Q535" s="36"/>
      <c r="R535" s="36"/>
      <c r="S535" s="36"/>
      <c r="T535" s="36"/>
      <c r="U535" s="36"/>
      <c r="V535" s="36"/>
      <c r="W535" s="36"/>
      <c r="X535" s="36"/>
      <c r="Y535" s="36"/>
      <c r="Z535" s="36"/>
    </row>
    <row r="536" ht="15.75" customHeight="1">
      <c r="A536" s="36"/>
      <c r="B536" s="36"/>
      <c r="C536" s="37"/>
      <c r="D536" s="37"/>
      <c r="E536" s="36"/>
      <c r="F536" s="36"/>
      <c r="G536" s="37"/>
      <c r="I536" s="37"/>
      <c r="J536" s="36"/>
      <c r="K536" s="36"/>
      <c r="L536" s="36"/>
      <c r="M536" s="36"/>
      <c r="N536" s="36"/>
      <c r="O536" s="36"/>
      <c r="P536" s="36"/>
      <c r="Q536" s="36"/>
      <c r="R536" s="36"/>
      <c r="S536" s="36"/>
      <c r="T536" s="36"/>
      <c r="U536" s="36"/>
      <c r="V536" s="36"/>
      <c r="W536" s="36"/>
      <c r="X536" s="36"/>
      <c r="Y536" s="36"/>
      <c r="Z536" s="36"/>
    </row>
    <row r="537" ht="15.75" customHeight="1">
      <c r="A537" s="36"/>
      <c r="B537" s="36"/>
      <c r="C537" s="37"/>
      <c r="D537" s="37"/>
      <c r="E537" s="36"/>
      <c r="F537" s="36"/>
      <c r="G537" s="37"/>
      <c r="I537" s="37"/>
      <c r="J537" s="36"/>
      <c r="K537" s="36"/>
      <c r="L537" s="36"/>
      <c r="M537" s="36"/>
      <c r="N537" s="36"/>
      <c r="O537" s="36"/>
      <c r="P537" s="36"/>
      <c r="Q537" s="36"/>
      <c r="R537" s="36"/>
      <c r="S537" s="36"/>
      <c r="T537" s="36"/>
      <c r="U537" s="36"/>
      <c r="V537" s="36"/>
      <c r="W537" s="36"/>
      <c r="X537" s="36"/>
      <c r="Y537" s="36"/>
      <c r="Z537" s="36"/>
    </row>
    <row r="538" ht="15.75" customHeight="1">
      <c r="A538" s="36"/>
      <c r="B538" s="36"/>
      <c r="C538" s="37"/>
      <c r="D538" s="37"/>
      <c r="E538" s="36"/>
      <c r="F538" s="36"/>
      <c r="G538" s="37"/>
      <c r="I538" s="37"/>
      <c r="J538" s="36"/>
      <c r="K538" s="36"/>
      <c r="L538" s="36"/>
      <c r="M538" s="36"/>
      <c r="N538" s="36"/>
      <c r="O538" s="36"/>
      <c r="P538" s="36"/>
      <c r="Q538" s="36"/>
      <c r="R538" s="36"/>
      <c r="S538" s="36"/>
      <c r="T538" s="36"/>
      <c r="U538" s="36"/>
      <c r="V538" s="36"/>
      <c r="W538" s="36"/>
      <c r="X538" s="36"/>
      <c r="Y538" s="36"/>
      <c r="Z538" s="36"/>
    </row>
    <row r="539" ht="15.75" customHeight="1">
      <c r="A539" s="36"/>
      <c r="B539" s="36"/>
      <c r="C539" s="37"/>
      <c r="D539" s="37"/>
      <c r="E539" s="36"/>
      <c r="F539" s="36"/>
      <c r="G539" s="37"/>
      <c r="I539" s="37"/>
      <c r="J539" s="36"/>
      <c r="K539" s="36"/>
      <c r="L539" s="36"/>
      <c r="M539" s="36"/>
      <c r="N539" s="36"/>
      <c r="O539" s="36"/>
      <c r="P539" s="36"/>
      <c r="Q539" s="36"/>
      <c r="R539" s="36"/>
      <c r="S539" s="36"/>
      <c r="T539" s="36"/>
      <c r="U539" s="36"/>
      <c r="V539" s="36"/>
      <c r="W539" s="36"/>
      <c r="X539" s="36"/>
      <c r="Y539" s="36"/>
      <c r="Z539" s="36"/>
    </row>
    <row r="540" ht="15.75" customHeight="1">
      <c r="A540" s="36"/>
      <c r="B540" s="36"/>
      <c r="C540" s="37"/>
      <c r="D540" s="37"/>
      <c r="E540" s="36"/>
      <c r="F540" s="36"/>
      <c r="G540" s="37"/>
      <c r="I540" s="37"/>
      <c r="J540" s="36"/>
      <c r="K540" s="36"/>
      <c r="L540" s="36"/>
      <c r="M540" s="36"/>
      <c r="N540" s="36"/>
      <c r="O540" s="36"/>
      <c r="P540" s="36"/>
      <c r="Q540" s="36"/>
      <c r="R540" s="36"/>
      <c r="S540" s="36"/>
      <c r="T540" s="36"/>
      <c r="U540" s="36"/>
      <c r="V540" s="36"/>
      <c r="W540" s="36"/>
      <c r="X540" s="36"/>
      <c r="Y540" s="36"/>
      <c r="Z540" s="36"/>
    </row>
    <row r="541" ht="15.75" customHeight="1">
      <c r="A541" s="36"/>
      <c r="B541" s="36"/>
      <c r="C541" s="37"/>
      <c r="D541" s="37"/>
      <c r="E541" s="36"/>
      <c r="F541" s="36"/>
      <c r="G541" s="37"/>
      <c r="I541" s="37"/>
      <c r="J541" s="36"/>
      <c r="K541" s="36"/>
      <c r="L541" s="36"/>
      <c r="M541" s="36"/>
      <c r="N541" s="36"/>
      <c r="O541" s="36"/>
      <c r="P541" s="36"/>
      <c r="Q541" s="36"/>
      <c r="R541" s="36"/>
      <c r="S541" s="36"/>
      <c r="T541" s="36"/>
      <c r="U541" s="36"/>
      <c r="V541" s="36"/>
      <c r="W541" s="36"/>
      <c r="X541" s="36"/>
      <c r="Y541" s="36"/>
      <c r="Z541" s="36"/>
    </row>
    <row r="542" ht="15.75" customHeight="1">
      <c r="A542" s="36"/>
      <c r="B542" s="36"/>
      <c r="C542" s="37"/>
      <c r="D542" s="37"/>
      <c r="E542" s="36"/>
      <c r="F542" s="36"/>
      <c r="G542" s="37"/>
      <c r="I542" s="37"/>
      <c r="J542" s="36"/>
      <c r="K542" s="36"/>
      <c r="L542" s="36"/>
      <c r="M542" s="36"/>
      <c r="N542" s="36"/>
      <c r="O542" s="36"/>
      <c r="P542" s="36"/>
      <c r="Q542" s="36"/>
      <c r="R542" s="36"/>
      <c r="S542" s="36"/>
      <c r="T542" s="36"/>
      <c r="U542" s="36"/>
      <c r="V542" s="36"/>
      <c r="W542" s="36"/>
      <c r="X542" s="36"/>
      <c r="Y542" s="36"/>
      <c r="Z542" s="36"/>
    </row>
    <row r="543" ht="15.75" customHeight="1">
      <c r="A543" s="36"/>
      <c r="B543" s="36"/>
      <c r="C543" s="37"/>
      <c r="D543" s="37"/>
      <c r="E543" s="36"/>
      <c r="F543" s="36"/>
      <c r="G543" s="37"/>
      <c r="I543" s="37"/>
      <c r="J543" s="36"/>
      <c r="K543" s="36"/>
      <c r="L543" s="36"/>
      <c r="M543" s="36"/>
      <c r="N543" s="36"/>
      <c r="O543" s="36"/>
      <c r="P543" s="36"/>
      <c r="Q543" s="36"/>
      <c r="R543" s="36"/>
      <c r="S543" s="36"/>
      <c r="T543" s="36"/>
      <c r="U543" s="36"/>
      <c r="V543" s="36"/>
      <c r="W543" s="36"/>
      <c r="X543" s="36"/>
      <c r="Y543" s="36"/>
      <c r="Z543" s="36"/>
    </row>
    <row r="544" ht="15.75" customHeight="1">
      <c r="A544" s="36"/>
      <c r="B544" s="36"/>
      <c r="C544" s="37"/>
      <c r="D544" s="37"/>
      <c r="E544" s="36"/>
      <c r="F544" s="36"/>
      <c r="G544" s="37"/>
      <c r="I544" s="37"/>
      <c r="J544" s="36"/>
      <c r="K544" s="36"/>
      <c r="L544" s="36"/>
      <c r="M544" s="36"/>
      <c r="N544" s="36"/>
      <c r="O544" s="36"/>
      <c r="P544" s="36"/>
      <c r="Q544" s="36"/>
      <c r="R544" s="36"/>
      <c r="S544" s="36"/>
      <c r="T544" s="36"/>
      <c r="U544" s="36"/>
      <c r="V544" s="36"/>
      <c r="W544" s="36"/>
      <c r="X544" s="36"/>
      <c r="Y544" s="36"/>
      <c r="Z544" s="36"/>
    </row>
    <row r="545" ht="15.75" customHeight="1">
      <c r="A545" s="36"/>
      <c r="B545" s="36"/>
      <c r="C545" s="37"/>
      <c r="D545" s="37"/>
      <c r="E545" s="36"/>
      <c r="F545" s="36"/>
      <c r="G545" s="37"/>
      <c r="I545" s="37"/>
      <c r="J545" s="36"/>
      <c r="K545" s="36"/>
      <c r="L545" s="36"/>
      <c r="M545" s="36"/>
      <c r="N545" s="36"/>
      <c r="O545" s="36"/>
      <c r="P545" s="36"/>
      <c r="Q545" s="36"/>
      <c r="R545" s="36"/>
      <c r="S545" s="36"/>
      <c r="T545" s="36"/>
      <c r="U545" s="36"/>
      <c r="V545" s="36"/>
      <c r="W545" s="36"/>
      <c r="X545" s="36"/>
      <c r="Y545" s="36"/>
      <c r="Z545" s="36"/>
    </row>
    <row r="546" ht="15.75" customHeight="1">
      <c r="A546" s="36"/>
      <c r="B546" s="36"/>
      <c r="C546" s="37"/>
      <c r="D546" s="37"/>
      <c r="E546" s="36"/>
      <c r="F546" s="36"/>
      <c r="G546" s="37"/>
      <c r="I546" s="37"/>
      <c r="J546" s="36"/>
      <c r="K546" s="36"/>
      <c r="L546" s="36"/>
      <c r="M546" s="36"/>
      <c r="N546" s="36"/>
      <c r="O546" s="36"/>
      <c r="P546" s="36"/>
      <c r="Q546" s="36"/>
      <c r="R546" s="36"/>
      <c r="S546" s="36"/>
      <c r="T546" s="36"/>
      <c r="U546" s="36"/>
      <c r="V546" s="36"/>
      <c r="W546" s="36"/>
      <c r="X546" s="36"/>
      <c r="Y546" s="36"/>
      <c r="Z546" s="36"/>
    </row>
    <row r="547" ht="15.75" customHeight="1">
      <c r="A547" s="36"/>
      <c r="B547" s="36"/>
      <c r="C547" s="37"/>
      <c r="D547" s="37"/>
      <c r="E547" s="36"/>
      <c r="F547" s="36"/>
      <c r="G547" s="37"/>
      <c r="I547" s="37"/>
      <c r="J547" s="36"/>
      <c r="K547" s="36"/>
      <c r="L547" s="36"/>
      <c r="M547" s="36"/>
      <c r="N547" s="36"/>
      <c r="O547" s="36"/>
      <c r="P547" s="36"/>
      <c r="Q547" s="36"/>
      <c r="R547" s="36"/>
      <c r="S547" s="36"/>
      <c r="T547" s="36"/>
      <c r="U547" s="36"/>
      <c r="V547" s="36"/>
      <c r="W547" s="36"/>
      <c r="X547" s="36"/>
      <c r="Y547" s="36"/>
      <c r="Z547" s="36"/>
    </row>
    <row r="548" ht="15.75" customHeight="1">
      <c r="A548" s="36"/>
      <c r="B548" s="36"/>
      <c r="C548" s="37"/>
      <c r="D548" s="37"/>
      <c r="E548" s="36"/>
      <c r="F548" s="36"/>
      <c r="G548" s="37"/>
      <c r="I548" s="37"/>
      <c r="J548" s="36"/>
      <c r="K548" s="36"/>
      <c r="L548" s="36"/>
      <c r="M548" s="36"/>
      <c r="N548" s="36"/>
      <c r="O548" s="36"/>
      <c r="P548" s="36"/>
      <c r="Q548" s="36"/>
      <c r="R548" s="36"/>
      <c r="S548" s="36"/>
      <c r="T548" s="36"/>
      <c r="U548" s="36"/>
      <c r="V548" s="36"/>
      <c r="W548" s="36"/>
      <c r="X548" s="36"/>
      <c r="Y548" s="36"/>
      <c r="Z548" s="36"/>
    </row>
    <row r="549" ht="15.75" customHeight="1">
      <c r="A549" s="36"/>
      <c r="B549" s="36"/>
      <c r="C549" s="37"/>
      <c r="D549" s="37"/>
      <c r="E549" s="36"/>
      <c r="F549" s="36"/>
      <c r="G549" s="37"/>
      <c r="I549" s="37"/>
      <c r="J549" s="36"/>
      <c r="K549" s="36"/>
      <c r="L549" s="36"/>
      <c r="M549" s="36"/>
      <c r="N549" s="36"/>
      <c r="O549" s="36"/>
      <c r="P549" s="36"/>
      <c r="Q549" s="36"/>
      <c r="R549" s="36"/>
      <c r="S549" s="36"/>
      <c r="T549" s="36"/>
      <c r="U549" s="36"/>
      <c r="V549" s="36"/>
      <c r="W549" s="36"/>
      <c r="X549" s="36"/>
      <c r="Y549" s="36"/>
      <c r="Z549" s="36"/>
    </row>
    <row r="550" ht="15.75" customHeight="1">
      <c r="A550" s="36"/>
      <c r="B550" s="36"/>
      <c r="C550" s="37"/>
      <c r="D550" s="37"/>
      <c r="E550" s="36"/>
      <c r="F550" s="36"/>
      <c r="G550" s="37"/>
      <c r="I550" s="37"/>
      <c r="J550" s="36"/>
      <c r="K550" s="36"/>
      <c r="L550" s="36"/>
      <c r="M550" s="36"/>
      <c r="N550" s="36"/>
      <c r="O550" s="36"/>
      <c r="P550" s="36"/>
      <c r="Q550" s="36"/>
      <c r="R550" s="36"/>
      <c r="S550" s="36"/>
      <c r="T550" s="36"/>
      <c r="U550" s="36"/>
      <c r="V550" s="36"/>
      <c r="W550" s="36"/>
      <c r="X550" s="36"/>
      <c r="Y550" s="36"/>
      <c r="Z550" s="36"/>
    </row>
    <row r="551" ht="15.75" customHeight="1">
      <c r="A551" s="36"/>
      <c r="B551" s="36"/>
      <c r="C551" s="37"/>
      <c r="D551" s="37"/>
      <c r="E551" s="36"/>
      <c r="F551" s="36"/>
      <c r="G551" s="37"/>
      <c r="I551" s="37"/>
      <c r="J551" s="36"/>
      <c r="K551" s="36"/>
      <c r="L551" s="36"/>
      <c r="M551" s="36"/>
      <c r="N551" s="36"/>
      <c r="O551" s="36"/>
      <c r="P551" s="36"/>
      <c r="Q551" s="36"/>
      <c r="R551" s="36"/>
      <c r="S551" s="36"/>
      <c r="T551" s="36"/>
      <c r="U551" s="36"/>
      <c r="V551" s="36"/>
      <c r="W551" s="36"/>
      <c r="X551" s="36"/>
      <c r="Y551" s="36"/>
      <c r="Z551" s="36"/>
    </row>
    <row r="552" ht="15.75" customHeight="1">
      <c r="A552" s="36"/>
      <c r="B552" s="36"/>
      <c r="C552" s="37"/>
      <c r="D552" s="37"/>
      <c r="E552" s="36"/>
      <c r="F552" s="36"/>
      <c r="G552" s="37"/>
      <c r="I552" s="37"/>
      <c r="J552" s="36"/>
      <c r="K552" s="36"/>
      <c r="L552" s="36"/>
      <c r="M552" s="36"/>
      <c r="N552" s="36"/>
      <c r="O552" s="36"/>
      <c r="P552" s="36"/>
      <c r="Q552" s="36"/>
      <c r="R552" s="36"/>
      <c r="S552" s="36"/>
      <c r="T552" s="36"/>
      <c r="U552" s="36"/>
      <c r="V552" s="36"/>
      <c r="W552" s="36"/>
      <c r="X552" s="36"/>
      <c r="Y552" s="36"/>
      <c r="Z552" s="36"/>
    </row>
    <row r="553" ht="15.75" customHeight="1">
      <c r="A553" s="36"/>
      <c r="B553" s="36"/>
      <c r="C553" s="37"/>
      <c r="D553" s="37"/>
      <c r="E553" s="36"/>
      <c r="F553" s="36"/>
      <c r="G553" s="37"/>
      <c r="I553" s="37"/>
      <c r="J553" s="36"/>
      <c r="K553" s="36"/>
      <c r="L553" s="36"/>
      <c r="M553" s="36"/>
      <c r="N553" s="36"/>
      <c r="O553" s="36"/>
      <c r="P553" s="36"/>
      <c r="Q553" s="36"/>
      <c r="R553" s="36"/>
      <c r="S553" s="36"/>
      <c r="T553" s="36"/>
      <c r="U553" s="36"/>
      <c r="V553" s="36"/>
      <c r="W553" s="36"/>
      <c r="X553" s="36"/>
      <c r="Y553" s="36"/>
      <c r="Z553" s="36"/>
    </row>
    <row r="554" ht="15.75" customHeight="1">
      <c r="A554" s="36"/>
      <c r="B554" s="36"/>
      <c r="C554" s="37"/>
      <c r="D554" s="37"/>
      <c r="E554" s="36"/>
      <c r="F554" s="36"/>
      <c r="G554" s="37"/>
      <c r="I554" s="37"/>
      <c r="J554" s="36"/>
      <c r="K554" s="36"/>
      <c r="L554" s="36"/>
      <c r="M554" s="36"/>
      <c r="N554" s="36"/>
      <c r="O554" s="36"/>
      <c r="P554" s="36"/>
      <c r="Q554" s="36"/>
      <c r="R554" s="36"/>
      <c r="S554" s="36"/>
      <c r="T554" s="36"/>
      <c r="U554" s="36"/>
      <c r="V554" s="36"/>
      <c r="W554" s="36"/>
      <c r="X554" s="36"/>
      <c r="Y554" s="36"/>
      <c r="Z554" s="36"/>
    </row>
    <row r="555" ht="15.75" customHeight="1">
      <c r="A555" s="36"/>
      <c r="B555" s="36"/>
      <c r="C555" s="37"/>
      <c r="D555" s="37"/>
      <c r="E555" s="36"/>
      <c r="F555" s="36"/>
      <c r="G555" s="37"/>
      <c r="I555" s="37"/>
      <c r="J555" s="36"/>
      <c r="K555" s="36"/>
      <c r="L555" s="36"/>
      <c r="M555" s="36"/>
      <c r="N555" s="36"/>
      <c r="O555" s="36"/>
      <c r="P555" s="36"/>
      <c r="Q555" s="36"/>
      <c r="R555" s="36"/>
      <c r="S555" s="36"/>
      <c r="T555" s="36"/>
      <c r="U555" s="36"/>
      <c r="V555" s="36"/>
      <c r="W555" s="36"/>
      <c r="X555" s="36"/>
      <c r="Y555" s="36"/>
      <c r="Z555" s="36"/>
    </row>
    <row r="556" ht="15.75" customHeight="1">
      <c r="A556" s="36"/>
      <c r="B556" s="36"/>
      <c r="C556" s="37"/>
      <c r="D556" s="37"/>
      <c r="E556" s="36"/>
      <c r="F556" s="36"/>
      <c r="G556" s="37"/>
      <c r="I556" s="37"/>
      <c r="J556" s="36"/>
      <c r="K556" s="36"/>
      <c r="L556" s="36"/>
      <c r="M556" s="36"/>
      <c r="N556" s="36"/>
      <c r="O556" s="36"/>
      <c r="P556" s="36"/>
      <c r="Q556" s="36"/>
      <c r="R556" s="36"/>
      <c r="S556" s="36"/>
      <c r="T556" s="36"/>
      <c r="U556" s="36"/>
      <c r="V556" s="36"/>
      <c r="W556" s="36"/>
      <c r="X556" s="36"/>
      <c r="Y556" s="36"/>
      <c r="Z556" s="36"/>
    </row>
    <row r="557" ht="15.75" customHeight="1">
      <c r="A557" s="36"/>
      <c r="B557" s="36"/>
      <c r="C557" s="37"/>
      <c r="D557" s="37"/>
      <c r="E557" s="36"/>
      <c r="F557" s="36"/>
      <c r="G557" s="37"/>
      <c r="I557" s="37"/>
      <c r="J557" s="36"/>
      <c r="K557" s="36"/>
      <c r="L557" s="36"/>
      <c r="M557" s="36"/>
      <c r="N557" s="36"/>
      <c r="O557" s="36"/>
      <c r="P557" s="36"/>
      <c r="Q557" s="36"/>
      <c r="R557" s="36"/>
      <c r="S557" s="36"/>
      <c r="T557" s="36"/>
      <c r="U557" s="36"/>
      <c r="V557" s="36"/>
      <c r="W557" s="36"/>
      <c r="X557" s="36"/>
      <c r="Y557" s="36"/>
      <c r="Z557" s="36"/>
    </row>
    <row r="558" ht="15.75" customHeight="1">
      <c r="A558" s="36"/>
      <c r="B558" s="36"/>
      <c r="C558" s="37"/>
      <c r="D558" s="37"/>
      <c r="E558" s="36"/>
      <c r="F558" s="36"/>
      <c r="G558" s="37"/>
      <c r="I558" s="37"/>
      <c r="J558" s="36"/>
      <c r="K558" s="36"/>
      <c r="L558" s="36"/>
      <c r="M558" s="36"/>
      <c r="N558" s="36"/>
      <c r="O558" s="36"/>
      <c r="P558" s="36"/>
      <c r="Q558" s="36"/>
      <c r="R558" s="36"/>
      <c r="S558" s="36"/>
      <c r="T558" s="36"/>
      <c r="U558" s="36"/>
      <c r="V558" s="36"/>
      <c r="W558" s="36"/>
      <c r="X558" s="36"/>
      <c r="Y558" s="36"/>
      <c r="Z558" s="36"/>
    </row>
    <row r="559" ht="15.75" customHeight="1">
      <c r="A559" s="36"/>
      <c r="B559" s="36"/>
      <c r="C559" s="37"/>
      <c r="D559" s="37"/>
      <c r="E559" s="36"/>
      <c r="F559" s="36"/>
      <c r="G559" s="37"/>
      <c r="I559" s="37"/>
      <c r="J559" s="36"/>
      <c r="K559" s="36"/>
      <c r="L559" s="36"/>
      <c r="M559" s="36"/>
      <c r="N559" s="36"/>
      <c r="O559" s="36"/>
      <c r="P559" s="36"/>
      <c r="Q559" s="36"/>
      <c r="R559" s="36"/>
      <c r="S559" s="36"/>
      <c r="T559" s="36"/>
      <c r="U559" s="36"/>
      <c r="V559" s="36"/>
      <c r="W559" s="36"/>
      <c r="X559" s="36"/>
      <c r="Y559" s="36"/>
      <c r="Z559" s="36"/>
    </row>
    <row r="560" ht="15.75" customHeight="1">
      <c r="A560" s="36"/>
      <c r="B560" s="36"/>
      <c r="C560" s="37"/>
      <c r="D560" s="37"/>
      <c r="E560" s="36"/>
      <c r="F560" s="36"/>
      <c r="G560" s="37"/>
      <c r="I560" s="37"/>
      <c r="J560" s="36"/>
      <c r="K560" s="36"/>
      <c r="L560" s="36"/>
      <c r="M560" s="36"/>
      <c r="N560" s="36"/>
      <c r="O560" s="36"/>
      <c r="P560" s="36"/>
      <c r="Q560" s="36"/>
      <c r="R560" s="36"/>
      <c r="S560" s="36"/>
      <c r="T560" s="36"/>
      <c r="U560" s="36"/>
      <c r="V560" s="36"/>
      <c r="W560" s="36"/>
      <c r="X560" s="36"/>
      <c r="Y560" s="36"/>
      <c r="Z560" s="36"/>
    </row>
    <row r="561" ht="15.75" customHeight="1">
      <c r="A561" s="36"/>
      <c r="B561" s="36"/>
      <c r="C561" s="37"/>
      <c r="D561" s="37"/>
      <c r="E561" s="36"/>
      <c r="F561" s="36"/>
      <c r="G561" s="37"/>
      <c r="I561" s="37"/>
      <c r="J561" s="36"/>
      <c r="K561" s="36"/>
      <c r="L561" s="36"/>
      <c r="M561" s="36"/>
      <c r="N561" s="36"/>
      <c r="O561" s="36"/>
      <c r="P561" s="36"/>
      <c r="Q561" s="36"/>
      <c r="R561" s="36"/>
      <c r="S561" s="36"/>
      <c r="T561" s="36"/>
      <c r="U561" s="36"/>
      <c r="V561" s="36"/>
      <c r="W561" s="36"/>
      <c r="X561" s="36"/>
      <c r="Y561" s="36"/>
      <c r="Z561" s="36"/>
    </row>
    <row r="562" ht="15.75" customHeight="1">
      <c r="A562" s="36"/>
      <c r="B562" s="36"/>
      <c r="C562" s="37"/>
      <c r="D562" s="37"/>
      <c r="E562" s="36"/>
      <c r="F562" s="36"/>
      <c r="G562" s="37"/>
      <c r="I562" s="37"/>
      <c r="J562" s="36"/>
      <c r="K562" s="36"/>
      <c r="L562" s="36"/>
      <c r="M562" s="36"/>
      <c r="N562" s="36"/>
      <c r="O562" s="36"/>
      <c r="P562" s="36"/>
      <c r="Q562" s="36"/>
      <c r="R562" s="36"/>
      <c r="S562" s="36"/>
      <c r="T562" s="36"/>
      <c r="U562" s="36"/>
      <c r="V562" s="36"/>
      <c r="W562" s="36"/>
      <c r="X562" s="36"/>
      <c r="Y562" s="36"/>
      <c r="Z562" s="36"/>
    </row>
    <row r="563" ht="15.75" customHeight="1">
      <c r="A563" s="36"/>
      <c r="B563" s="36"/>
      <c r="C563" s="37"/>
      <c r="D563" s="37"/>
      <c r="E563" s="36"/>
      <c r="F563" s="36"/>
      <c r="G563" s="37"/>
      <c r="I563" s="37"/>
      <c r="J563" s="36"/>
      <c r="K563" s="36"/>
      <c r="L563" s="36"/>
      <c r="M563" s="36"/>
      <c r="N563" s="36"/>
      <c r="O563" s="36"/>
      <c r="P563" s="36"/>
      <c r="Q563" s="36"/>
      <c r="R563" s="36"/>
      <c r="S563" s="36"/>
      <c r="T563" s="36"/>
      <c r="U563" s="36"/>
      <c r="V563" s="36"/>
      <c r="W563" s="36"/>
      <c r="X563" s="36"/>
      <c r="Y563" s="36"/>
      <c r="Z563" s="36"/>
    </row>
    <row r="564" ht="15.75" customHeight="1">
      <c r="A564" s="36"/>
      <c r="B564" s="36"/>
      <c r="C564" s="37"/>
      <c r="D564" s="37"/>
      <c r="E564" s="36"/>
      <c r="F564" s="36"/>
      <c r="G564" s="37"/>
      <c r="I564" s="37"/>
      <c r="J564" s="36"/>
      <c r="K564" s="36"/>
      <c r="L564" s="36"/>
      <c r="M564" s="36"/>
      <c r="N564" s="36"/>
      <c r="O564" s="36"/>
      <c r="P564" s="36"/>
      <c r="Q564" s="36"/>
      <c r="R564" s="36"/>
      <c r="S564" s="36"/>
      <c r="T564" s="36"/>
      <c r="U564" s="36"/>
      <c r="V564" s="36"/>
      <c r="W564" s="36"/>
      <c r="X564" s="36"/>
      <c r="Y564" s="36"/>
      <c r="Z564" s="36"/>
    </row>
    <row r="565" ht="15.75" customHeight="1">
      <c r="A565" s="36"/>
      <c r="B565" s="36"/>
      <c r="C565" s="37"/>
      <c r="D565" s="37"/>
      <c r="E565" s="36"/>
      <c r="F565" s="36"/>
      <c r="G565" s="37"/>
      <c r="I565" s="37"/>
      <c r="J565" s="36"/>
      <c r="K565" s="36"/>
      <c r="L565" s="36"/>
      <c r="M565" s="36"/>
      <c r="N565" s="36"/>
      <c r="O565" s="36"/>
      <c r="P565" s="36"/>
      <c r="Q565" s="36"/>
      <c r="R565" s="36"/>
      <c r="S565" s="36"/>
      <c r="T565" s="36"/>
      <c r="U565" s="36"/>
      <c r="V565" s="36"/>
      <c r="W565" s="36"/>
      <c r="X565" s="36"/>
      <c r="Y565" s="36"/>
      <c r="Z565" s="36"/>
    </row>
    <row r="566" ht="15.75" customHeight="1">
      <c r="A566" s="36"/>
      <c r="B566" s="36"/>
      <c r="C566" s="37"/>
      <c r="D566" s="37"/>
      <c r="E566" s="36"/>
      <c r="F566" s="36"/>
      <c r="G566" s="37"/>
      <c r="I566" s="37"/>
      <c r="J566" s="36"/>
      <c r="K566" s="36"/>
      <c r="L566" s="36"/>
      <c r="M566" s="36"/>
      <c r="N566" s="36"/>
      <c r="O566" s="36"/>
      <c r="P566" s="36"/>
      <c r="Q566" s="36"/>
      <c r="R566" s="36"/>
      <c r="S566" s="36"/>
      <c r="T566" s="36"/>
      <c r="U566" s="36"/>
      <c r="V566" s="36"/>
      <c r="W566" s="36"/>
      <c r="X566" s="36"/>
      <c r="Y566" s="36"/>
      <c r="Z566" s="36"/>
    </row>
    <row r="567" ht="15.75" customHeight="1">
      <c r="A567" s="36"/>
      <c r="B567" s="36"/>
      <c r="C567" s="37"/>
      <c r="D567" s="37"/>
      <c r="E567" s="36"/>
      <c r="F567" s="36"/>
      <c r="G567" s="37"/>
      <c r="I567" s="37"/>
      <c r="J567" s="36"/>
      <c r="K567" s="36"/>
      <c r="L567" s="36"/>
      <c r="M567" s="36"/>
      <c r="N567" s="36"/>
      <c r="O567" s="36"/>
      <c r="P567" s="36"/>
      <c r="Q567" s="36"/>
      <c r="R567" s="36"/>
      <c r="S567" s="36"/>
      <c r="T567" s="36"/>
      <c r="U567" s="36"/>
      <c r="V567" s="36"/>
      <c r="W567" s="36"/>
      <c r="X567" s="36"/>
      <c r="Y567" s="36"/>
      <c r="Z567" s="36"/>
    </row>
    <row r="568" ht="15.75" customHeight="1">
      <c r="A568" s="36"/>
      <c r="B568" s="36"/>
      <c r="C568" s="37"/>
      <c r="D568" s="37"/>
      <c r="E568" s="36"/>
      <c r="F568" s="36"/>
      <c r="G568" s="37"/>
      <c r="I568" s="37"/>
      <c r="J568" s="36"/>
      <c r="K568" s="36"/>
      <c r="L568" s="36"/>
      <c r="M568" s="36"/>
      <c r="N568" s="36"/>
      <c r="O568" s="36"/>
      <c r="P568" s="36"/>
      <c r="Q568" s="36"/>
      <c r="R568" s="36"/>
      <c r="S568" s="36"/>
      <c r="T568" s="36"/>
      <c r="U568" s="36"/>
      <c r="V568" s="36"/>
      <c r="W568" s="36"/>
      <c r="X568" s="36"/>
      <c r="Y568" s="36"/>
      <c r="Z568" s="36"/>
    </row>
    <row r="569" ht="15.75" customHeight="1">
      <c r="A569" s="36"/>
      <c r="B569" s="36"/>
      <c r="C569" s="37"/>
      <c r="D569" s="37"/>
      <c r="E569" s="36"/>
      <c r="F569" s="36"/>
      <c r="G569" s="37"/>
      <c r="I569" s="37"/>
      <c r="J569" s="36"/>
      <c r="K569" s="36"/>
      <c r="L569" s="36"/>
      <c r="M569" s="36"/>
      <c r="N569" s="36"/>
      <c r="O569" s="36"/>
      <c r="P569" s="36"/>
      <c r="Q569" s="36"/>
      <c r="R569" s="36"/>
      <c r="S569" s="36"/>
      <c r="T569" s="36"/>
      <c r="U569" s="36"/>
      <c r="V569" s="36"/>
      <c r="W569" s="36"/>
      <c r="X569" s="36"/>
      <c r="Y569" s="36"/>
      <c r="Z569" s="36"/>
    </row>
    <row r="570" ht="15.75" customHeight="1">
      <c r="A570" s="36"/>
      <c r="B570" s="36"/>
      <c r="C570" s="37"/>
      <c r="D570" s="37"/>
      <c r="E570" s="36"/>
      <c r="F570" s="36"/>
      <c r="G570" s="37"/>
      <c r="I570" s="37"/>
      <c r="J570" s="36"/>
      <c r="K570" s="36"/>
      <c r="L570" s="36"/>
      <c r="M570" s="36"/>
      <c r="N570" s="36"/>
      <c r="O570" s="36"/>
      <c r="P570" s="36"/>
      <c r="Q570" s="36"/>
      <c r="R570" s="36"/>
      <c r="S570" s="36"/>
      <c r="T570" s="36"/>
      <c r="U570" s="36"/>
      <c r="V570" s="36"/>
      <c r="W570" s="36"/>
      <c r="X570" s="36"/>
      <c r="Y570" s="36"/>
      <c r="Z570" s="36"/>
    </row>
    <row r="571" ht="15.75" customHeight="1">
      <c r="A571" s="36"/>
      <c r="B571" s="36"/>
      <c r="C571" s="37"/>
      <c r="D571" s="37"/>
      <c r="E571" s="36"/>
      <c r="F571" s="36"/>
      <c r="G571" s="37"/>
      <c r="I571" s="37"/>
      <c r="J571" s="36"/>
      <c r="K571" s="36"/>
      <c r="L571" s="36"/>
      <c r="M571" s="36"/>
      <c r="N571" s="36"/>
      <c r="O571" s="36"/>
      <c r="P571" s="36"/>
      <c r="Q571" s="36"/>
      <c r="R571" s="36"/>
      <c r="S571" s="36"/>
      <c r="T571" s="36"/>
      <c r="U571" s="36"/>
      <c r="V571" s="36"/>
      <c r="W571" s="36"/>
      <c r="X571" s="36"/>
      <c r="Y571" s="36"/>
      <c r="Z571" s="36"/>
    </row>
    <row r="572" ht="15.75" customHeight="1">
      <c r="A572" s="36"/>
      <c r="B572" s="36"/>
      <c r="C572" s="37"/>
      <c r="D572" s="37"/>
      <c r="E572" s="36"/>
      <c r="F572" s="36"/>
      <c r="G572" s="37"/>
      <c r="I572" s="37"/>
      <c r="J572" s="36"/>
      <c r="K572" s="36"/>
      <c r="L572" s="36"/>
      <c r="M572" s="36"/>
      <c r="N572" s="36"/>
      <c r="O572" s="36"/>
      <c r="P572" s="36"/>
      <c r="Q572" s="36"/>
      <c r="R572" s="36"/>
      <c r="S572" s="36"/>
      <c r="T572" s="36"/>
      <c r="U572" s="36"/>
      <c r="V572" s="36"/>
      <c r="W572" s="36"/>
      <c r="X572" s="36"/>
      <c r="Y572" s="36"/>
      <c r="Z572" s="36"/>
    </row>
    <row r="573" ht="15.75" customHeight="1">
      <c r="A573" s="36"/>
      <c r="B573" s="36"/>
      <c r="C573" s="37"/>
      <c r="D573" s="37"/>
      <c r="E573" s="36"/>
      <c r="F573" s="36"/>
      <c r="G573" s="37"/>
      <c r="I573" s="37"/>
      <c r="J573" s="36"/>
      <c r="K573" s="36"/>
      <c r="L573" s="36"/>
      <c r="M573" s="36"/>
      <c r="N573" s="36"/>
      <c r="O573" s="36"/>
      <c r="P573" s="36"/>
      <c r="Q573" s="36"/>
      <c r="R573" s="36"/>
      <c r="S573" s="36"/>
      <c r="T573" s="36"/>
      <c r="U573" s="36"/>
      <c r="V573" s="36"/>
      <c r="W573" s="36"/>
      <c r="X573" s="36"/>
      <c r="Y573" s="36"/>
      <c r="Z573" s="36"/>
    </row>
    <row r="574" ht="15.75" customHeight="1">
      <c r="A574" s="36"/>
      <c r="B574" s="36"/>
      <c r="C574" s="37"/>
      <c r="D574" s="37"/>
      <c r="E574" s="36"/>
      <c r="F574" s="36"/>
      <c r="G574" s="37"/>
      <c r="I574" s="37"/>
      <c r="J574" s="36"/>
      <c r="K574" s="36"/>
      <c r="L574" s="36"/>
      <c r="M574" s="36"/>
      <c r="N574" s="36"/>
      <c r="O574" s="36"/>
      <c r="P574" s="36"/>
      <c r="Q574" s="36"/>
      <c r="R574" s="36"/>
      <c r="S574" s="36"/>
      <c r="T574" s="36"/>
      <c r="U574" s="36"/>
      <c r="V574" s="36"/>
      <c r="W574" s="36"/>
      <c r="X574" s="36"/>
      <c r="Y574" s="36"/>
      <c r="Z574" s="36"/>
    </row>
    <row r="575" ht="15.75" customHeight="1">
      <c r="A575" s="36"/>
      <c r="B575" s="36"/>
      <c r="C575" s="37"/>
      <c r="D575" s="37"/>
      <c r="E575" s="36"/>
      <c r="F575" s="36"/>
      <c r="G575" s="37"/>
      <c r="I575" s="37"/>
      <c r="J575" s="36"/>
      <c r="K575" s="36"/>
      <c r="L575" s="36"/>
      <c r="M575" s="36"/>
      <c r="N575" s="36"/>
      <c r="O575" s="36"/>
      <c r="P575" s="36"/>
      <c r="Q575" s="36"/>
      <c r="R575" s="36"/>
      <c r="S575" s="36"/>
      <c r="T575" s="36"/>
      <c r="U575" s="36"/>
      <c r="V575" s="36"/>
      <c r="W575" s="36"/>
      <c r="X575" s="36"/>
      <c r="Y575" s="36"/>
      <c r="Z575" s="36"/>
    </row>
    <row r="576" ht="15.75" customHeight="1">
      <c r="A576" s="36"/>
      <c r="B576" s="36"/>
      <c r="C576" s="37"/>
      <c r="D576" s="37"/>
      <c r="E576" s="36"/>
      <c r="F576" s="36"/>
      <c r="G576" s="37"/>
      <c r="I576" s="37"/>
      <c r="J576" s="36"/>
      <c r="K576" s="36"/>
      <c r="L576" s="36"/>
      <c r="M576" s="36"/>
      <c r="N576" s="36"/>
      <c r="O576" s="36"/>
      <c r="P576" s="36"/>
      <c r="Q576" s="36"/>
      <c r="R576" s="36"/>
      <c r="S576" s="36"/>
      <c r="T576" s="36"/>
      <c r="U576" s="36"/>
      <c r="V576" s="36"/>
      <c r="W576" s="36"/>
      <c r="X576" s="36"/>
      <c r="Y576" s="36"/>
      <c r="Z576" s="36"/>
    </row>
    <row r="577" ht="15.75" customHeight="1">
      <c r="A577" s="36"/>
      <c r="B577" s="36"/>
      <c r="C577" s="37"/>
      <c r="D577" s="37"/>
      <c r="E577" s="36"/>
      <c r="F577" s="36"/>
      <c r="G577" s="37"/>
      <c r="I577" s="37"/>
      <c r="J577" s="36"/>
      <c r="K577" s="36"/>
      <c r="L577" s="36"/>
      <c r="M577" s="36"/>
      <c r="N577" s="36"/>
      <c r="O577" s="36"/>
      <c r="P577" s="36"/>
      <c r="Q577" s="36"/>
      <c r="R577" s="36"/>
      <c r="S577" s="36"/>
      <c r="T577" s="36"/>
      <c r="U577" s="36"/>
      <c r="V577" s="36"/>
      <c r="W577" s="36"/>
      <c r="X577" s="36"/>
      <c r="Y577" s="36"/>
      <c r="Z577" s="36"/>
    </row>
    <row r="578" ht="15.75" customHeight="1">
      <c r="A578" s="36"/>
      <c r="B578" s="36"/>
      <c r="C578" s="37"/>
      <c r="D578" s="37"/>
      <c r="E578" s="36"/>
      <c r="F578" s="36"/>
      <c r="G578" s="37"/>
      <c r="I578" s="37"/>
      <c r="J578" s="36"/>
      <c r="K578" s="36"/>
      <c r="L578" s="36"/>
      <c r="M578" s="36"/>
      <c r="N578" s="36"/>
      <c r="O578" s="36"/>
      <c r="P578" s="36"/>
      <c r="Q578" s="36"/>
      <c r="R578" s="36"/>
      <c r="S578" s="36"/>
      <c r="T578" s="36"/>
      <c r="U578" s="36"/>
      <c r="V578" s="36"/>
      <c r="W578" s="36"/>
      <c r="X578" s="36"/>
      <c r="Y578" s="36"/>
      <c r="Z578" s="36"/>
    </row>
    <row r="579" ht="15.75" customHeight="1">
      <c r="A579" s="36"/>
      <c r="B579" s="36"/>
      <c r="C579" s="37"/>
      <c r="D579" s="37"/>
      <c r="E579" s="36"/>
      <c r="F579" s="36"/>
      <c r="G579" s="37"/>
      <c r="I579" s="37"/>
      <c r="J579" s="36"/>
      <c r="K579" s="36"/>
      <c r="L579" s="36"/>
      <c r="M579" s="36"/>
      <c r="N579" s="36"/>
      <c r="O579" s="36"/>
      <c r="P579" s="36"/>
      <c r="Q579" s="36"/>
      <c r="R579" s="36"/>
      <c r="S579" s="36"/>
      <c r="T579" s="36"/>
      <c r="U579" s="36"/>
      <c r="V579" s="36"/>
      <c r="W579" s="36"/>
      <c r="X579" s="36"/>
      <c r="Y579" s="36"/>
      <c r="Z579" s="36"/>
    </row>
    <row r="580" ht="15.75" customHeight="1">
      <c r="A580" s="36"/>
      <c r="B580" s="36"/>
      <c r="C580" s="37"/>
      <c r="D580" s="37"/>
      <c r="E580" s="36"/>
      <c r="F580" s="36"/>
      <c r="G580" s="37"/>
      <c r="I580" s="37"/>
      <c r="J580" s="36"/>
      <c r="K580" s="36"/>
      <c r="L580" s="36"/>
      <c r="M580" s="36"/>
      <c r="N580" s="36"/>
      <c r="O580" s="36"/>
      <c r="P580" s="36"/>
      <c r="Q580" s="36"/>
      <c r="R580" s="36"/>
      <c r="S580" s="36"/>
      <c r="T580" s="36"/>
      <c r="U580" s="36"/>
      <c r="V580" s="36"/>
      <c r="W580" s="36"/>
      <c r="X580" s="36"/>
      <c r="Y580" s="36"/>
      <c r="Z580" s="36"/>
    </row>
    <row r="581" ht="15.75" customHeight="1">
      <c r="A581" s="36"/>
      <c r="B581" s="36"/>
      <c r="C581" s="37"/>
      <c r="D581" s="37"/>
      <c r="E581" s="36"/>
      <c r="F581" s="36"/>
      <c r="G581" s="37"/>
      <c r="I581" s="37"/>
      <c r="J581" s="36"/>
      <c r="K581" s="36"/>
      <c r="L581" s="36"/>
      <c r="M581" s="36"/>
      <c r="N581" s="36"/>
      <c r="O581" s="36"/>
      <c r="P581" s="36"/>
      <c r="Q581" s="36"/>
      <c r="R581" s="36"/>
      <c r="S581" s="36"/>
      <c r="T581" s="36"/>
      <c r="U581" s="36"/>
      <c r="V581" s="36"/>
      <c r="W581" s="36"/>
      <c r="X581" s="36"/>
      <c r="Y581" s="36"/>
      <c r="Z581" s="36"/>
    </row>
    <row r="582" ht="15.75" customHeight="1">
      <c r="A582" s="36"/>
      <c r="B582" s="36"/>
      <c r="C582" s="37"/>
      <c r="D582" s="37"/>
      <c r="E582" s="36"/>
      <c r="F582" s="36"/>
      <c r="G582" s="37"/>
      <c r="I582" s="37"/>
      <c r="J582" s="36"/>
      <c r="K582" s="36"/>
      <c r="L582" s="36"/>
      <c r="M582" s="36"/>
      <c r="N582" s="36"/>
      <c r="O582" s="36"/>
      <c r="P582" s="36"/>
      <c r="Q582" s="36"/>
      <c r="R582" s="36"/>
      <c r="S582" s="36"/>
      <c r="T582" s="36"/>
      <c r="U582" s="36"/>
      <c r="V582" s="36"/>
      <c r="W582" s="36"/>
      <c r="X582" s="36"/>
      <c r="Y582" s="36"/>
      <c r="Z582" s="36"/>
    </row>
    <row r="583" ht="15.75" customHeight="1">
      <c r="A583" s="36"/>
      <c r="B583" s="36"/>
      <c r="C583" s="37"/>
      <c r="D583" s="37"/>
      <c r="E583" s="36"/>
      <c r="F583" s="36"/>
      <c r="G583" s="37"/>
      <c r="I583" s="37"/>
      <c r="J583" s="36"/>
      <c r="K583" s="36"/>
      <c r="L583" s="36"/>
      <c r="M583" s="36"/>
      <c r="N583" s="36"/>
      <c r="O583" s="36"/>
      <c r="P583" s="36"/>
      <c r="Q583" s="36"/>
      <c r="R583" s="36"/>
      <c r="S583" s="36"/>
      <c r="T583" s="36"/>
      <c r="U583" s="36"/>
      <c r="V583" s="36"/>
      <c r="W583" s="36"/>
      <c r="X583" s="36"/>
      <c r="Y583" s="36"/>
      <c r="Z583" s="36"/>
    </row>
    <row r="584" ht="15.75" customHeight="1">
      <c r="A584" s="36"/>
      <c r="B584" s="36"/>
      <c r="C584" s="37"/>
      <c r="D584" s="37"/>
      <c r="E584" s="36"/>
      <c r="F584" s="36"/>
      <c r="G584" s="37"/>
      <c r="I584" s="37"/>
      <c r="J584" s="36"/>
      <c r="K584" s="36"/>
      <c r="L584" s="36"/>
      <c r="M584" s="36"/>
      <c r="N584" s="36"/>
      <c r="O584" s="36"/>
      <c r="P584" s="36"/>
      <c r="Q584" s="36"/>
      <c r="R584" s="36"/>
      <c r="S584" s="36"/>
      <c r="T584" s="36"/>
      <c r="U584" s="36"/>
      <c r="V584" s="36"/>
      <c r="W584" s="36"/>
      <c r="X584" s="36"/>
      <c r="Y584" s="36"/>
      <c r="Z584" s="36"/>
    </row>
    <row r="585" ht="15.75" customHeight="1">
      <c r="A585" s="36"/>
      <c r="B585" s="36"/>
      <c r="C585" s="37"/>
      <c r="D585" s="37"/>
      <c r="E585" s="36"/>
      <c r="F585" s="36"/>
      <c r="G585" s="37"/>
      <c r="I585" s="37"/>
      <c r="J585" s="36"/>
      <c r="K585" s="36"/>
      <c r="L585" s="36"/>
      <c r="M585" s="36"/>
      <c r="N585" s="36"/>
      <c r="O585" s="36"/>
      <c r="P585" s="36"/>
      <c r="Q585" s="36"/>
      <c r="R585" s="36"/>
      <c r="S585" s="36"/>
      <c r="T585" s="36"/>
      <c r="U585" s="36"/>
      <c r="V585" s="36"/>
      <c r="W585" s="36"/>
      <c r="X585" s="36"/>
      <c r="Y585" s="36"/>
      <c r="Z585" s="36"/>
    </row>
    <row r="586" ht="15.75" customHeight="1">
      <c r="A586" s="36"/>
      <c r="B586" s="36"/>
      <c r="C586" s="37"/>
      <c r="D586" s="37"/>
      <c r="E586" s="36"/>
      <c r="F586" s="36"/>
      <c r="G586" s="37"/>
      <c r="I586" s="37"/>
      <c r="J586" s="36"/>
      <c r="K586" s="36"/>
      <c r="L586" s="36"/>
      <c r="M586" s="36"/>
      <c r="N586" s="36"/>
      <c r="O586" s="36"/>
      <c r="P586" s="36"/>
      <c r="Q586" s="36"/>
      <c r="R586" s="36"/>
      <c r="S586" s="36"/>
      <c r="T586" s="36"/>
      <c r="U586" s="36"/>
      <c r="V586" s="36"/>
      <c r="W586" s="36"/>
      <c r="X586" s="36"/>
      <c r="Y586" s="36"/>
      <c r="Z586" s="36"/>
    </row>
    <row r="587" ht="15.75" customHeight="1">
      <c r="A587" s="36"/>
      <c r="B587" s="36"/>
      <c r="C587" s="37"/>
      <c r="D587" s="37"/>
      <c r="E587" s="36"/>
      <c r="F587" s="36"/>
      <c r="G587" s="37"/>
      <c r="I587" s="37"/>
      <c r="J587" s="36"/>
      <c r="K587" s="36"/>
      <c r="L587" s="36"/>
      <c r="M587" s="36"/>
      <c r="N587" s="36"/>
      <c r="O587" s="36"/>
      <c r="P587" s="36"/>
      <c r="Q587" s="36"/>
      <c r="R587" s="36"/>
      <c r="S587" s="36"/>
      <c r="T587" s="36"/>
      <c r="U587" s="36"/>
      <c r="V587" s="36"/>
      <c r="W587" s="36"/>
      <c r="X587" s="36"/>
      <c r="Y587" s="36"/>
      <c r="Z587" s="36"/>
    </row>
    <row r="588" ht="15.75" customHeight="1">
      <c r="A588" s="36"/>
      <c r="B588" s="36"/>
      <c r="C588" s="37"/>
      <c r="D588" s="37"/>
      <c r="E588" s="36"/>
      <c r="F588" s="36"/>
      <c r="G588" s="37"/>
      <c r="I588" s="37"/>
      <c r="J588" s="36"/>
      <c r="K588" s="36"/>
      <c r="L588" s="36"/>
      <c r="M588" s="36"/>
      <c r="N588" s="36"/>
      <c r="O588" s="36"/>
      <c r="P588" s="36"/>
      <c r="Q588" s="36"/>
      <c r="R588" s="36"/>
      <c r="S588" s="36"/>
      <c r="T588" s="36"/>
      <c r="U588" s="36"/>
      <c r="V588" s="36"/>
      <c r="W588" s="36"/>
      <c r="X588" s="36"/>
      <c r="Y588" s="36"/>
      <c r="Z588" s="36"/>
    </row>
    <row r="589" ht="15.75" customHeight="1">
      <c r="A589" s="36"/>
      <c r="B589" s="36"/>
      <c r="C589" s="37"/>
      <c r="D589" s="37"/>
      <c r="E589" s="36"/>
      <c r="F589" s="36"/>
      <c r="G589" s="37"/>
      <c r="I589" s="37"/>
      <c r="J589" s="36"/>
      <c r="K589" s="36"/>
      <c r="L589" s="36"/>
      <c r="M589" s="36"/>
      <c r="N589" s="36"/>
      <c r="O589" s="36"/>
      <c r="P589" s="36"/>
      <c r="Q589" s="36"/>
      <c r="R589" s="36"/>
      <c r="S589" s="36"/>
      <c r="T589" s="36"/>
      <c r="U589" s="36"/>
      <c r="V589" s="36"/>
      <c r="W589" s="36"/>
      <c r="X589" s="36"/>
      <c r="Y589" s="36"/>
      <c r="Z589" s="36"/>
    </row>
    <row r="590" ht="15.75" customHeight="1">
      <c r="A590" s="36"/>
      <c r="B590" s="36"/>
      <c r="C590" s="37"/>
      <c r="D590" s="37"/>
      <c r="E590" s="36"/>
      <c r="F590" s="36"/>
      <c r="G590" s="37"/>
      <c r="I590" s="37"/>
      <c r="J590" s="36"/>
      <c r="K590" s="36"/>
      <c r="L590" s="36"/>
      <c r="M590" s="36"/>
      <c r="N590" s="36"/>
      <c r="O590" s="36"/>
      <c r="P590" s="36"/>
      <c r="Q590" s="36"/>
      <c r="R590" s="36"/>
      <c r="S590" s="36"/>
      <c r="T590" s="36"/>
      <c r="U590" s="36"/>
      <c r="V590" s="36"/>
      <c r="W590" s="36"/>
      <c r="X590" s="36"/>
      <c r="Y590" s="36"/>
      <c r="Z590" s="36"/>
    </row>
    <row r="591" ht="15.75" customHeight="1">
      <c r="A591" s="36"/>
      <c r="B591" s="36"/>
      <c r="C591" s="37"/>
      <c r="D591" s="37"/>
      <c r="E591" s="36"/>
      <c r="F591" s="36"/>
      <c r="G591" s="37"/>
      <c r="I591" s="37"/>
      <c r="J591" s="36"/>
      <c r="K591" s="36"/>
      <c r="L591" s="36"/>
      <c r="M591" s="36"/>
      <c r="N591" s="36"/>
      <c r="O591" s="36"/>
      <c r="P591" s="36"/>
      <c r="Q591" s="36"/>
      <c r="R591" s="36"/>
      <c r="S591" s="36"/>
      <c r="T591" s="36"/>
      <c r="U591" s="36"/>
      <c r="V591" s="36"/>
      <c r="W591" s="36"/>
      <c r="X591" s="36"/>
      <c r="Y591" s="36"/>
      <c r="Z591" s="36"/>
    </row>
    <row r="592" ht="15.75" customHeight="1">
      <c r="A592" s="36"/>
      <c r="B592" s="36"/>
      <c r="C592" s="37"/>
      <c r="D592" s="37"/>
      <c r="E592" s="36"/>
      <c r="F592" s="36"/>
      <c r="G592" s="37"/>
      <c r="I592" s="37"/>
      <c r="J592" s="36"/>
      <c r="K592" s="36"/>
      <c r="L592" s="36"/>
      <c r="M592" s="36"/>
      <c r="N592" s="36"/>
      <c r="O592" s="36"/>
      <c r="P592" s="36"/>
      <c r="Q592" s="36"/>
      <c r="R592" s="36"/>
      <c r="S592" s="36"/>
      <c r="T592" s="36"/>
      <c r="U592" s="36"/>
      <c r="V592" s="36"/>
      <c r="W592" s="36"/>
      <c r="X592" s="36"/>
      <c r="Y592" s="36"/>
      <c r="Z592" s="36"/>
    </row>
    <row r="593" ht="15.75" customHeight="1">
      <c r="A593" s="36"/>
      <c r="B593" s="36"/>
      <c r="C593" s="37"/>
      <c r="D593" s="37"/>
      <c r="E593" s="36"/>
      <c r="F593" s="36"/>
      <c r="G593" s="37"/>
      <c r="I593" s="37"/>
      <c r="J593" s="36"/>
      <c r="K593" s="36"/>
      <c r="L593" s="36"/>
      <c r="M593" s="36"/>
      <c r="N593" s="36"/>
      <c r="O593" s="36"/>
      <c r="P593" s="36"/>
      <c r="Q593" s="36"/>
      <c r="R593" s="36"/>
      <c r="S593" s="36"/>
      <c r="T593" s="36"/>
      <c r="U593" s="36"/>
      <c r="V593" s="36"/>
      <c r="W593" s="36"/>
      <c r="X593" s="36"/>
      <c r="Y593" s="36"/>
      <c r="Z593" s="36"/>
    </row>
    <row r="594" ht="15.75" customHeight="1">
      <c r="A594" s="36"/>
      <c r="B594" s="36"/>
      <c r="C594" s="37"/>
      <c r="D594" s="37"/>
      <c r="E594" s="36"/>
      <c r="F594" s="36"/>
      <c r="G594" s="37"/>
      <c r="I594" s="37"/>
      <c r="J594" s="36"/>
      <c r="K594" s="36"/>
      <c r="L594" s="36"/>
      <c r="M594" s="36"/>
      <c r="N594" s="36"/>
      <c r="O594" s="36"/>
      <c r="P594" s="36"/>
      <c r="Q594" s="36"/>
      <c r="R594" s="36"/>
      <c r="S594" s="36"/>
      <c r="T594" s="36"/>
      <c r="U594" s="36"/>
      <c r="V594" s="36"/>
      <c r="W594" s="36"/>
      <c r="X594" s="36"/>
      <c r="Y594" s="36"/>
      <c r="Z594" s="36"/>
    </row>
    <row r="595" ht="15.75" customHeight="1">
      <c r="A595" s="36"/>
      <c r="B595" s="36"/>
      <c r="C595" s="37"/>
      <c r="D595" s="37"/>
      <c r="E595" s="36"/>
      <c r="F595" s="36"/>
      <c r="G595" s="37"/>
      <c r="I595" s="37"/>
      <c r="J595" s="36"/>
      <c r="K595" s="36"/>
      <c r="L595" s="36"/>
      <c r="M595" s="36"/>
      <c r="N595" s="36"/>
      <c r="O595" s="36"/>
      <c r="P595" s="36"/>
      <c r="Q595" s="36"/>
      <c r="R595" s="36"/>
      <c r="S595" s="36"/>
      <c r="T595" s="36"/>
      <c r="U595" s="36"/>
      <c r="V595" s="36"/>
      <c r="W595" s="36"/>
      <c r="X595" s="36"/>
      <c r="Y595" s="36"/>
      <c r="Z595" s="36"/>
    </row>
    <row r="596" ht="15.75" customHeight="1">
      <c r="A596" s="36"/>
      <c r="B596" s="36"/>
      <c r="C596" s="37"/>
      <c r="D596" s="37"/>
      <c r="E596" s="36"/>
      <c r="F596" s="36"/>
      <c r="G596" s="37"/>
      <c r="I596" s="37"/>
      <c r="J596" s="36"/>
      <c r="K596" s="36"/>
      <c r="L596" s="36"/>
      <c r="M596" s="36"/>
      <c r="N596" s="36"/>
      <c r="O596" s="36"/>
      <c r="P596" s="36"/>
      <c r="Q596" s="36"/>
      <c r="R596" s="36"/>
      <c r="S596" s="36"/>
      <c r="T596" s="36"/>
      <c r="U596" s="36"/>
      <c r="V596" s="36"/>
      <c r="W596" s="36"/>
      <c r="X596" s="36"/>
      <c r="Y596" s="36"/>
      <c r="Z596" s="36"/>
    </row>
    <row r="597" ht="15.75" customHeight="1">
      <c r="A597" s="36"/>
      <c r="B597" s="36"/>
      <c r="C597" s="37"/>
      <c r="D597" s="37"/>
      <c r="E597" s="36"/>
      <c r="F597" s="36"/>
      <c r="G597" s="37"/>
      <c r="I597" s="37"/>
      <c r="J597" s="36"/>
      <c r="K597" s="36"/>
      <c r="L597" s="36"/>
      <c r="M597" s="36"/>
      <c r="N597" s="36"/>
      <c r="O597" s="36"/>
      <c r="P597" s="36"/>
      <c r="Q597" s="36"/>
      <c r="R597" s="36"/>
      <c r="S597" s="36"/>
      <c r="T597" s="36"/>
      <c r="U597" s="36"/>
      <c r="V597" s="36"/>
      <c r="W597" s="36"/>
      <c r="X597" s="36"/>
      <c r="Y597" s="36"/>
      <c r="Z597" s="36"/>
    </row>
    <row r="598" ht="15.75" customHeight="1">
      <c r="A598" s="36"/>
      <c r="B598" s="36"/>
      <c r="C598" s="37"/>
      <c r="D598" s="37"/>
      <c r="E598" s="36"/>
      <c r="F598" s="36"/>
      <c r="G598" s="37"/>
      <c r="I598" s="37"/>
      <c r="J598" s="36"/>
      <c r="K598" s="36"/>
      <c r="L598" s="36"/>
      <c r="M598" s="36"/>
      <c r="N598" s="36"/>
      <c r="O598" s="36"/>
      <c r="P598" s="36"/>
      <c r="Q598" s="36"/>
      <c r="R598" s="36"/>
      <c r="S598" s="36"/>
      <c r="T598" s="36"/>
      <c r="U598" s="36"/>
      <c r="V598" s="36"/>
      <c r="W598" s="36"/>
      <c r="X598" s="36"/>
      <c r="Y598" s="36"/>
      <c r="Z598" s="36"/>
    </row>
    <row r="599" ht="15.75" customHeight="1">
      <c r="A599" s="36"/>
      <c r="B599" s="36"/>
      <c r="C599" s="37"/>
      <c r="D599" s="37"/>
      <c r="E599" s="36"/>
      <c r="F599" s="36"/>
      <c r="G599" s="37"/>
      <c r="I599" s="37"/>
      <c r="J599" s="36"/>
      <c r="K599" s="36"/>
      <c r="L599" s="36"/>
      <c r="M599" s="36"/>
      <c r="N599" s="36"/>
      <c r="O599" s="36"/>
      <c r="P599" s="36"/>
      <c r="Q599" s="36"/>
      <c r="R599" s="36"/>
      <c r="S599" s="36"/>
      <c r="T599" s="36"/>
      <c r="U599" s="36"/>
      <c r="V599" s="36"/>
      <c r="W599" s="36"/>
      <c r="X599" s="36"/>
      <c r="Y599" s="36"/>
      <c r="Z599" s="36"/>
    </row>
    <row r="600" ht="15.75" customHeight="1">
      <c r="A600" s="36"/>
      <c r="B600" s="36"/>
      <c r="C600" s="37"/>
      <c r="D600" s="37"/>
      <c r="E600" s="36"/>
      <c r="F600" s="36"/>
      <c r="G600" s="37"/>
      <c r="I600" s="37"/>
      <c r="J600" s="36"/>
      <c r="K600" s="36"/>
      <c r="L600" s="36"/>
      <c r="M600" s="36"/>
      <c r="N600" s="36"/>
      <c r="O600" s="36"/>
      <c r="P600" s="36"/>
      <c r="Q600" s="36"/>
      <c r="R600" s="36"/>
      <c r="S600" s="36"/>
      <c r="T600" s="36"/>
      <c r="U600" s="36"/>
      <c r="V600" s="36"/>
      <c r="W600" s="36"/>
      <c r="X600" s="36"/>
      <c r="Y600" s="36"/>
      <c r="Z600" s="36"/>
    </row>
    <row r="601" ht="15.75" customHeight="1">
      <c r="A601" s="36"/>
      <c r="B601" s="36"/>
      <c r="C601" s="37"/>
      <c r="D601" s="37"/>
      <c r="E601" s="36"/>
      <c r="F601" s="36"/>
      <c r="G601" s="37"/>
      <c r="I601" s="37"/>
      <c r="J601" s="36"/>
      <c r="K601" s="36"/>
      <c r="L601" s="36"/>
      <c r="M601" s="36"/>
      <c r="N601" s="36"/>
      <c r="O601" s="36"/>
      <c r="P601" s="36"/>
      <c r="Q601" s="36"/>
      <c r="R601" s="36"/>
      <c r="S601" s="36"/>
      <c r="T601" s="36"/>
      <c r="U601" s="36"/>
      <c r="V601" s="36"/>
      <c r="W601" s="36"/>
      <c r="X601" s="36"/>
      <c r="Y601" s="36"/>
      <c r="Z601" s="36"/>
    </row>
    <row r="602" ht="15.75" customHeight="1">
      <c r="A602" s="36"/>
      <c r="B602" s="36"/>
      <c r="C602" s="37"/>
      <c r="D602" s="37"/>
      <c r="E602" s="36"/>
      <c r="F602" s="36"/>
      <c r="G602" s="37"/>
      <c r="I602" s="37"/>
      <c r="J602" s="36"/>
      <c r="K602" s="36"/>
      <c r="L602" s="36"/>
      <c r="M602" s="36"/>
      <c r="N602" s="36"/>
      <c r="O602" s="36"/>
      <c r="P602" s="36"/>
      <c r="Q602" s="36"/>
      <c r="R602" s="36"/>
      <c r="S602" s="36"/>
      <c r="T602" s="36"/>
      <c r="U602" s="36"/>
      <c r="V602" s="36"/>
      <c r="W602" s="36"/>
      <c r="X602" s="36"/>
      <c r="Y602" s="36"/>
      <c r="Z602" s="36"/>
    </row>
    <row r="603" ht="15.75" customHeight="1">
      <c r="A603" s="36"/>
      <c r="B603" s="36"/>
      <c r="C603" s="37"/>
      <c r="D603" s="37"/>
      <c r="E603" s="36"/>
      <c r="F603" s="36"/>
      <c r="G603" s="37"/>
      <c r="I603" s="37"/>
      <c r="J603" s="36"/>
      <c r="K603" s="36"/>
      <c r="L603" s="36"/>
      <c r="M603" s="36"/>
      <c r="N603" s="36"/>
      <c r="O603" s="36"/>
      <c r="P603" s="36"/>
      <c r="Q603" s="36"/>
      <c r="R603" s="36"/>
      <c r="S603" s="36"/>
      <c r="T603" s="36"/>
      <c r="U603" s="36"/>
      <c r="V603" s="36"/>
      <c r="W603" s="36"/>
      <c r="X603" s="36"/>
      <c r="Y603" s="36"/>
      <c r="Z603" s="36"/>
    </row>
    <row r="604" ht="15.75" customHeight="1">
      <c r="A604" s="36"/>
      <c r="B604" s="36"/>
      <c r="C604" s="37"/>
      <c r="D604" s="37"/>
      <c r="E604" s="36"/>
      <c r="F604" s="36"/>
      <c r="G604" s="37"/>
      <c r="I604" s="37"/>
      <c r="J604" s="36"/>
      <c r="K604" s="36"/>
      <c r="L604" s="36"/>
      <c r="M604" s="36"/>
      <c r="N604" s="36"/>
      <c r="O604" s="36"/>
      <c r="P604" s="36"/>
      <c r="Q604" s="36"/>
      <c r="R604" s="36"/>
      <c r="S604" s="36"/>
      <c r="T604" s="36"/>
      <c r="U604" s="36"/>
      <c r="V604" s="36"/>
      <c r="W604" s="36"/>
      <c r="X604" s="36"/>
      <c r="Y604" s="36"/>
      <c r="Z604" s="36"/>
    </row>
    <row r="605" ht="15.75" customHeight="1">
      <c r="A605" s="36"/>
      <c r="B605" s="36"/>
      <c r="C605" s="37"/>
      <c r="D605" s="37"/>
      <c r="E605" s="36"/>
      <c r="F605" s="36"/>
      <c r="G605" s="37"/>
      <c r="I605" s="37"/>
      <c r="J605" s="36"/>
      <c r="K605" s="36"/>
      <c r="L605" s="36"/>
      <c r="M605" s="36"/>
      <c r="N605" s="36"/>
      <c r="O605" s="36"/>
      <c r="P605" s="36"/>
      <c r="Q605" s="36"/>
      <c r="R605" s="36"/>
      <c r="S605" s="36"/>
      <c r="T605" s="36"/>
      <c r="U605" s="36"/>
      <c r="V605" s="36"/>
      <c r="W605" s="36"/>
      <c r="X605" s="36"/>
      <c r="Y605" s="36"/>
      <c r="Z605" s="36"/>
    </row>
    <row r="606" ht="15.75" customHeight="1">
      <c r="A606" s="36"/>
      <c r="B606" s="36"/>
      <c r="C606" s="37"/>
      <c r="D606" s="37"/>
      <c r="E606" s="36"/>
      <c r="F606" s="36"/>
      <c r="G606" s="37"/>
      <c r="I606" s="37"/>
      <c r="J606" s="36"/>
      <c r="K606" s="36"/>
      <c r="L606" s="36"/>
      <c r="M606" s="36"/>
      <c r="N606" s="36"/>
      <c r="O606" s="36"/>
      <c r="P606" s="36"/>
      <c r="Q606" s="36"/>
      <c r="R606" s="36"/>
      <c r="S606" s="36"/>
      <c r="T606" s="36"/>
      <c r="U606" s="36"/>
      <c r="V606" s="36"/>
      <c r="W606" s="36"/>
      <c r="X606" s="36"/>
      <c r="Y606" s="36"/>
      <c r="Z606" s="36"/>
    </row>
    <row r="607" ht="15.75" customHeight="1">
      <c r="A607" s="36"/>
      <c r="B607" s="36"/>
      <c r="C607" s="37"/>
      <c r="D607" s="37"/>
      <c r="E607" s="36"/>
      <c r="F607" s="36"/>
      <c r="G607" s="37"/>
      <c r="I607" s="37"/>
      <c r="J607" s="36"/>
      <c r="K607" s="36"/>
      <c r="L607" s="36"/>
      <c r="M607" s="36"/>
      <c r="N607" s="36"/>
      <c r="O607" s="36"/>
      <c r="P607" s="36"/>
      <c r="Q607" s="36"/>
      <c r="R607" s="36"/>
      <c r="S607" s="36"/>
      <c r="T607" s="36"/>
      <c r="U607" s="36"/>
      <c r="V607" s="36"/>
      <c r="W607" s="36"/>
      <c r="X607" s="36"/>
      <c r="Y607" s="36"/>
      <c r="Z607" s="36"/>
    </row>
    <row r="608" ht="15.75" customHeight="1">
      <c r="A608" s="36"/>
      <c r="B608" s="36"/>
      <c r="C608" s="37"/>
      <c r="D608" s="37"/>
      <c r="E608" s="36"/>
      <c r="F608" s="36"/>
      <c r="G608" s="37"/>
      <c r="I608" s="37"/>
      <c r="J608" s="36"/>
      <c r="K608" s="36"/>
      <c r="L608" s="36"/>
      <c r="M608" s="36"/>
      <c r="N608" s="36"/>
      <c r="O608" s="36"/>
      <c r="P608" s="36"/>
      <c r="Q608" s="36"/>
      <c r="R608" s="36"/>
      <c r="S608" s="36"/>
      <c r="T608" s="36"/>
      <c r="U608" s="36"/>
      <c r="V608" s="36"/>
      <c r="W608" s="36"/>
      <c r="X608" s="36"/>
      <c r="Y608" s="36"/>
      <c r="Z608" s="36"/>
    </row>
    <row r="609" ht="15.75" customHeight="1">
      <c r="A609" s="36"/>
      <c r="B609" s="36"/>
      <c r="C609" s="37"/>
      <c r="D609" s="37"/>
      <c r="E609" s="36"/>
      <c r="F609" s="36"/>
      <c r="G609" s="37"/>
      <c r="I609" s="37"/>
      <c r="J609" s="36"/>
      <c r="K609" s="36"/>
      <c r="L609" s="36"/>
      <c r="M609" s="36"/>
      <c r="N609" s="36"/>
      <c r="O609" s="36"/>
      <c r="P609" s="36"/>
      <c r="Q609" s="36"/>
      <c r="R609" s="36"/>
      <c r="S609" s="36"/>
      <c r="T609" s="36"/>
      <c r="U609" s="36"/>
      <c r="V609" s="36"/>
      <c r="W609" s="36"/>
      <c r="X609" s="36"/>
      <c r="Y609" s="36"/>
      <c r="Z609" s="36"/>
    </row>
    <row r="610" ht="15.75" customHeight="1">
      <c r="A610" s="36"/>
      <c r="B610" s="36"/>
      <c r="C610" s="37"/>
      <c r="D610" s="37"/>
      <c r="E610" s="36"/>
      <c r="F610" s="36"/>
      <c r="G610" s="37"/>
      <c r="I610" s="37"/>
      <c r="J610" s="36"/>
      <c r="K610" s="36"/>
      <c r="L610" s="36"/>
      <c r="M610" s="36"/>
      <c r="N610" s="36"/>
      <c r="O610" s="36"/>
      <c r="P610" s="36"/>
      <c r="Q610" s="36"/>
      <c r="R610" s="36"/>
      <c r="S610" s="36"/>
      <c r="T610" s="36"/>
      <c r="U610" s="36"/>
      <c r="V610" s="36"/>
      <c r="W610" s="36"/>
      <c r="X610" s="36"/>
      <c r="Y610" s="36"/>
      <c r="Z610" s="36"/>
    </row>
    <row r="611" ht="15.75" customHeight="1">
      <c r="A611" s="36"/>
      <c r="B611" s="36"/>
      <c r="C611" s="37"/>
      <c r="D611" s="37"/>
      <c r="E611" s="36"/>
      <c r="F611" s="36"/>
      <c r="G611" s="37"/>
      <c r="I611" s="37"/>
      <c r="J611" s="36"/>
      <c r="K611" s="36"/>
      <c r="L611" s="36"/>
      <c r="M611" s="36"/>
      <c r="N611" s="36"/>
      <c r="O611" s="36"/>
      <c r="P611" s="36"/>
      <c r="Q611" s="36"/>
      <c r="R611" s="36"/>
      <c r="S611" s="36"/>
      <c r="T611" s="36"/>
      <c r="U611" s="36"/>
      <c r="V611" s="36"/>
      <c r="W611" s="36"/>
      <c r="X611" s="36"/>
      <c r="Y611" s="36"/>
      <c r="Z611" s="36"/>
    </row>
    <row r="612" ht="15.75" customHeight="1">
      <c r="A612" s="36"/>
      <c r="B612" s="36"/>
      <c r="C612" s="37"/>
      <c r="D612" s="37"/>
      <c r="E612" s="36"/>
      <c r="F612" s="36"/>
      <c r="G612" s="37"/>
      <c r="I612" s="37"/>
      <c r="J612" s="36"/>
      <c r="K612" s="36"/>
      <c r="L612" s="36"/>
      <c r="M612" s="36"/>
      <c r="N612" s="36"/>
      <c r="O612" s="36"/>
      <c r="P612" s="36"/>
      <c r="Q612" s="36"/>
      <c r="R612" s="36"/>
      <c r="S612" s="36"/>
      <c r="T612" s="36"/>
      <c r="U612" s="36"/>
      <c r="V612" s="36"/>
      <c r="W612" s="36"/>
      <c r="X612" s="36"/>
      <c r="Y612" s="36"/>
      <c r="Z612" s="36"/>
    </row>
    <row r="613" ht="15.75" customHeight="1">
      <c r="A613" s="36"/>
      <c r="B613" s="36"/>
      <c r="C613" s="37"/>
      <c r="D613" s="37"/>
      <c r="E613" s="36"/>
      <c r="F613" s="36"/>
      <c r="G613" s="37"/>
      <c r="I613" s="37"/>
      <c r="J613" s="36"/>
      <c r="K613" s="36"/>
      <c r="L613" s="36"/>
      <c r="M613" s="36"/>
      <c r="N613" s="36"/>
      <c r="O613" s="36"/>
      <c r="P613" s="36"/>
      <c r="Q613" s="36"/>
      <c r="R613" s="36"/>
      <c r="S613" s="36"/>
      <c r="T613" s="36"/>
      <c r="U613" s="36"/>
      <c r="V613" s="36"/>
      <c r="W613" s="36"/>
      <c r="X613" s="36"/>
      <c r="Y613" s="36"/>
      <c r="Z613" s="36"/>
    </row>
    <row r="614" ht="15.75" customHeight="1">
      <c r="A614" s="36"/>
      <c r="B614" s="36"/>
      <c r="C614" s="37"/>
      <c r="D614" s="37"/>
      <c r="E614" s="36"/>
      <c r="F614" s="36"/>
      <c r="G614" s="37"/>
      <c r="I614" s="37"/>
      <c r="J614" s="36"/>
      <c r="K614" s="36"/>
      <c r="L614" s="36"/>
      <c r="M614" s="36"/>
      <c r="N614" s="36"/>
      <c r="O614" s="36"/>
      <c r="P614" s="36"/>
      <c r="Q614" s="36"/>
      <c r="R614" s="36"/>
      <c r="S614" s="36"/>
      <c r="T614" s="36"/>
      <c r="U614" s="36"/>
      <c r="V614" s="36"/>
      <c r="W614" s="36"/>
      <c r="X614" s="36"/>
      <c r="Y614" s="36"/>
      <c r="Z614" s="36"/>
    </row>
    <row r="615" ht="15.75" customHeight="1">
      <c r="A615" s="36"/>
      <c r="B615" s="36"/>
      <c r="C615" s="37"/>
      <c r="D615" s="37"/>
      <c r="E615" s="36"/>
      <c r="F615" s="36"/>
      <c r="G615" s="37"/>
      <c r="I615" s="37"/>
      <c r="J615" s="36"/>
      <c r="K615" s="36"/>
      <c r="L615" s="36"/>
      <c r="M615" s="36"/>
      <c r="N615" s="36"/>
      <c r="O615" s="36"/>
      <c r="P615" s="36"/>
      <c r="Q615" s="36"/>
      <c r="R615" s="36"/>
      <c r="S615" s="36"/>
      <c r="T615" s="36"/>
      <c r="U615" s="36"/>
      <c r="V615" s="36"/>
      <c r="W615" s="36"/>
      <c r="X615" s="36"/>
      <c r="Y615" s="36"/>
      <c r="Z615" s="36"/>
    </row>
    <row r="616" ht="15.75" customHeight="1">
      <c r="A616" s="36"/>
      <c r="B616" s="36"/>
      <c r="C616" s="37"/>
      <c r="D616" s="37"/>
      <c r="E616" s="36"/>
      <c r="F616" s="36"/>
      <c r="G616" s="37"/>
      <c r="I616" s="37"/>
      <c r="J616" s="36"/>
      <c r="K616" s="36"/>
      <c r="L616" s="36"/>
      <c r="M616" s="36"/>
      <c r="N616" s="36"/>
      <c r="O616" s="36"/>
      <c r="P616" s="36"/>
      <c r="Q616" s="36"/>
      <c r="R616" s="36"/>
      <c r="S616" s="36"/>
      <c r="T616" s="36"/>
      <c r="U616" s="36"/>
      <c r="V616" s="36"/>
      <c r="W616" s="36"/>
      <c r="X616" s="36"/>
      <c r="Y616" s="36"/>
      <c r="Z616" s="36"/>
    </row>
    <row r="617" ht="15.75" customHeight="1">
      <c r="A617" s="36"/>
      <c r="B617" s="36"/>
      <c r="C617" s="37"/>
      <c r="D617" s="37"/>
      <c r="E617" s="36"/>
      <c r="F617" s="36"/>
      <c r="G617" s="37"/>
      <c r="I617" s="37"/>
      <c r="J617" s="36"/>
      <c r="K617" s="36"/>
      <c r="L617" s="36"/>
      <c r="M617" s="36"/>
      <c r="N617" s="36"/>
      <c r="O617" s="36"/>
      <c r="P617" s="36"/>
      <c r="Q617" s="36"/>
      <c r="R617" s="36"/>
      <c r="S617" s="36"/>
      <c r="T617" s="36"/>
      <c r="U617" s="36"/>
      <c r="V617" s="36"/>
      <c r="W617" s="36"/>
      <c r="X617" s="36"/>
      <c r="Y617" s="36"/>
      <c r="Z617" s="36"/>
    </row>
    <row r="618" ht="15.75" customHeight="1">
      <c r="A618" s="36"/>
      <c r="B618" s="36"/>
      <c r="C618" s="37"/>
      <c r="D618" s="37"/>
      <c r="E618" s="36"/>
      <c r="F618" s="36"/>
      <c r="G618" s="37"/>
      <c r="I618" s="37"/>
      <c r="J618" s="36"/>
      <c r="K618" s="36"/>
      <c r="L618" s="36"/>
      <c r="M618" s="36"/>
      <c r="N618" s="36"/>
      <c r="O618" s="36"/>
      <c r="P618" s="36"/>
      <c r="Q618" s="36"/>
      <c r="R618" s="36"/>
      <c r="S618" s="36"/>
      <c r="T618" s="36"/>
      <c r="U618" s="36"/>
      <c r="V618" s="36"/>
      <c r="W618" s="36"/>
      <c r="X618" s="36"/>
      <c r="Y618" s="36"/>
      <c r="Z618" s="36"/>
    </row>
    <row r="619" ht="15.75" customHeight="1">
      <c r="A619" s="36"/>
      <c r="B619" s="36"/>
      <c r="C619" s="37"/>
      <c r="D619" s="37"/>
      <c r="E619" s="36"/>
      <c r="F619" s="36"/>
      <c r="G619" s="37"/>
      <c r="I619" s="37"/>
      <c r="J619" s="36"/>
      <c r="K619" s="36"/>
      <c r="L619" s="36"/>
      <c r="M619" s="36"/>
      <c r="N619" s="36"/>
      <c r="O619" s="36"/>
      <c r="P619" s="36"/>
      <c r="Q619" s="36"/>
      <c r="R619" s="36"/>
      <c r="S619" s="36"/>
      <c r="T619" s="36"/>
      <c r="U619" s="36"/>
      <c r="V619" s="36"/>
      <c r="W619" s="36"/>
      <c r="X619" s="36"/>
      <c r="Y619" s="36"/>
      <c r="Z619" s="36"/>
    </row>
    <row r="620" ht="15.75" customHeight="1">
      <c r="A620" s="36"/>
      <c r="B620" s="36"/>
      <c r="C620" s="37"/>
      <c r="D620" s="37"/>
      <c r="E620" s="36"/>
      <c r="F620" s="36"/>
      <c r="G620" s="37"/>
      <c r="I620" s="37"/>
      <c r="J620" s="36"/>
      <c r="K620" s="36"/>
      <c r="L620" s="36"/>
      <c r="M620" s="36"/>
      <c r="N620" s="36"/>
      <c r="O620" s="36"/>
      <c r="P620" s="36"/>
      <c r="Q620" s="36"/>
      <c r="R620" s="36"/>
      <c r="S620" s="36"/>
      <c r="T620" s="36"/>
      <c r="U620" s="36"/>
      <c r="V620" s="36"/>
      <c r="W620" s="36"/>
      <c r="X620" s="36"/>
      <c r="Y620" s="36"/>
      <c r="Z620" s="36"/>
    </row>
    <row r="621" ht="15.75" customHeight="1">
      <c r="A621" s="36"/>
      <c r="B621" s="36"/>
      <c r="C621" s="37"/>
      <c r="D621" s="37"/>
      <c r="E621" s="36"/>
      <c r="F621" s="36"/>
      <c r="G621" s="37"/>
      <c r="I621" s="37"/>
      <c r="J621" s="36"/>
      <c r="K621" s="36"/>
      <c r="L621" s="36"/>
      <c r="M621" s="36"/>
      <c r="N621" s="36"/>
      <c r="O621" s="36"/>
      <c r="P621" s="36"/>
      <c r="Q621" s="36"/>
      <c r="R621" s="36"/>
      <c r="S621" s="36"/>
      <c r="T621" s="36"/>
      <c r="U621" s="36"/>
      <c r="V621" s="36"/>
      <c r="W621" s="36"/>
      <c r="X621" s="36"/>
      <c r="Y621" s="36"/>
      <c r="Z621" s="36"/>
    </row>
    <row r="622" ht="15.75" customHeight="1">
      <c r="A622" s="36"/>
      <c r="B622" s="36"/>
      <c r="C622" s="37"/>
      <c r="D622" s="37"/>
      <c r="E622" s="36"/>
      <c r="F622" s="36"/>
      <c r="G622" s="37"/>
      <c r="I622" s="37"/>
      <c r="J622" s="36"/>
      <c r="K622" s="36"/>
      <c r="L622" s="36"/>
      <c r="M622" s="36"/>
      <c r="N622" s="36"/>
      <c r="O622" s="36"/>
      <c r="P622" s="36"/>
      <c r="Q622" s="36"/>
      <c r="R622" s="36"/>
      <c r="S622" s="36"/>
      <c r="T622" s="36"/>
      <c r="U622" s="36"/>
      <c r="V622" s="36"/>
      <c r="W622" s="36"/>
      <c r="X622" s="36"/>
      <c r="Y622" s="36"/>
      <c r="Z622" s="36"/>
    </row>
    <row r="623" ht="15.75" customHeight="1">
      <c r="A623" s="36"/>
      <c r="B623" s="36"/>
      <c r="C623" s="37"/>
      <c r="D623" s="37"/>
      <c r="E623" s="36"/>
      <c r="F623" s="36"/>
      <c r="G623" s="37"/>
      <c r="I623" s="37"/>
      <c r="J623" s="36"/>
      <c r="K623" s="36"/>
      <c r="L623" s="36"/>
      <c r="M623" s="36"/>
      <c r="N623" s="36"/>
      <c r="O623" s="36"/>
      <c r="P623" s="36"/>
      <c r="Q623" s="36"/>
      <c r="R623" s="36"/>
      <c r="S623" s="36"/>
      <c r="T623" s="36"/>
      <c r="U623" s="36"/>
      <c r="V623" s="36"/>
      <c r="W623" s="36"/>
      <c r="X623" s="36"/>
      <c r="Y623" s="36"/>
      <c r="Z623" s="36"/>
    </row>
    <row r="624" ht="15.75" customHeight="1">
      <c r="A624" s="36"/>
      <c r="B624" s="36"/>
      <c r="C624" s="37"/>
      <c r="D624" s="37"/>
      <c r="E624" s="36"/>
      <c r="F624" s="36"/>
      <c r="G624" s="37"/>
      <c r="I624" s="37"/>
      <c r="J624" s="36"/>
      <c r="K624" s="36"/>
      <c r="L624" s="36"/>
      <c r="M624" s="36"/>
      <c r="N624" s="36"/>
      <c r="O624" s="36"/>
      <c r="P624" s="36"/>
      <c r="Q624" s="36"/>
      <c r="R624" s="36"/>
      <c r="S624" s="36"/>
      <c r="T624" s="36"/>
      <c r="U624" s="36"/>
      <c r="V624" s="36"/>
      <c r="W624" s="36"/>
      <c r="X624" s="36"/>
      <c r="Y624" s="36"/>
      <c r="Z624" s="36"/>
    </row>
    <row r="625" ht="15.75" customHeight="1">
      <c r="A625" s="36"/>
      <c r="B625" s="36"/>
      <c r="C625" s="37"/>
      <c r="D625" s="37"/>
      <c r="E625" s="36"/>
      <c r="F625" s="36"/>
      <c r="G625" s="37"/>
      <c r="I625" s="37"/>
      <c r="J625" s="36"/>
      <c r="K625" s="36"/>
      <c r="L625" s="36"/>
      <c r="M625" s="36"/>
      <c r="N625" s="36"/>
      <c r="O625" s="36"/>
      <c r="P625" s="36"/>
      <c r="Q625" s="36"/>
      <c r="R625" s="36"/>
      <c r="S625" s="36"/>
      <c r="T625" s="36"/>
      <c r="U625" s="36"/>
      <c r="V625" s="36"/>
      <c r="W625" s="36"/>
      <c r="X625" s="36"/>
      <c r="Y625" s="36"/>
      <c r="Z625" s="36"/>
    </row>
    <row r="626" ht="15.75" customHeight="1">
      <c r="A626" s="36"/>
      <c r="B626" s="36"/>
      <c r="C626" s="37"/>
      <c r="D626" s="37"/>
      <c r="E626" s="36"/>
      <c r="F626" s="36"/>
      <c r="G626" s="37"/>
      <c r="I626" s="37"/>
      <c r="J626" s="36"/>
      <c r="K626" s="36"/>
      <c r="L626" s="36"/>
      <c r="M626" s="36"/>
      <c r="N626" s="36"/>
      <c r="O626" s="36"/>
      <c r="P626" s="36"/>
      <c r="Q626" s="36"/>
      <c r="R626" s="36"/>
      <c r="S626" s="36"/>
      <c r="T626" s="36"/>
      <c r="U626" s="36"/>
      <c r="V626" s="36"/>
      <c r="W626" s="36"/>
      <c r="X626" s="36"/>
      <c r="Y626" s="36"/>
      <c r="Z626" s="36"/>
    </row>
    <row r="627" ht="15.75" customHeight="1">
      <c r="A627" s="36"/>
      <c r="B627" s="36"/>
      <c r="C627" s="37"/>
      <c r="D627" s="37"/>
      <c r="E627" s="36"/>
      <c r="F627" s="36"/>
      <c r="G627" s="37"/>
      <c r="I627" s="37"/>
      <c r="J627" s="36"/>
      <c r="K627" s="36"/>
      <c r="L627" s="36"/>
      <c r="M627" s="36"/>
      <c r="N627" s="36"/>
      <c r="O627" s="36"/>
      <c r="P627" s="36"/>
      <c r="Q627" s="36"/>
      <c r="R627" s="36"/>
      <c r="S627" s="36"/>
      <c r="T627" s="36"/>
      <c r="U627" s="36"/>
      <c r="V627" s="36"/>
      <c r="W627" s="36"/>
      <c r="X627" s="36"/>
      <c r="Y627" s="36"/>
      <c r="Z627" s="36"/>
    </row>
    <row r="628" ht="15.75" customHeight="1">
      <c r="A628" s="36"/>
      <c r="B628" s="36"/>
      <c r="C628" s="37"/>
      <c r="D628" s="37"/>
      <c r="E628" s="36"/>
      <c r="F628" s="36"/>
      <c r="G628" s="37"/>
      <c r="I628" s="37"/>
      <c r="J628" s="36"/>
      <c r="K628" s="36"/>
      <c r="L628" s="36"/>
      <c r="M628" s="36"/>
      <c r="N628" s="36"/>
      <c r="O628" s="36"/>
      <c r="P628" s="36"/>
      <c r="Q628" s="36"/>
      <c r="R628" s="36"/>
      <c r="S628" s="36"/>
      <c r="T628" s="36"/>
      <c r="U628" s="36"/>
      <c r="V628" s="36"/>
      <c r="W628" s="36"/>
      <c r="X628" s="36"/>
      <c r="Y628" s="36"/>
      <c r="Z628" s="36"/>
    </row>
    <row r="629" ht="15.75" customHeight="1">
      <c r="A629" s="36"/>
      <c r="B629" s="36"/>
      <c r="C629" s="37"/>
      <c r="D629" s="37"/>
      <c r="E629" s="36"/>
      <c r="F629" s="36"/>
      <c r="G629" s="37"/>
      <c r="I629" s="37"/>
      <c r="J629" s="36"/>
      <c r="K629" s="36"/>
      <c r="L629" s="36"/>
      <c r="M629" s="36"/>
      <c r="N629" s="36"/>
      <c r="O629" s="36"/>
      <c r="P629" s="36"/>
      <c r="Q629" s="36"/>
      <c r="R629" s="36"/>
      <c r="S629" s="36"/>
      <c r="T629" s="36"/>
      <c r="U629" s="36"/>
      <c r="V629" s="36"/>
      <c r="W629" s="36"/>
      <c r="X629" s="36"/>
      <c r="Y629" s="36"/>
      <c r="Z629" s="36"/>
    </row>
    <row r="630" ht="15.75" customHeight="1">
      <c r="A630" s="36"/>
      <c r="B630" s="36"/>
      <c r="C630" s="37"/>
      <c r="D630" s="37"/>
      <c r="E630" s="36"/>
      <c r="F630" s="36"/>
      <c r="G630" s="37"/>
      <c r="I630" s="37"/>
      <c r="J630" s="36"/>
      <c r="K630" s="36"/>
      <c r="L630" s="36"/>
      <c r="M630" s="36"/>
      <c r="N630" s="36"/>
      <c r="O630" s="36"/>
      <c r="P630" s="36"/>
      <c r="Q630" s="36"/>
      <c r="R630" s="36"/>
      <c r="S630" s="36"/>
      <c r="T630" s="36"/>
      <c r="U630" s="36"/>
      <c r="V630" s="36"/>
      <c r="W630" s="36"/>
      <c r="X630" s="36"/>
      <c r="Y630" s="36"/>
      <c r="Z630" s="36"/>
    </row>
    <row r="631" ht="15.75" customHeight="1">
      <c r="A631" s="36"/>
      <c r="B631" s="36"/>
      <c r="C631" s="37"/>
      <c r="D631" s="37"/>
      <c r="E631" s="36"/>
      <c r="F631" s="36"/>
      <c r="G631" s="37"/>
      <c r="I631" s="37"/>
      <c r="J631" s="36"/>
      <c r="K631" s="36"/>
      <c r="L631" s="36"/>
      <c r="M631" s="36"/>
      <c r="N631" s="36"/>
      <c r="O631" s="36"/>
      <c r="P631" s="36"/>
      <c r="Q631" s="36"/>
      <c r="R631" s="36"/>
      <c r="S631" s="36"/>
      <c r="T631" s="36"/>
      <c r="U631" s="36"/>
      <c r="V631" s="36"/>
      <c r="W631" s="36"/>
      <c r="X631" s="36"/>
      <c r="Y631" s="36"/>
      <c r="Z631" s="36"/>
    </row>
    <row r="632" ht="15.75" customHeight="1">
      <c r="A632" s="36"/>
      <c r="B632" s="36"/>
      <c r="C632" s="37"/>
      <c r="D632" s="37"/>
      <c r="E632" s="36"/>
      <c r="F632" s="36"/>
      <c r="G632" s="37"/>
      <c r="I632" s="37"/>
      <c r="J632" s="36"/>
      <c r="K632" s="36"/>
      <c r="L632" s="36"/>
      <c r="M632" s="36"/>
      <c r="N632" s="36"/>
      <c r="O632" s="36"/>
      <c r="P632" s="36"/>
      <c r="Q632" s="36"/>
      <c r="R632" s="36"/>
      <c r="S632" s="36"/>
      <c r="T632" s="36"/>
      <c r="U632" s="36"/>
      <c r="V632" s="36"/>
      <c r="W632" s="36"/>
      <c r="X632" s="36"/>
      <c r="Y632" s="36"/>
      <c r="Z632" s="36"/>
    </row>
    <row r="633" ht="15.75" customHeight="1">
      <c r="A633" s="36"/>
      <c r="B633" s="36"/>
      <c r="C633" s="37"/>
      <c r="D633" s="37"/>
      <c r="E633" s="36"/>
      <c r="F633" s="36"/>
      <c r="G633" s="37"/>
      <c r="I633" s="37"/>
      <c r="J633" s="36"/>
      <c r="K633" s="36"/>
      <c r="L633" s="36"/>
      <c r="M633" s="36"/>
      <c r="N633" s="36"/>
      <c r="O633" s="36"/>
      <c r="P633" s="36"/>
      <c r="Q633" s="36"/>
      <c r="R633" s="36"/>
      <c r="S633" s="36"/>
      <c r="T633" s="36"/>
      <c r="U633" s="36"/>
      <c r="V633" s="36"/>
      <c r="W633" s="36"/>
      <c r="X633" s="36"/>
      <c r="Y633" s="36"/>
      <c r="Z633" s="36"/>
    </row>
    <row r="634" ht="15.75" customHeight="1">
      <c r="A634" s="36"/>
      <c r="B634" s="36"/>
      <c r="C634" s="37"/>
      <c r="D634" s="37"/>
      <c r="E634" s="36"/>
      <c r="F634" s="36"/>
      <c r="G634" s="37"/>
      <c r="I634" s="37"/>
      <c r="J634" s="36"/>
      <c r="K634" s="36"/>
      <c r="L634" s="36"/>
      <c r="M634" s="36"/>
      <c r="N634" s="36"/>
      <c r="O634" s="36"/>
      <c r="P634" s="36"/>
      <c r="Q634" s="36"/>
      <c r="R634" s="36"/>
      <c r="S634" s="36"/>
      <c r="T634" s="36"/>
      <c r="U634" s="36"/>
      <c r="V634" s="36"/>
      <c r="W634" s="36"/>
      <c r="X634" s="36"/>
      <c r="Y634" s="36"/>
      <c r="Z634" s="36"/>
    </row>
    <row r="635" ht="15.75" customHeight="1">
      <c r="A635" s="36"/>
      <c r="B635" s="36"/>
      <c r="C635" s="37"/>
      <c r="D635" s="37"/>
      <c r="E635" s="36"/>
      <c r="F635" s="36"/>
      <c r="G635" s="37"/>
      <c r="I635" s="37"/>
      <c r="J635" s="36"/>
      <c r="K635" s="36"/>
      <c r="L635" s="36"/>
      <c r="M635" s="36"/>
      <c r="N635" s="36"/>
      <c r="O635" s="36"/>
      <c r="P635" s="36"/>
      <c r="Q635" s="36"/>
      <c r="R635" s="36"/>
      <c r="S635" s="36"/>
      <c r="T635" s="36"/>
      <c r="U635" s="36"/>
      <c r="V635" s="36"/>
      <c r="W635" s="36"/>
      <c r="X635" s="36"/>
      <c r="Y635" s="36"/>
      <c r="Z635" s="36"/>
    </row>
    <row r="636" ht="15.75" customHeight="1">
      <c r="A636" s="36"/>
      <c r="B636" s="36"/>
      <c r="C636" s="37"/>
      <c r="D636" s="37"/>
      <c r="E636" s="36"/>
      <c r="F636" s="36"/>
      <c r="G636" s="37"/>
      <c r="I636" s="37"/>
      <c r="J636" s="36"/>
      <c r="K636" s="36"/>
      <c r="L636" s="36"/>
      <c r="M636" s="36"/>
      <c r="N636" s="36"/>
      <c r="O636" s="36"/>
      <c r="P636" s="36"/>
      <c r="Q636" s="36"/>
      <c r="R636" s="36"/>
      <c r="S636" s="36"/>
      <c r="T636" s="36"/>
      <c r="U636" s="36"/>
      <c r="V636" s="36"/>
      <c r="W636" s="36"/>
      <c r="X636" s="36"/>
      <c r="Y636" s="36"/>
      <c r="Z636" s="36"/>
    </row>
    <row r="637" ht="15.75" customHeight="1">
      <c r="A637" s="36"/>
      <c r="B637" s="36"/>
      <c r="C637" s="37"/>
      <c r="D637" s="37"/>
      <c r="E637" s="36"/>
      <c r="F637" s="36"/>
      <c r="G637" s="37"/>
      <c r="I637" s="37"/>
      <c r="J637" s="36"/>
      <c r="K637" s="36"/>
      <c r="L637" s="36"/>
      <c r="M637" s="36"/>
      <c r="N637" s="36"/>
      <c r="O637" s="36"/>
      <c r="P637" s="36"/>
      <c r="Q637" s="36"/>
      <c r="R637" s="36"/>
      <c r="S637" s="36"/>
      <c r="T637" s="36"/>
      <c r="U637" s="36"/>
      <c r="V637" s="36"/>
      <c r="W637" s="36"/>
      <c r="X637" s="36"/>
      <c r="Y637" s="36"/>
      <c r="Z637" s="36"/>
    </row>
    <row r="638" ht="15.75" customHeight="1">
      <c r="A638" s="36"/>
      <c r="B638" s="36"/>
      <c r="C638" s="37"/>
      <c r="D638" s="37"/>
      <c r="E638" s="36"/>
      <c r="F638" s="36"/>
      <c r="G638" s="37"/>
      <c r="I638" s="37"/>
      <c r="J638" s="36"/>
      <c r="K638" s="36"/>
      <c r="L638" s="36"/>
      <c r="M638" s="36"/>
      <c r="N638" s="36"/>
      <c r="O638" s="36"/>
      <c r="P638" s="36"/>
      <c r="Q638" s="36"/>
      <c r="R638" s="36"/>
      <c r="S638" s="36"/>
      <c r="T638" s="36"/>
      <c r="U638" s="36"/>
      <c r="V638" s="36"/>
      <c r="W638" s="36"/>
      <c r="X638" s="36"/>
      <c r="Y638" s="36"/>
      <c r="Z638" s="36"/>
    </row>
    <row r="639" ht="15.75" customHeight="1">
      <c r="A639" s="36"/>
      <c r="B639" s="36"/>
      <c r="C639" s="37"/>
      <c r="D639" s="37"/>
      <c r="E639" s="36"/>
      <c r="F639" s="36"/>
      <c r="G639" s="37"/>
      <c r="I639" s="37"/>
      <c r="J639" s="36"/>
      <c r="K639" s="36"/>
      <c r="L639" s="36"/>
      <c r="M639" s="36"/>
      <c r="N639" s="36"/>
      <c r="O639" s="36"/>
      <c r="P639" s="36"/>
      <c r="Q639" s="36"/>
      <c r="R639" s="36"/>
      <c r="S639" s="36"/>
      <c r="T639" s="36"/>
      <c r="U639" s="36"/>
      <c r="V639" s="36"/>
      <c r="W639" s="36"/>
      <c r="X639" s="36"/>
      <c r="Y639" s="36"/>
      <c r="Z639" s="36"/>
    </row>
    <row r="640" ht="15.75" customHeight="1">
      <c r="A640" s="36"/>
      <c r="B640" s="36"/>
      <c r="C640" s="37"/>
      <c r="D640" s="37"/>
      <c r="E640" s="36"/>
      <c r="F640" s="36"/>
      <c r="G640" s="37"/>
      <c r="I640" s="37"/>
      <c r="J640" s="36"/>
      <c r="K640" s="36"/>
      <c r="L640" s="36"/>
      <c r="M640" s="36"/>
      <c r="N640" s="36"/>
      <c r="O640" s="36"/>
      <c r="P640" s="36"/>
      <c r="Q640" s="36"/>
      <c r="R640" s="36"/>
      <c r="S640" s="36"/>
      <c r="T640" s="36"/>
      <c r="U640" s="36"/>
      <c r="V640" s="36"/>
      <c r="W640" s="36"/>
      <c r="X640" s="36"/>
      <c r="Y640" s="36"/>
      <c r="Z640" s="36"/>
    </row>
    <row r="641" ht="15.75" customHeight="1">
      <c r="A641" s="36"/>
      <c r="B641" s="36"/>
      <c r="C641" s="37"/>
      <c r="D641" s="37"/>
      <c r="E641" s="36"/>
      <c r="F641" s="36"/>
      <c r="G641" s="37"/>
      <c r="I641" s="37"/>
      <c r="J641" s="36"/>
      <c r="K641" s="36"/>
      <c r="L641" s="36"/>
      <c r="M641" s="36"/>
      <c r="N641" s="36"/>
      <c r="O641" s="36"/>
      <c r="P641" s="36"/>
      <c r="Q641" s="36"/>
      <c r="R641" s="36"/>
      <c r="S641" s="36"/>
      <c r="T641" s="36"/>
      <c r="U641" s="36"/>
      <c r="V641" s="36"/>
      <c r="W641" s="36"/>
      <c r="X641" s="36"/>
      <c r="Y641" s="36"/>
      <c r="Z641" s="36"/>
    </row>
    <row r="642" ht="15.75" customHeight="1">
      <c r="A642" s="36"/>
      <c r="B642" s="36"/>
      <c r="C642" s="37"/>
      <c r="D642" s="37"/>
      <c r="E642" s="36"/>
      <c r="F642" s="36"/>
      <c r="G642" s="37"/>
      <c r="I642" s="37"/>
      <c r="J642" s="36"/>
      <c r="K642" s="36"/>
      <c r="L642" s="36"/>
      <c r="M642" s="36"/>
      <c r="N642" s="36"/>
      <c r="O642" s="36"/>
      <c r="P642" s="36"/>
      <c r="Q642" s="36"/>
      <c r="R642" s="36"/>
      <c r="S642" s="36"/>
      <c r="T642" s="36"/>
      <c r="U642" s="36"/>
      <c r="V642" s="36"/>
      <c r="W642" s="36"/>
      <c r="X642" s="36"/>
      <c r="Y642" s="36"/>
      <c r="Z642" s="36"/>
    </row>
    <row r="643" ht="15.75" customHeight="1">
      <c r="A643" s="36"/>
      <c r="B643" s="36"/>
      <c r="C643" s="37"/>
      <c r="D643" s="37"/>
      <c r="E643" s="36"/>
      <c r="F643" s="36"/>
      <c r="G643" s="37"/>
      <c r="I643" s="37"/>
      <c r="J643" s="36"/>
      <c r="K643" s="36"/>
      <c r="L643" s="36"/>
      <c r="M643" s="36"/>
      <c r="N643" s="36"/>
      <c r="O643" s="36"/>
      <c r="P643" s="36"/>
      <c r="Q643" s="36"/>
      <c r="R643" s="36"/>
      <c r="S643" s="36"/>
      <c r="T643" s="36"/>
      <c r="U643" s="36"/>
      <c r="V643" s="36"/>
      <c r="W643" s="36"/>
      <c r="X643" s="36"/>
      <c r="Y643" s="36"/>
      <c r="Z643" s="36"/>
    </row>
    <row r="644" ht="15.75" customHeight="1">
      <c r="A644" s="36"/>
      <c r="B644" s="36"/>
      <c r="C644" s="37"/>
      <c r="D644" s="37"/>
      <c r="E644" s="36"/>
      <c r="F644" s="36"/>
      <c r="G644" s="37"/>
      <c r="I644" s="37"/>
      <c r="J644" s="36"/>
      <c r="K644" s="36"/>
      <c r="L644" s="36"/>
      <c r="M644" s="36"/>
      <c r="N644" s="36"/>
      <c r="O644" s="36"/>
      <c r="P644" s="36"/>
      <c r="Q644" s="36"/>
      <c r="R644" s="36"/>
      <c r="S644" s="36"/>
      <c r="T644" s="36"/>
      <c r="U644" s="36"/>
      <c r="V644" s="36"/>
      <c r="W644" s="36"/>
      <c r="X644" s="36"/>
      <c r="Y644" s="36"/>
      <c r="Z644" s="36"/>
    </row>
    <row r="645" ht="15.75" customHeight="1">
      <c r="A645" s="36"/>
      <c r="B645" s="36"/>
      <c r="C645" s="37"/>
      <c r="D645" s="37"/>
      <c r="E645" s="36"/>
      <c r="F645" s="36"/>
      <c r="G645" s="37"/>
      <c r="I645" s="37"/>
      <c r="J645" s="36"/>
      <c r="K645" s="36"/>
      <c r="L645" s="36"/>
      <c r="M645" s="36"/>
      <c r="N645" s="36"/>
      <c r="O645" s="36"/>
      <c r="P645" s="36"/>
      <c r="Q645" s="36"/>
      <c r="R645" s="36"/>
      <c r="S645" s="36"/>
      <c r="T645" s="36"/>
      <c r="U645" s="36"/>
      <c r="V645" s="36"/>
      <c r="W645" s="36"/>
      <c r="X645" s="36"/>
      <c r="Y645" s="36"/>
      <c r="Z645" s="36"/>
    </row>
    <row r="646" ht="15.75" customHeight="1">
      <c r="A646" s="36"/>
      <c r="B646" s="36"/>
      <c r="C646" s="37"/>
      <c r="D646" s="37"/>
      <c r="E646" s="36"/>
      <c r="F646" s="36"/>
      <c r="G646" s="37"/>
      <c r="I646" s="37"/>
      <c r="J646" s="36"/>
      <c r="K646" s="36"/>
      <c r="L646" s="36"/>
      <c r="M646" s="36"/>
      <c r="N646" s="36"/>
      <c r="O646" s="36"/>
      <c r="P646" s="36"/>
      <c r="Q646" s="36"/>
      <c r="R646" s="36"/>
      <c r="S646" s="36"/>
      <c r="T646" s="36"/>
      <c r="U646" s="36"/>
      <c r="V646" s="36"/>
      <c r="W646" s="36"/>
      <c r="X646" s="36"/>
      <c r="Y646" s="36"/>
      <c r="Z646" s="36"/>
    </row>
    <row r="647" ht="15.75" customHeight="1">
      <c r="A647" s="36"/>
      <c r="B647" s="36"/>
      <c r="C647" s="37"/>
      <c r="D647" s="37"/>
      <c r="E647" s="36"/>
      <c r="F647" s="36"/>
      <c r="G647" s="37"/>
      <c r="I647" s="37"/>
      <c r="J647" s="36"/>
      <c r="K647" s="36"/>
      <c r="L647" s="36"/>
      <c r="M647" s="36"/>
      <c r="N647" s="36"/>
      <c r="O647" s="36"/>
      <c r="P647" s="36"/>
      <c r="Q647" s="36"/>
      <c r="R647" s="36"/>
      <c r="S647" s="36"/>
      <c r="T647" s="36"/>
      <c r="U647" s="36"/>
      <c r="V647" s="36"/>
      <c r="W647" s="36"/>
      <c r="X647" s="36"/>
      <c r="Y647" s="36"/>
      <c r="Z647" s="36"/>
    </row>
    <row r="648" ht="15.75" customHeight="1">
      <c r="A648" s="36"/>
      <c r="B648" s="36"/>
      <c r="C648" s="37"/>
      <c r="D648" s="37"/>
      <c r="E648" s="36"/>
      <c r="F648" s="36"/>
      <c r="G648" s="37"/>
      <c r="I648" s="37"/>
      <c r="J648" s="36"/>
      <c r="K648" s="36"/>
      <c r="L648" s="36"/>
      <c r="M648" s="36"/>
      <c r="N648" s="36"/>
      <c r="O648" s="36"/>
      <c r="P648" s="36"/>
      <c r="Q648" s="36"/>
      <c r="R648" s="36"/>
      <c r="S648" s="36"/>
      <c r="T648" s="36"/>
      <c r="U648" s="36"/>
      <c r="V648" s="36"/>
      <c r="W648" s="36"/>
      <c r="X648" s="36"/>
      <c r="Y648" s="36"/>
      <c r="Z648" s="36"/>
    </row>
    <row r="649" ht="15.75" customHeight="1">
      <c r="A649" s="36"/>
      <c r="B649" s="36"/>
      <c r="C649" s="37"/>
      <c r="D649" s="37"/>
      <c r="E649" s="36"/>
      <c r="F649" s="36"/>
      <c r="G649" s="37"/>
      <c r="I649" s="37"/>
      <c r="J649" s="36"/>
      <c r="K649" s="36"/>
      <c r="L649" s="36"/>
      <c r="M649" s="36"/>
      <c r="N649" s="36"/>
      <c r="O649" s="36"/>
      <c r="P649" s="36"/>
      <c r="Q649" s="36"/>
      <c r="R649" s="36"/>
      <c r="S649" s="36"/>
      <c r="T649" s="36"/>
      <c r="U649" s="36"/>
      <c r="V649" s="36"/>
      <c r="W649" s="36"/>
      <c r="X649" s="36"/>
      <c r="Y649" s="36"/>
      <c r="Z649" s="36"/>
    </row>
    <row r="650" ht="15.75" customHeight="1">
      <c r="A650" s="36"/>
      <c r="B650" s="36"/>
      <c r="C650" s="37"/>
      <c r="D650" s="37"/>
      <c r="E650" s="36"/>
      <c r="F650" s="36"/>
      <c r="G650" s="37"/>
      <c r="I650" s="37"/>
      <c r="J650" s="36"/>
      <c r="K650" s="36"/>
      <c r="L650" s="36"/>
      <c r="M650" s="36"/>
      <c r="N650" s="36"/>
      <c r="O650" s="36"/>
      <c r="P650" s="36"/>
      <c r="Q650" s="36"/>
      <c r="R650" s="36"/>
      <c r="S650" s="36"/>
      <c r="T650" s="36"/>
      <c r="U650" s="36"/>
      <c r="V650" s="36"/>
      <c r="W650" s="36"/>
      <c r="X650" s="36"/>
      <c r="Y650" s="36"/>
      <c r="Z650" s="36"/>
    </row>
    <row r="651" ht="15.75" customHeight="1">
      <c r="A651" s="36"/>
      <c r="B651" s="36"/>
      <c r="C651" s="37"/>
      <c r="D651" s="37"/>
      <c r="E651" s="36"/>
      <c r="F651" s="36"/>
      <c r="G651" s="37"/>
      <c r="I651" s="37"/>
      <c r="J651" s="36"/>
      <c r="K651" s="36"/>
      <c r="L651" s="36"/>
      <c r="M651" s="36"/>
      <c r="N651" s="36"/>
      <c r="O651" s="36"/>
      <c r="P651" s="36"/>
      <c r="Q651" s="36"/>
      <c r="R651" s="36"/>
      <c r="S651" s="36"/>
      <c r="T651" s="36"/>
      <c r="U651" s="36"/>
      <c r="V651" s="36"/>
      <c r="W651" s="36"/>
      <c r="X651" s="36"/>
      <c r="Y651" s="36"/>
      <c r="Z651" s="36"/>
    </row>
    <row r="652" ht="15.75" customHeight="1">
      <c r="A652" s="36"/>
      <c r="B652" s="36"/>
      <c r="C652" s="37"/>
      <c r="D652" s="37"/>
      <c r="E652" s="36"/>
      <c r="F652" s="36"/>
      <c r="G652" s="37"/>
      <c r="I652" s="37"/>
      <c r="J652" s="36"/>
      <c r="K652" s="36"/>
      <c r="L652" s="36"/>
      <c r="M652" s="36"/>
      <c r="N652" s="36"/>
      <c r="O652" s="36"/>
      <c r="P652" s="36"/>
      <c r="Q652" s="36"/>
      <c r="R652" s="36"/>
      <c r="S652" s="36"/>
      <c r="T652" s="36"/>
      <c r="U652" s="36"/>
      <c r="V652" s="36"/>
      <c r="W652" s="36"/>
      <c r="X652" s="36"/>
      <c r="Y652" s="36"/>
      <c r="Z652" s="36"/>
    </row>
    <row r="653" ht="15.75" customHeight="1">
      <c r="A653" s="36"/>
      <c r="B653" s="36"/>
      <c r="C653" s="37"/>
      <c r="D653" s="37"/>
      <c r="E653" s="36"/>
      <c r="F653" s="36"/>
      <c r="G653" s="37"/>
      <c r="I653" s="37"/>
      <c r="J653" s="36"/>
      <c r="K653" s="36"/>
      <c r="L653" s="36"/>
      <c r="M653" s="36"/>
      <c r="N653" s="36"/>
      <c r="O653" s="36"/>
      <c r="P653" s="36"/>
      <c r="Q653" s="36"/>
      <c r="R653" s="36"/>
      <c r="S653" s="36"/>
      <c r="T653" s="36"/>
      <c r="U653" s="36"/>
      <c r="V653" s="36"/>
      <c r="W653" s="36"/>
      <c r="X653" s="36"/>
      <c r="Y653" s="36"/>
      <c r="Z653" s="36"/>
    </row>
    <row r="654" ht="15.75" customHeight="1">
      <c r="A654" s="36"/>
      <c r="B654" s="36"/>
      <c r="C654" s="37"/>
      <c r="D654" s="37"/>
      <c r="E654" s="36"/>
      <c r="F654" s="36"/>
      <c r="G654" s="37"/>
      <c r="I654" s="37"/>
      <c r="J654" s="36"/>
      <c r="K654" s="36"/>
      <c r="L654" s="36"/>
      <c r="M654" s="36"/>
      <c r="N654" s="36"/>
      <c r="O654" s="36"/>
      <c r="P654" s="36"/>
      <c r="Q654" s="36"/>
      <c r="R654" s="36"/>
      <c r="S654" s="36"/>
      <c r="T654" s="36"/>
      <c r="U654" s="36"/>
      <c r="V654" s="36"/>
      <c r="W654" s="36"/>
      <c r="X654" s="36"/>
      <c r="Y654" s="36"/>
      <c r="Z654" s="36"/>
    </row>
    <row r="655" ht="15.75" customHeight="1">
      <c r="A655" s="36"/>
      <c r="B655" s="36"/>
      <c r="C655" s="37"/>
      <c r="D655" s="37"/>
      <c r="E655" s="36"/>
      <c r="F655" s="36"/>
      <c r="G655" s="37"/>
      <c r="I655" s="37"/>
      <c r="J655" s="36"/>
      <c r="K655" s="36"/>
      <c r="L655" s="36"/>
      <c r="M655" s="36"/>
      <c r="N655" s="36"/>
      <c r="O655" s="36"/>
      <c r="P655" s="36"/>
      <c r="Q655" s="36"/>
      <c r="R655" s="36"/>
      <c r="S655" s="36"/>
      <c r="T655" s="36"/>
      <c r="U655" s="36"/>
      <c r="V655" s="36"/>
      <c r="W655" s="36"/>
      <c r="X655" s="36"/>
      <c r="Y655" s="36"/>
      <c r="Z655" s="36"/>
    </row>
    <row r="656" ht="15.75" customHeight="1">
      <c r="A656" s="36"/>
      <c r="B656" s="36"/>
      <c r="C656" s="37"/>
      <c r="D656" s="37"/>
      <c r="E656" s="36"/>
      <c r="F656" s="36"/>
      <c r="G656" s="37"/>
      <c r="I656" s="37"/>
      <c r="J656" s="36"/>
      <c r="K656" s="36"/>
      <c r="L656" s="36"/>
      <c r="M656" s="36"/>
      <c r="N656" s="36"/>
      <c r="O656" s="36"/>
      <c r="P656" s="36"/>
      <c r="Q656" s="36"/>
      <c r="R656" s="36"/>
      <c r="S656" s="36"/>
      <c r="T656" s="36"/>
      <c r="U656" s="36"/>
      <c r="V656" s="36"/>
      <c r="W656" s="36"/>
      <c r="X656" s="36"/>
      <c r="Y656" s="36"/>
      <c r="Z656" s="36"/>
    </row>
    <row r="657" ht="15.75" customHeight="1">
      <c r="A657" s="36"/>
      <c r="B657" s="36"/>
      <c r="C657" s="37"/>
      <c r="D657" s="37"/>
      <c r="E657" s="36"/>
      <c r="F657" s="36"/>
      <c r="G657" s="37"/>
      <c r="I657" s="37"/>
      <c r="J657" s="36"/>
      <c r="K657" s="36"/>
      <c r="L657" s="36"/>
      <c r="M657" s="36"/>
      <c r="N657" s="36"/>
      <c r="O657" s="36"/>
      <c r="P657" s="36"/>
      <c r="Q657" s="36"/>
      <c r="R657" s="36"/>
      <c r="S657" s="36"/>
      <c r="T657" s="36"/>
      <c r="U657" s="36"/>
      <c r="V657" s="36"/>
      <c r="W657" s="36"/>
      <c r="X657" s="36"/>
      <c r="Y657" s="36"/>
      <c r="Z657" s="36"/>
    </row>
    <row r="658" ht="15.75" customHeight="1">
      <c r="A658" s="36"/>
      <c r="B658" s="36"/>
      <c r="C658" s="37"/>
      <c r="D658" s="37"/>
      <c r="E658" s="36"/>
      <c r="F658" s="36"/>
      <c r="G658" s="37"/>
      <c r="I658" s="37"/>
      <c r="J658" s="36"/>
      <c r="K658" s="36"/>
      <c r="L658" s="36"/>
      <c r="M658" s="36"/>
      <c r="N658" s="36"/>
      <c r="O658" s="36"/>
      <c r="P658" s="36"/>
      <c r="Q658" s="36"/>
      <c r="R658" s="36"/>
      <c r="S658" s="36"/>
      <c r="T658" s="36"/>
      <c r="U658" s="36"/>
      <c r="V658" s="36"/>
      <c r="W658" s="36"/>
      <c r="X658" s="36"/>
      <c r="Y658" s="36"/>
      <c r="Z658" s="36"/>
    </row>
    <row r="659" ht="15.75" customHeight="1">
      <c r="A659" s="36"/>
      <c r="B659" s="36"/>
      <c r="C659" s="37"/>
      <c r="D659" s="37"/>
      <c r="E659" s="36"/>
      <c r="F659" s="36"/>
      <c r="G659" s="37"/>
      <c r="I659" s="37"/>
      <c r="J659" s="36"/>
      <c r="K659" s="36"/>
      <c r="L659" s="36"/>
      <c r="M659" s="36"/>
      <c r="N659" s="36"/>
      <c r="O659" s="36"/>
      <c r="P659" s="36"/>
      <c r="Q659" s="36"/>
      <c r="R659" s="36"/>
      <c r="S659" s="36"/>
      <c r="T659" s="36"/>
      <c r="U659" s="36"/>
      <c r="V659" s="36"/>
      <c r="W659" s="36"/>
      <c r="X659" s="36"/>
      <c r="Y659" s="36"/>
      <c r="Z659" s="36"/>
    </row>
    <row r="660" ht="15.75" customHeight="1">
      <c r="A660" s="36"/>
      <c r="B660" s="36"/>
      <c r="C660" s="37"/>
      <c r="D660" s="37"/>
      <c r="E660" s="36"/>
      <c r="F660" s="36"/>
      <c r="G660" s="37"/>
      <c r="I660" s="37"/>
      <c r="J660" s="36"/>
      <c r="K660" s="36"/>
      <c r="L660" s="36"/>
      <c r="M660" s="36"/>
      <c r="N660" s="36"/>
      <c r="O660" s="36"/>
      <c r="P660" s="36"/>
      <c r="Q660" s="36"/>
      <c r="R660" s="36"/>
      <c r="S660" s="36"/>
      <c r="T660" s="36"/>
      <c r="U660" s="36"/>
      <c r="V660" s="36"/>
      <c r="W660" s="36"/>
      <c r="X660" s="36"/>
      <c r="Y660" s="36"/>
      <c r="Z660" s="36"/>
    </row>
    <row r="661" ht="15.75" customHeight="1">
      <c r="A661" s="36"/>
      <c r="B661" s="36"/>
      <c r="C661" s="37"/>
      <c r="D661" s="37"/>
      <c r="E661" s="36"/>
      <c r="F661" s="36"/>
      <c r="G661" s="37"/>
      <c r="I661" s="37"/>
      <c r="J661" s="36"/>
      <c r="K661" s="36"/>
      <c r="L661" s="36"/>
      <c r="M661" s="36"/>
      <c r="N661" s="36"/>
      <c r="O661" s="36"/>
      <c r="P661" s="36"/>
      <c r="Q661" s="36"/>
      <c r="R661" s="36"/>
      <c r="S661" s="36"/>
      <c r="T661" s="36"/>
      <c r="U661" s="36"/>
      <c r="V661" s="36"/>
      <c r="W661" s="36"/>
      <c r="X661" s="36"/>
      <c r="Y661" s="36"/>
      <c r="Z661" s="36"/>
    </row>
    <row r="662" ht="15.75" customHeight="1">
      <c r="A662" s="36"/>
      <c r="B662" s="36"/>
      <c r="C662" s="37"/>
      <c r="D662" s="37"/>
      <c r="E662" s="36"/>
      <c r="F662" s="36"/>
      <c r="G662" s="37"/>
      <c r="I662" s="37"/>
      <c r="J662" s="36"/>
      <c r="K662" s="36"/>
      <c r="L662" s="36"/>
      <c r="M662" s="36"/>
      <c r="N662" s="36"/>
      <c r="O662" s="36"/>
      <c r="P662" s="36"/>
      <c r="Q662" s="36"/>
      <c r="R662" s="36"/>
      <c r="S662" s="36"/>
      <c r="T662" s="36"/>
      <c r="U662" s="36"/>
      <c r="V662" s="36"/>
      <c r="W662" s="36"/>
      <c r="X662" s="36"/>
      <c r="Y662" s="36"/>
      <c r="Z662" s="36"/>
    </row>
    <row r="663" ht="15.75" customHeight="1">
      <c r="A663" s="36"/>
      <c r="B663" s="36"/>
      <c r="C663" s="37"/>
      <c r="D663" s="37"/>
      <c r="E663" s="36"/>
      <c r="F663" s="36"/>
      <c r="G663" s="37"/>
      <c r="I663" s="37"/>
      <c r="J663" s="36"/>
      <c r="K663" s="36"/>
      <c r="L663" s="36"/>
      <c r="M663" s="36"/>
      <c r="N663" s="36"/>
      <c r="O663" s="36"/>
      <c r="P663" s="36"/>
      <c r="Q663" s="36"/>
      <c r="R663" s="36"/>
      <c r="S663" s="36"/>
      <c r="T663" s="36"/>
      <c r="U663" s="36"/>
      <c r="V663" s="36"/>
      <c r="W663" s="36"/>
      <c r="X663" s="36"/>
      <c r="Y663" s="36"/>
      <c r="Z663" s="36"/>
    </row>
    <row r="664" ht="15.75" customHeight="1">
      <c r="A664" s="36"/>
      <c r="B664" s="36"/>
      <c r="C664" s="37"/>
      <c r="D664" s="37"/>
      <c r="E664" s="36"/>
      <c r="F664" s="36"/>
      <c r="G664" s="37"/>
      <c r="I664" s="37"/>
      <c r="J664" s="36"/>
      <c r="K664" s="36"/>
      <c r="L664" s="36"/>
      <c r="M664" s="36"/>
      <c r="N664" s="36"/>
      <c r="O664" s="36"/>
      <c r="P664" s="36"/>
      <c r="Q664" s="36"/>
      <c r="R664" s="36"/>
      <c r="S664" s="36"/>
      <c r="T664" s="36"/>
      <c r="U664" s="36"/>
      <c r="V664" s="36"/>
      <c r="W664" s="36"/>
      <c r="X664" s="36"/>
      <c r="Y664" s="36"/>
      <c r="Z664" s="36"/>
    </row>
    <row r="665" ht="15.75" customHeight="1">
      <c r="A665" s="36"/>
      <c r="B665" s="36"/>
      <c r="C665" s="37"/>
      <c r="D665" s="37"/>
      <c r="E665" s="36"/>
      <c r="F665" s="36"/>
      <c r="G665" s="37"/>
      <c r="I665" s="37"/>
      <c r="J665" s="36"/>
      <c r="K665" s="36"/>
      <c r="L665" s="36"/>
      <c r="M665" s="36"/>
      <c r="N665" s="36"/>
      <c r="O665" s="36"/>
      <c r="P665" s="36"/>
      <c r="Q665" s="36"/>
      <c r="R665" s="36"/>
      <c r="S665" s="36"/>
      <c r="T665" s="36"/>
      <c r="U665" s="36"/>
      <c r="V665" s="36"/>
      <c r="W665" s="36"/>
      <c r="X665" s="36"/>
      <c r="Y665" s="36"/>
      <c r="Z665" s="36"/>
    </row>
    <row r="666" ht="15.75" customHeight="1">
      <c r="A666" s="36"/>
      <c r="B666" s="36"/>
      <c r="C666" s="37"/>
      <c r="D666" s="37"/>
      <c r="E666" s="36"/>
      <c r="F666" s="36"/>
      <c r="G666" s="37"/>
      <c r="I666" s="37"/>
      <c r="J666" s="36"/>
      <c r="K666" s="36"/>
      <c r="L666" s="36"/>
      <c r="M666" s="36"/>
      <c r="N666" s="36"/>
      <c r="O666" s="36"/>
      <c r="P666" s="36"/>
      <c r="Q666" s="36"/>
      <c r="R666" s="36"/>
      <c r="S666" s="36"/>
      <c r="T666" s="36"/>
      <c r="U666" s="36"/>
      <c r="V666" s="36"/>
      <c r="W666" s="36"/>
      <c r="X666" s="36"/>
      <c r="Y666" s="36"/>
      <c r="Z666" s="36"/>
    </row>
    <row r="667" ht="15.75" customHeight="1">
      <c r="A667" s="36"/>
      <c r="B667" s="36"/>
      <c r="C667" s="37"/>
      <c r="D667" s="37"/>
      <c r="E667" s="36"/>
      <c r="F667" s="36"/>
      <c r="G667" s="37"/>
      <c r="I667" s="37"/>
      <c r="J667" s="36"/>
      <c r="K667" s="36"/>
      <c r="L667" s="36"/>
      <c r="M667" s="36"/>
      <c r="N667" s="36"/>
      <c r="O667" s="36"/>
      <c r="P667" s="36"/>
      <c r="Q667" s="36"/>
      <c r="R667" s="36"/>
      <c r="S667" s="36"/>
      <c r="T667" s="36"/>
      <c r="U667" s="36"/>
      <c r="V667" s="36"/>
      <c r="W667" s="36"/>
      <c r="X667" s="36"/>
      <c r="Y667" s="36"/>
      <c r="Z667" s="36"/>
    </row>
    <row r="668" ht="15.75" customHeight="1">
      <c r="A668" s="36"/>
      <c r="B668" s="36"/>
      <c r="C668" s="37"/>
      <c r="D668" s="37"/>
      <c r="E668" s="36"/>
      <c r="F668" s="36"/>
      <c r="G668" s="37"/>
      <c r="I668" s="37"/>
      <c r="J668" s="36"/>
      <c r="K668" s="36"/>
      <c r="L668" s="36"/>
      <c r="M668" s="36"/>
      <c r="N668" s="36"/>
      <c r="O668" s="36"/>
      <c r="P668" s="36"/>
      <c r="Q668" s="36"/>
      <c r="R668" s="36"/>
      <c r="S668" s="36"/>
      <c r="T668" s="36"/>
      <c r="U668" s="36"/>
      <c r="V668" s="36"/>
      <c r="W668" s="36"/>
      <c r="X668" s="36"/>
      <c r="Y668" s="36"/>
      <c r="Z668" s="36"/>
    </row>
    <row r="669" ht="15.75" customHeight="1">
      <c r="A669" s="36"/>
      <c r="B669" s="36"/>
      <c r="C669" s="37"/>
      <c r="D669" s="37"/>
      <c r="E669" s="36"/>
      <c r="F669" s="36"/>
      <c r="G669" s="37"/>
      <c r="I669" s="37"/>
      <c r="J669" s="36"/>
      <c r="K669" s="36"/>
      <c r="L669" s="36"/>
      <c r="M669" s="36"/>
      <c r="N669" s="36"/>
      <c r="O669" s="36"/>
      <c r="P669" s="36"/>
      <c r="Q669" s="36"/>
      <c r="R669" s="36"/>
      <c r="S669" s="36"/>
      <c r="T669" s="36"/>
      <c r="U669" s="36"/>
      <c r="V669" s="36"/>
      <c r="W669" s="36"/>
      <c r="X669" s="36"/>
      <c r="Y669" s="36"/>
      <c r="Z669" s="36"/>
    </row>
    <row r="670" ht="15.75" customHeight="1">
      <c r="A670" s="36"/>
      <c r="B670" s="36"/>
      <c r="C670" s="37"/>
      <c r="D670" s="37"/>
      <c r="E670" s="36"/>
      <c r="F670" s="36"/>
      <c r="G670" s="37"/>
      <c r="I670" s="37"/>
      <c r="J670" s="36"/>
      <c r="K670" s="36"/>
      <c r="L670" s="36"/>
      <c r="M670" s="36"/>
      <c r="N670" s="36"/>
      <c r="O670" s="36"/>
      <c r="P670" s="36"/>
      <c r="Q670" s="36"/>
      <c r="R670" s="36"/>
      <c r="S670" s="36"/>
      <c r="T670" s="36"/>
      <c r="U670" s="36"/>
      <c r="V670" s="36"/>
      <c r="W670" s="36"/>
      <c r="X670" s="36"/>
      <c r="Y670" s="36"/>
      <c r="Z670" s="36"/>
    </row>
    <row r="671" ht="15.75" customHeight="1">
      <c r="A671" s="36"/>
      <c r="B671" s="36"/>
      <c r="C671" s="37"/>
      <c r="D671" s="37"/>
      <c r="E671" s="36"/>
      <c r="F671" s="36"/>
      <c r="G671" s="37"/>
      <c r="I671" s="37"/>
      <c r="J671" s="36"/>
      <c r="K671" s="36"/>
      <c r="L671" s="36"/>
      <c r="M671" s="36"/>
      <c r="N671" s="36"/>
      <c r="O671" s="36"/>
      <c r="P671" s="36"/>
      <c r="Q671" s="36"/>
      <c r="R671" s="36"/>
      <c r="S671" s="36"/>
      <c r="T671" s="36"/>
      <c r="U671" s="36"/>
      <c r="V671" s="36"/>
      <c r="W671" s="36"/>
      <c r="X671" s="36"/>
      <c r="Y671" s="36"/>
      <c r="Z671" s="36"/>
    </row>
    <row r="672" ht="15.75" customHeight="1">
      <c r="A672" s="36"/>
      <c r="B672" s="36"/>
      <c r="C672" s="37"/>
      <c r="D672" s="37"/>
      <c r="E672" s="36"/>
      <c r="F672" s="36"/>
      <c r="G672" s="37"/>
      <c r="I672" s="37"/>
      <c r="J672" s="36"/>
      <c r="K672" s="36"/>
      <c r="L672" s="36"/>
      <c r="M672" s="36"/>
      <c r="N672" s="36"/>
      <c r="O672" s="36"/>
      <c r="P672" s="36"/>
      <c r="Q672" s="36"/>
      <c r="R672" s="36"/>
      <c r="S672" s="36"/>
      <c r="T672" s="36"/>
      <c r="U672" s="36"/>
      <c r="V672" s="36"/>
      <c r="W672" s="36"/>
      <c r="X672" s="36"/>
      <c r="Y672" s="36"/>
      <c r="Z672" s="36"/>
    </row>
    <row r="673" ht="15.75" customHeight="1">
      <c r="A673" s="36"/>
      <c r="B673" s="36"/>
      <c r="C673" s="37"/>
      <c r="D673" s="37"/>
      <c r="E673" s="36"/>
      <c r="F673" s="36"/>
      <c r="G673" s="37"/>
      <c r="I673" s="37"/>
      <c r="J673" s="36"/>
      <c r="K673" s="36"/>
      <c r="L673" s="36"/>
      <c r="M673" s="36"/>
      <c r="N673" s="36"/>
      <c r="O673" s="36"/>
      <c r="P673" s="36"/>
      <c r="Q673" s="36"/>
      <c r="R673" s="36"/>
      <c r="S673" s="36"/>
      <c r="T673" s="36"/>
      <c r="U673" s="36"/>
      <c r="V673" s="36"/>
      <c r="W673" s="36"/>
      <c r="X673" s="36"/>
      <c r="Y673" s="36"/>
      <c r="Z673" s="36"/>
    </row>
    <row r="674" ht="15.75" customHeight="1">
      <c r="A674" s="36"/>
      <c r="B674" s="36"/>
      <c r="C674" s="37"/>
      <c r="D674" s="37"/>
      <c r="E674" s="36"/>
      <c r="F674" s="36"/>
      <c r="G674" s="37"/>
      <c r="I674" s="37"/>
      <c r="J674" s="36"/>
      <c r="K674" s="36"/>
      <c r="L674" s="36"/>
      <c r="M674" s="36"/>
      <c r="N674" s="36"/>
      <c r="O674" s="36"/>
      <c r="P674" s="36"/>
      <c r="Q674" s="36"/>
      <c r="R674" s="36"/>
      <c r="S674" s="36"/>
      <c r="T674" s="36"/>
      <c r="U674" s="36"/>
      <c r="V674" s="36"/>
      <c r="W674" s="36"/>
      <c r="X674" s="36"/>
      <c r="Y674" s="36"/>
      <c r="Z674" s="36"/>
    </row>
    <row r="675" ht="15.75" customHeight="1">
      <c r="A675" s="36"/>
      <c r="B675" s="36"/>
      <c r="C675" s="37"/>
      <c r="D675" s="37"/>
      <c r="E675" s="36"/>
      <c r="F675" s="36"/>
      <c r="G675" s="37"/>
      <c r="I675" s="37"/>
      <c r="J675" s="36"/>
      <c r="K675" s="36"/>
      <c r="L675" s="36"/>
      <c r="M675" s="36"/>
      <c r="N675" s="36"/>
      <c r="O675" s="36"/>
      <c r="P675" s="36"/>
      <c r="Q675" s="36"/>
      <c r="R675" s="36"/>
      <c r="S675" s="36"/>
      <c r="T675" s="36"/>
      <c r="U675" s="36"/>
      <c r="V675" s="36"/>
      <c r="W675" s="36"/>
      <c r="X675" s="36"/>
      <c r="Y675" s="36"/>
      <c r="Z675" s="36"/>
    </row>
    <row r="676" ht="15.75" customHeight="1">
      <c r="A676" s="36"/>
      <c r="B676" s="36"/>
      <c r="C676" s="37"/>
      <c r="D676" s="37"/>
      <c r="E676" s="36"/>
      <c r="F676" s="36"/>
      <c r="G676" s="37"/>
      <c r="I676" s="37"/>
      <c r="J676" s="36"/>
      <c r="K676" s="36"/>
      <c r="L676" s="36"/>
      <c r="M676" s="36"/>
      <c r="N676" s="36"/>
      <c r="O676" s="36"/>
      <c r="P676" s="36"/>
      <c r="Q676" s="36"/>
      <c r="R676" s="36"/>
      <c r="S676" s="36"/>
      <c r="T676" s="36"/>
      <c r="U676" s="36"/>
      <c r="V676" s="36"/>
      <c r="W676" s="36"/>
      <c r="X676" s="36"/>
      <c r="Y676" s="36"/>
      <c r="Z676" s="36"/>
    </row>
    <row r="677" ht="15.75" customHeight="1">
      <c r="A677" s="36"/>
      <c r="B677" s="36"/>
      <c r="C677" s="37"/>
      <c r="D677" s="37"/>
      <c r="E677" s="36"/>
      <c r="F677" s="36"/>
      <c r="G677" s="37"/>
      <c r="I677" s="37"/>
      <c r="J677" s="36"/>
      <c r="K677" s="36"/>
      <c r="L677" s="36"/>
      <c r="M677" s="36"/>
      <c r="N677" s="36"/>
      <c r="O677" s="36"/>
      <c r="P677" s="36"/>
      <c r="Q677" s="36"/>
      <c r="R677" s="36"/>
      <c r="S677" s="36"/>
      <c r="T677" s="36"/>
      <c r="U677" s="36"/>
      <c r="V677" s="36"/>
      <c r="W677" s="36"/>
      <c r="X677" s="36"/>
      <c r="Y677" s="36"/>
      <c r="Z677" s="36"/>
    </row>
    <row r="678" ht="15.75" customHeight="1">
      <c r="A678" s="36"/>
      <c r="B678" s="36"/>
      <c r="C678" s="37"/>
      <c r="D678" s="37"/>
      <c r="E678" s="36"/>
      <c r="F678" s="36"/>
      <c r="G678" s="37"/>
      <c r="I678" s="37"/>
      <c r="J678" s="36"/>
      <c r="K678" s="36"/>
      <c r="L678" s="36"/>
      <c r="M678" s="36"/>
      <c r="N678" s="36"/>
      <c r="O678" s="36"/>
      <c r="P678" s="36"/>
      <c r="Q678" s="36"/>
      <c r="R678" s="36"/>
      <c r="S678" s="36"/>
      <c r="T678" s="36"/>
      <c r="U678" s="36"/>
      <c r="V678" s="36"/>
      <c r="W678" s="36"/>
      <c r="X678" s="36"/>
      <c r="Y678" s="36"/>
      <c r="Z678" s="36"/>
    </row>
    <row r="679" ht="15.75" customHeight="1">
      <c r="A679" s="36"/>
      <c r="B679" s="36"/>
      <c r="C679" s="37"/>
      <c r="D679" s="37"/>
      <c r="E679" s="36"/>
      <c r="F679" s="36"/>
      <c r="G679" s="37"/>
      <c r="I679" s="37"/>
      <c r="J679" s="36"/>
      <c r="K679" s="36"/>
      <c r="L679" s="36"/>
      <c r="M679" s="36"/>
      <c r="N679" s="36"/>
      <c r="O679" s="36"/>
      <c r="P679" s="36"/>
      <c r="Q679" s="36"/>
      <c r="R679" s="36"/>
      <c r="S679" s="36"/>
      <c r="T679" s="36"/>
      <c r="U679" s="36"/>
      <c r="V679" s="36"/>
      <c r="W679" s="36"/>
      <c r="X679" s="36"/>
      <c r="Y679" s="36"/>
      <c r="Z679" s="36"/>
    </row>
    <row r="680" ht="15.75" customHeight="1">
      <c r="A680" s="36"/>
      <c r="B680" s="36"/>
      <c r="C680" s="37"/>
      <c r="D680" s="37"/>
      <c r="E680" s="36"/>
      <c r="F680" s="36"/>
      <c r="G680" s="37"/>
      <c r="I680" s="37"/>
      <c r="J680" s="36"/>
      <c r="K680" s="36"/>
      <c r="L680" s="36"/>
      <c r="M680" s="36"/>
      <c r="N680" s="36"/>
      <c r="O680" s="36"/>
      <c r="P680" s="36"/>
      <c r="Q680" s="36"/>
      <c r="R680" s="36"/>
      <c r="S680" s="36"/>
      <c r="T680" s="36"/>
      <c r="U680" s="36"/>
      <c r="V680" s="36"/>
      <c r="W680" s="36"/>
      <c r="X680" s="36"/>
      <c r="Y680" s="36"/>
      <c r="Z680" s="36"/>
    </row>
    <row r="681" ht="15.75" customHeight="1">
      <c r="A681" s="36"/>
      <c r="B681" s="36"/>
      <c r="C681" s="37"/>
      <c r="D681" s="37"/>
      <c r="E681" s="36"/>
      <c r="F681" s="36"/>
      <c r="G681" s="37"/>
      <c r="I681" s="37"/>
      <c r="J681" s="36"/>
      <c r="K681" s="36"/>
      <c r="L681" s="36"/>
      <c r="M681" s="36"/>
      <c r="N681" s="36"/>
      <c r="O681" s="36"/>
      <c r="P681" s="36"/>
      <c r="Q681" s="36"/>
      <c r="R681" s="36"/>
      <c r="S681" s="36"/>
      <c r="T681" s="36"/>
      <c r="U681" s="36"/>
      <c r="V681" s="36"/>
      <c r="W681" s="36"/>
      <c r="X681" s="36"/>
      <c r="Y681" s="36"/>
      <c r="Z681" s="36"/>
    </row>
    <row r="682" ht="15.75" customHeight="1">
      <c r="A682" s="36"/>
      <c r="B682" s="36"/>
      <c r="C682" s="37"/>
      <c r="D682" s="37"/>
      <c r="E682" s="36"/>
      <c r="F682" s="36"/>
      <c r="G682" s="37"/>
      <c r="I682" s="37"/>
      <c r="J682" s="36"/>
      <c r="K682" s="36"/>
      <c r="L682" s="36"/>
      <c r="M682" s="36"/>
      <c r="N682" s="36"/>
      <c r="O682" s="36"/>
      <c r="P682" s="36"/>
      <c r="Q682" s="36"/>
      <c r="R682" s="36"/>
      <c r="S682" s="36"/>
      <c r="T682" s="36"/>
      <c r="U682" s="36"/>
      <c r="V682" s="36"/>
      <c r="W682" s="36"/>
      <c r="X682" s="36"/>
      <c r="Y682" s="36"/>
      <c r="Z682" s="36"/>
    </row>
    <row r="683" ht="15.75" customHeight="1">
      <c r="A683" s="36"/>
      <c r="B683" s="36"/>
      <c r="C683" s="37"/>
      <c r="D683" s="37"/>
      <c r="E683" s="36"/>
      <c r="F683" s="36"/>
      <c r="G683" s="37"/>
      <c r="I683" s="37"/>
      <c r="J683" s="36"/>
      <c r="K683" s="36"/>
      <c r="L683" s="36"/>
      <c r="M683" s="36"/>
      <c r="N683" s="36"/>
      <c r="O683" s="36"/>
      <c r="P683" s="36"/>
      <c r="Q683" s="36"/>
      <c r="R683" s="36"/>
      <c r="S683" s="36"/>
      <c r="T683" s="36"/>
      <c r="U683" s="36"/>
      <c r="V683" s="36"/>
      <c r="W683" s="36"/>
      <c r="X683" s="36"/>
      <c r="Y683" s="36"/>
      <c r="Z683" s="36"/>
    </row>
    <row r="684" ht="15.75" customHeight="1">
      <c r="A684" s="36"/>
      <c r="B684" s="36"/>
      <c r="C684" s="37"/>
      <c r="D684" s="37"/>
      <c r="E684" s="36"/>
      <c r="F684" s="36"/>
      <c r="G684" s="37"/>
      <c r="I684" s="37"/>
      <c r="J684" s="36"/>
      <c r="K684" s="36"/>
      <c r="L684" s="36"/>
      <c r="M684" s="36"/>
      <c r="N684" s="36"/>
      <c r="O684" s="36"/>
      <c r="P684" s="36"/>
      <c r="Q684" s="36"/>
      <c r="R684" s="36"/>
      <c r="S684" s="36"/>
      <c r="T684" s="36"/>
      <c r="U684" s="36"/>
      <c r="V684" s="36"/>
      <c r="W684" s="36"/>
      <c r="X684" s="36"/>
      <c r="Y684" s="36"/>
      <c r="Z684" s="36"/>
    </row>
    <row r="685" ht="15.75" customHeight="1">
      <c r="A685" s="36"/>
      <c r="B685" s="36"/>
      <c r="C685" s="37"/>
      <c r="D685" s="37"/>
      <c r="E685" s="36"/>
      <c r="F685" s="36"/>
      <c r="G685" s="37"/>
      <c r="I685" s="37"/>
      <c r="J685" s="36"/>
      <c r="K685" s="36"/>
      <c r="L685" s="36"/>
      <c r="M685" s="36"/>
      <c r="N685" s="36"/>
      <c r="O685" s="36"/>
      <c r="P685" s="36"/>
      <c r="Q685" s="36"/>
      <c r="R685" s="36"/>
      <c r="S685" s="36"/>
      <c r="T685" s="36"/>
      <c r="U685" s="36"/>
      <c r="V685" s="36"/>
      <c r="W685" s="36"/>
      <c r="X685" s="36"/>
      <c r="Y685" s="36"/>
      <c r="Z685" s="36"/>
    </row>
    <row r="686" ht="15.75" customHeight="1">
      <c r="A686" s="36"/>
      <c r="B686" s="36"/>
      <c r="C686" s="37"/>
      <c r="D686" s="37"/>
      <c r="E686" s="36"/>
      <c r="F686" s="36"/>
      <c r="G686" s="37"/>
      <c r="I686" s="37"/>
      <c r="J686" s="36"/>
      <c r="K686" s="36"/>
      <c r="L686" s="36"/>
      <c r="M686" s="36"/>
      <c r="N686" s="36"/>
      <c r="O686" s="36"/>
      <c r="P686" s="36"/>
      <c r="Q686" s="36"/>
      <c r="R686" s="36"/>
      <c r="S686" s="36"/>
      <c r="T686" s="36"/>
      <c r="U686" s="36"/>
      <c r="V686" s="36"/>
      <c r="W686" s="36"/>
      <c r="X686" s="36"/>
      <c r="Y686" s="36"/>
      <c r="Z686" s="36"/>
    </row>
    <row r="687" ht="15.75" customHeight="1">
      <c r="A687" s="36"/>
      <c r="B687" s="36"/>
      <c r="C687" s="37"/>
      <c r="D687" s="37"/>
      <c r="E687" s="36"/>
      <c r="F687" s="36"/>
      <c r="G687" s="37"/>
      <c r="I687" s="37"/>
      <c r="J687" s="36"/>
      <c r="K687" s="36"/>
      <c r="L687" s="36"/>
      <c r="M687" s="36"/>
      <c r="N687" s="36"/>
      <c r="O687" s="36"/>
      <c r="P687" s="36"/>
      <c r="Q687" s="36"/>
      <c r="R687" s="36"/>
      <c r="S687" s="36"/>
      <c r="T687" s="36"/>
      <c r="U687" s="36"/>
      <c r="V687" s="36"/>
      <c r="W687" s="36"/>
      <c r="X687" s="36"/>
      <c r="Y687" s="36"/>
      <c r="Z687" s="36"/>
    </row>
    <row r="688" ht="15.75" customHeight="1">
      <c r="A688" s="36"/>
      <c r="B688" s="36"/>
      <c r="C688" s="37"/>
      <c r="D688" s="37"/>
      <c r="E688" s="36"/>
      <c r="F688" s="36"/>
      <c r="G688" s="37"/>
      <c r="I688" s="37"/>
      <c r="J688" s="36"/>
      <c r="K688" s="36"/>
      <c r="L688" s="36"/>
      <c r="M688" s="36"/>
      <c r="N688" s="36"/>
      <c r="O688" s="36"/>
      <c r="P688" s="36"/>
      <c r="Q688" s="36"/>
      <c r="R688" s="36"/>
      <c r="S688" s="36"/>
      <c r="T688" s="36"/>
      <c r="U688" s="36"/>
      <c r="V688" s="36"/>
      <c r="W688" s="36"/>
      <c r="X688" s="36"/>
      <c r="Y688" s="36"/>
      <c r="Z688" s="36"/>
    </row>
    <row r="689" ht="15.75" customHeight="1">
      <c r="A689" s="36"/>
      <c r="B689" s="36"/>
      <c r="C689" s="37"/>
      <c r="D689" s="37"/>
      <c r="E689" s="36"/>
      <c r="F689" s="36"/>
      <c r="G689" s="37"/>
      <c r="I689" s="37"/>
      <c r="J689" s="36"/>
      <c r="K689" s="36"/>
      <c r="L689" s="36"/>
      <c r="M689" s="36"/>
      <c r="N689" s="36"/>
      <c r="O689" s="36"/>
      <c r="P689" s="36"/>
      <c r="Q689" s="36"/>
      <c r="R689" s="36"/>
      <c r="S689" s="36"/>
      <c r="T689" s="36"/>
      <c r="U689" s="36"/>
      <c r="V689" s="36"/>
      <c r="W689" s="36"/>
      <c r="X689" s="36"/>
      <c r="Y689" s="36"/>
      <c r="Z689" s="36"/>
    </row>
    <row r="690" ht="15.75" customHeight="1">
      <c r="A690" s="36"/>
      <c r="B690" s="36"/>
      <c r="C690" s="37"/>
      <c r="D690" s="37"/>
      <c r="E690" s="36"/>
      <c r="F690" s="36"/>
      <c r="G690" s="37"/>
      <c r="I690" s="37"/>
      <c r="J690" s="36"/>
      <c r="K690" s="36"/>
      <c r="L690" s="36"/>
      <c r="M690" s="36"/>
      <c r="N690" s="36"/>
      <c r="O690" s="36"/>
      <c r="P690" s="36"/>
      <c r="Q690" s="36"/>
      <c r="R690" s="36"/>
      <c r="S690" s="36"/>
      <c r="T690" s="36"/>
      <c r="U690" s="36"/>
      <c r="V690" s="36"/>
      <c r="W690" s="36"/>
      <c r="X690" s="36"/>
      <c r="Y690" s="36"/>
      <c r="Z690" s="36"/>
    </row>
    <row r="691" ht="15.75" customHeight="1">
      <c r="A691" s="36"/>
      <c r="B691" s="36"/>
      <c r="C691" s="37"/>
      <c r="D691" s="37"/>
      <c r="E691" s="36"/>
      <c r="F691" s="36"/>
      <c r="G691" s="37"/>
      <c r="I691" s="37"/>
      <c r="J691" s="36"/>
      <c r="K691" s="36"/>
      <c r="L691" s="36"/>
      <c r="M691" s="36"/>
      <c r="N691" s="36"/>
      <c r="O691" s="36"/>
      <c r="P691" s="36"/>
      <c r="Q691" s="36"/>
      <c r="R691" s="36"/>
      <c r="S691" s="36"/>
      <c r="T691" s="36"/>
      <c r="U691" s="36"/>
      <c r="V691" s="36"/>
      <c r="W691" s="36"/>
      <c r="X691" s="36"/>
      <c r="Y691" s="36"/>
      <c r="Z691" s="36"/>
    </row>
    <row r="692" ht="15.75" customHeight="1">
      <c r="A692" s="36"/>
      <c r="B692" s="36"/>
      <c r="C692" s="37"/>
      <c r="D692" s="37"/>
      <c r="E692" s="36"/>
      <c r="F692" s="36"/>
      <c r="G692" s="37"/>
      <c r="I692" s="37"/>
      <c r="J692" s="36"/>
      <c r="K692" s="36"/>
      <c r="L692" s="36"/>
      <c r="M692" s="36"/>
      <c r="N692" s="36"/>
      <c r="O692" s="36"/>
      <c r="P692" s="36"/>
      <c r="Q692" s="36"/>
      <c r="R692" s="36"/>
      <c r="S692" s="36"/>
      <c r="T692" s="36"/>
      <c r="U692" s="36"/>
      <c r="V692" s="36"/>
      <c r="W692" s="36"/>
      <c r="X692" s="36"/>
      <c r="Y692" s="36"/>
      <c r="Z692" s="36"/>
    </row>
    <row r="693" ht="15.75" customHeight="1">
      <c r="A693" s="36"/>
      <c r="B693" s="36"/>
      <c r="C693" s="37"/>
      <c r="D693" s="37"/>
      <c r="E693" s="36"/>
      <c r="F693" s="36"/>
      <c r="G693" s="37"/>
      <c r="I693" s="37"/>
      <c r="J693" s="36"/>
      <c r="K693" s="36"/>
      <c r="L693" s="36"/>
      <c r="M693" s="36"/>
      <c r="N693" s="36"/>
      <c r="O693" s="36"/>
      <c r="P693" s="36"/>
      <c r="Q693" s="36"/>
      <c r="R693" s="36"/>
      <c r="S693" s="36"/>
      <c r="T693" s="36"/>
      <c r="U693" s="36"/>
      <c r="V693" s="36"/>
      <c r="W693" s="36"/>
      <c r="X693" s="36"/>
      <c r="Y693" s="36"/>
      <c r="Z693" s="36"/>
    </row>
    <row r="694" ht="15.75" customHeight="1">
      <c r="A694" s="36"/>
      <c r="B694" s="36"/>
      <c r="C694" s="37"/>
      <c r="D694" s="37"/>
      <c r="E694" s="36"/>
      <c r="F694" s="36"/>
      <c r="G694" s="37"/>
      <c r="I694" s="37"/>
      <c r="J694" s="36"/>
      <c r="K694" s="36"/>
      <c r="L694" s="36"/>
      <c r="M694" s="36"/>
      <c r="N694" s="36"/>
      <c r="O694" s="36"/>
      <c r="P694" s="36"/>
      <c r="Q694" s="36"/>
      <c r="R694" s="36"/>
      <c r="S694" s="36"/>
      <c r="T694" s="36"/>
      <c r="U694" s="36"/>
      <c r="V694" s="36"/>
      <c r="W694" s="36"/>
      <c r="X694" s="36"/>
      <c r="Y694" s="36"/>
      <c r="Z694" s="36"/>
    </row>
    <row r="695" ht="15.75" customHeight="1">
      <c r="A695" s="36"/>
      <c r="B695" s="36"/>
      <c r="C695" s="37"/>
      <c r="D695" s="37"/>
      <c r="E695" s="36"/>
      <c r="F695" s="36"/>
      <c r="G695" s="37"/>
      <c r="I695" s="37"/>
      <c r="J695" s="36"/>
      <c r="K695" s="36"/>
      <c r="L695" s="36"/>
      <c r="M695" s="36"/>
      <c r="N695" s="36"/>
      <c r="O695" s="36"/>
      <c r="P695" s="36"/>
      <c r="Q695" s="36"/>
      <c r="R695" s="36"/>
      <c r="S695" s="36"/>
      <c r="T695" s="36"/>
      <c r="U695" s="36"/>
      <c r="V695" s="36"/>
      <c r="W695" s="36"/>
      <c r="X695" s="36"/>
      <c r="Y695" s="36"/>
      <c r="Z695" s="36"/>
    </row>
    <row r="696" ht="15.75" customHeight="1">
      <c r="A696" s="36"/>
      <c r="B696" s="36"/>
      <c r="C696" s="37"/>
      <c r="D696" s="37"/>
      <c r="E696" s="36"/>
      <c r="F696" s="36"/>
      <c r="G696" s="37"/>
      <c r="I696" s="37"/>
      <c r="J696" s="36"/>
      <c r="K696" s="36"/>
      <c r="L696" s="36"/>
      <c r="M696" s="36"/>
      <c r="N696" s="36"/>
      <c r="O696" s="36"/>
      <c r="P696" s="36"/>
      <c r="Q696" s="36"/>
      <c r="R696" s="36"/>
      <c r="S696" s="36"/>
      <c r="T696" s="36"/>
      <c r="U696" s="36"/>
      <c r="V696" s="36"/>
      <c r="W696" s="36"/>
      <c r="X696" s="36"/>
      <c r="Y696" s="36"/>
      <c r="Z696" s="36"/>
    </row>
    <row r="697" ht="15.75" customHeight="1">
      <c r="A697" s="36"/>
      <c r="B697" s="36"/>
      <c r="C697" s="37"/>
      <c r="D697" s="37"/>
      <c r="E697" s="36"/>
      <c r="F697" s="36"/>
      <c r="G697" s="37"/>
      <c r="I697" s="37"/>
      <c r="J697" s="36"/>
      <c r="K697" s="36"/>
      <c r="L697" s="36"/>
      <c r="M697" s="36"/>
      <c r="N697" s="36"/>
      <c r="O697" s="36"/>
      <c r="P697" s="36"/>
      <c r="Q697" s="36"/>
      <c r="R697" s="36"/>
      <c r="S697" s="36"/>
      <c r="T697" s="36"/>
      <c r="U697" s="36"/>
      <c r="V697" s="36"/>
      <c r="W697" s="36"/>
      <c r="X697" s="36"/>
      <c r="Y697" s="36"/>
      <c r="Z697" s="36"/>
    </row>
    <row r="698" ht="15.75" customHeight="1">
      <c r="A698" s="36"/>
      <c r="B698" s="36"/>
      <c r="C698" s="37"/>
      <c r="D698" s="37"/>
      <c r="E698" s="36"/>
      <c r="F698" s="36"/>
      <c r="G698" s="37"/>
      <c r="I698" s="37"/>
      <c r="J698" s="36"/>
      <c r="K698" s="36"/>
      <c r="L698" s="36"/>
      <c r="M698" s="36"/>
      <c r="N698" s="36"/>
      <c r="O698" s="36"/>
      <c r="P698" s="36"/>
      <c r="Q698" s="36"/>
      <c r="R698" s="36"/>
      <c r="S698" s="36"/>
      <c r="T698" s="36"/>
      <c r="U698" s="36"/>
      <c r="V698" s="36"/>
      <c r="W698" s="36"/>
      <c r="X698" s="36"/>
      <c r="Y698" s="36"/>
      <c r="Z698" s="36"/>
    </row>
    <row r="699" ht="15.75" customHeight="1">
      <c r="A699" s="36"/>
      <c r="B699" s="36"/>
      <c r="C699" s="37"/>
      <c r="D699" s="37"/>
      <c r="E699" s="36"/>
      <c r="F699" s="36"/>
      <c r="G699" s="37"/>
      <c r="I699" s="37"/>
      <c r="J699" s="36"/>
      <c r="K699" s="36"/>
      <c r="L699" s="36"/>
      <c r="M699" s="36"/>
      <c r="N699" s="36"/>
      <c r="O699" s="36"/>
      <c r="P699" s="36"/>
      <c r="Q699" s="36"/>
      <c r="R699" s="36"/>
      <c r="S699" s="36"/>
      <c r="T699" s="36"/>
      <c r="U699" s="36"/>
      <c r="V699" s="36"/>
      <c r="W699" s="36"/>
      <c r="X699" s="36"/>
      <c r="Y699" s="36"/>
      <c r="Z699" s="36"/>
    </row>
    <row r="700" ht="15.75" customHeight="1">
      <c r="A700" s="36"/>
      <c r="B700" s="36"/>
      <c r="C700" s="37"/>
      <c r="D700" s="37"/>
      <c r="E700" s="36"/>
      <c r="F700" s="36"/>
      <c r="G700" s="37"/>
      <c r="I700" s="37"/>
      <c r="J700" s="36"/>
      <c r="K700" s="36"/>
      <c r="L700" s="36"/>
      <c r="M700" s="36"/>
      <c r="N700" s="36"/>
      <c r="O700" s="36"/>
      <c r="P700" s="36"/>
      <c r="Q700" s="36"/>
      <c r="R700" s="36"/>
      <c r="S700" s="36"/>
      <c r="T700" s="36"/>
      <c r="U700" s="36"/>
      <c r="V700" s="36"/>
      <c r="W700" s="36"/>
      <c r="X700" s="36"/>
      <c r="Y700" s="36"/>
      <c r="Z700" s="36"/>
    </row>
    <row r="701" ht="15.75" customHeight="1">
      <c r="A701" s="36"/>
      <c r="B701" s="36"/>
      <c r="C701" s="37"/>
      <c r="D701" s="37"/>
      <c r="E701" s="36"/>
      <c r="F701" s="36"/>
      <c r="G701" s="37"/>
      <c r="I701" s="37"/>
      <c r="J701" s="36"/>
      <c r="K701" s="36"/>
      <c r="L701" s="36"/>
      <c r="M701" s="36"/>
      <c r="N701" s="36"/>
      <c r="O701" s="36"/>
      <c r="P701" s="36"/>
      <c r="Q701" s="36"/>
      <c r="R701" s="36"/>
      <c r="S701" s="36"/>
      <c r="T701" s="36"/>
      <c r="U701" s="36"/>
      <c r="V701" s="36"/>
      <c r="W701" s="36"/>
      <c r="X701" s="36"/>
      <c r="Y701" s="36"/>
      <c r="Z701" s="36"/>
    </row>
    <row r="702" ht="15.75" customHeight="1">
      <c r="A702" s="36"/>
      <c r="B702" s="36"/>
      <c r="C702" s="37"/>
      <c r="D702" s="37"/>
      <c r="E702" s="36"/>
      <c r="F702" s="36"/>
      <c r="G702" s="37"/>
      <c r="I702" s="37"/>
      <c r="J702" s="36"/>
      <c r="K702" s="36"/>
      <c r="L702" s="36"/>
      <c r="M702" s="36"/>
      <c r="N702" s="36"/>
      <c r="O702" s="36"/>
      <c r="P702" s="36"/>
      <c r="Q702" s="36"/>
      <c r="R702" s="36"/>
      <c r="S702" s="36"/>
      <c r="T702" s="36"/>
      <c r="U702" s="36"/>
      <c r="V702" s="36"/>
      <c r="W702" s="36"/>
      <c r="X702" s="36"/>
      <c r="Y702" s="36"/>
      <c r="Z702" s="36"/>
    </row>
    <row r="703" ht="15.75" customHeight="1">
      <c r="A703" s="36"/>
      <c r="B703" s="36"/>
      <c r="C703" s="37"/>
      <c r="D703" s="37"/>
      <c r="E703" s="36"/>
      <c r="F703" s="36"/>
      <c r="G703" s="37"/>
      <c r="I703" s="37"/>
      <c r="J703" s="36"/>
      <c r="K703" s="36"/>
      <c r="L703" s="36"/>
      <c r="M703" s="36"/>
      <c r="N703" s="36"/>
      <c r="O703" s="36"/>
      <c r="P703" s="36"/>
      <c r="Q703" s="36"/>
      <c r="R703" s="36"/>
      <c r="S703" s="36"/>
      <c r="T703" s="36"/>
      <c r="U703" s="36"/>
      <c r="V703" s="36"/>
      <c r="W703" s="36"/>
      <c r="X703" s="36"/>
      <c r="Y703" s="36"/>
      <c r="Z703" s="36"/>
    </row>
    <row r="704" ht="15.75" customHeight="1">
      <c r="A704" s="36"/>
      <c r="B704" s="36"/>
      <c r="C704" s="37"/>
      <c r="D704" s="37"/>
      <c r="E704" s="36"/>
      <c r="F704" s="36"/>
      <c r="G704" s="37"/>
      <c r="I704" s="37"/>
      <c r="J704" s="36"/>
      <c r="K704" s="36"/>
      <c r="L704" s="36"/>
      <c r="M704" s="36"/>
      <c r="N704" s="36"/>
      <c r="O704" s="36"/>
      <c r="P704" s="36"/>
      <c r="Q704" s="36"/>
      <c r="R704" s="36"/>
      <c r="S704" s="36"/>
      <c r="T704" s="36"/>
      <c r="U704" s="36"/>
      <c r="V704" s="36"/>
      <c r="W704" s="36"/>
      <c r="X704" s="36"/>
      <c r="Y704" s="36"/>
      <c r="Z704" s="36"/>
    </row>
    <row r="705" ht="15.75" customHeight="1">
      <c r="A705" s="36"/>
      <c r="B705" s="36"/>
      <c r="C705" s="37"/>
      <c r="D705" s="37"/>
      <c r="E705" s="36"/>
      <c r="F705" s="36"/>
      <c r="G705" s="37"/>
      <c r="I705" s="37"/>
      <c r="J705" s="36"/>
      <c r="K705" s="36"/>
      <c r="L705" s="36"/>
      <c r="M705" s="36"/>
      <c r="N705" s="36"/>
      <c r="O705" s="36"/>
      <c r="P705" s="36"/>
      <c r="Q705" s="36"/>
      <c r="R705" s="36"/>
      <c r="S705" s="36"/>
      <c r="T705" s="36"/>
      <c r="U705" s="36"/>
      <c r="V705" s="36"/>
      <c r="W705" s="36"/>
      <c r="X705" s="36"/>
      <c r="Y705" s="36"/>
      <c r="Z705" s="36"/>
    </row>
    <row r="706" ht="15.75" customHeight="1">
      <c r="A706" s="36"/>
      <c r="B706" s="36"/>
      <c r="C706" s="37"/>
      <c r="D706" s="37"/>
      <c r="E706" s="36"/>
      <c r="F706" s="36"/>
      <c r="G706" s="37"/>
      <c r="I706" s="37"/>
      <c r="J706" s="36"/>
      <c r="K706" s="36"/>
      <c r="L706" s="36"/>
      <c r="M706" s="36"/>
      <c r="N706" s="36"/>
      <c r="O706" s="36"/>
      <c r="P706" s="36"/>
      <c r="Q706" s="36"/>
      <c r="R706" s="36"/>
      <c r="S706" s="36"/>
      <c r="T706" s="36"/>
      <c r="U706" s="36"/>
      <c r="V706" s="36"/>
      <c r="W706" s="36"/>
      <c r="X706" s="36"/>
      <c r="Y706" s="36"/>
      <c r="Z706" s="36"/>
    </row>
    <row r="707" ht="15.75" customHeight="1">
      <c r="A707" s="36"/>
      <c r="B707" s="36"/>
      <c r="C707" s="37"/>
      <c r="D707" s="37"/>
      <c r="E707" s="36"/>
      <c r="F707" s="36"/>
      <c r="G707" s="37"/>
      <c r="I707" s="37"/>
      <c r="J707" s="36"/>
      <c r="K707" s="36"/>
      <c r="L707" s="36"/>
      <c r="M707" s="36"/>
      <c r="N707" s="36"/>
      <c r="O707" s="36"/>
      <c r="P707" s="36"/>
      <c r="Q707" s="36"/>
      <c r="R707" s="36"/>
      <c r="S707" s="36"/>
      <c r="T707" s="36"/>
      <c r="U707" s="36"/>
      <c r="V707" s="36"/>
      <c r="W707" s="36"/>
      <c r="X707" s="36"/>
      <c r="Y707" s="36"/>
      <c r="Z707" s="36"/>
    </row>
    <row r="708" ht="15.75" customHeight="1">
      <c r="A708" s="36"/>
      <c r="B708" s="36"/>
      <c r="C708" s="37"/>
      <c r="D708" s="37"/>
      <c r="E708" s="36"/>
      <c r="F708" s="36"/>
      <c r="G708" s="37"/>
      <c r="I708" s="37"/>
      <c r="J708" s="36"/>
      <c r="K708" s="36"/>
      <c r="L708" s="36"/>
      <c r="M708" s="36"/>
      <c r="N708" s="36"/>
      <c r="O708" s="36"/>
      <c r="P708" s="36"/>
      <c r="Q708" s="36"/>
      <c r="R708" s="36"/>
      <c r="S708" s="36"/>
      <c r="T708" s="36"/>
      <c r="U708" s="36"/>
      <c r="V708" s="36"/>
      <c r="W708" s="36"/>
      <c r="X708" s="36"/>
      <c r="Y708" s="36"/>
      <c r="Z708" s="36"/>
    </row>
    <row r="709" ht="15.75" customHeight="1">
      <c r="A709" s="36"/>
      <c r="B709" s="36"/>
      <c r="C709" s="37"/>
      <c r="D709" s="37"/>
      <c r="E709" s="36"/>
      <c r="F709" s="36"/>
      <c r="G709" s="37"/>
      <c r="I709" s="37"/>
      <c r="J709" s="36"/>
      <c r="K709" s="36"/>
      <c r="L709" s="36"/>
      <c r="M709" s="36"/>
      <c r="N709" s="36"/>
      <c r="O709" s="36"/>
      <c r="P709" s="36"/>
      <c r="Q709" s="36"/>
      <c r="R709" s="36"/>
      <c r="S709" s="36"/>
      <c r="T709" s="36"/>
      <c r="U709" s="36"/>
      <c r="V709" s="36"/>
      <c r="W709" s="36"/>
      <c r="X709" s="36"/>
      <c r="Y709" s="36"/>
      <c r="Z709" s="36"/>
    </row>
    <row r="710" ht="15.75" customHeight="1">
      <c r="A710" s="36"/>
      <c r="B710" s="36"/>
      <c r="C710" s="37"/>
      <c r="D710" s="37"/>
      <c r="E710" s="36"/>
      <c r="F710" s="36"/>
      <c r="G710" s="37"/>
      <c r="I710" s="37"/>
      <c r="J710" s="36"/>
      <c r="K710" s="36"/>
      <c r="L710" s="36"/>
      <c r="M710" s="36"/>
      <c r="N710" s="36"/>
      <c r="O710" s="36"/>
      <c r="P710" s="36"/>
      <c r="Q710" s="36"/>
      <c r="R710" s="36"/>
      <c r="S710" s="36"/>
      <c r="T710" s="36"/>
      <c r="U710" s="36"/>
      <c r="V710" s="36"/>
      <c r="W710" s="36"/>
      <c r="X710" s="36"/>
      <c r="Y710" s="36"/>
      <c r="Z710" s="36"/>
    </row>
    <row r="711" ht="15.75" customHeight="1">
      <c r="A711" s="36"/>
      <c r="B711" s="36"/>
      <c r="C711" s="37"/>
      <c r="D711" s="37"/>
      <c r="E711" s="36"/>
      <c r="F711" s="36"/>
      <c r="G711" s="37"/>
      <c r="I711" s="37"/>
      <c r="J711" s="36"/>
      <c r="K711" s="36"/>
      <c r="L711" s="36"/>
      <c r="M711" s="36"/>
      <c r="N711" s="36"/>
      <c r="O711" s="36"/>
      <c r="P711" s="36"/>
      <c r="Q711" s="36"/>
      <c r="R711" s="36"/>
      <c r="S711" s="36"/>
      <c r="T711" s="36"/>
      <c r="U711" s="36"/>
      <c r="V711" s="36"/>
      <c r="W711" s="36"/>
      <c r="X711" s="36"/>
      <c r="Y711" s="36"/>
      <c r="Z711" s="36"/>
    </row>
    <row r="712" ht="15.75" customHeight="1">
      <c r="A712" s="36"/>
      <c r="B712" s="36"/>
      <c r="C712" s="37"/>
      <c r="D712" s="37"/>
      <c r="E712" s="36"/>
      <c r="F712" s="36"/>
      <c r="G712" s="37"/>
      <c r="I712" s="37"/>
      <c r="J712" s="36"/>
      <c r="K712" s="36"/>
      <c r="L712" s="36"/>
      <c r="M712" s="36"/>
      <c r="N712" s="36"/>
      <c r="O712" s="36"/>
      <c r="P712" s="36"/>
      <c r="Q712" s="36"/>
      <c r="R712" s="36"/>
      <c r="S712" s="36"/>
      <c r="T712" s="36"/>
      <c r="U712" s="36"/>
      <c r="V712" s="36"/>
      <c r="W712" s="36"/>
      <c r="X712" s="36"/>
      <c r="Y712" s="36"/>
      <c r="Z712" s="36"/>
    </row>
    <row r="713" ht="15.75" customHeight="1">
      <c r="A713" s="36"/>
      <c r="B713" s="36"/>
      <c r="C713" s="37"/>
      <c r="D713" s="37"/>
      <c r="E713" s="36"/>
      <c r="F713" s="36"/>
      <c r="G713" s="37"/>
      <c r="I713" s="37"/>
      <c r="J713" s="36"/>
      <c r="K713" s="36"/>
      <c r="L713" s="36"/>
      <c r="M713" s="36"/>
      <c r="N713" s="36"/>
      <c r="O713" s="36"/>
      <c r="P713" s="36"/>
      <c r="Q713" s="36"/>
      <c r="R713" s="36"/>
      <c r="S713" s="36"/>
      <c r="T713" s="36"/>
      <c r="U713" s="36"/>
      <c r="V713" s="36"/>
      <c r="W713" s="36"/>
      <c r="X713" s="36"/>
      <c r="Y713" s="36"/>
      <c r="Z713" s="36"/>
    </row>
    <row r="714" ht="15.75" customHeight="1">
      <c r="A714" s="36"/>
      <c r="B714" s="36"/>
      <c r="C714" s="37"/>
      <c r="D714" s="37"/>
      <c r="E714" s="36"/>
      <c r="F714" s="36"/>
      <c r="G714" s="37"/>
      <c r="I714" s="37"/>
      <c r="J714" s="36"/>
      <c r="K714" s="36"/>
      <c r="L714" s="36"/>
      <c r="M714" s="36"/>
      <c r="N714" s="36"/>
      <c r="O714" s="36"/>
      <c r="P714" s="36"/>
      <c r="Q714" s="36"/>
      <c r="R714" s="36"/>
      <c r="S714" s="36"/>
      <c r="T714" s="36"/>
      <c r="U714" s="36"/>
      <c r="V714" s="36"/>
      <c r="W714" s="36"/>
      <c r="X714" s="36"/>
      <c r="Y714" s="36"/>
      <c r="Z714" s="36"/>
    </row>
    <row r="715" ht="15.75" customHeight="1">
      <c r="A715" s="36"/>
      <c r="B715" s="36"/>
      <c r="C715" s="37"/>
      <c r="D715" s="37"/>
      <c r="E715" s="36"/>
      <c r="F715" s="36"/>
      <c r="G715" s="37"/>
      <c r="I715" s="37"/>
      <c r="J715" s="36"/>
      <c r="K715" s="36"/>
      <c r="L715" s="36"/>
      <c r="M715" s="36"/>
      <c r="N715" s="36"/>
      <c r="O715" s="36"/>
      <c r="P715" s="36"/>
      <c r="Q715" s="36"/>
      <c r="R715" s="36"/>
      <c r="S715" s="36"/>
      <c r="T715" s="36"/>
      <c r="U715" s="36"/>
      <c r="V715" s="36"/>
      <c r="W715" s="36"/>
      <c r="X715" s="36"/>
      <c r="Y715" s="36"/>
      <c r="Z715" s="36"/>
    </row>
    <row r="716" ht="15.75" customHeight="1">
      <c r="A716" s="36"/>
      <c r="B716" s="36"/>
      <c r="C716" s="37"/>
      <c r="D716" s="37"/>
      <c r="E716" s="36"/>
      <c r="F716" s="36"/>
      <c r="G716" s="37"/>
      <c r="I716" s="37"/>
      <c r="J716" s="36"/>
      <c r="K716" s="36"/>
      <c r="L716" s="36"/>
      <c r="M716" s="36"/>
      <c r="N716" s="36"/>
      <c r="O716" s="36"/>
      <c r="P716" s="36"/>
      <c r="Q716" s="36"/>
      <c r="R716" s="36"/>
      <c r="S716" s="36"/>
      <c r="T716" s="36"/>
      <c r="U716" s="36"/>
      <c r="V716" s="36"/>
      <c r="W716" s="36"/>
      <c r="X716" s="36"/>
      <c r="Y716" s="36"/>
      <c r="Z716" s="36"/>
    </row>
    <row r="717" ht="15.75" customHeight="1">
      <c r="A717" s="36"/>
      <c r="B717" s="36"/>
      <c r="C717" s="37"/>
      <c r="D717" s="37"/>
      <c r="E717" s="36"/>
      <c r="F717" s="36"/>
      <c r="G717" s="37"/>
      <c r="I717" s="37"/>
      <c r="J717" s="36"/>
      <c r="K717" s="36"/>
      <c r="L717" s="36"/>
      <c r="M717" s="36"/>
      <c r="N717" s="36"/>
      <c r="O717" s="36"/>
      <c r="P717" s="36"/>
      <c r="Q717" s="36"/>
      <c r="R717" s="36"/>
      <c r="S717" s="36"/>
      <c r="T717" s="36"/>
      <c r="U717" s="36"/>
      <c r="V717" s="36"/>
      <c r="W717" s="36"/>
      <c r="X717" s="36"/>
      <c r="Y717" s="36"/>
      <c r="Z717" s="36"/>
    </row>
    <row r="718" ht="15.75" customHeight="1">
      <c r="A718" s="36"/>
      <c r="B718" s="36"/>
      <c r="C718" s="37"/>
      <c r="D718" s="37"/>
      <c r="E718" s="36"/>
      <c r="F718" s="36"/>
      <c r="G718" s="37"/>
      <c r="I718" s="37"/>
      <c r="J718" s="36"/>
      <c r="K718" s="36"/>
      <c r="L718" s="36"/>
      <c r="M718" s="36"/>
      <c r="N718" s="36"/>
      <c r="O718" s="36"/>
      <c r="P718" s="36"/>
      <c r="Q718" s="36"/>
      <c r="R718" s="36"/>
      <c r="S718" s="36"/>
      <c r="T718" s="36"/>
      <c r="U718" s="36"/>
      <c r="V718" s="36"/>
      <c r="W718" s="36"/>
      <c r="X718" s="36"/>
      <c r="Y718" s="36"/>
      <c r="Z718" s="36"/>
    </row>
    <row r="719" ht="15.75" customHeight="1">
      <c r="A719" s="36"/>
      <c r="B719" s="36"/>
      <c r="C719" s="37"/>
      <c r="D719" s="37"/>
      <c r="E719" s="36"/>
      <c r="F719" s="36"/>
      <c r="G719" s="37"/>
      <c r="I719" s="37"/>
      <c r="J719" s="36"/>
      <c r="K719" s="36"/>
      <c r="L719" s="36"/>
      <c r="M719" s="36"/>
      <c r="N719" s="36"/>
      <c r="O719" s="36"/>
      <c r="P719" s="36"/>
      <c r="Q719" s="36"/>
      <c r="R719" s="36"/>
      <c r="S719" s="36"/>
      <c r="T719" s="36"/>
      <c r="U719" s="36"/>
      <c r="V719" s="36"/>
      <c r="W719" s="36"/>
      <c r="X719" s="36"/>
      <c r="Y719" s="36"/>
      <c r="Z719" s="36"/>
    </row>
    <row r="720" ht="15.75" customHeight="1">
      <c r="A720" s="36"/>
      <c r="B720" s="36"/>
      <c r="C720" s="37"/>
      <c r="D720" s="37"/>
      <c r="E720" s="36"/>
      <c r="F720" s="36"/>
      <c r="G720" s="37"/>
      <c r="I720" s="37"/>
      <c r="J720" s="36"/>
      <c r="K720" s="36"/>
      <c r="L720" s="36"/>
      <c r="M720" s="36"/>
      <c r="N720" s="36"/>
      <c r="O720" s="36"/>
      <c r="P720" s="36"/>
      <c r="Q720" s="36"/>
      <c r="R720" s="36"/>
      <c r="S720" s="36"/>
      <c r="T720" s="36"/>
      <c r="U720" s="36"/>
      <c r="V720" s="36"/>
      <c r="W720" s="36"/>
      <c r="X720" s="36"/>
      <c r="Y720" s="36"/>
      <c r="Z720" s="36"/>
    </row>
    <row r="721" ht="15.75" customHeight="1">
      <c r="A721" s="36"/>
      <c r="B721" s="36"/>
      <c r="C721" s="37"/>
      <c r="D721" s="37"/>
      <c r="E721" s="36"/>
      <c r="F721" s="36"/>
      <c r="G721" s="37"/>
      <c r="I721" s="37"/>
      <c r="J721" s="36"/>
      <c r="K721" s="36"/>
      <c r="L721" s="36"/>
      <c r="M721" s="36"/>
      <c r="N721" s="36"/>
      <c r="O721" s="36"/>
      <c r="P721" s="36"/>
      <c r="Q721" s="36"/>
      <c r="R721" s="36"/>
      <c r="S721" s="36"/>
      <c r="T721" s="36"/>
      <c r="U721" s="36"/>
      <c r="V721" s="36"/>
      <c r="W721" s="36"/>
      <c r="X721" s="36"/>
      <c r="Y721" s="36"/>
      <c r="Z721" s="36"/>
    </row>
    <row r="722" ht="15.75" customHeight="1">
      <c r="A722" s="36"/>
      <c r="B722" s="36"/>
      <c r="C722" s="37"/>
      <c r="D722" s="37"/>
      <c r="E722" s="36"/>
      <c r="F722" s="36"/>
      <c r="G722" s="37"/>
      <c r="I722" s="37"/>
      <c r="J722" s="36"/>
      <c r="K722" s="36"/>
      <c r="L722" s="36"/>
      <c r="M722" s="36"/>
      <c r="N722" s="36"/>
      <c r="O722" s="36"/>
      <c r="P722" s="36"/>
      <c r="Q722" s="36"/>
      <c r="R722" s="36"/>
      <c r="S722" s="36"/>
      <c r="T722" s="36"/>
      <c r="U722" s="36"/>
      <c r="V722" s="36"/>
      <c r="W722" s="36"/>
      <c r="X722" s="36"/>
      <c r="Y722" s="36"/>
      <c r="Z722" s="36"/>
    </row>
    <row r="723" ht="15.75" customHeight="1">
      <c r="A723" s="36"/>
      <c r="B723" s="36"/>
      <c r="C723" s="37"/>
      <c r="D723" s="37"/>
      <c r="E723" s="36"/>
      <c r="F723" s="36"/>
      <c r="G723" s="37"/>
      <c r="I723" s="37"/>
      <c r="J723" s="36"/>
      <c r="K723" s="36"/>
      <c r="L723" s="36"/>
      <c r="M723" s="36"/>
      <c r="N723" s="36"/>
      <c r="O723" s="36"/>
      <c r="P723" s="36"/>
      <c r="Q723" s="36"/>
      <c r="R723" s="36"/>
      <c r="S723" s="36"/>
      <c r="T723" s="36"/>
      <c r="U723" s="36"/>
      <c r="V723" s="36"/>
      <c r="W723" s="36"/>
      <c r="X723" s="36"/>
      <c r="Y723" s="36"/>
      <c r="Z723" s="36"/>
    </row>
    <row r="724" ht="15.75" customHeight="1">
      <c r="A724" s="36"/>
      <c r="B724" s="36"/>
      <c r="C724" s="37"/>
      <c r="D724" s="37"/>
      <c r="E724" s="36"/>
      <c r="F724" s="36"/>
      <c r="G724" s="37"/>
      <c r="I724" s="37"/>
      <c r="J724" s="36"/>
      <c r="K724" s="36"/>
      <c r="L724" s="36"/>
      <c r="M724" s="36"/>
      <c r="N724" s="36"/>
      <c r="O724" s="36"/>
      <c r="P724" s="36"/>
      <c r="Q724" s="36"/>
      <c r="R724" s="36"/>
      <c r="S724" s="36"/>
      <c r="T724" s="36"/>
      <c r="U724" s="36"/>
      <c r="V724" s="36"/>
      <c r="W724" s="36"/>
      <c r="X724" s="36"/>
      <c r="Y724" s="36"/>
      <c r="Z724" s="36"/>
    </row>
    <row r="725" ht="15.75" customHeight="1">
      <c r="A725" s="36"/>
      <c r="B725" s="36"/>
      <c r="C725" s="37"/>
      <c r="D725" s="37"/>
      <c r="E725" s="36"/>
      <c r="F725" s="36"/>
      <c r="G725" s="37"/>
      <c r="I725" s="37"/>
      <c r="J725" s="36"/>
      <c r="K725" s="36"/>
      <c r="L725" s="36"/>
      <c r="M725" s="36"/>
      <c r="N725" s="36"/>
      <c r="O725" s="36"/>
      <c r="P725" s="36"/>
      <c r="Q725" s="36"/>
      <c r="R725" s="36"/>
      <c r="S725" s="36"/>
      <c r="T725" s="36"/>
      <c r="U725" s="36"/>
      <c r="V725" s="36"/>
      <c r="W725" s="36"/>
      <c r="X725" s="36"/>
      <c r="Y725" s="36"/>
      <c r="Z725" s="36"/>
    </row>
    <row r="726" ht="15.75" customHeight="1">
      <c r="A726" s="36"/>
      <c r="B726" s="36"/>
      <c r="C726" s="37"/>
      <c r="D726" s="37"/>
      <c r="E726" s="36"/>
      <c r="F726" s="36"/>
      <c r="G726" s="37"/>
      <c r="I726" s="37"/>
      <c r="J726" s="36"/>
      <c r="K726" s="36"/>
      <c r="L726" s="36"/>
      <c r="M726" s="36"/>
      <c r="N726" s="36"/>
      <c r="O726" s="36"/>
      <c r="P726" s="36"/>
      <c r="Q726" s="36"/>
      <c r="R726" s="36"/>
      <c r="S726" s="36"/>
      <c r="T726" s="36"/>
      <c r="U726" s="36"/>
      <c r="V726" s="36"/>
      <c r="W726" s="36"/>
      <c r="X726" s="36"/>
      <c r="Y726" s="36"/>
      <c r="Z726" s="36"/>
    </row>
    <row r="727" ht="15.75" customHeight="1">
      <c r="A727" s="36"/>
      <c r="B727" s="36"/>
      <c r="C727" s="37"/>
      <c r="D727" s="37"/>
      <c r="E727" s="36"/>
      <c r="F727" s="36"/>
      <c r="G727" s="37"/>
      <c r="I727" s="37"/>
      <c r="J727" s="36"/>
      <c r="K727" s="36"/>
      <c r="L727" s="36"/>
      <c r="M727" s="36"/>
      <c r="N727" s="36"/>
      <c r="O727" s="36"/>
      <c r="P727" s="36"/>
      <c r="Q727" s="36"/>
      <c r="R727" s="36"/>
      <c r="S727" s="36"/>
      <c r="T727" s="36"/>
      <c r="U727" s="36"/>
      <c r="V727" s="36"/>
      <c r="W727" s="36"/>
      <c r="X727" s="36"/>
      <c r="Y727" s="36"/>
      <c r="Z727" s="36"/>
    </row>
    <row r="728" ht="15.75" customHeight="1">
      <c r="A728" s="36"/>
      <c r="B728" s="36"/>
      <c r="C728" s="37"/>
      <c r="D728" s="37"/>
      <c r="E728" s="36"/>
      <c r="F728" s="36"/>
      <c r="G728" s="37"/>
      <c r="I728" s="37"/>
      <c r="J728" s="36"/>
      <c r="K728" s="36"/>
      <c r="L728" s="36"/>
      <c r="M728" s="36"/>
      <c r="N728" s="36"/>
      <c r="O728" s="36"/>
      <c r="P728" s="36"/>
      <c r="Q728" s="36"/>
      <c r="R728" s="36"/>
      <c r="S728" s="36"/>
      <c r="T728" s="36"/>
      <c r="U728" s="36"/>
      <c r="V728" s="36"/>
      <c r="W728" s="36"/>
      <c r="X728" s="36"/>
      <c r="Y728" s="36"/>
      <c r="Z728" s="36"/>
    </row>
    <row r="729" ht="15.75" customHeight="1">
      <c r="A729" s="36"/>
      <c r="B729" s="36"/>
      <c r="C729" s="37"/>
      <c r="D729" s="37"/>
      <c r="E729" s="36"/>
      <c r="F729" s="36"/>
      <c r="G729" s="37"/>
      <c r="I729" s="37"/>
      <c r="J729" s="36"/>
      <c r="K729" s="36"/>
      <c r="L729" s="36"/>
      <c r="M729" s="36"/>
      <c r="N729" s="36"/>
      <c r="O729" s="36"/>
      <c r="P729" s="36"/>
      <c r="Q729" s="36"/>
      <c r="R729" s="36"/>
      <c r="S729" s="36"/>
      <c r="T729" s="36"/>
      <c r="U729" s="36"/>
      <c r="V729" s="36"/>
      <c r="W729" s="36"/>
      <c r="X729" s="36"/>
      <c r="Y729" s="36"/>
      <c r="Z729" s="36"/>
    </row>
    <row r="730" ht="15.75" customHeight="1">
      <c r="A730" s="36"/>
      <c r="B730" s="36"/>
      <c r="C730" s="37"/>
      <c r="D730" s="37"/>
      <c r="E730" s="36"/>
      <c r="F730" s="36"/>
      <c r="G730" s="37"/>
      <c r="I730" s="37"/>
      <c r="J730" s="36"/>
      <c r="K730" s="36"/>
      <c r="L730" s="36"/>
      <c r="M730" s="36"/>
      <c r="N730" s="36"/>
      <c r="O730" s="36"/>
      <c r="P730" s="36"/>
      <c r="Q730" s="36"/>
      <c r="R730" s="36"/>
      <c r="S730" s="36"/>
      <c r="T730" s="36"/>
      <c r="U730" s="36"/>
      <c r="V730" s="36"/>
      <c r="W730" s="36"/>
      <c r="X730" s="36"/>
      <c r="Y730" s="36"/>
      <c r="Z730" s="36"/>
    </row>
    <row r="731" ht="15.75" customHeight="1">
      <c r="A731" s="36"/>
      <c r="B731" s="36"/>
      <c r="C731" s="37"/>
      <c r="D731" s="37"/>
      <c r="E731" s="36"/>
      <c r="F731" s="36"/>
      <c r="G731" s="37"/>
      <c r="I731" s="37"/>
      <c r="J731" s="36"/>
      <c r="K731" s="36"/>
      <c r="L731" s="36"/>
      <c r="M731" s="36"/>
      <c r="N731" s="36"/>
      <c r="O731" s="36"/>
      <c r="P731" s="36"/>
      <c r="Q731" s="36"/>
      <c r="R731" s="36"/>
      <c r="S731" s="36"/>
      <c r="T731" s="36"/>
      <c r="U731" s="36"/>
      <c r="V731" s="36"/>
      <c r="W731" s="36"/>
      <c r="X731" s="36"/>
      <c r="Y731" s="36"/>
      <c r="Z731" s="36"/>
    </row>
    <row r="732" ht="15.75" customHeight="1">
      <c r="A732" s="36"/>
      <c r="B732" s="36"/>
      <c r="C732" s="37"/>
      <c r="D732" s="37"/>
      <c r="E732" s="36"/>
      <c r="F732" s="36"/>
      <c r="G732" s="37"/>
      <c r="I732" s="37"/>
      <c r="J732" s="36"/>
      <c r="K732" s="36"/>
      <c r="L732" s="36"/>
      <c r="M732" s="36"/>
      <c r="N732" s="36"/>
      <c r="O732" s="36"/>
      <c r="P732" s="36"/>
      <c r="Q732" s="36"/>
      <c r="R732" s="36"/>
      <c r="S732" s="36"/>
      <c r="T732" s="36"/>
      <c r="U732" s="36"/>
      <c r="V732" s="36"/>
      <c r="W732" s="36"/>
      <c r="X732" s="36"/>
      <c r="Y732" s="36"/>
      <c r="Z732" s="36"/>
    </row>
    <row r="733" ht="15.75" customHeight="1">
      <c r="A733" s="36"/>
      <c r="B733" s="36"/>
      <c r="C733" s="37"/>
      <c r="D733" s="37"/>
      <c r="E733" s="36"/>
      <c r="F733" s="36"/>
      <c r="G733" s="37"/>
      <c r="I733" s="37"/>
      <c r="J733" s="36"/>
      <c r="K733" s="36"/>
      <c r="L733" s="36"/>
      <c r="M733" s="36"/>
      <c r="N733" s="36"/>
      <c r="O733" s="36"/>
      <c r="P733" s="36"/>
      <c r="Q733" s="36"/>
      <c r="R733" s="36"/>
      <c r="S733" s="36"/>
      <c r="T733" s="36"/>
      <c r="U733" s="36"/>
      <c r="V733" s="36"/>
      <c r="W733" s="36"/>
      <c r="X733" s="36"/>
      <c r="Y733" s="36"/>
      <c r="Z733" s="36"/>
    </row>
    <row r="734" ht="15.75" customHeight="1">
      <c r="A734" s="36"/>
      <c r="B734" s="36"/>
      <c r="C734" s="37"/>
      <c r="D734" s="37"/>
      <c r="E734" s="36"/>
      <c r="F734" s="36"/>
      <c r="G734" s="37"/>
      <c r="I734" s="37"/>
      <c r="J734" s="36"/>
      <c r="K734" s="36"/>
      <c r="L734" s="36"/>
      <c r="M734" s="36"/>
      <c r="N734" s="36"/>
      <c r="O734" s="36"/>
      <c r="P734" s="36"/>
      <c r="Q734" s="36"/>
      <c r="R734" s="36"/>
      <c r="S734" s="36"/>
      <c r="T734" s="36"/>
      <c r="U734" s="36"/>
      <c r="V734" s="36"/>
      <c r="W734" s="36"/>
      <c r="X734" s="36"/>
      <c r="Y734" s="36"/>
      <c r="Z734" s="36"/>
    </row>
    <row r="735" ht="15.75" customHeight="1">
      <c r="A735" s="36"/>
      <c r="B735" s="36"/>
      <c r="C735" s="37"/>
      <c r="D735" s="37"/>
      <c r="E735" s="36"/>
      <c r="F735" s="36"/>
      <c r="G735" s="37"/>
      <c r="I735" s="37"/>
      <c r="J735" s="36"/>
      <c r="K735" s="36"/>
      <c r="L735" s="36"/>
      <c r="M735" s="36"/>
      <c r="N735" s="36"/>
      <c r="O735" s="36"/>
      <c r="P735" s="36"/>
      <c r="Q735" s="36"/>
      <c r="R735" s="36"/>
      <c r="S735" s="36"/>
      <c r="T735" s="36"/>
      <c r="U735" s="36"/>
      <c r="V735" s="36"/>
      <c r="W735" s="36"/>
      <c r="X735" s="36"/>
      <c r="Y735" s="36"/>
      <c r="Z735" s="36"/>
    </row>
    <row r="736" ht="15.75" customHeight="1">
      <c r="A736" s="36"/>
      <c r="B736" s="36"/>
      <c r="C736" s="37"/>
      <c r="D736" s="37"/>
      <c r="E736" s="36"/>
      <c r="F736" s="36"/>
      <c r="G736" s="37"/>
      <c r="I736" s="37"/>
      <c r="J736" s="36"/>
      <c r="K736" s="36"/>
      <c r="L736" s="36"/>
      <c r="M736" s="36"/>
      <c r="N736" s="36"/>
      <c r="O736" s="36"/>
      <c r="P736" s="36"/>
      <c r="Q736" s="36"/>
      <c r="R736" s="36"/>
      <c r="S736" s="36"/>
      <c r="T736" s="36"/>
      <c r="U736" s="36"/>
      <c r="V736" s="36"/>
      <c r="W736" s="36"/>
      <c r="X736" s="36"/>
      <c r="Y736" s="36"/>
      <c r="Z736" s="36"/>
    </row>
    <row r="737" ht="15.75" customHeight="1">
      <c r="A737" s="36"/>
      <c r="B737" s="36"/>
      <c r="C737" s="37"/>
      <c r="D737" s="37"/>
      <c r="E737" s="36"/>
      <c r="F737" s="36"/>
      <c r="G737" s="37"/>
      <c r="I737" s="37"/>
      <c r="J737" s="36"/>
      <c r="K737" s="36"/>
      <c r="L737" s="36"/>
      <c r="M737" s="36"/>
      <c r="N737" s="36"/>
      <c r="O737" s="36"/>
      <c r="P737" s="36"/>
      <c r="Q737" s="36"/>
      <c r="R737" s="36"/>
      <c r="S737" s="36"/>
      <c r="T737" s="36"/>
      <c r="U737" s="36"/>
      <c r="V737" s="36"/>
      <c r="W737" s="36"/>
      <c r="X737" s="36"/>
      <c r="Y737" s="36"/>
      <c r="Z737" s="36"/>
    </row>
    <row r="738" ht="15.75" customHeight="1">
      <c r="A738" s="36"/>
      <c r="B738" s="36"/>
      <c r="C738" s="37"/>
      <c r="D738" s="37"/>
      <c r="E738" s="36"/>
      <c r="F738" s="36"/>
      <c r="G738" s="37"/>
      <c r="I738" s="37"/>
      <c r="J738" s="36"/>
      <c r="K738" s="36"/>
      <c r="L738" s="36"/>
      <c r="M738" s="36"/>
      <c r="N738" s="36"/>
      <c r="O738" s="36"/>
      <c r="P738" s="36"/>
      <c r="Q738" s="36"/>
      <c r="R738" s="36"/>
      <c r="S738" s="36"/>
      <c r="T738" s="36"/>
      <c r="U738" s="36"/>
      <c r="V738" s="36"/>
      <c r="W738" s="36"/>
      <c r="X738" s="36"/>
      <c r="Y738" s="36"/>
      <c r="Z738" s="36"/>
    </row>
    <row r="739" ht="15.75" customHeight="1">
      <c r="A739" s="36"/>
      <c r="B739" s="36"/>
      <c r="C739" s="37"/>
      <c r="D739" s="37"/>
      <c r="E739" s="36"/>
      <c r="F739" s="36"/>
      <c r="G739" s="37"/>
      <c r="I739" s="37"/>
      <c r="J739" s="36"/>
      <c r="K739" s="36"/>
      <c r="L739" s="36"/>
      <c r="M739" s="36"/>
      <c r="N739" s="36"/>
      <c r="O739" s="36"/>
      <c r="P739" s="36"/>
      <c r="Q739" s="36"/>
      <c r="R739" s="36"/>
      <c r="S739" s="36"/>
      <c r="T739" s="36"/>
      <c r="U739" s="36"/>
      <c r="V739" s="36"/>
      <c r="W739" s="36"/>
      <c r="X739" s="36"/>
      <c r="Y739" s="36"/>
      <c r="Z739" s="36"/>
    </row>
    <row r="740" ht="15.75" customHeight="1">
      <c r="A740" s="36"/>
      <c r="B740" s="36"/>
      <c r="C740" s="37"/>
      <c r="D740" s="37"/>
      <c r="E740" s="36"/>
      <c r="F740" s="36"/>
      <c r="G740" s="37"/>
      <c r="I740" s="37"/>
      <c r="J740" s="36"/>
      <c r="K740" s="36"/>
      <c r="L740" s="36"/>
      <c r="M740" s="36"/>
      <c r="N740" s="36"/>
      <c r="O740" s="36"/>
      <c r="P740" s="36"/>
      <c r="Q740" s="36"/>
      <c r="R740" s="36"/>
      <c r="S740" s="36"/>
      <c r="T740" s="36"/>
      <c r="U740" s="36"/>
      <c r="V740" s="36"/>
      <c r="W740" s="36"/>
      <c r="X740" s="36"/>
      <c r="Y740" s="36"/>
      <c r="Z740" s="36"/>
    </row>
    <row r="741" ht="15.75" customHeight="1">
      <c r="A741" s="36"/>
      <c r="B741" s="36"/>
      <c r="C741" s="37"/>
      <c r="D741" s="37"/>
      <c r="E741" s="36"/>
      <c r="F741" s="36"/>
      <c r="G741" s="37"/>
      <c r="I741" s="37"/>
      <c r="J741" s="36"/>
      <c r="K741" s="36"/>
      <c r="L741" s="36"/>
      <c r="M741" s="36"/>
      <c r="N741" s="36"/>
      <c r="O741" s="36"/>
      <c r="P741" s="36"/>
      <c r="Q741" s="36"/>
      <c r="R741" s="36"/>
      <c r="S741" s="36"/>
      <c r="T741" s="36"/>
      <c r="U741" s="36"/>
      <c r="V741" s="36"/>
      <c r="W741" s="36"/>
      <c r="X741" s="36"/>
      <c r="Y741" s="36"/>
      <c r="Z741" s="36"/>
    </row>
    <row r="742" ht="15.75" customHeight="1">
      <c r="A742" s="36"/>
      <c r="B742" s="36"/>
      <c r="C742" s="37"/>
      <c r="D742" s="37"/>
      <c r="E742" s="36"/>
      <c r="F742" s="36"/>
      <c r="G742" s="37"/>
      <c r="I742" s="37"/>
      <c r="J742" s="36"/>
      <c r="K742" s="36"/>
      <c r="L742" s="36"/>
      <c r="M742" s="36"/>
      <c r="N742" s="36"/>
      <c r="O742" s="36"/>
      <c r="P742" s="36"/>
      <c r="Q742" s="36"/>
      <c r="R742" s="36"/>
      <c r="S742" s="36"/>
      <c r="T742" s="36"/>
      <c r="U742" s="36"/>
      <c r="V742" s="36"/>
      <c r="W742" s="36"/>
      <c r="X742" s="36"/>
      <c r="Y742" s="36"/>
      <c r="Z742" s="36"/>
    </row>
    <row r="743" ht="15.75" customHeight="1">
      <c r="A743" s="36"/>
      <c r="B743" s="36"/>
      <c r="C743" s="37"/>
      <c r="D743" s="37"/>
      <c r="E743" s="36"/>
      <c r="F743" s="36"/>
      <c r="G743" s="37"/>
      <c r="I743" s="37"/>
      <c r="J743" s="36"/>
      <c r="K743" s="36"/>
      <c r="L743" s="36"/>
      <c r="M743" s="36"/>
      <c r="N743" s="36"/>
      <c r="O743" s="36"/>
      <c r="P743" s="36"/>
      <c r="Q743" s="36"/>
      <c r="R743" s="36"/>
      <c r="S743" s="36"/>
      <c r="T743" s="36"/>
      <c r="U743" s="36"/>
      <c r="V743" s="36"/>
      <c r="W743" s="36"/>
      <c r="X743" s="36"/>
      <c r="Y743" s="36"/>
      <c r="Z743" s="36"/>
    </row>
    <row r="744" ht="15.75" customHeight="1">
      <c r="A744" s="36"/>
      <c r="B744" s="36"/>
      <c r="C744" s="37"/>
      <c r="D744" s="37"/>
      <c r="E744" s="36"/>
      <c r="F744" s="36"/>
      <c r="G744" s="37"/>
      <c r="I744" s="37"/>
      <c r="J744" s="36"/>
      <c r="K744" s="36"/>
      <c r="L744" s="36"/>
      <c r="M744" s="36"/>
      <c r="N744" s="36"/>
      <c r="O744" s="36"/>
      <c r="P744" s="36"/>
      <c r="Q744" s="36"/>
      <c r="R744" s="36"/>
      <c r="S744" s="36"/>
      <c r="T744" s="36"/>
      <c r="U744" s="36"/>
      <c r="V744" s="36"/>
      <c r="W744" s="36"/>
      <c r="X744" s="36"/>
      <c r="Y744" s="36"/>
      <c r="Z744" s="36"/>
    </row>
    <row r="745" ht="15.75" customHeight="1">
      <c r="A745" s="36"/>
      <c r="B745" s="36"/>
      <c r="C745" s="37"/>
      <c r="D745" s="37"/>
      <c r="E745" s="36"/>
      <c r="F745" s="36"/>
      <c r="G745" s="37"/>
      <c r="I745" s="37"/>
      <c r="J745" s="36"/>
      <c r="K745" s="36"/>
      <c r="L745" s="36"/>
      <c r="M745" s="36"/>
      <c r="N745" s="36"/>
      <c r="O745" s="36"/>
      <c r="P745" s="36"/>
      <c r="Q745" s="36"/>
      <c r="R745" s="36"/>
      <c r="S745" s="36"/>
      <c r="T745" s="36"/>
      <c r="U745" s="36"/>
      <c r="V745" s="36"/>
      <c r="W745" s="36"/>
      <c r="X745" s="36"/>
      <c r="Y745" s="36"/>
      <c r="Z745" s="36"/>
    </row>
    <row r="746" ht="15.75" customHeight="1">
      <c r="A746" s="36"/>
      <c r="B746" s="36"/>
      <c r="C746" s="37"/>
      <c r="D746" s="37"/>
      <c r="E746" s="36"/>
      <c r="F746" s="36"/>
      <c r="G746" s="37"/>
      <c r="I746" s="37"/>
      <c r="J746" s="36"/>
      <c r="K746" s="36"/>
      <c r="L746" s="36"/>
      <c r="M746" s="36"/>
      <c r="N746" s="36"/>
      <c r="O746" s="36"/>
      <c r="P746" s="36"/>
      <c r="Q746" s="36"/>
      <c r="R746" s="36"/>
      <c r="S746" s="36"/>
      <c r="T746" s="36"/>
      <c r="U746" s="36"/>
      <c r="V746" s="36"/>
      <c r="W746" s="36"/>
      <c r="X746" s="36"/>
      <c r="Y746" s="36"/>
      <c r="Z746" s="36"/>
    </row>
    <row r="747" ht="15.75" customHeight="1">
      <c r="A747" s="36"/>
      <c r="B747" s="36"/>
      <c r="C747" s="37"/>
      <c r="D747" s="37"/>
      <c r="E747" s="36"/>
      <c r="F747" s="36"/>
      <c r="G747" s="37"/>
      <c r="I747" s="37"/>
      <c r="J747" s="36"/>
      <c r="K747" s="36"/>
      <c r="L747" s="36"/>
      <c r="M747" s="36"/>
      <c r="N747" s="36"/>
      <c r="O747" s="36"/>
      <c r="P747" s="36"/>
      <c r="Q747" s="36"/>
      <c r="R747" s="36"/>
      <c r="S747" s="36"/>
      <c r="T747" s="36"/>
      <c r="U747" s="36"/>
      <c r="V747" s="36"/>
      <c r="W747" s="36"/>
      <c r="X747" s="36"/>
      <c r="Y747" s="36"/>
      <c r="Z747" s="36"/>
    </row>
    <row r="748" ht="15.75" customHeight="1">
      <c r="A748" s="36"/>
      <c r="B748" s="36"/>
      <c r="C748" s="37"/>
      <c r="D748" s="37"/>
      <c r="E748" s="36"/>
      <c r="F748" s="36"/>
      <c r="G748" s="37"/>
      <c r="I748" s="37"/>
      <c r="J748" s="36"/>
      <c r="K748" s="36"/>
      <c r="L748" s="36"/>
      <c r="M748" s="36"/>
      <c r="N748" s="36"/>
      <c r="O748" s="36"/>
      <c r="P748" s="36"/>
      <c r="Q748" s="36"/>
      <c r="R748" s="36"/>
      <c r="S748" s="36"/>
      <c r="T748" s="36"/>
      <c r="U748" s="36"/>
      <c r="V748" s="36"/>
      <c r="W748" s="36"/>
      <c r="X748" s="36"/>
      <c r="Y748" s="36"/>
      <c r="Z748" s="36"/>
    </row>
    <row r="749" ht="15.75" customHeight="1">
      <c r="A749" s="36"/>
      <c r="B749" s="36"/>
      <c r="C749" s="37"/>
      <c r="D749" s="37"/>
      <c r="E749" s="36"/>
      <c r="F749" s="36"/>
      <c r="G749" s="37"/>
      <c r="I749" s="37"/>
      <c r="J749" s="36"/>
      <c r="K749" s="36"/>
      <c r="L749" s="36"/>
      <c r="M749" s="36"/>
      <c r="N749" s="36"/>
      <c r="O749" s="36"/>
      <c r="P749" s="36"/>
      <c r="Q749" s="36"/>
      <c r="R749" s="36"/>
      <c r="S749" s="36"/>
      <c r="T749" s="36"/>
      <c r="U749" s="36"/>
      <c r="V749" s="36"/>
      <c r="W749" s="36"/>
      <c r="X749" s="36"/>
      <c r="Y749" s="36"/>
      <c r="Z749" s="36"/>
    </row>
    <row r="750" ht="15.75" customHeight="1">
      <c r="A750" s="36"/>
      <c r="B750" s="36"/>
      <c r="C750" s="37"/>
      <c r="D750" s="37"/>
      <c r="E750" s="36"/>
      <c r="F750" s="36"/>
      <c r="G750" s="37"/>
      <c r="I750" s="37"/>
      <c r="J750" s="36"/>
      <c r="K750" s="36"/>
      <c r="L750" s="36"/>
      <c r="M750" s="36"/>
      <c r="N750" s="36"/>
      <c r="O750" s="36"/>
      <c r="P750" s="36"/>
      <c r="Q750" s="36"/>
      <c r="R750" s="36"/>
      <c r="S750" s="36"/>
      <c r="T750" s="36"/>
      <c r="U750" s="36"/>
      <c r="V750" s="36"/>
      <c r="W750" s="36"/>
      <c r="X750" s="36"/>
      <c r="Y750" s="36"/>
      <c r="Z750" s="36"/>
    </row>
    <row r="751" ht="15.75" customHeight="1">
      <c r="A751" s="36"/>
      <c r="B751" s="36"/>
      <c r="C751" s="37"/>
      <c r="D751" s="37"/>
      <c r="E751" s="36"/>
      <c r="F751" s="36"/>
      <c r="G751" s="37"/>
      <c r="I751" s="37"/>
      <c r="J751" s="36"/>
      <c r="K751" s="36"/>
      <c r="L751" s="36"/>
      <c r="M751" s="36"/>
      <c r="N751" s="36"/>
      <c r="O751" s="36"/>
      <c r="P751" s="36"/>
      <c r="Q751" s="36"/>
      <c r="R751" s="36"/>
      <c r="S751" s="36"/>
      <c r="T751" s="36"/>
      <c r="U751" s="36"/>
      <c r="V751" s="36"/>
      <c r="W751" s="36"/>
      <c r="X751" s="36"/>
      <c r="Y751" s="36"/>
      <c r="Z751" s="36"/>
    </row>
    <row r="752" ht="15.75" customHeight="1">
      <c r="A752" s="36"/>
      <c r="B752" s="36"/>
      <c r="C752" s="37"/>
      <c r="D752" s="37"/>
      <c r="E752" s="36"/>
      <c r="F752" s="36"/>
      <c r="G752" s="37"/>
      <c r="I752" s="37"/>
      <c r="J752" s="36"/>
      <c r="K752" s="36"/>
      <c r="L752" s="36"/>
      <c r="M752" s="36"/>
      <c r="N752" s="36"/>
      <c r="O752" s="36"/>
      <c r="P752" s="36"/>
      <c r="Q752" s="36"/>
      <c r="R752" s="36"/>
      <c r="S752" s="36"/>
      <c r="T752" s="36"/>
      <c r="U752" s="36"/>
      <c r="V752" s="36"/>
      <c r="W752" s="36"/>
      <c r="X752" s="36"/>
      <c r="Y752" s="36"/>
      <c r="Z752" s="36"/>
    </row>
    <row r="753" ht="15.75" customHeight="1">
      <c r="A753" s="36"/>
      <c r="B753" s="36"/>
      <c r="C753" s="37"/>
      <c r="D753" s="37"/>
      <c r="E753" s="36"/>
      <c r="F753" s="36"/>
      <c r="G753" s="37"/>
      <c r="I753" s="37"/>
      <c r="J753" s="36"/>
      <c r="K753" s="36"/>
      <c r="L753" s="36"/>
      <c r="M753" s="36"/>
      <c r="N753" s="36"/>
      <c r="O753" s="36"/>
      <c r="P753" s="36"/>
      <c r="Q753" s="36"/>
      <c r="R753" s="36"/>
      <c r="S753" s="36"/>
      <c r="T753" s="36"/>
      <c r="U753" s="36"/>
      <c r="V753" s="36"/>
      <c r="W753" s="36"/>
      <c r="X753" s="36"/>
      <c r="Y753" s="36"/>
      <c r="Z753" s="36"/>
    </row>
    <row r="754" ht="15.75" customHeight="1">
      <c r="A754" s="36"/>
      <c r="B754" s="36"/>
      <c r="C754" s="37"/>
      <c r="D754" s="37"/>
      <c r="E754" s="36"/>
      <c r="F754" s="36"/>
      <c r="G754" s="37"/>
      <c r="I754" s="37"/>
      <c r="J754" s="36"/>
      <c r="K754" s="36"/>
      <c r="L754" s="36"/>
      <c r="M754" s="36"/>
      <c r="N754" s="36"/>
      <c r="O754" s="36"/>
      <c r="P754" s="36"/>
      <c r="Q754" s="36"/>
      <c r="R754" s="36"/>
      <c r="S754" s="36"/>
      <c r="T754" s="36"/>
      <c r="U754" s="36"/>
      <c r="V754" s="36"/>
      <c r="W754" s="36"/>
      <c r="X754" s="36"/>
      <c r="Y754" s="36"/>
      <c r="Z754" s="36"/>
    </row>
    <row r="755" ht="15.75" customHeight="1">
      <c r="A755" s="36"/>
      <c r="B755" s="36"/>
      <c r="C755" s="37"/>
      <c r="D755" s="37"/>
      <c r="E755" s="36"/>
      <c r="F755" s="36"/>
      <c r="G755" s="37"/>
      <c r="I755" s="37"/>
      <c r="J755" s="36"/>
      <c r="K755" s="36"/>
      <c r="L755" s="36"/>
      <c r="M755" s="36"/>
      <c r="N755" s="36"/>
      <c r="O755" s="36"/>
      <c r="P755" s="36"/>
      <c r="Q755" s="36"/>
      <c r="R755" s="36"/>
      <c r="S755" s="36"/>
      <c r="T755" s="36"/>
      <c r="U755" s="36"/>
      <c r="V755" s="36"/>
      <c r="W755" s="36"/>
      <c r="X755" s="36"/>
      <c r="Y755" s="36"/>
      <c r="Z755" s="36"/>
    </row>
    <row r="756" ht="15.75" customHeight="1">
      <c r="A756" s="36"/>
      <c r="B756" s="36"/>
      <c r="C756" s="37"/>
      <c r="D756" s="37"/>
      <c r="E756" s="36"/>
      <c r="F756" s="36"/>
      <c r="G756" s="37"/>
      <c r="I756" s="37"/>
      <c r="J756" s="36"/>
      <c r="K756" s="36"/>
      <c r="L756" s="36"/>
      <c r="M756" s="36"/>
      <c r="N756" s="36"/>
      <c r="O756" s="36"/>
      <c r="P756" s="36"/>
      <c r="Q756" s="36"/>
      <c r="R756" s="36"/>
      <c r="S756" s="36"/>
      <c r="T756" s="36"/>
      <c r="U756" s="36"/>
      <c r="V756" s="36"/>
      <c r="W756" s="36"/>
      <c r="X756" s="36"/>
      <c r="Y756" s="36"/>
      <c r="Z756" s="36"/>
    </row>
    <row r="757" ht="15.75" customHeight="1">
      <c r="A757" s="36"/>
      <c r="B757" s="36"/>
      <c r="C757" s="37"/>
      <c r="D757" s="37"/>
      <c r="E757" s="36"/>
      <c r="F757" s="36"/>
      <c r="G757" s="37"/>
      <c r="I757" s="37"/>
      <c r="J757" s="36"/>
      <c r="K757" s="36"/>
      <c r="L757" s="36"/>
      <c r="M757" s="36"/>
      <c r="N757" s="36"/>
      <c r="O757" s="36"/>
      <c r="P757" s="36"/>
      <c r="Q757" s="36"/>
      <c r="R757" s="36"/>
      <c r="S757" s="36"/>
      <c r="T757" s="36"/>
      <c r="U757" s="36"/>
      <c r="V757" s="36"/>
      <c r="W757" s="36"/>
      <c r="X757" s="36"/>
      <c r="Y757" s="36"/>
      <c r="Z757" s="36"/>
    </row>
    <row r="758" ht="15.75" customHeight="1">
      <c r="A758" s="36"/>
      <c r="B758" s="36"/>
      <c r="C758" s="37"/>
      <c r="D758" s="37"/>
      <c r="E758" s="36"/>
      <c r="F758" s="36"/>
      <c r="G758" s="37"/>
      <c r="I758" s="37"/>
      <c r="J758" s="36"/>
      <c r="K758" s="36"/>
      <c r="L758" s="36"/>
      <c r="M758" s="36"/>
      <c r="N758" s="36"/>
      <c r="O758" s="36"/>
      <c r="P758" s="36"/>
      <c r="Q758" s="36"/>
      <c r="R758" s="36"/>
      <c r="S758" s="36"/>
      <c r="T758" s="36"/>
      <c r="U758" s="36"/>
      <c r="V758" s="36"/>
      <c r="W758" s="36"/>
      <c r="X758" s="36"/>
      <c r="Y758" s="36"/>
      <c r="Z758" s="36"/>
    </row>
    <row r="759" ht="15.75" customHeight="1">
      <c r="A759" s="36"/>
      <c r="B759" s="36"/>
      <c r="C759" s="37"/>
      <c r="D759" s="37"/>
      <c r="E759" s="36"/>
      <c r="F759" s="36"/>
      <c r="G759" s="37"/>
      <c r="I759" s="37"/>
      <c r="J759" s="36"/>
      <c r="K759" s="36"/>
      <c r="L759" s="36"/>
      <c r="M759" s="36"/>
      <c r="N759" s="36"/>
      <c r="O759" s="36"/>
      <c r="P759" s="36"/>
      <c r="Q759" s="36"/>
      <c r="R759" s="36"/>
      <c r="S759" s="36"/>
      <c r="T759" s="36"/>
      <c r="U759" s="36"/>
      <c r="V759" s="36"/>
      <c r="W759" s="36"/>
      <c r="X759" s="36"/>
      <c r="Y759" s="36"/>
      <c r="Z759" s="36"/>
    </row>
    <row r="760" ht="15.75" customHeight="1">
      <c r="A760" s="36"/>
      <c r="B760" s="36"/>
      <c r="C760" s="37"/>
      <c r="D760" s="37"/>
      <c r="E760" s="36"/>
      <c r="F760" s="36"/>
      <c r="G760" s="37"/>
      <c r="I760" s="37"/>
      <c r="J760" s="36"/>
      <c r="K760" s="36"/>
      <c r="L760" s="36"/>
      <c r="M760" s="36"/>
      <c r="N760" s="36"/>
      <c r="O760" s="36"/>
      <c r="P760" s="36"/>
      <c r="Q760" s="36"/>
      <c r="R760" s="36"/>
      <c r="S760" s="36"/>
      <c r="T760" s="36"/>
      <c r="U760" s="36"/>
      <c r="V760" s="36"/>
      <c r="W760" s="36"/>
      <c r="X760" s="36"/>
      <c r="Y760" s="36"/>
      <c r="Z760" s="36"/>
    </row>
    <row r="761" ht="15.75" customHeight="1">
      <c r="A761" s="36"/>
      <c r="B761" s="36"/>
      <c r="C761" s="37"/>
      <c r="D761" s="37"/>
      <c r="E761" s="36"/>
      <c r="F761" s="36"/>
      <c r="G761" s="37"/>
      <c r="I761" s="37"/>
      <c r="J761" s="36"/>
      <c r="K761" s="36"/>
      <c r="L761" s="36"/>
      <c r="M761" s="36"/>
      <c r="N761" s="36"/>
      <c r="O761" s="36"/>
      <c r="P761" s="36"/>
      <c r="Q761" s="36"/>
      <c r="R761" s="36"/>
      <c r="S761" s="36"/>
      <c r="T761" s="36"/>
      <c r="U761" s="36"/>
      <c r="V761" s="36"/>
      <c r="W761" s="36"/>
      <c r="X761" s="36"/>
      <c r="Y761" s="36"/>
      <c r="Z761" s="36"/>
    </row>
    <row r="762" ht="15.75" customHeight="1">
      <c r="A762" s="36"/>
      <c r="B762" s="36"/>
      <c r="C762" s="37"/>
      <c r="D762" s="37"/>
      <c r="E762" s="36"/>
      <c r="F762" s="36"/>
      <c r="G762" s="37"/>
      <c r="I762" s="37"/>
      <c r="J762" s="36"/>
      <c r="K762" s="36"/>
      <c r="L762" s="36"/>
      <c r="M762" s="36"/>
      <c r="N762" s="36"/>
      <c r="O762" s="36"/>
      <c r="P762" s="36"/>
      <c r="Q762" s="36"/>
      <c r="R762" s="36"/>
      <c r="S762" s="36"/>
      <c r="T762" s="36"/>
      <c r="U762" s="36"/>
      <c r="V762" s="36"/>
      <c r="W762" s="36"/>
      <c r="X762" s="36"/>
      <c r="Y762" s="36"/>
      <c r="Z762" s="36"/>
    </row>
    <row r="763" ht="15.75" customHeight="1">
      <c r="A763" s="36"/>
      <c r="B763" s="36"/>
      <c r="C763" s="37"/>
      <c r="D763" s="37"/>
      <c r="E763" s="36"/>
      <c r="F763" s="36"/>
      <c r="G763" s="37"/>
      <c r="I763" s="37"/>
      <c r="J763" s="36"/>
      <c r="K763" s="36"/>
      <c r="L763" s="36"/>
      <c r="M763" s="36"/>
      <c r="N763" s="36"/>
      <c r="O763" s="36"/>
      <c r="P763" s="36"/>
      <c r="Q763" s="36"/>
      <c r="R763" s="36"/>
      <c r="S763" s="36"/>
      <c r="T763" s="36"/>
      <c r="U763" s="36"/>
      <c r="V763" s="36"/>
      <c r="W763" s="36"/>
      <c r="X763" s="36"/>
      <c r="Y763" s="36"/>
      <c r="Z763" s="36"/>
    </row>
    <row r="764" ht="15.75" customHeight="1">
      <c r="A764" s="36"/>
      <c r="B764" s="36"/>
      <c r="C764" s="37"/>
      <c r="D764" s="37"/>
      <c r="E764" s="36"/>
      <c r="F764" s="36"/>
      <c r="G764" s="37"/>
      <c r="I764" s="37"/>
      <c r="J764" s="36"/>
      <c r="K764" s="36"/>
      <c r="L764" s="36"/>
      <c r="M764" s="36"/>
      <c r="N764" s="36"/>
      <c r="O764" s="36"/>
      <c r="P764" s="36"/>
      <c r="Q764" s="36"/>
      <c r="R764" s="36"/>
      <c r="S764" s="36"/>
      <c r="T764" s="36"/>
      <c r="U764" s="36"/>
      <c r="V764" s="36"/>
      <c r="W764" s="36"/>
      <c r="X764" s="36"/>
      <c r="Y764" s="36"/>
      <c r="Z764" s="36"/>
    </row>
    <row r="765" ht="15.75" customHeight="1">
      <c r="A765" s="36"/>
      <c r="B765" s="36"/>
      <c r="C765" s="37"/>
      <c r="D765" s="37"/>
      <c r="E765" s="36"/>
      <c r="F765" s="36"/>
      <c r="G765" s="37"/>
      <c r="I765" s="37"/>
      <c r="J765" s="36"/>
      <c r="K765" s="36"/>
      <c r="L765" s="36"/>
      <c r="M765" s="36"/>
      <c r="N765" s="36"/>
      <c r="O765" s="36"/>
      <c r="P765" s="36"/>
      <c r="Q765" s="36"/>
      <c r="R765" s="36"/>
      <c r="S765" s="36"/>
      <c r="T765" s="36"/>
      <c r="U765" s="36"/>
      <c r="V765" s="36"/>
      <c r="W765" s="36"/>
      <c r="X765" s="36"/>
      <c r="Y765" s="36"/>
      <c r="Z765" s="36"/>
    </row>
    <row r="766" ht="15.75" customHeight="1">
      <c r="A766" s="36"/>
      <c r="B766" s="36"/>
      <c r="C766" s="37"/>
      <c r="D766" s="37"/>
      <c r="E766" s="36"/>
      <c r="F766" s="36"/>
      <c r="G766" s="37"/>
      <c r="I766" s="37"/>
      <c r="J766" s="36"/>
      <c r="K766" s="36"/>
      <c r="L766" s="36"/>
      <c r="M766" s="36"/>
      <c r="N766" s="36"/>
      <c r="O766" s="36"/>
      <c r="P766" s="36"/>
      <c r="Q766" s="36"/>
      <c r="R766" s="36"/>
      <c r="S766" s="36"/>
      <c r="T766" s="36"/>
      <c r="U766" s="36"/>
      <c r="V766" s="36"/>
      <c r="W766" s="36"/>
      <c r="X766" s="36"/>
      <c r="Y766" s="36"/>
      <c r="Z766" s="36"/>
    </row>
    <row r="767" ht="15.75" customHeight="1">
      <c r="A767" s="36"/>
      <c r="B767" s="36"/>
      <c r="C767" s="37"/>
      <c r="D767" s="37"/>
      <c r="E767" s="36"/>
      <c r="F767" s="36"/>
      <c r="G767" s="37"/>
      <c r="I767" s="37"/>
      <c r="J767" s="36"/>
      <c r="K767" s="36"/>
      <c r="L767" s="36"/>
      <c r="M767" s="36"/>
      <c r="N767" s="36"/>
      <c r="O767" s="36"/>
      <c r="P767" s="36"/>
      <c r="Q767" s="36"/>
      <c r="R767" s="36"/>
      <c r="S767" s="36"/>
      <c r="T767" s="36"/>
      <c r="U767" s="36"/>
      <c r="V767" s="36"/>
      <c r="W767" s="36"/>
      <c r="X767" s="36"/>
      <c r="Y767" s="36"/>
      <c r="Z767" s="36"/>
    </row>
    <row r="768" ht="15.75" customHeight="1">
      <c r="A768" s="36"/>
      <c r="B768" s="36"/>
      <c r="C768" s="37"/>
      <c r="D768" s="37"/>
      <c r="E768" s="36"/>
      <c r="F768" s="36"/>
      <c r="G768" s="37"/>
      <c r="I768" s="37"/>
      <c r="J768" s="36"/>
      <c r="K768" s="36"/>
      <c r="L768" s="36"/>
      <c r="M768" s="36"/>
      <c r="N768" s="36"/>
      <c r="O768" s="36"/>
      <c r="P768" s="36"/>
      <c r="Q768" s="36"/>
      <c r="R768" s="36"/>
      <c r="S768" s="36"/>
      <c r="T768" s="36"/>
      <c r="U768" s="36"/>
      <c r="V768" s="36"/>
      <c r="W768" s="36"/>
      <c r="X768" s="36"/>
      <c r="Y768" s="36"/>
      <c r="Z768" s="36"/>
    </row>
    <row r="769" ht="15.75" customHeight="1">
      <c r="A769" s="36"/>
      <c r="B769" s="36"/>
      <c r="C769" s="37"/>
      <c r="D769" s="37"/>
      <c r="E769" s="36"/>
      <c r="F769" s="36"/>
      <c r="G769" s="37"/>
      <c r="I769" s="37"/>
      <c r="J769" s="36"/>
      <c r="K769" s="36"/>
      <c r="L769" s="36"/>
      <c r="M769" s="36"/>
      <c r="N769" s="36"/>
      <c r="O769" s="36"/>
      <c r="P769" s="36"/>
      <c r="Q769" s="36"/>
      <c r="R769" s="36"/>
      <c r="S769" s="36"/>
      <c r="T769" s="36"/>
      <c r="U769" s="36"/>
      <c r="V769" s="36"/>
      <c r="W769" s="36"/>
      <c r="X769" s="36"/>
      <c r="Y769" s="36"/>
      <c r="Z769" s="36"/>
    </row>
    <row r="770" ht="15.75" customHeight="1">
      <c r="A770" s="36"/>
      <c r="B770" s="36"/>
      <c r="C770" s="37"/>
      <c r="D770" s="37"/>
      <c r="E770" s="36"/>
      <c r="F770" s="36"/>
      <c r="G770" s="37"/>
      <c r="I770" s="37"/>
      <c r="J770" s="36"/>
      <c r="K770" s="36"/>
      <c r="L770" s="36"/>
      <c r="M770" s="36"/>
      <c r="N770" s="36"/>
      <c r="O770" s="36"/>
      <c r="P770" s="36"/>
      <c r="Q770" s="36"/>
      <c r="R770" s="36"/>
      <c r="S770" s="36"/>
      <c r="T770" s="36"/>
      <c r="U770" s="36"/>
      <c r="V770" s="36"/>
      <c r="W770" s="36"/>
      <c r="X770" s="36"/>
      <c r="Y770" s="36"/>
      <c r="Z770" s="36"/>
    </row>
    <row r="771" ht="15.75" customHeight="1">
      <c r="A771" s="36"/>
      <c r="B771" s="36"/>
      <c r="C771" s="37"/>
      <c r="D771" s="37"/>
      <c r="E771" s="36"/>
      <c r="F771" s="36"/>
      <c r="G771" s="37"/>
      <c r="I771" s="37"/>
      <c r="J771" s="36"/>
      <c r="K771" s="36"/>
      <c r="L771" s="36"/>
      <c r="M771" s="36"/>
      <c r="N771" s="36"/>
      <c r="O771" s="36"/>
      <c r="P771" s="36"/>
      <c r="Q771" s="36"/>
      <c r="R771" s="36"/>
      <c r="S771" s="36"/>
      <c r="T771" s="36"/>
      <c r="U771" s="36"/>
      <c r="V771" s="36"/>
      <c r="W771" s="36"/>
      <c r="X771" s="36"/>
      <c r="Y771" s="36"/>
      <c r="Z771" s="36"/>
    </row>
    <row r="772" ht="15.75" customHeight="1">
      <c r="A772" s="36"/>
      <c r="B772" s="36"/>
      <c r="C772" s="37"/>
      <c r="D772" s="37"/>
      <c r="E772" s="36"/>
      <c r="F772" s="36"/>
      <c r="G772" s="37"/>
      <c r="I772" s="37"/>
      <c r="J772" s="36"/>
      <c r="K772" s="36"/>
      <c r="L772" s="36"/>
      <c r="M772" s="36"/>
      <c r="N772" s="36"/>
      <c r="O772" s="36"/>
      <c r="P772" s="36"/>
      <c r="Q772" s="36"/>
      <c r="R772" s="36"/>
      <c r="S772" s="36"/>
      <c r="T772" s="36"/>
      <c r="U772" s="36"/>
      <c r="V772" s="36"/>
      <c r="W772" s="36"/>
      <c r="X772" s="36"/>
      <c r="Y772" s="36"/>
      <c r="Z772" s="36"/>
    </row>
    <row r="773" ht="15.75" customHeight="1">
      <c r="A773" s="36"/>
      <c r="B773" s="36"/>
      <c r="C773" s="37"/>
      <c r="D773" s="37"/>
      <c r="E773" s="36"/>
      <c r="F773" s="36"/>
      <c r="G773" s="37"/>
      <c r="I773" s="37"/>
      <c r="J773" s="36"/>
      <c r="K773" s="36"/>
      <c r="L773" s="36"/>
      <c r="M773" s="36"/>
      <c r="N773" s="36"/>
      <c r="O773" s="36"/>
      <c r="P773" s="36"/>
      <c r="Q773" s="36"/>
      <c r="R773" s="36"/>
      <c r="S773" s="36"/>
      <c r="T773" s="36"/>
      <c r="U773" s="36"/>
      <c r="V773" s="36"/>
      <c r="W773" s="36"/>
      <c r="X773" s="36"/>
      <c r="Y773" s="36"/>
      <c r="Z773" s="36"/>
    </row>
    <row r="774" ht="15.75" customHeight="1">
      <c r="A774" s="36"/>
      <c r="B774" s="36"/>
      <c r="C774" s="37"/>
      <c r="D774" s="37"/>
      <c r="E774" s="36"/>
      <c r="F774" s="36"/>
      <c r="G774" s="37"/>
      <c r="I774" s="37"/>
      <c r="J774" s="36"/>
      <c r="K774" s="36"/>
      <c r="L774" s="36"/>
      <c r="M774" s="36"/>
      <c r="N774" s="36"/>
      <c r="O774" s="36"/>
      <c r="P774" s="36"/>
      <c r="Q774" s="36"/>
      <c r="R774" s="36"/>
      <c r="S774" s="36"/>
      <c r="T774" s="36"/>
      <c r="U774" s="36"/>
      <c r="V774" s="36"/>
      <c r="W774" s="36"/>
      <c r="X774" s="36"/>
      <c r="Y774" s="36"/>
      <c r="Z774" s="36"/>
    </row>
    <row r="775" ht="15.75" customHeight="1">
      <c r="A775" s="36"/>
      <c r="B775" s="36"/>
      <c r="C775" s="37"/>
      <c r="D775" s="37"/>
      <c r="E775" s="36"/>
      <c r="F775" s="36"/>
      <c r="G775" s="37"/>
      <c r="I775" s="37"/>
      <c r="J775" s="36"/>
      <c r="K775" s="36"/>
      <c r="L775" s="36"/>
      <c r="M775" s="36"/>
      <c r="N775" s="36"/>
      <c r="O775" s="36"/>
      <c r="P775" s="36"/>
      <c r="Q775" s="36"/>
      <c r="R775" s="36"/>
      <c r="S775" s="36"/>
      <c r="T775" s="36"/>
      <c r="U775" s="36"/>
      <c r="V775" s="36"/>
      <c r="W775" s="36"/>
      <c r="X775" s="36"/>
      <c r="Y775" s="36"/>
      <c r="Z775" s="36"/>
    </row>
    <row r="776" ht="15.75" customHeight="1">
      <c r="A776" s="36"/>
      <c r="B776" s="36"/>
      <c r="C776" s="37"/>
      <c r="D776" s="37"/>
      <c r="E776" s="36"/>
      <c r="F776" s="36"/>
      <c r="G776" s="37"/>
      <c r="I776" s="37"/>
      <c r="J776" s="36"/>
      <c r="K776" s="36"/>
      <c r="L776" s="36"/>
      <c r="M776" s="36"/>
      <c r="N776" s="36"/>
      <c r="O776" s="36"/>
      <c r="P776" s="36"/>
      <c r="Q776" s="36"/>
      <c r="R776" s="36"/>
      <c r="S776" s="36"/>
      <c r="T776" s="36"/>
      <c r="U776" s="36"/>
      <c r="V776" s="36"/>
      <c r="W776" s="36"/>
      <c r="X776" s="36"/>
      <c r="Y776" s="36"/>
      <c r="Z776" s="36"/>
    </row>
    <row r="777" ht="15.75" customHeight="1">
      <c r="A777" s="36"/>
      <c r="B777" s="36"/>
      <c r="C777" s="37"/>
      <c r="D777" s="37"/>
      <c r="E777" s="36"/>
      <c r="F777" s="36"/>
      <c r="G777" s="37"/>
      <c r="I777" s="37"/>
      <c r="J777" s="36"/>
      <c r="K777" s="36"/>
      <c r="L777" s="36"/>
      <c r="M777" s="36"/>
      <c r="N777" s="36"/>
      <c r="O777" s="36"/>
      <c r="P777" s="36"/>
      <c r="Q777" s="36"/>
      <c r="R777" s="36"/>
      <c r="S777" s="36"/>
      <c r="T777" s="36"/>
      <c r="U777" s="36"/>
      <c r="V777" s="36"/>
      <c r="W777" s="36"/>
      <c r="X777" s="36"/>
      <c r="Y777" s="36"/>
      <c r="Z777" s="36"/>
    </row>
    <row r="778" ht="15.75" customHeight="1">
      <c r="A778" s="36"/>
      <c r="B778" s="36"/>
      <c r="C778" s="37"/>
      <c r="D778" s="37"/>
      <c r="E778" s="36"/>
      <c r="F778" s="36"/>
      <c r="G778" s="37"/>
      <c r="I778" s="37"/>
      <c r="J778" s="36"/>
      <c r="K778" s="36"/>
      <c r="L778" s="36"/>
      <c r="M778" s="36"/>
      <c r="N778" s="36"/>
      <c r="O778" s="36"/>
      <c r="P778" s="36"/>
      <c r="Q778" s="36"/>
      <c r="R778" s="36"/>
      <c r="S778" s="36"/>
      <c r="T778" s="36"/>
      <c r="U778" s="36"/>
      <c r="V778" s="36"/>
      <c r="W778" s="36"/>
      <c r="X778" s="36"/>
      <c r="Y778" s="36"/>
      <c r="Z778" s="36"/>
    </row>
    <row r="779" ht="15.75" customHeight="1">
      <c r="A779" s="36"/>
      <c r="B779" s="36"/>
      <c r="C779" s="37"/>
      <c r="D779" s="37"/>
      <c r="E779" s="36"/>
      <c r="F779" s="36"/>
      <c r="G779" s="37"/>
      <c r="I779" s="37"/>
      <c r="J779" s="36"/>
      <c r="K779" s="36"/>
      <c r="L779" s="36"/>
      <c r="M779" s="36"/>
      <c r="N779" s="36"/>
      <c r="O779" s="36"/>
      <c r="P779" s="36"/>
      <c r="Q779" s="36"/>
      <c r="R779" s="36"/>
      <c r="S779" s="36"/>
      <c r="T779" s="36"/>
      <c r="U779" s="36"/>
      <c r="V779" s="36"/>
      <c r="W779" s="36"/>
      <c r="X779" s="36"/>
      <c r="Y779" s="36"/>
      <c r="Z779" s="36"/>
    </row>
    <row r="780" ht="15.75" customHeight="1">
      <c r="A780" s="36"/>
      <c r="B780" s="36"/>
      <c r="C780" s="37"/>
      <c r="D780" s="37"/>
      <c r="E780" s="36"/>
      <c r="F780" s="36"/>
      <c r="G780" s="37"/>
      <c r="I780" s="37"/>
      <c r="J780" s="36"/>
      <c r="K780" s="36"/>
      <c r="L780" s="36"/>
      <c r="M780" s="36"/>
      <c r="N780" s="36"/>
      <c r="O780" s="36"/>
      <c r="P780" s="36"/>
      <c r="Q780" s="36"/>
      <c r="R780" s="36"/>
      <c r="S780" s="36"/>
      <c r="T780" s="36"/>
      <c r="U780" s="36"/>
      <c r="V780" s="36"/>
      <c r="W780" s="36"/>
      <c r="X780" s="36"/>
      <c r="Y780" s="36"/>
      <c r="Z780" s="36"/>
    </row>
    <row r="781" ht="15.75" customHeight="1">
      <c r="A781" s="36"/>
      <c r="B781" s="36"/>
      <c r="C781" s="37"/>
      <c r="D781" s="37"/>
      <c r="E781" s="36"/>
      <c r="F781" s="36"/>
      <c r="G781" s="37"/>
      <c r="I781" s="37"/>
      <c r="J781" s="36"/>
      <c r="K781" s="36"/>
      <c r="L781" s="36"/>
      <c r="M781" s="36"/>
      <c r="N781" s="36"/>
      <c r="O781" s="36"/>
      <c r="P781" s="36"/>
      <c r="Q781" s="36"/>
      <c r="R781" s="36"/>
      <c r="S781" s="36"/>
      <c r="T781" s="36"/>
      <c r="U781" s="36"/>
      <c r="V781" s="36"/>
      <c r="W781" s="36"/>
      <c r="X781" s="36"/>
      <c r="Y781" s="36"/>
      <c r="Z781" s="36"/>
    </row>
    <row r="782" ht="15.75" customHeight="1">
      <c r="A782" s="36"/>
      <c r="B782" s="36"/>
      <c r="C782" s="37"/>
      <c r="D782" s="37"/>
      <c r="E782" s="36"/>
      <c r="F782" s="36"/>
      <c r="G782" s="37"/>
      <c r="I782" s="37"/>
      <c r="J782" s="36"/>
      <c r="K782" s="36"/>
      <c r="L782" s="36"/>
      <c r="M782" s="36"/>
      <c r="N782" s="36"/>
      <c r="O782" s="36"/>
      <c r="P782" s="36"/>
      <c r="Q782" s="36"/>
      <c r="R782" s="36"/>
      <c r="S782" s="36"/>
      <c r="T782" s="36"/>
      <c r="U782" s="36"/>
      <c r="V782" s="36"/>
      <c r="W782" s="36"/>
      <c r="X782" s="36"/>
      <c r="Y782" s="36"/>
      <c r="Z782" s="36"/>
    </row>
    <row r="783" ht="15.75" customHeight="1">
      <c r="A783" s="36"/>
      <c r="B783" s="36"/>
      <c r="C783" s="37"/>
      <c r="D783" s="37"/>
      <c r="E783" s="36"/>
      <c r="F783" s="36"/>
      <c r="G783" s="37"/>
      <c r="I783" s="37"/>
      <c r="J783" s="36"/>
      <c r="K783" s="36"/>
      <c r="L783" s="36"/>
      <c r="M783" s="36"/>
      <c r="N783" s="36"/>
      <c r="O783" s="36"/>
      <c r="P783" s="36"/>
      <c r="Q783" s="36"/>
      <c r="R783" s="36"/>
      <c r="S783" s="36"/>
      <c r="T783" s="36"/>
      <c r="U783" s="36"/>
      <c r="V783" s="36"/>
      <c r="W783" s="36"/>
      <c r="X783" s="36"/>
      <c r="Y783" s="36"/>
      <c r="Z783" s="36"/>
    </row>
    <row r="784" ht="15.75" customHeight="1">
      <c r="A784" s="36"/>
      <c r="B784" s="36"/>
      <c r="C784" s="37"/>
      <c r="D784" s="37"/>
      <c r="E784" s="36"/>
      <c r="F784" s="36"/>
      <c r="G784" s="37"/>
      <c r="I784" s="37"/>
      <c r="J784" s="36"/>
      <c r="K784" s="36"/>
      <c r="L784" s="36"/>
      <c r="M784" s="36"/>
      <c r="N784" s="36"/>
      <c r="O784" s="36"/>
      <c r="P784" s="36"/>
      <c r="Q784" s="36"/>
      <c r="R784" s="36"/>
      <c r="S784" s="36"/>
      <c r="T784" s="36"/>
      <c r="U784" s="36"/>
      <c r="V784" s="36"/>
      <c r="W784" s="36"/>
      <c r="X784" s="36"/>
      <c r="Y784" s="36"/>
      <c r="Z784" s="36"/>
    </row>
    <row r="785" ht="15.75" customHeight="1">
      <c r="A785" s="36"/>
      <c r="B785" s="36"/>
      <c r="C785" s="37"/>
      <c r="D785" s="37"/>
      <c r="E785" s="36"/>
      <c r="F785" s="36"/>
      <c r="G785" s="37"/>
      <c r="I785" s="37"/>
      <c r="J785" s="36"/>
      <c r="K785" s="36"/>
      <c r="L785" s="36"/>
      <c r="M785" s="36"/>
      <c r="N785" s="36"/>
      <c r="O785" s="36"/>
      <c r="P785" s="36"/>
      <c r="Q785" s="36"/>
      <c r="R785" s="36"/>
      <c r="S785" s="36"/>
      <c r="T785" s="36"/>
      <c r="U785" s="36"/>
      <c r="V785" s="36"/>
      <c r="W785" s="36"/>
      <c r="X785" s="36"/>
      <c r="Y785" s="36"/>
      <c r="Z785" s="36"/>
    </row>
    <row r="786" ht="15.75" customHeight="1">
      <c r="A786" s="36"/>
      <c r="B786" s="36"/>
      <c r="C786" s="37"/>
      <c r="D786" s="37"/>
      <c r="E786" s="36"/>
      <c r="F786" s="36"/>
      <c r="G786" s="37"/>
      <c r="I786" s="37"/>
      <c r="J786" s="36"/>
      <c r="K786" s="36"/>
      <c r="L786" s="36"/>
      <c r="M786" s="36"/>
      <c r="N786" s="36"/>
      <c r="O786" s="36"/>
      <c r="P786" s="36"/>
      <c r="Q786" s="36"/>
      <c r="R786" s="36"/>
      <c r="S786" s="36"/>
      <c r="T786" s="36"/>
      <c r="U786" s="36"/>
      <c r="V786" s="36"/>
      <c r="W786" s="36"/>
      <c r="X786" s="36"/>
      <c r="Y786" s="36"/>
      <c r="Z786" s="36"/>
    </row>
    <row r="787" ht="15.75" customHeight="1">
      <c r="A787" s="36"/>
      <c r="B787" s="36"/>
      <c r="C787" s="37"/>
      <c r="D787" s="37"/>
      <c r="E787" s="36"/>
      <c r="F787" s="36"/>
      <c r="G787" s="37"/>
      <c r="I787" s="37"/>
      <c r="J787" s="36"/>
      <c r="K787" s="36"/>
      <c r="L787" s="36"/>
      <c r="M787" s="36"/>
      <c r="N787" s="36"/>
      <c r="O787" s="36"/>
      <c r="P787" s="36"/>
      <c r="Q787" s="36"/>
      <c r="R787" s="36"/>
      <c r="S787" s="36"/>
      <c r="T787" s="36"/>
      <c r="U787" s="36"/>
      <c r="V787" s="36"/>
      <c r="W787" s="36"/>
      <c r="X787" s="36"/>
      <c r="Y787" s="36"/>
      <c r="Z787" s="36"/>
    </row>
    <row r="788" ht="15.75" customHeight="1">
      <c r="A788" s="36"/>
      <c r="B788" s="36"/>
      <c r="C788" s="37"/>
      <c r="D788" s="37"/>
      <c r="E788" s="36"/>
      <c r="F788" s="36"/>
      <c r="G788" s="37"/>
      <c r="I788" s="37"/>
      <c r="J788" s="36"/>
      <c r="K788" s="36"/>
      <c r="L788" s="36"/>
      <c r="M788" s="36"/>
      <c r="N788" s="36"/>
      <c r="O788" s="36"/>
      <c r="P788" s="36"/>
      <c r="Q788" s="36"/>
      <c r="R788" s="36"/>
      <c r="S788" s="36"/>
      <c r="T788" s="36"/>
      <c r="U788" s="36"/>
      <c r="V788" s="36"/>
      <c r="W788" s="36"/>
      <c r="X788" s="36"/>
      <c r="Y788" s="36"/>
      <c r="Z788" s="36"/>
    </row>
    <row r="789" ht="15.75" customHeight="1">
      <c r="A789" s="36"/>
      <c r="B789" s="36"/>
      <c r="C789" s="37"/>
      <c r="D789" s="37"/>
      <c r="E789" s="36"/>
      <c r="F789" s="36"/>
      <c r="G789" s="37"/>
      <c r="I789" s="37"/>
      <c r="J789" s="36"/>
      <c r="K789" s="36"/>
      <c r="L789" s="36"/>
      <c r="M789" s="36"/>
      <c r="N789" s="36"/>
      <c r="O789" s="36"/>
      <c r="P789" s="36"/>
      <c r="Q789" s="36"/>
      <c r="R789" s="36"/>
      <c r="S789" s="36"/>
      <c r="T789" s="36"/>
      <c r="U789" s="36"/>
      <c r="V789" s="36"/>
      <c r="W789" s="36"/>
      <c r="X789" s="36"/>
      <c r="Y789" s="36"/>
      <c r="Z789" s="36"/>
    </row>
    <row r="790" ht="15.75" customHeight="1">
      <c r="A790" s="36"/>
      <c r="B790" s="36"/>
      <c r="C790" s="37"/>
      <c r="D790" s="37"/>
      <c r="E790" s="36"/>
      <c r="F790" s="36"/>
      <c r="G790" s="37"/>
      <c r="I790" s="37"/>
      <c r="J790" s="36"/>
      <c r="K790" s="36"/>
      <c r="L790" s="36"/>
      <c r="M790" s="36"/>
      <c r="N790" s="36"/>
      <c r="O790" s="36"/>
      <c r="P790" s="36"/>
      <c r="Q790" s="36"/>
      <c r="R790" s="36"/>
      <c r="S790" s="36"/>
      <c r="T790" s="36"/>
      <c r="U790" s="36"/>
      <c r="V790" s="36"/>
      <c r="W790" s="36"/>
      <c r="X790" s="36"/>
      <c r="Y790" s="36"/>
      <c r="Z790" s="36"/>
    </row>
    <row r="791" ht="15.75" customHeight="1">
      <c r="A791" s="36"/>
      <c r="B791" s="36"/>
      <c r="C791" s="37"/>
      <c r="D791" s="37"/>
      <c r="E791" s="36"/>
      <c r="F791" s="36"/>
      <c r="G791" s="37"/>
      <c r="I791" s="37"/>
      <c r="J791" s="36"/>
      <c r="K791" s="36"/>
      <c r="L791" s="36"/>
      <c r="M791" s="36"/>
      <c r="N791" s="36"/>
      <c r="O791" s="36"/>
      <c r="P791" s="36"/>
      <c r="Q791" s="36"/>
      <c r="R791" s="36"/>
      <c r="S791" s="36"/>
      <c r="T791" s="36"/>
      <c r="U791" s="36"/>
      <c r="V791" s="36"/>
      <c r="W791" s="36"/>
      <c r="X791" s="36"/>
      <c r="Y791" s="36"/>
      <c r="Z791" s="36"/>
    </row>
    <row r="792" ht="15.75" customHeight="1">
      <c r="A792" s="36"/>
      <c r="B792" s="36"/>
      <c r="C792" s="37"/>
      <c r="D792" s="37"/>
      <c r="E792" s="36"/>
      <c r="F792" s="36"/>
      <c r="G792" s="37"/>
      <c r="I792" s="37"/>
      <c r="J792" s="36"/>
      <c r="K792" s="36"/>
      <c r="L792" s="36"/>
      <c r="M792" s="36"/>
      <c r="N792" s="36"/>
      <c r="O792" s="36"/>
      <c r="P792" s="36"/>
      <c r="Q792" s="36"/>
      <c r="R792" s="36"/>
      <c r="S792" s="36"/>
      <c r="T792" s="36"/>
      <c r="U792" s="36"/>
      <c r="V792" s="36"/>
      <c r="W792" s="36"/>
      <c r="X792" s="36"/>
      <c r="Y792" s="36"/>
      <c r="Z792" s="36"/>
    </row>
    <row r="793" ht="15.75" customHeight="1">
      <c r="A793" s="36"/>
      <c r="B793" s="36"/>
      <c r="C793" s="37"/>
      <c r="D793" s="37"/>
      <c r="E793" s="36"/>
      <c r="F793" s="36"/>
      <c r="G793" s="37"/>
      <c r="I793" s="37"/>
      <c r="J793" s="36"/>
      <c r="K793" s="36"/>
      <c r="L793" s="36"/>
      <c r="M793" s="36"/>
      <c r="N793" s="36"/>
      <c r="O793" s="36"/>
      <c r="P793" s="36"/>
      <c r="Q793" s="36"/>
      <c r="R793" s="36"/>
      <c r="S793" s="36"/>
      <c r="T793" s="36"/>
      <c r="U793" s="36"/>
      <c r="V793" s="36"/>
      <c r="W793" s="36"/>
      <c r="X793" s="36"/>
      <c r="Y793" s="36"/>
      <c r="Z793" s="36"/>
    </row>
    <row r="794" ht="15.75" customHeight="1">
      <c r="A794" s="36"/>
      <c r="B794" s="36"/>
      <c r="C794" s="37"/>
      <c r="D794" s="37"/>
      <c r="E794" s="36"/>
      <c r="F794" s="36"/>
      <c r="G794" s="37"/>
      <c r="I794" s="37"/>
      <c r="J794" s="36"/>
      <c r="K794" s="36"/>
      <c r="L794" s="36"/>
      <c r="M794" s="36"/>
      <c r="N794" s="36"/>
      <c r="O794" s="36"/>
      <c r="P794" s="36"/>
      <c r="Q794" s="36"/>
      <c r="R794" s="36"/>
      <c r="S794" s="36"/>
      <c r="T794" s="36"/>
      <c r="U794" s="36"/>
      <c r="V794" s="36"/>
      <c r="W794" s="36"/>
      <c r="X794" s="36"/>
      <c r="Y794" s="36"/>
      <c r="Z794" s="36"/>
    </row>
    <row r="795" ht="15.75" customHeight="1">
      <c r="A795" s="36"/>
      <c r="B795" s="36"/>
      <c r="C795" s="37"/>
      <c r="D795" s="37"/>
      <c r="E795" s="36"/>
      <c r="F795" s="36"/>
      <c r="G795" s="37"/>
      <c r="I795" s="37"/>
      <c r="J795" s="36"/>
      <c r="K795" s="36"/>
      <c r="L795" s="36"/>
      <c r="M795" s="36"/>
      <c r="N795" s="36"/>
      <c r="O795" s="36"/>
      <c r="P795" s="36"/>
      <c r="Q795" s="36"/>
      <c r="R795" s="36"/>
      <c r="S795" s="36"/>
      <c r="T795" s="36"/>
      <c r="U795" s="36"/>
      <c r="V795" s="36"/>
      <c r="W795" s="36"/>
      <c r="X795" s="36"/>
      <c r="Y795" s="36"/>
      <c r="Z795" s="36"/>
    </row>
    <row r="796" ht="15.75" customHeight="1">
      <c r="A796" s="36"/>
      <c r="B796" s="36"/>
      <c r="C796" s="37"/>
      <c r="D796" s="37"/>
      <c r="E796" s="36"/>
      <c r="F796" s="36"/>
      <c r="G796" s="37"/>
      <c r="I796" s="37"/>
      <c r="J796" s="36"/>
      <c r="K796" s="36"/>
      <c r="L796" s="36"/>
      <c r="M796" s="36"/>
      <c r="N796" s="36"/>
      <c r="O796" s="36"/>
      <c r="P796" s="36"/>
      <c r="Q796" s="36"/>
      <c r="R796" s="36"/>
      <c r="S796" s="36"/>
      <c r="T796" s="36"/>
      <c r="U796" s="36"/>
      <c r="V796" s="36"/>
      <c r="W796" s="36"/>
      <c r="X796" s="36"/>
      <c r="Y796" s="36"/>
      <c r="Z796" s="36"/>
    </row>
    <row r="797" ht="15.75" customHeight="1">
      <c r="A797" s="36"/>
      <c r="B797" s="36"/>
      <c r="C797" s="37"/>
      <c r="D797" s="37"/>
      <c r="E797" s="36"/>
      <c r="F797" s="36"/>
      <c r="G797" s="37"/>
      <c r="I797" s="37"/>
      <c r="J797" s="36"/>
      <c r="K797" s="36"/>
      <c r="L797" s="36"/>
      <c r="M797" s="36"/>
      <c r="N797" s="36"/>
      <c r="O797" s="36"/>
      <c r="P797" s="36"/>
      <c r="Q797" s="36"/>
      <c r="R797" s="36"/>
      <c r="S797" s="36"/>
      <c r="T797" s="36"/>
      <c r="U797" s="36"/>
      <c r="V797" s="36"/>
      <c r="W797" s="36"/>
      <c r="X797" s="36"/>
      <c r="Y797" s="36"/>
      <c r="Z797" s="36"/>
    </row>
    <row r="798" ht="15.75" customHeight="1">
      <c r="A798" s="36"/>
      <c r="B798" s="36"/>
      <c r="C798" s="37"/>
      <c r="D798" s="37"/>
      <c r="E798" s="36"/>
      <c r="F798" s="36"/>
      <c r="G798" s="37"/>
      <c r="I798" s="37"/>
      <c r="J798" s="36"/>
      <c r="K798" s="36"/>
      <c r="L798" s="36"/>
      <c r="M798" s="36"/>
      <c r="N798" s="36"/>
      <c r="O798" s="36"/>
      <c r="P798" s="36"/>
      <c r="Q798" s="36"/>
      <c r="R798" s="36"/>
      <c r="S798" s="36"/>
      <c r="T798" s="36"/>
      <c r="U798" s="36"/>
      <c r="V798" s="36"/>
      <c r="W798" s="36"/>
      <c r="X798" s="36"/>
      <c r="Y798" s="36"/>
      <c r="Z798" s="36"/>
    </row>
    <row r="799" ht="15.75" customHeight="1">
      <c r="A799" s="36"/>
      <c r="B799" s="36"/>
      <c r="C799" s="37"/>
      <c r="D799" s="37"/>
      <c r="E799" s="36"/>
      <c r="F799" s="36"/>
      <c r="G799" s="37"/>
      <c r="I799" s="37"/>
      <c r="J799" s="36"/>
      <c r="K799" s="36"/>
      <c r="L799" s="36"/>
      <c r="M799" s="36"/>
      <c r="N799" s="36"/>
      <c r="O799" s="36"/>
      <c r="P799" s="36"/>
      <c r="Q799" s="36"/>
      <c r="R799" s="36"/>
      <c r="S799" s="36"/>
      <c r="T799" s="36"/>
      <c r="U799" s="36"/>
      <c r="V799" s="36"/>
      <c r="W799" s="36"/>
      <c r="X799" s="36"/>
      <c r="Y799" s="36"/>
      <c r="Z799" s="36"/>
    </row>
    <row r="800" ht="15.75" customHeight="1">
      <c r="A800" s="36"/>
      <c r="B800" s="36"/>
      <c r="C800" s="37"/>
      <c r="D800" s="37"/>
      <c r="E800" s="36"/>
      <c r="F800" s="36"/>
      <c r="G800" s="37"/>
      <c r="I800" s="37"/>
      <c r="J800" s="36"/>
      <c r="K800" s="36"/>
      <c r="L800" s="36"/>
      <c r="M800" s="36"/>
      <c r="N800" s="36"/>
      <c r="O800" s="36"/>
      <c r="P800" s="36"/>
      <c r="Q800" s="36"/>
      <c r="R800" s="36"/>
      <c r="S800" s="36"/>
      <c r="T800" s="36"/>
      <c r="U800" s="36"/>
      <c r="V800" s="36"/>
      <c r="W800" s="36"/>
      <c r="X800" s="36"/>
      <c r="Y800" s="36"/>
      <c r="Z800" s="36"/>
    </row>
    <row r="801" ht="15.75" customHeight="1">
      <c r="A801" s="36"/>
      <c r="B801" s="36"/>
      <c r="C801" s="37"/>
      <c r="D801" s="37"/>
      <c r="E801" s="36"/>
      <c r="F801" s="36"/>
      <c r="G801" s="37"/>
      <c r="I801" s="37"/>
      <c r="J801" s="36"/>
      <c r="K801" s="36"/>
      <c r="L801" s="36"/>
      <c r="M801" s="36"/>
      <c r="N801" s="36"/>
      <c r="O801" s="36"/>
      <c r="P801" s="36"/>
      <c r="Q801" s="36"/>
      <c r="R801" s="36"/>
      <c r="S801" s="36"/>
      <c r="T801" s="36"/>
      <c r="U801" s="36"/>
      <c r="V801" s="36"/>
      <c r="W801" s="36"/>
      <c r="X801" s="36"/>
      <c r="Y801" s="36"/>
      <c r="Z801" s="36"/>
    </row>
    <row r="802" ht="15.75" customHeight="1">
      <c r="A802" s="36"/>
      <c r="B802" s="36"/>
      <c r="C802" s="37"/>
      <c r="D802" s="37"/>
      <c r="E802" s="36"/>
      <c r="F802" s="36"/>
      <c r="G802" s="37"/>
      <c r="I802" s="37"/>
      <c r="J802" s="36"/>
      <c r="K802" s="36"/>
      <c r="L802" s="36"/>
      <c r="M802" s="36"/>
      <c r="N802" s="36"/>
      <c r="O802" s="36"/>
      <c r="P802" s="36"/>
      <c r="Q802" s="36"/>
      <c r="R802" s="36"/>
      <c r="S802" s="36"/>
      <c r="T802" s="36"/>
      <c r="U802" s="36"/>
      <c r="V802" s="36"/>
      <c r="W802" s="36"/>
      <c r="X802" s="36"/>
      <c r="Y802" s="36"/>
      <c r="Z802" s="36"/>
    </row>
    <row r="803" ht="15.75" customHeight="1">
      <c r="A803" s="36"/>
      <c r="B803" s="36"/>
      <c r="C803" s="37"/>
      <c r="D803" s="37"/>
      <c r="E803" s="36"/>
      <c r="F803" s="36"/>
      <c r="G803" s="37"/>
      <c r="I803" s="37"/>
      <c r="J803" s="36"/>
      <c r="K803" s="36"/>
      <c r="L803" s="36"/>
      <c r="M803" s="36"/>
      <c r="N803" s="36"/>
      <c r="O803" s="36"/>
      <c r="P803" s="36"/>
      <c r="Q803" s="36"/>
      <c r="R803" s="36"/>
      <c r="S803" s="36"/>
      <c r="T803" s="36"/>
      <c r="U803" s="36"/>
      <c r="V803" s="36"/>
      <c r="W803" s="36"/>
      <c r="X803" s="36"/>
      <c r="Y803" s="36"/>
      <c r="Z803" s="36"/>
    </row>
    <row r="804" ht="15.75" customHeight="1">
      <c r="A804" s="36"/>
      <c r="B804" s="36"/>
      <c r="C804" s="37"/>
      <c r="D804" s="37"/>
      <c r="E804" s="36"/>
      <c r="F804" s="36"/>
      <c r="G804" s="37"/>
      <c r="I804" s="37"/>
      <c r="J804" s="36"/>
      <c r="K804" s="36"/>
      <c r="L804" s="36"/>
      <c r="M804" s="36"/>
      <c r="N804" s="36"/>
      <c r="O804" s="36"/>
      <c r="P804" s="36"/>
      <c r="Q804" s="36"/>
      <c r="R804" s="36"/>
      <c r="S804" s="36"/>
      <c r="T804" s="36"/>
      <c r="U804" s="36"/>
      <c r="V804" s="36"/>
      <c r="W804" s="36"/>
      <c r="X804" s="36"/>
      <c r="Y804" s="36"/>
      <c r="Z804" s="36"/>
    </row>
    <row r="805" ht="15.75" customHeight="1">
      <c r="A805" s="36"/>
      <c r="B805" s="36"/>
      <c r="C805" s="37"/>
      <c r="D805" s="37"/>
      <c r="E805" s="36"/>
      <c r="F805" s="36"/>
      <c r="G805" s="37"/>
      <c r="I805" s="37"/>
      <c r="J805" s="36"/>
      <c r="K805" s="36"/>
      <c r="L805" s="36"/>
      <c r="M805" s="36"/>
      <c r="N805" s="36"/>
      <c r="O805" s="36"/>
      <c r="P805" s="36"/>
      <c r="Q805" s="36"/>
      <c r="R805" s="36"/>
      <c r="S805" s="36"/>
      <c r="T805" s="36"/>
      <c r="U805" s="36"/>
      <c r="V805" s="36"/>
      <c r="W805" s="36"/>
      <c r="X805" s="36"/>
      <c r="Y805" s="36"/>
      <c r="Z805" s="36"/>
    </row>
    <row r="806" ht="15.75" customHeight="1">
      <c r="A806" s="36"/>
      <c r="B806" s="36"/>
      <c r="C806" s="37"/>
      <c r="D806" s="37"/>
      <c r="E806" s="36"/>
      <c r="F806" s="36"/>
      <c r="G806" s="37"/>
      <c r="I806" s="37"/>
      <c r="J806" s="36"/>
      <c r="K806" s="36"/>
      <c r="L806" s="36"/>
      <c r="M806" s="36"/>
      <c r="N806" s="36"/>
      <c r="O806" s="36"/>
      <c r="P806" s="36"/>
      <c r="Q806" s="36"/>
      <c r="R806" s="36"/>
      <c r="S806" s="36"/>
      <c r="T806" s="36"/>
      <c r="U806" s="36"/>
      <c r="V806" s="36"/>
      <c r="W806" s="36"/>
      <c r="X806" s="36"/>
      <c r="Y806" s="36"/>
      <c r="Z806" s="36"/>
    </row>
    <row r="807" ht="15.75" customHeight="1">
      <c r="A807" s="36"/>
      <c r="B807" s="36"/>
      <c r="C807" s="37"/>
      <c r="D807" s="37"/>
      <c r="E807" s="36"/>
      <c r="F807" s="36"/>
      <c r="G807" s="37"/>
      <c r="I807" s="37"/>
      <c r="J807" s="36"/>
      <c r="K807" s="36"/>
      <c r="L807" s="36"/>
      <c r="M807" s="36"/>
      <c r="N807" s="36"/>
      <c r="O807" s="36"/>
      <c r="P807" s="36"/>
      <c r="Q807" s="36"/>
      <c r="R807" s="36"/>
      <c r="S807" s="36"/>
      <c r="T807" s="36"/>
      <c r="U807" s="36"/>
      <c r="V807" s="36"/>
      <c r="W807" s="36"/>
      <c r="X807" s="36"/>
      <c r="Y807" s="36"/>
      <c r="Z807" s="36"/>
    </row>
    <row r="808" ht="15.75" customHeight="1">
      <c r="A808" s="36"/>
      <c r="B808" s="36"/>
      <c r="C808" s="37"/>
      <c r="D808" s="37"/>
      <c r="E808" s="36"/>
      <c r="F808" s="36"/>
      <c r="G808" s="37"/>
      <c r="I808" s="37"/>
      <c r="J808" s="36"/>
      <c r="K808" s="36"/>
      <c r="L808" s="36"/>
      <c r="M808" s="36"/>
      <c r="N808" s="36"/>
      <c r="O808" s="36"/>
      <c r="P808" s="36"/>
      <c r="Q808" s="36"/>
      <c r="R808" s="36"/>
      <c r="S808" s="36"/>
      <c r="T808" s="36"/>
      <c r="U808" s="36"/>
      <c r="V808" s="36"/>
      <c r="W808" s="36"/>
      <c r="X808" s="36"/>
      <c r="Y808" s="36"/>
      <c r="Z808" s="36"/>
    </row>
    <row r="809" ht="15.75" customHeight="1">
      <c r="A809" s="36"/>
      <c r="B809" s="36"/>
      <c r="C809" s="37"/>
      <c r="D809" s="37"/>
      <c r="E809" s="36"/>
      <c r="F809" s="36"/>
      <c r="G809" s="37"/>
      <c r="I809" s="37"/>
      <c r="J809" s="36"/>
      <c r="K809" s="36"/>
      <c r="L809" s="36"/>
      <c r="M809" s="36"/>
      <c r="N809" s="36"/>
      <c r="O809" s="36"/>
      <c r="P809" s="36"/>
      <c r="Q809" s="36"/>
      <c r="R809" s="36"/>
      <c r="S809" s="36"/>
      <c r="T809" s="36"/>
      <c r="U809" s="36"/>
      <c r="V809" s="36"/>
      <c r="W809" s="36"/>
      <c r="X809" s="36"/>
      <c r="Y809" s="36"/>
      <c r="Z809" s="36"/>
    </row>
    <row r="810" ht="15.75" customHeight="1">
      <c r="A810" s="36"/>
      <c r="B810" s="36"/>
      <c r="C810" s="37"/>
      <c r="D810" s="37"/>
      <c r="E810" s="36"/>
      <c r="F810" s="36"/>
      <c r="G810" s="37"/>
      <c r="I810" s="37"/>
      <c r="J810" s="36"/>
      <c r="K810" s="36"/>
      <c r="L810" s="36"/>
      <c r="M810" s="36"/>
      <c r="N810" s="36"/>
      <c r="O810" s="36"/>
      <c r="P810" s="36"/>
      <c r="Q810" s="36"/>
      <c r="R810" s="36"/>
      <c r="S810" s="36"/>
      <c r="T810" s="36"/>
      <c r="U810" s="36"/>
      <c r="V810" s="36"/>
      <c r="W810" s="36"/>
      <c r="X810" s="36"/>
      <c r="Y810" s="36"/>
      <c r="Z810" s="36"/>
    </row>
    <row r="811" ht="15.75" customHeight="1">
      <c r="A811" s="36"/>
      <c r="B811" s="36"/>
      <c r="C811" s="37"/>
      <c r="D811" s="37"/>
      <c r="E811" s="36"/>
      <c r="F811" s="36"/>
      <c r="G811" s="37"/>
      <c r="I811" s="37"/>
      <c r="J811" s="36"/>
      <c r="K811" s="36"/>
      <c r="L811" s="36"/>
      <c r="M811" s="36"/>
      <c r="N811" s="36"/>
      <c r="O811" s="36"/>
      <c r="P811" s="36"/>
      <c r="Q811" s="36"/>
      <c r="R811" s="36"/>
      <c r="S811" s="36"/>
      <c r="T811" s="36"/>
      <c r="U811" s="36"/>
      <c r="V811" s="36"/>
      <c r="W811" s="36"/>
      <c r="X811" s="36"/>
      <c r="Y811" s="36"/>
      <c r="Z811" s="36"/>
    </row>
    <row r="812" ht="15.75" customHeight="1">
      <c r="A812" s="36"/>
      <c r="B812" s="36"/>
      <c r="C812" s="37"/>
      <c r="D812" s="37"/>
      <c r="E812" s="36"/>
      <c r="F812" s="36"/>
      <c r="G812" s="37"/>
      <c r="I812" s="37"/>
      <c r="J812" s="36"/>
      <c r="K812" s="36"/>
      <c r="L812" s="36"/>
      <c r="M812" s="36"/>
      <c r="N812" s="36"/>
      <c r="O812" s="36"/>
      <c r="P812" s="36"/>
      <c r="Q812" s="36"/>
      <c r="R812" s="36"/>
      <c r="S812" s="36"/>
      <c r="T812" s="36"/>
      <c r="U812" s="36"/>
      <c r="V812" s="36"/>
      <c r="W812" s="36"/>
      <c r="X812" s="36"/>
      <c r="Y812" s="36"/>
      <c r="Z812" s="36"/>
    </row>
    <row r="813" ht="15.75" customHeight="1">
      <c r="A813" s="36"/>
      <c r="B813" s="36"/>
      <c r="C813" s="37"/>
      <c r="D813" s="37"/>
      <c r="E813" s="36"/>
      <c r="F813" s="36"/>
      <c r="G813" s="37"/>
      <c r="I813" s="37"/>
      <c r="J813" s="36"/>
      <c r="K813" s="36"/>
      <c r="L813" s="36"/>
      <c r="M813" s="36"/>
      <c r="N813" s="36"/>
      <c r="O813" s="36"/>
      <c r="P813" s="36"/>
      <c r="Q813" s="36"/>
      <c r="R813" s="36"/>
      <c r="S813" s="36"/>
      <c r="T813" s="36"/>
      <c r="U813" s="36"/>
      <c r="V813" s="36"/>
      <c r="W813" s="36"/>
      <c r="X813" s="36"/>
      <c r="Y813" s="36"/>
      <c r="Z813" s="36"/>
    </row>
    <row r="814" ht="15.75" customHeight="1">
      <c r="A814" s="36"/>
      <c r="B814" s="36"/>
      <c r="C814" s="37"/>
      <c r="D814" s="37"/>
      <c r="E814" s="36"/>
      <c r="F814" s="36"/>
      <c r="G814" s="37"/>
      <c r="I814" s="37"/>
      <c r="J814" s="36"/>
      <c r="K814" s="36"/>
      <c r="L814" s="36"/>
      <c r="M814" s="36"/>
      <c r="N814" s="36"/>
      <c r="O814" s="36"/>
      <c r="P814" s="36"/>
      <c r="Q814" s="36"/>
      <c r="R814" s="36"/>
      <c r="S814" s="36"/>
      <c r="T814" s="36"/>
      <c r="U814" s="36"/>
      <c r="V814" s="36"/>
      <c r="W814" s="36"/>
      <c r="X814" s="36"/>
      <c r="Y814" s="36"/>
      <c r="Z814" s="36"/>
    </row>
    <row r="815" ht="15.75" customHeight="1">
      <c r="A815" s="36"/>
      <c r="B815" s="36"/>
      <c r="C815" s="37"/>
      <c r="D815" s="37"/>
      <c r="E815" s="36"/>
      <c r="F815" s="36"/>
      <c r="G815" s="37"/>
      <c r="I815" s="37"/>
      <c r="J815" s="36"/>
      <c r="K815" s="36"/>
      <c r="L815" s="36"/>
      <c r="M815" s="36"/>
      <c r="N815" s="36"/>
      <c r="O815" s="36"/>
      <c r="P815" s="36"/>
      <c r="Q815" s="36"/>
      <c r="R815" s="36"/>
      <c r="S815" s="36"/>
      <c r="T815" s="36"/>
      <c r="U815" s="36"/>
      <c r="V815" s="36"/>
      <c r="W815" s="36"/>
      <c r="X815" s="36"/>
      <c r="Y815" s="36"/>
      <c r="Z815" s="36"/>
    </row>
    <row r="816" ht="15.75" customHeight="1">
      <c r="A816" s="36"/>
      <c r="B816" s="36"/>
      <c r="C816" s="37"/>
      <c r="D816" s="37"/>
      <c r="E816" s="36"/>
      <c r="F816" s="36"/>
      <c r="G816" s="37"/>
      <c r="I816" s="37"/>
      <c r="J816" s="36"/>
      <c r="K816" s="36"/>
      <c r="L816" s="36"/>
      <c r="M816" s="36"/>
      <c r="N816" s="36"/>
      <c r="O816" s="36"/>
      <c r="P816" s="36"/>
      <c r="Q816" s="36"/>
      <c r="R816" s="36"/>
      <c r="S816" s="36"/>
      <c r="T816" s="36"/>
      <c r="U816" s="36"/>
      <c r="V816" s="36"/>
      <c r="W816" s="36"/>
      <c r="X816" s="36"/>
      <c r="Y816" s="36"/>
      <c r="Z816" s="36"/>
    </row>
    <row r="817" ht="15.75" customHeight="1">
      <c r="A817" s="36"/>
      <c r="B817" s="36"/>
      <c r="C817" s="37"/>
      <c r="D817" s="37"/>
      <c r="E817" s="36"/>
      <c r="F817" s="36"/>
      <c r="G817" s="37"/>
      <c r="I817" s="37"/>
      <c r="J817" s="36"/>
      <c r="K817" s="36"/>
      <c r="L817" s="36"/>
      <c r="M817" s="36"/>
      <c r="N817" s="36"/>
      <c r="O817" s="36"/>
      <c r="P817" s="36"/>
      <c r="Q817" s="36"/>
      <c r="R817" s="36"/>
      <c r="S817" s="36"/>
      <c r="T817" s="36"/>
      <c r="U817" s="36"/>
      <c r="V817" s="36"/>
      <c r="W817" s="36"/>
      <c r="X817" s="36"/>
      <c r="Y817" s="36"/>
      <c r="Z817" s="36"/>
    </row>
    <row r="818" ht="15.75" customHeight="1">
      <c r="A818" s="36"/>
      <c r="B818" s="36"/>
      <c r="C818" s="37"/>
      <c r="D818" s="37"/>
      <c r="E818" s="36"/>
      <c r="F818" s="36"/>
      <c r="G818" s="37"/>
      <c r="I818" s="37"/>
      <c r="J818" s="36"/>
      <c r="K818" s="36"/>
      <c r="L818" s="36"/>
      <c r="M818" s="36"/>
      <c r="N818" s="36"/>
      <c r="O818" s="36"/>
      <c r="P818" s="36"/>
      <c r="Q818" s="36"/>
      <c r="R818" s="36"/>
      <c r="S818" s="36"/>
      <c r="T818" s="36"/>
      <c r="U818" s="36"/>
      <c r="V818" s="36"/>
      <c r="W818" s="36"/>
      <c r="X818" s="36"/>
      <c r="Y818" s="36"/>
      <c r="Z818" s="36"/>
    </row>
    <row r="819" ht="15.75" customHeight="1">
      <c r="A819" s="36"/>
      <c r="B819" s="36"/>
      <c r="C819" s="37"/>
      <c r="D819" s="37"/>
      <c r="E819" s="36"/>
      <c r="F819" s="36"/>
      <c r="G819" s="37"/>
      <c r="I819" s="37"/>
      <c r="J819" s="36"/>
      <c r="K819" s="36"/>
      <c r="L819" s="36"/>
      <c r="M819" s="36"/>
      <c r="N819" s="36"/>
      <c r="O819" s="36"/>
      <c r="P819" s="36"/>
      <c r="Q819" s="36"/>
      <c r="R819" s="36"/>
      <c r="S819" s="36"/>
      <c r="T819" s="36"/>
      <c r="U819" s="36"/>
      <c r="V819" s="36"/>
      <c r="W819" s="36"/>
      <c r="X819" s="36"/>
      <c r="Y819" s="36"/>
      <c r="Z819" s="36"/>
    </row>
    <row r="820" ht="15.75" customHeight="1">
      <c r="A820" s="36"/>
      <c r="B820" s="36"/>
      <c r="C820" s="37"/>
      <c r="D820" s="37"/>
      <c r="E820" s="36"/>
      <c r="F820" s="36"/>
      <c r="G820" s="37"/>
      <c r="I820" s="37"/>
      <c r="J820" s="36"/>
      <c r="K820" s="36"/>
      <c r="L820" s="36"/>
      <c r="M820" s="36"/>
      <c r="N820" s="36"/>
      <c r="O820" s="36"/>
      <c r="P820" s="36"/>
      <c r="Q820" s="36"/>
      <c r="R820" s="36"/>
      <c r="S820" s="36"/>
      <c r="T820" s="36"/>
      <c r="U820" s="36"/>
      <c r="V820" s="36"/>
      <c r="W820" s="36"/>
      <c r="X820" s="36"/>
      <c r="Y820" s="36"/>
      <c r="Z820" s="36"/>
    </row>
    <row r="821" ht="15.75" customHeight="1">
      <c r="A821" s="36"/>
      <c r="B821" s="36"/>
      <c r="C821" s="37"/>
      <c r="D821" s="37"/>
      <c r="E821" s="36"/>
      <c r="F821" s="36"/>
      <c r="G821" s="37"/>
      <c r="I821" s="37"/>
      <c r="J821" s="36"/>
      <c r="K821" s="36"/>
      <c r="L821" s="36"/>
      <c r="M821" s="36"/>
      <c r="N821" s="36"/>
      <c r="O821" s="36"/>
      <c r="P821" s="36"/>
      <c r="Q821" s="36"/>
      <c r="R821" s="36"/>
      <c r="S821" s="36"/>
      <c r="T821" s="36"/>
      <c r="U821" s="36"/>
      <c r="V821" s="36"/>
      <c r="W821" s="36"/>
      <c r="X821" s="36"/>
      <c r="Y821" s="36"/>
      <c r="Z821" s="36"/>
    </row>
    <row r="822" ht="15.75" customHeight="1">
      <c r="A822" s="36"/>
      <c r="B822" s="36"/>
      <c r="C822" s="37"/>
      <c r="D822" s="37"/>
      <c r="E822" s="36"/>
      <c r="F822" s="36"/>
      <c r="G822" s="37"/>
      <c r="I822" s="37"/>
      <c r="J822" s="36"/>
      <c r="K822" s="36"/>
      <c r="L822" s="36"/>
      <c r="M822" s="36"/>
      <c r="N822" s="36"/>
      <c r="O822" s="36"/>
      <c r="P822" s="36"/>
      <c r="Q822" s="36"/>
      <c r="R822" s="36"/>
      <c r="S822" s="36"/>
      <c r="T822" s="36"/>
      <c r="U822" s="36"/>
      <c r="V822" s="36"/>
      <c r="W822" s="36"/>
      <c r="X822" s="36"/>
      <c r="Y822" s="36"/>
      <c r="Z822" s="36"/>
    </row>
    <row r="823" ht="15.75" customHeight="1">
      <c r="A823" s="36"/>
      <c r="B823" s="36"/>
      <c r="C823" s="37"/>
      <c r="D823" s="37"/>
      <c r="E823" s="36"/>
      <c r="F823" s="36"/>
      <c r="G823" s="37"/>
      <c r="I823" s="37"/>
      <c r="J823" s="36"/>
      <c r="K823" s="36"/>
      <c r="L823" s="36"/>
      <c r="M823" s="36"/>
      <c r="N823" s="36"/>
      <c r="O823" s="36"/>
      <c r="P823" s="36"/>
      <c r="Q823" s="36"/>
      <c r="R823" s="36"/>
      <c r="S823" s="36"/>
      <c r="T823" s="36"/>
      <c r="U823" s="36"/>
      <c r="V823" s="36"/>
      <c r="W823" s="36"/>
      <c r="X823" s="36"/>
      <c r="Y823" s="36"/>
      <c r="Z823" s="36"/>
    </row>
    <row r="824" ht="15.75" customHeight="1">
      <c r="A824" s="36"/>
      <c r="B824" s="36"/>
      <c r="C824" s="37"/>
      <c r="D824" s="37"/>
      <c r="E824" s="36"/>
      <c r="F824" s="36"/>
      <c r="G824" s="37"/>
      <c r="I824" s="37"/>
      <c r="J824" s="36"/>
      <c r="K824" s="36"/>
      <c r="L824" s="36"/>
      <c r="M824" s="36"/>
      <c r="N824" s="36"/>
      <c r="O824" s="36"/>
      <c r="P824" s="36"/>
      <c r="Q824" s="36"/>
      <c r="R824" s="36"/>
      <c r="S824" s="36"/>
      <c r="T824" s="36"/>
      <c r="U824" s="36"/>
      <c r="V824" s="36"/>
      <c r="W824" s="36"/>
      <c r="X824" s="36"/>
      <c r="Y824" s="36"/>
      <c r="Z824" s="36"/>
    </row>
    <row r="825" ht="15.75" customHeight="1">
      <c r="A825" s="36"/>
      <c r="B825" s="36"/>
      <c r="C825" s="37"/>
      <c r="D825" s="37"/>
      <c r="E825" s="36"/>
      <c r="F825" s="36"/>
      <c r="G825" s="37"/>
      <c r="I825" s="37"/>
      <c r="J825" s="36"/>
      <c r="K825" s="36"/>
      <c r="L825" s="36"/>
      <c r="M825" s="36"/>
      <c r="N825" s="36"/>
      <c r="O825" s="36"/>
      <c r="P825" s="36"/>
      <c r="Q825" s="36"/>
      <c r="R825" s="36"/>
      <c r="S825" s="36"/>
      <c r="T825" s="36"/>
      <c r="U825" s="36"/>
      <c r="V825" s="36"/>
      <c r="W825" s="36"/>
      <c r="X825" s="36"/>
      <c r="Y825" s="36"/>
      <c r="Z825" s="36"/>
    </row>
    <row r="826" ht="15.75" customHeight="1">
      <c r="A826" s="36"/>
      <c r="B826" s="36"/>
      <c r="C826" s="37"/>
      <c r="D826" s="37"/>
      <c r="E826" s="36"/>
      <c r="F826" s="36"/>
      <c r="G826" s="37"/>
      <c r="I826" s="37"/>
      <c r="J826" s="36"/>
      <c r="K826" s="36"/>
      <c r="L826" s="36"/>
      <c r="M826" s="36"/>
      <c r="N826" s="36"/>
      <c r="O826" s="36"/>
      <c r="P826" s="36"/>
      <c r="Q826" s="36"/>
      <c r="R826" s="36"/>
      <c r="S826" s="36"/>
      <c r="T826" s="36"/>
      <c r="U826" s="36"/>
      <c r="V826" s="36"/>
      <c r="W826" s="36"/>
      <c r="X826" s="36"/>
      <c r="Y826" s="36"/>
      <c r="Z826" s="36"/>
    </row>
    <row r="827" ht="15.75" customHeight="1">
      <c r="A827" s="36"/>
      <c r="B827" s="36"/>
      <c r="C827" s="37"/>
      <c r="D827" s="37"/>
      <c r="E827" s="36"/>
      <c r="F827" s="36"/>
      <c r="G827" s="37"/>
      <c r="I827" s="37"/>
      <c r="J827" s="36"/>
      <c r="K827" s="36"/>
      <c r="L827" s="36"/>
      <c r="M827" s="36"/>
      <c r="N827" s="36"/>
      <c r="O827" s="36"/>
      <c r="P827" s="36"/>
      <c r="Q827" s="36"/>
      <c r="R827" s="36"/>
      <c r="S827" s="36"/>
      <c r="T827" s="36"/>
      <c r="U827" s="36"/>
      <c r="V827" s="36"/>
      <c r="W827" s="36"/>
      <c r="X827" s="36"/>
      <c r="Y827" s="36"/>
      <c r="Z827" s="36"/>
    </row>
    <row r="828" ht="15.75" customHeight="1">
      <c r="A828" s="36"/>
      <c r="B828" s="36"/>
      <c r="C828" s="37"/>
      <c r="D828" s="37"/>
      <c r="E828" s="36"/>
      <c r="F828" s="36"/>
      <c r="G828" s="37"/>
      <c r="I828" s="37"/>
      <c r="J828" s="36"/>
      <c r="K828" s="36"/>
      <c r="L828" s="36"/>
      <c r="M828" s="36"/>
      <c r="N828" s="36"/>
      <c r="O828" s="36"/>
      <c r="P828" s="36"/>
      <c r="Q828" s="36"/>
      <c r="R828" s="36"/>
      <c r="S828" s="36"/>
      <c r="T828" s="36"/>
      <c r="U828" s="36"/>
      <c r="V828" s="36"/>
      <c r="W828" s="36"/>
      <c r="X828" s="36"/>
      <c r="Y828" s="36"/>
      <c r="Z828" s="36"/>
    </row>
    <row r="829" ht="15.75" customHeight="1">
      <c r="A829" s="36"/>
      <c r="B829" s="36"/>
      <c r="C829" s="37"/>
      <c r="D829" s="37"/>
      <c r="E829" s="36"/>
      <c r="F829" s="36"/>
      <c r="G829" s="37"/>
      <c r="I829" s="37"/>
      <c r="J829" s="36"/>
      <c r="K829" s="36"/>
      <c r="L829" s="36"/>
      <c r="M829" s="36"/>
      <c r="N829" s="36"/>
      <c r="O829" s="36"/>
      <c r="P829" s="36"/>
      <c r="Q829" s="36"/>
      <c r="R829" s="36"/>
      <c r="S829" s="36"/>
      <c r="T829" s="36"/>
      <c r="U829" s="36"/>
      <c r="V829" s="36"/>
      <c r="W829" s="36"/>
      <c r="X829" s="36"/>
      <c r="Y829" s="36"/>
      <c r="Z829" s="36"/>
    </row>
    <row r="830" ht="15.75" customHeight="1">
      <c r="A830" s="36"/>
      <c r="B830" s="36"/>
      <c r="C830" s="37"/>
      <c r="D830" s="37"/>
      <c r="E830" s="36"/>
      <c r="F830" s="36"/>
      <c r="G830" s="37"/>
      <c r="I830" s="37"/>
      <c r="J830" s="36"/>
      <c r="K830" s="36"/>
      <c r="L830" s="36"/>
      <c r="M830" s="36"/>
      <c r="N830" s="36"/>
      <c r="O830" s="36"/>
      <c r="P830" s="36"/>
      <c r="Q830" s="36"/>
      <c r="R830" s="36"/>
      <c r="S830" s="36"/>
      <c r="T830" s="36"/>
      <c r="U830" s="36"/>
      <c r="V830" s="36"/>
      <c r="W830" s="36"/>
      <c r="X830" s="36"/>
      <c r="Y830" s="36"/>
      <c r="Z830" s="36"/>
    </row>
    <row r="831" ht="15.75" customHeight="1">
      <c r="A831" s="36"/>
      <c r="B831" s="36"/>
      <c r="C831" s="37"/>
      <c r="D831" s="37"/>
      <c r="E831" s="36"/>
      <c r="F831" s="36"/>
      <c r="G831" s="37"/>
      <c r="I831" s="37"/>
      <c r="J831" s="36"/>
      <c r="K831" s="36"/>
      <c r="L831" s="36"/>
      <c r="M831" s="36"/>
      <c r="N831" s="36"/>
      <c r="O831" s="36"/>
      <c r="P831" s="36"/>
      <c r="Q831" s="36"/>
      <c r="R831" s="36"/>
      <c r="S831" s="36"/>
      <c r="T831" s="36"/>
      <c r="U831" s="36"/>
      <c r="V831" s="36"/>
      <c r="W831" s="36"/>
      <c r="X831" s="36"/>
      <c r="Y831" s="36"/>
      <c r="Z831" s="36"/>
    </row>
    <row r="832" ht="15.75" customHeight="1">
      <c r="A832" s="36"/>
      <c r="B832" s="36"/>
      <c r="C832" s="37"/>
      <c r="D832" s="37"/>
      <c r="E832" s="36"/>
      <c r="F832" s="36"/>
      <c r="G832" s="37"/>
      <c r="I832" s="37"/>
      <c r="J832" s="36"/>
      <c r="K832" s="36"/>
      <c r="L832" s="36"/>
      <c r="M832" s="36"/>
      <c r="N832" s="36"/>
      <c r="O832" s="36"/>
      <c r="P832" s="36"/>
      <c r="Q832" s="36"/>
      <c r="R832" s="36"/>
      <c r="S832" s="36"/>
      <c r="T832" s="36"/>
      <c r="U832" s="36"/>
      <c r="V832" s="36"/>
      <c r="W832" s="36"/>
      <c r="X832" s="36"/>
      <c r="Y832" s="36"/>
      <c r="Z832" s="36"/>
    </row>
    <row r="833" ht="15.75" customHeight="1">
      <c r="A833" s="36"/>
      <c r="B833" s="36"/>
      <c r="C833" s="37"/>
      <c r="D833" s="37"/>
      <c r="E833" s="36"/>
      <c r="F833" s="36"/>
      <c r="G833" s="37"/>
      <c r="I833" s="37"/>
      <c r="J833" s="36"/>
      <c r="K833" s="36"/>
      <c r="L833" s="36"/>
      <c r="M833" s="36"/>
      <c r="N833" s="36"/>
      <c r="O833" s="36"/>
      <c r="P833" s="36"/>
      <c r="Q833" s="36"/>
      <c r="R833" s="36"/>
      <c r="S833" s="36"/>
      <c r="T833" s="36"/>
      <c r="U833" s="36"/>
      <c r="V833" s="36"/>
      <c r="W833" s="36"/>
      <c r="X833" s="36"/>
      <c r="Y833" s="36"/>
      <c r="Z833" s="36"/>
    </row>
    <row r="834" ht="15.75" customHeight="1">
      <c r="A834" s="36"/>
      <c r="B834" s="36"/>
      <c r="C834" s="37"/>
      <c r="D834" s="37"/>
      <c r="E834" s="36"/>
      <c r="F834" s="36"/>
      <c r="G834" s="37"/>
      <c r="I834" s="37"/>
      <c r="J834" s="36"/>
      <c r="K834" s="36"/>
      <c r="L834" s="36"/>
      <c r="M834" s="36"/>
      <c r="N834" s="36"/>
      <c r="O834" s="36"/>
      <c r="P834" s="36"/>
      <c r="Q834" s="36"/>
      <c r="R834" s="36"/>
      <c r="S834" s="36"/>
      <c r="T834" s="36"/>
      <c r="U834" s="36"/>
      <c r="V834" s="36"/>
      <c r="W834" s="36"/>
      <c r="X834" s="36"/>
      <c r="Y834" s="36"/>
      <c r="Z834" s="36"/>
    </row>
    <row r="835" ht="15.75" customHeight="1">
      <c r="A835" s="36"/>
      <c r="B835" s="36"/>
      <c r="C835" s="37"/>
      <c r="D835" s="37"/>
      <c r="E835" s="36"/>
      <c r="F835" s="36"/>
      <c r="G835" s="37"/>
      <c r="I835" s="37"/>
      <c r="J835" s="36"/>
      <c r="K835" s="36"/>
      <c r="L835" s="36"/>
      <c r="M835" s="36"/>
      <c r="N835" s="36"/>
      <c r="O835" s="36"/>
      <c r="P835" s="36"/>
      <c r="Q835" s="36"/>
      <c r="R835" s="36"/>
      <c r="S835" s="36"/>
      <c r="T835" s="36"/>
      <c r="U835" s="36"/>
      <c r="V835" s="36"/>
      <c r="W835" s="36"/>
      <c r="X835" s="36"/>
      <c r="Y835" s="36"/>
      <c r="Z835" s="36"/>
    </row>
    <row r="836" ht="15.75" customHeight="1">
      <c r="A836" s="36"/>
      <c r="B836" s="36"/>
      <c r="C836" s="37"/>
      <c r="D836" s="37"/>
      <c r="E836" s="36"/>
      <c r="F836" s="36"/>
      <c r="G836" s="37"/>
      <c r="I836" s="37"/>
      <c r="J836" s="36"/>
      <c r="K836" s="36"/>
      <c r="L836" s="36"/>
      <c r="M836" s="36"/>
      <c r="N836" s="36"/>
      <c r="O836" s="36"/>
      <c r="P836" s="36"/>
      <c r="Q836" s="36"/>
      <c r="R836" s="36"/>
      <c r="S836" s="36"/>
      <c r="T836" s="36"/>
      <c r="U836" s="36"/>
      <c r="V836" s="36"/>
      <c r="W836" s="36"/>
      <c r="X836" s="36"/>
      <c r="Y836" s="36"/>
      <c r="Z836" s="36"/>
    </row>
    <row r="837" ht="15.75" customHeight="1">
      <c r="A837" s="36"/>
      <c r="B837" s="36"/>
      <c r="C837" s="37"/>
      <c r="D837" s="37"/>
      <c r="E837" s="36"/>
      <c r="F837" s="36"/>
      <c r="G837" s="37"/>
      <c r="I837" s="37"/>
      <c r="J837" s="36"/>
      <c r="K837" s="36"/>
      <c r="L837" s="36"/>
      <c r="M837" s="36"/>
      <c r="N837" s="36"/>
      <c r="O837" s="36"/>
      <c r="P837" s="36"/>
      <c r="Q837" s="36"/>
      <c r="R837" s="36"/>
      <c r="S837" s="36"/>
      <c r="T837" s="36"/>
      <c r="U837" s="36"/>
      <c r="V837" s="36"/>
      <c r="W837" s="36"/>
      <c r="X837" s="36"/>
      <c r="Y837" s="36"/>
      <c r="Z837" s="36"/>
    </row>
    <row r="838" ht="15.75" customHeight="1">
      <c r="A838" s="36"/>
      <c r="B838" s="36"/>
      <c r="C838" s="37"/>
      <c r="D838" s="37"/>
      <c r="E838" s="36"/>
      <c r="F838" s="36"/>
      <c r="G838" s="37"/>
      <c r="I838" s="37"/>
      <c r="J838" s="36"/>
      <c r="K838" s="36"/>
      <c r="L838" s="36"/>
      <c r="M838" s="36"/>
      <c r="N838" s="36"/>
      <c r="O838" s="36"/>
      <c r="P838" s="36"/>
      <c r="Q838" s="36"/>
      <c r="R838" s="36"/>
      <c r="S838" s="36"/>
      <c r="T838" s="36"/>
      <c r="U838" s="36"/>
      <c r="V838" s="36"/>
      <c r="W838" s="36"/>
      <c r="X838" s="36"/>
      <c r="Y838" s="36"/>
      <c r="Z838" s="36"/>
    </row>
    <row r="839" ht="15.75" customHeight="1">
      <c r="A839" s="36"/>
      <c r="B839" s="36"/>
      <c r="C839" s="37"/>
      <c r="D839" s="37"/>
      <c r="E839" s="36"/>
      <c r="F839" s="36"/>
      <c r="G839" s="37"/>
      <c r="I839" s="37"/>
      <c r="J839" s="36"/>
      <c r="K839" s="36"/>
      <c r="L839" s="36"/>
      <c r="M839" s="36"/>
      <c r="N839" s="36"/>
      <c r="O839" s="36"/>
      <c r="P839" s="36"/>
      <c r="Q839" s="36"/>
      <c r="R839" s="36"/>
      <c r="S839" s="36"/>
      <c r="T839" s="36"/>
      <c r="U839" s="36"/>
      <c r="V839" s="36"/>
      <c r="W839" s="36"/>
      <c r="X839" s="36"/>
      <c r="Y839" s="36"/>
      <c r="Z839" s="36"/>
    </row>
    <row r="840" ht="15.75" customHeight="1">
      <c r="A840" s="36"/>
      <c r="B840" s="36"/>
      <c r="C840" s="37"/>
      <c r="D840" s="37"/>
      <c r="E840" s="36"/>
      <c r="F840" s="36"/>
      <c r="G840" s="37"/>
      <c r="I840" s="37"/>
      <c r="J840" s="36"/>
      <c r="K840" s="36"/>
      <c r="L840" s="36"/>
      <c r="M840" s="36"/>
      <c r="N840" s="36"/>
      <c r="O840" s="36"/>
      <c r="P840" s="36"/>
      <c r="Q840" s="36"/>
      <c r="R840" s="36"/>
      <c r="S840" s="36"/>
      <c r="T840" s="36"/>
      <c r="U840" s="36"/>
      <c r="V840" s="36"/>
      <c r="W840" s="36"/>
      <c r="X840" s="36"/>
      <c r="Y840" s="36"/>
      <c r="Z840" s="36"/>
    </row>
    <row r="841" ht="15.75" customHeight="1">
      <c r="A841" s="36"/>
      <c r="B841" s="36"/>
      <c r="C841" s="37"/>
      <c r="D841" s="37"/>
      <c r="E841" s="36"/>
      <c r="F841" s="36"/>
      <c r="G841" s="37"/>
      <c r="I841" s="37"/>
      <c r="J841" s="36"/>
      <c r="K841" s="36"/>
      <c r="L841" s="36"/>
      <c r="M841" s="36"/>
      <c r="N841" s="36"/>
      <c r="O841" s="36"/>
      <c r="P841" s="36"/>
      <c r="Q841" s="36"/>
      <c r="R841" s="36"/>
      <c r="S841" s="36"/>
      <c r="T841" s="36"/>
      <c r="U841" s="36"/>
      <c r="V841" s="36"/>
      <c r="W841" s="36"/>
      <c r="X841" s="36"/>
      <c r="Y841" s="36"/>
      <c r="Z841" s="36"/>
    </row>
    <row r="842" ht="15.75" customHeight="1">
      <c r="A842" s="36"/>
      <c r="B842" s="36"/>
      <c r="C842" s="37"/>
      <c r="D842" s="37"/>
      <c r="E842" s="36"/>
      <c r="F842" s="36"/>
      <c r="G842" s="37"/>
      <c r="I842" s="37"/>
      <c r="J842" s="36"/>
      <c r="K842" s="36"/>
      <c r="L842" s="36"/>
      <c r="M842" s="36"/>
      <c r="N842" s="36"/>
      <c r="O842" s="36"/>
      <c r="P842" s="36"/>
      <c r="Q842" s="36"/>
      <c r="R842" s="36"/>
      <c r="S842" s="36"/>
      <c r="T842" s="36"/>
      <c r="U842" s="36"/>
      <c r="V842" s="36"/>
      <c r="W842" s="36"/>
      <c r="X842" s="36"/>
      <c r="Y842" s="36"/>
      <c r="Z842" s="36"/>
    </row>
    <row r="843" ht="15.75" customHeight="1">
      <c r="A843" s="36"/>
      <c r="B843" s="36"/>
      <c r="C843" s="37"/>
      <c r="D843" s="37"/>
      <c r="E843" s="36"/>
      <c r="F843" s="36"/>
      <c r="G843" s="37"/>
      <c r="I843" s="37"/>
      <c r="J843" s="36"/>
      <c r="K843" s="36"/>
      <c r="L843" s="36"/>
      <c r="M843" s="36"/>
      <c r="N843" s="36"/>
      <c r="O843" s="36"/>
      <c r="P843" s="36"/>
      <c r="Q843" s="36"/>
      <c r="R843" s="36"/>
      <c r="S843" s="36"/>
      <c r="T843" s="36"/>
      <c r="U843" s="36"/>
      <c r="V843" s="36"/>
      <c r="W843" s="36"/>
      <c r="X843" s="36"/>
      <c r="Y843" s="36"/>
      <c r="Z843" s="36"/>
    </row>
    <row r="844" ht="15.75" customHeight="1">
      <c r="A844" s="36"/>
      <c r="B844" s="36"/>
      <c r="C844" s="37"/>
      <c r="D844" s="37"/>
      <c r="E844" s="36"/>
      <c r="F844" s="36"/>
      <c r="G844" s="37"/>
      <c r="I844" s="37"/>
      <c r="J844" s="36"/>
      <c r="K844" s="36"/>
      <c r="L844" s="36"/>
      <c r="M844" s="36"/>
      <c r="N844" s="36"/>
      <c r="O844" s="36"/>
      <c r="P844" s="36"/>
      <c r="Q844" s="36"/>
      <c r="R844" s="36"/>
      <c r="S844" s="36"/>
      <c r="T844" s="36"/>
      <c r="U844" s="36"/>
      <c r="V844" s="36"/>
      <c r="W844" s="36"/>
      <c r="X844" s="36"/>
      <c r="Y844" s="36"/>
      <c r="Z844" s="36"/>
    </row>
    <row r="845" ht="15.75" customHeight="1">
      <c r="A845" s="36"/>
      <c r="B845" s="36"/>
      <c r="C845" s="37"/>
      <c r="D845" s="37"/>
      <c r="E845" s="36"/>
      <c r="F845" s="36"/>
      <c r="G845" s="37"/>
      <c r="I845" s="37"/>
      <c r="J845" s="36"/>
      <c r="K845" s="36"/>
      <c r="L845" s="36"/>
      <c r="M845" s="36"/>
      <c r="N845" s="36"/>
      <c r="O845" s="36"/>
      <c r="P845" s="36"/>
      <c r="Q845" s="36"/>
      <c r="R845" s="36"/>
      <c r="S845" s="36"/>
      <c r="T845" s="36"/>
      <c r="U845" s="36"/>
      <c r="V845" s="36"/>
      <c r="W845" s="36"/>
      <c r="X845" s="36"/>
      <c r="Y845" s="36"/>
      <c r="Z845" s="36"/>
    </row>
    <row r="846" ht="15.75" customHeight="1">
      <c r="A846" s="36"/>
      <c r="B846" s="36"/>
      <c r="C846" s="37"/>
      <c r="D846" s="37"/>
      <c r="E846" s="36"/>
      <c r="F846" s="36"/>
      <c r="G846" s="37"/>
      <c r="I846" s="37"/>
      <c r="J846" s="36"/>
      <c r="K846" s="36"/>
      <c r="L846" s="36"/>
      <c r="M846" s="36"/>
      <c r="N846" s="36"/>
      <c r="O846" s="36"/>
      <c r="P846" s="36"/>
      <c r="Q846" s="36"/>
      <c r="R846" s="36"/>
      <c r="S846" s="36"/>
      <c r="T846" s="36"/>
      <c r="U846" s="36"/>
      <c r="V846" s="36"/>
      <c r="W846" s="36"/>
      <c r="X846" s="36"/>
      <c r="Y846" s="36"/>
      <c r="Z846" s="36"/>
    </row>
    <row r="847" ht="15.75" customHeight="1">
      <c r="A847" s="36"/>
      <c r="B847" s="36"/>
      <c r="C847" s="37"/>
      <c r="D847" s="37"/>
      <c r="E847" s="36"/>
      <c r="F847" s="36"/>
      <c r="G847" s="37"/>
      <c r="I847" s="37"/>
      <c r="J847" s="36"/>
      <c r="K847" s="36"/>
      <c r="L847" s="36"/>
      <c r="M847" s="36"/>
      <c r="N847" s="36"/>
      <c r="O847" s="36"/>
      <c r="P847" s="36"/>
      <c r="Q847" s="36"/>
      <c r="R847" s="36"/>
      <c r="S847" s="36"/>
      <c r="T847" s="36"/>
      <c r="U847" s="36"/>
      <c r="V847" s="36"/>
      <c r="W847" s="36"/>
      <c r="X847" s="36"/>
      <c r="Y847" s="36"/>
      <c r="Z847" s="36"/>
    </row>
    <row r="848" ht="15.75" customHeight="1">
      <c r="A848" s="36"/>
      <c r="B848" s="36"/>
      <c r="C848" s="37"/>
      <c r="D848" s="37"/>
      <c r="E848" s="36"/>
      <c r="F848" s="36"/>
      <c r="G848" s="37"/>
      <c r="I848" s="37"/>
      <c r="J848" s="36"/>
      <c r="K848" s="36"/>
      <c r="L848" s="36"/>
      <c r="M848" s="36"/>
      <c r="N848" s="36"/>
      <c r="O848" s="36"/>
      <c r="P848" s="36"/>
      <c r="Q848" s="36"/>
      <c r="R848" s="36"/>
      <c r="S848" s="36"/>
      <c r="T848" s="36"/>
      <c r="U848" s="36"/>
      <c r="V848" s="36"/>
      <c r="W848" s="36"/>
      <c r="X848" s="36"/>
      <c r="Y848" s="36"/>
      <c r="Z848" s="36"/>
    </row>
    <row r="849" ht="15.75" customHeight="1">
      <c r="A849" s="36"/>
      <c r="B849" s="36"/>
      <c r="C849" s="37"/>
      <c r="D849" s="37"/>
      <c r="E849" s="36"/>
      <c r="F849" s="36"/>
      <c r="G849" s="37"/>
      <c r="I849" s="37"/>
      <c r="J849" s="36"/>
      <c r="K849" s="36"/>
      <c r="L849" s="36"/>
      <c r="M849" s="36"/>
      <c r="N849" s="36"/>
      <c r="O849" s="36"/>
      <c r="P849" s="36"/>
      <c r="Q849" s="36"/>
      <c r="R849" s="36"/>
      <c r="S849" s="36"/>
      <c r="T849" s="36"/>
      <c r="U849" s="36"/>
      <c r="V849" s="36"/>
      <c r="W849" s="36"/>
      <c r="X849" s="36"/>
      <c r="Y849" s="36"/>
      <c r="Z849" s="36"/>
    </row>
    <row r="850" ht="15.75" customHeight="1">
      <c r="A850" s="36"/>
      <c r="B850" s="36"/>
      <c r="C850" s="37"/>
      <c r="D850" s="37"/>
      <c r="E850" s="36"/>
      <c r="F850" s="36"/>
      <c r="G850" s="37"/>
      <c r="I850" s="37"/>
      <c r="J850" s="36"/>
      <c r="K850" s="36"/>
      <c r="L850" s="36"/>
      <c r="M850" s="36"/>
      <c r="N850" s="36"/>
      <c r="O850" s="36"/>
      <c r="P850" s="36"/>
      <c r="Q850" s="36"/>
      <c r="R850" s="36"/>
      <c r="S850" s="36"/>
      <c r="T850" s="36"/>
      <c r="U850" s="36"/>
      <c r="V850" s="36"/>
      <c r="W850" s="36"/>
      <c r="X850" s="36"/>
      <c r="Y850" s="36"/>
      <c r="Z850" s="36"/>
    </row>
    <row r="851" ht="15.75" customHeight="1">
      <c r="A851" s="36"/>
      <c r="B851" s="36"/>
      <c r="C851" s="37"/>
      <c r="D851" s="37"/>
      <c r="E851" s="36"/>
      <c r="F851" s="36"/>
      <c r="G851" s="37"/>
      <c r="I851" s="37"/>
      <c r="J851" s="36"/>
      <c r="K851" s="36"/>
      <c r="L851" s="36"/>
      <c r="M851" s="36"/>
      <c r="N851" s="36"/>
      <c r="O851" s="36"/>
      <c r="P851" s="36"/>
      <c r="Q851" s="36"/>
      <c r="R851" s="36"/>
      <c r="S851" s="36"/>
      <c r="T851" s="36"/>
      <c r="U851" s="36"/>
      <c r="V851" s="36"/>
      <c r="W851" s="36"/>
      <c r="X851" s="36"/>
      <c r="Y851" s="36"/>
      <c r="Z851" s="36"/>
    </row>
    <row r="852" ht="15.75" customHeight="1">
      <c r="A852" s="36"/>
      <c r="B852" s="36"/>
      <c r="C852" s="37"/>
      <c r="D852" s="37"/>
      <c r="E852" s="36"/>
      <c r="F852" s="36"/>
      <c r="G852" s="37"/>
      <c r="I852" s="37"/>
      <c r="J852" s="36"/>
      <c r="K852" s="36"/>
      <c r="L852" s="36"/>
      <c r="M852" s="36"/>
      <c r="N852" s="36"/>
      <c r="O852" s="36"/>
      <c r="P852" s="36"/>
      <c r="Q852" s="36"/>
      <c r="R852" s="36"/>
      <c r="S852" s="36"/>
      <c r="T852" s="36"/>
      <c r="U852" s="36"/>
      <c r="V852" s="36"/>
      <c r="W852" s="36"/>
      <c r="X852" s="36"/>
      <c r="Y852" s="36"/>
      <c r="Z852" s="36"/>
    </row>
    <row r="853" ht="15.75" customHeight="1">
      <c r="A853" s="36"/>
      <c r="B853" s="36"/>
      <c r="C853" s="37"/>
      <c r="D853" s="37"/>
      <c r="E853" s="36"/>
      <c r="F853" s="36"/>
      <c r="G853" s="37"/>
      <c r="I853" s="37"/>
      <c r="J853" s="36"/>
      <c r="K853" s="36"/>
      <c r="L853" s="36"/>
      <c r="M853" s="36"/>
      <c r="N853" s="36"/>
      <c r="O853" s="36"/>
      <c r="P853" s="36"/>
      <c r="Q853" s="36"/>
      <c r="R853" s="36"/>
      <c r="S853" s="36"/>
      <c r="T853" s="36"/>
      <c r="U853" s="36"/>
      <c r="V853" s="36"/>
      <c r="W853" s="36"/>
      <c r="X853" s="36"/>
      <c r="Y853" s="36"/>
      <c r="Z853" s="36"/>
    </row>
    <row r="854" ht="15.75" customHeight="1">
      <c r="A854" s="36"/>
      <c r="B854" s="36"/>
      <c r="C854" s="37"/>
      <c r="D854" s="37"/>
      <c r="E854" s="36"/>
      <c r="F854" s="36"/>
      <c r="G854" s="37"/>
      <c r="I854" s="37"/>
      <c r="J854" s="36"/>
      <c r="K854" s="36"/>
      <c r="L854" s="36"/>
      <c r="M854" s="36"/>
      <c r="N854" s="36"/>
      <c r="O854" s="36"/>
      <c r="P854" s="36"/>
      <c r="Q854" s="36"/>
      <c r="R854" s="36"/>
      <c r="S854" s="36"/>
      <c r="T854" s="36"/>
      <c r="U854" s="36"/>
      <c r="V854" s="36"/>
      <c r="W854" s="36"/>
      <c r="X854" s="36"/>
      <c r="Y854" s="36"/>
      <c r="Z854" s="36"/>
    </row>
    <row r="855" ht="15.75" customHeight="1">
      <c r="A855" s="36"/>
      <c r="B855" s="36"/>
      <c r="C855" s="37"/>
      <c r="D855" s="37"/>
      <c r="E855" s="36"/>
      <c r="F855" s="36"/>
      <c r="G855" s="37"/>
      <c r="I855" s="37"/>
      <c r="J855" s="36"/>
      <c r="K855" s="36"/>
      <c r="L855" s="36"/>
      <c r="M855" s="36"/>
      <c r="N855" s="36"/>
      <c r="O855" s="36"/>
      <c r="P855" s="36"/>
      <c r="Q855" s="36"/>
      <c r="R855" s="36"/>
      <c r="S855" s="36"/>
      <c r="T855" s="36"/>
      <c r="U855" s="36"/>
      <c r="V855" s="36"/>
      <c r="W855" s="36"/>
      <c r="X855" s="36"/>
      <c r="Y855" s="36"/>
      <c r="Z855" s="36"/>
    </row>
    <row r="856" ht="15.75" customHeight="1">
      <c r="A856" s="36"/>
      <c r="B856" s="36"/>
      <c r="C856" s="37"/>
      <c r="D856" s="37"/>
      <c r="E856" s="36"/>
      <c r="F856" s="36"/>
      <c r="G856" s="37"/>
      <c r="I856" s="37"/>
      <c r="J856" s="36"/>
      <c r="K856" s="36"/>
      <c r="L856" s="36"/>
      <c r="M856" s="36"/>
      <c r="N856" s="36"/>
      <c r="O856" s="36"/>
      <c r="P856" s="36"/>
      <c r="Q856" s="36"/>
      <c r="R856" s="36"/>
      <c r="S856" s="36"/>
      <c r="T856" s="36"/>
      <c r="U856" s="36"/>
      <c r="V856" s="36"/>
      <c r="W856" s="36"/>
      <c r="X856" s="36"/>
      <c r="Y856" s="36"/>
      <c r="Z856" s="36"/>
    </row>
    <row r="857" ht="15.75" customHeight="1">
      <c r="A857" s="36"/>
      <c r="B857" s="36"/>
      <c r="C857" s="37"/>
      <c r="D857" s="37"/>
      <c r="E857" s="36"/>
      <c r="F857" s="36"/>
      <c r="G857" s="37"/>
      <c r="I857" s="37"/>
      <c r="J857" s="36"/>
      <c r="K857" s="36"/>
      <c r="L857" s="36"/>
      <c r="M857" s="36"/>
      <c r="N857" s="36"/>
      <c r="O857" s="36"/>
      <c r="P857" s="36"/>
      <c r="Q857" s="36"/>
      <c r="R857" s="36"/>
      <c r="S857" s="36"/>
      <c r="T857" s="36"/>
      <c r="U857" s="36"/>
      <c r="V857" s="36"/>
      <c r="W857" s="36"/>
      <c r="X857" s="36"/>
      <c r="Y857" s="36"/>
      <c r="Z857" s="36"/>
    </row>
    <row r="858" ht="15.75" customHeight="1">
      <c r="A858" s="36"/>
      <c r="B858" s="36"/>
      <c r="C858" s="37"/>
      <c r="D858" s="37"/>
      <c r="E858" s="36"/>
      <c r="F858" s="36"/>
      <c r="G858" s="37"/>
      <c r="I858" s="37"/>
      <c r="J858" s="36"/>
      <c r="K858" s="36"/>
      <c r="L858" s="36"/>
      <c r="M858" s="36"/>
      <c r="N858" s="36"/>
      <c r="O858" s="36"/>
      <c r="P858" s="36"/>
      <c r="Q858" s="36"/>
      <c r="R858" s="36"/>
      <c r="S858" s="36"/>
      <c r="T858" s="36"/>
      <c r="U858" s="36"/>
      <c r="V858" s="36"/>
      <c r="W858" s="36"/>
      <c r="X858" s="36"/>
      <c r="Y858" s="36"/>
      <c r="Z858" s="36"/>
    </row>
    <row r="859" ht="15.75" customHeight="1">
      <c r="A859" s="36"/>
      <c r="B859" s="36"/>
      <c r="C859" s="37"/>
      <c r="D859" s="37"/>
      <c r="E859" s="36"/>
      <c r="F859" s="36"/>
      <c r="G859" s="37"/>
      <c r="I859" s="37"/>
      <c r="J859" s="36"/>
      <c r="K859" s="36"/>
      <c r="L859" s="36"/>
      <c r="M859" s="36"/>
      <c r="N859" s="36"/>
      <c r="O859" s="36"/>
      <c r="P859" s="36"/>
      <c r="Q859" s="36"/>
      <c r="R859" s="36"/>
      <c r="S859" s="36"/>
      <c r="T859" s="36"/>
      <c r="U859" s="36"/>
      <c r="V859" s="36"/>
      <c r="W859" s="36"/>
      <c r="X859" s="36"/>
      <c r="Y859" s="36"/>
      <c r="Z859" s="36"/>
    </row>
    <row r="860" ht="15.75" customHeight="1">
      <c r="A860" s="36"/>
      <c r="B860" s="36"/>
      <c r="C860" s="37"/>
      <c r="D860" s="37"/>
      <c r="E860" s="36"/>
      <c r="F860" s="36"/>
      <c r="G860" s="37"/>
      <c r="I860" s="37"/>
      <c r="J860" s="36"/>
      <c r="K860" s="36"/>
      <c r="L860" s="36"/>
      <c r="M860" s="36"/>
      <c r="N860" s="36"/>
      <c r="O860" s="36"/>
      <c r="P860" s="36"/>
      <c r="Q860" s="36"/>
      <c r="R860" s="36"/>
      <c r="S860" s="36"/>
      <c r="T860" s="36"/>
      <c r="U860" s="36"/>
      <c r="V860" s="36"/>
      <c r="W860" s="36"/>
      <c r="X860" s="36"/>
      <c r="Y860" s="36"/>
      <c r="Z860" s="36"/>
    </row>
    <row r="861" ht="15.75" customHeight="1">
      <c r="A861" s="36"/>
      <c r="B861" s="36"/>
      <c r="C861" s="37"/>
      <c r="D861" s="37"/>
      <c r="E861" s="36"/>
      <c r="F861" s="36"/>
      <c r="G861" s="37"/>
      <c r="I861" s="37"/>
      <c r="J861" s="36"/>
      <c r="K861" s="36"/>
      <c r="L861" s="36"/>
      <c r="M861" s="36"/>
      <c r="N861" s="36"/>
      <c r="O861" s="36"/>
      <c r="P861" s="36"/>
      <c r="Q861" s="36"/>
      <c r="R861" s="36"/>
      <c r="S861" s="36"/>
      <c r="T861" s="36"/>
      <c r="U861" s="36"/>
      <c r="V861" s="36"/>
      <c r="W861" s="36"/>
      <c r="X861" s="36"/>
      <c r="Y861" s="36"/>
      <c r="Z861" s="36"/>
    </row>
    <row r="862" ht="15.75" customHeight="1">
      <c r="A862" s="36"/>
      <c r="B862" s="36"/>
      <c r="C862" s="37"/>
      <c r="D862" s="37"/>
      <c r="E862" s="36"/>
      <c r="F862" s="36"/>
      <c r="G862" s="37"/>
      <c r="I862" s="37"/>
      <c r="J862" s="36"/>
      <c r="K862" s="36"/>
      <c r="L862" s="36"/>
      <c r="M862" s="36"/>
      <c r="N862" s="36"/>
      <c r="O862" s="36"/>
      <c r="P862" s="36"/>
      <c r="Q862" s="36"/>
      <c r="R862" s="36"/>
      <c r="S862" s="36"/>
      <c r="T862" s="36"/>
      <c r="U862" s="36"/>
      <c r="V862" s="36"/>
      <c r="W862" s="36"/>
      <c r="X862" s="36"/>
      <c r="Y862" s="36"/>
      <c r="Z862" s="36"/>
    </row>
    <row r="863" ht="15.75" customHeight="1">
      <c r="A863" s="36"/>
      <c r="B863" s="36"/>
      <c r="C863" s="37"/>
      <c r="D863" s="37"/>
      <c r="E863" s="36"/>
      <c r="F863" s="36"/>
      <c r="G863" s="37"/>
      <c r="I863" s="37"/>
      <c r="J863" s="36"/>
      <c r="K863" s="36"/>
      <c r="L863" s="36"/>
      <c r="M863" s="36"/>
      <c r="N863" s="36"/>
      <c r="O863" s="36"/>
      <c r="P863" s="36"/>
      <c r="Q863" s="36"/>
      <c r="R863" s="36"/>
      <c r="S863" s="36"/>
      <c r="T863" s="36"/>
      <c r="U863" s="36"/>
      <c r="V863" s="36"/>
      <c r="W863" s="36"/>
      <c r="X863" s="36"/>
      <c r="Y863" s="36"/>
      <c r="Z863" s="36"/>
    </row>
    <row r="864" ht="15.75" customHeight="1">
      <c r="A864" s="36"/>
      <c r="B864" s="36"/>
      <c r="C864" s="37"/>
      <c r="D864" s="37"/>
      <c r="E864" s="36"/>
      <c r="F864" s="36"/>
      <c r="G864" s="37"/>
      <c r="I864" s="37"/>
      <c r="J864" s="36"/>
      <c r="K864" s="36"/>
      <c r="L864" s="36"/>
      <c r="M864" s="36"/>
      <c r="N864" s="36"/>
      <c r="O864" s="36"/>
      <c r="P864" s="36"/>
      <c r="Q864" s="36"/>
      <c r="R864" s="36"/>
      <c r="S864" s="36"/>
      <c r="T864" s="36"/>
      <c r="U864" s="36"/>
      <c r="V864" s="36"/>
      <c r="W864" s="36"/>
      <c r="X864" s="36"/>
      <c r="Y864" s="36"/>
      <c r="Z864" s="36"/>
    </row>
    <row r="865" ht="15.75" customHeight="1">
      <c r="A865" s="36"/>
      <c r="B865" s="36"/>
      <c r="C865" s="37"/>
      <c r="D865" s="37"/>
      <c r="E865" s="36"/>
      <c r="F865" s="36"/>
      <c r="G865" s="37"/>
      <c r="I865" s="37"/>
      <c r="J865" s="36"/>
      <c r="K865" s="36"/>
      <c r="L865" s="36"/>
      <c r="M865" s="36"/>
      <c r="N865" s="36"/>
      <c r="O865" s="36"/>
      <c r="P865" s="36"/>
      <c r="Q865" s="36"/>
      <c r="R865" s="36"/>
      <c r="S865" s="36"/>
      <c r="T865" s="36"/>
      <c r="U865" s="36"/>
      <c r="V865" s="36"/>
      <c r="W865" s="36"/>
      <c r="X865" s="36"/>
      <c r="Y865" s="36"/>
      <c r="Z865" s="36"/>
    </row>
    <row r="866" ht="15.75" customHeight="1">
      <c r="A866" s="36"/>
      <c r="B866" s="36"/>
      <c r="C866" s="37"/>
      <c r="D866" s="37"/>
      <c r="E866" s="36"/>
      <c r="F866" s="36"/>
      <c r="G866" s="37"/>
      <c r="I866" s="37"/>
      <c r="J866" s="36"/>
      <c r="K866" s="36"/>
      <c r="L866" s="36"/>
      <c r="M866" s="36"/>
      <c r="N866" s="36"/>
      <c r="O866" s="36"/>
      <c r="P866" s="36"/>
      <c r="Q866" s="36"/>
      <c r="R866" s="36"/>
      <c r="S866" s="36"/>
      <c r="T866" s="36"/>
      <c r="U866" s="36"/>
      <c r="V866" s="36"/>
      <c r="W866" s="36"/>
      <c r="X866" s="36"/>
      <c r="Y866" s="36"/>
      <c r="Z866" s="36"/>
    </row>
    <row r="867" ht="15.75" customHeight="1">
      <c r="A867" s="36"/>
      <c r="B867" s="36"/>
      <c r="C867" s="37"/>
      <c r="D867" s="37"/>
      <c r="E867" s="36"/>
      <c r="F867" s="36"/>
      <c r="G867" s="37"/>
      <c r="I867" s="37"/>
      <c r="J867" s="36"/>
      <c r="K867" s="36"/>
      <c r="L867" s="36"/>
      <c r="M867" s="36"/>
      <c r="N867" s="36"/>
      <c r="O867" s="36"/>
      <c r="P867" s="36"/>
      <c r="Q867" s="36"/>
      <c r="R867" s="36"/>
      <c r="S867" s="36"/>
      <c r="T867" s="36"/>
      <c r="U867" s="36"/>
      <c r="V867" s="36"/>
      <c r="W867" s="36"/>
      <c r="X867" s="36"/>
      <c r="Y867" s="36"/>
      <c r="Z867" s="36"/>
    </row>
    <row r="868" ht="15.75" customHeight="1">
      <c r="A868" s="36"/>
      <c r="B868" s="36"/>
      <c r="C868" s="37"/>
      <c r="D868" s="37"/>
      <c r="E868" s="36"/>
      <c r="F868" s="36"/>
      <c r="G868" s="37"/>
      <c r="I868" s="37"/>
      <c r="J868" s="36"/>
      <c r="K868" s="36"/>
      <c r="L868" s="36"/>
      <c r="M868" s="36"/>
      <c r="N868" s="36"/>
      <c r="O868" s="36"/>
      <c r="P868" s="36"/>
      <c r="Q868" s="36"/>
      <c r="R868" s="36"/>
      <c r="S868" s="36"/>
      <c r="T868" s="36"/>
      <c r="U868" s="36"/>
      <c r="V868" s="36"/>
      <c r="W868" s="36"/>
      <c r="X868" s="36"/>
      <c r="Y868" s="36"/>
      <c r="Z868" s="36"/>
    </row>
    <row r="869" ht="15.75" customHeight="1">
      <c r="A869" s="36"/>
      <c r="B869" s="36"/>
      <c r="C869" s="37"/>
      <c r="D869" s="37"/>
      <c r="E869" s="36"/>
      <c r="F869" s="36"/>
      <c r="G869" s="37"/>
      <c r="I869" s="37"/>
      <c r="J869" s="36"/>
      <c r="K869" s="36"/>
      <c r="L869" s="36"/>
      <c r="M869" s="36"/>
      <c r="N869" s="36"/>
      <c r="O869" s="36"/>
      <c r="P869" s="36"/>
      <c r="Q869" s="36"/>
      <c r="R869" s="36"/>
      <c r="S869" s="36"/>
      <c r="T869" s="36"/>
      <c r="U869" s="36"/>
      <c r="V869" s="36"/>
      <c r="W869" s="36"/>
      <c r="X869" s="36"/>
      <c r="Y869" s="36"/>
      <c r="Z869" s="36"/>
    </row>
    <row r="870" ht="15.75" customHeight="1">
      <c r="A870" s="36"/>
      <c r="B870" s="36"/>
      <c r="C870" s="37"/>
      <c r="D870" s="37"/>
      <c r="E870" s="36"/>
      <c r="F870" s="36"/>
      <c r="G870" s="37"/>
      <c r="I870" s="37"/>
      <c r="J870" s="36"/>
      <c r="K870" s="36"/>
      <c r="L870" s="36"/>
      <c r="M870" s="36"/>
      <c r="N870" s="36"/>
      <c r="O870" s="36"/>
      <c r="P870" s="36"/>
      <c r="Q870" s="36"/>
      <c r="R870" s="36"/>
      <c r="S870" s="36"/>
      <c r="T870" s="36"/>
      <c r="U870" s="36"/>
      <c r="V870" s="36"/>
      <c r="W870" s="36"/>
      <c r="X870" s="36"/>
      <c r="Y870" s="36"/>
      <c r="Z870" s="36"/>
    </row>
    <row r="871" ht="15.75" customHeight="1">
      <c r="A871" s="36"/>
      <c r="B871" s="36"/>
      <c r="C871" s="37"/>
      <c r="D871" s="37"/>
      <c r="E871" s="36"/>
      <c r="F871" s="36"/>
      <c r="G871" s="37"/>
      <c r="I871" s="37"/>
      <c r="J871" s="36"/>
      <c r="K871" s="36"/>
      <c r="L871" s="36"/>
      <c r="M871" s="36"/>
      <c r="N871" s="36"/>
      <c r="O871" s="36"/>
      <c r="P871" s="36"/>
      <c r="Q871" s="36"/>
      <c r="R871" s="36"/>
      <c r="S871" s="36"/>
      <c r="T871" s="36"/>
      <c r="U871" s="36"/>
      <c r="V871" s="36"/>
      <c r="W871" s="36"/>
      <c r="X871" s="36"/>
      <c r="Y871" s="36"/>
      <c r="Z871" s="36"/>
    </row>
    <row r="872" ht="15.75" customHeight="1">
      <c r="A872" s="36"/>
      <c r="B872" s="36"/>
      <c r="C872" s="37"/>
      <c r="D872" s="37"/>
      <c r="E872" s="36"/>
      <c r="F872" s="36"/>
      <c r="G872" s="37"/>
      <c r="I872" s="37"/>
      <c r="J872" s="36"/>
      <c r="K872" s="36"/>
      <c r="L872" s="36"/>
      <c r="M872" s="36"/>
      <c r="N872" s="36"/>
      <c r="O872" s="36"/>
      <c r="P872" s="36"/>
      <c r="Q872" s="36"/>
      <c r="R872" s="36"/>
      <c r="S872" s="36"/>
      <c r="T872" s="36"/>
      <c r="U872" s="36"/>
      <c r="V872" s="36"/>
      <c r="W872" s="36"/>
      <c r="X872" s="36"/>
      <c r="Y872" s="36"/>
      <c r="Z872" s="36"/>
    </row>
    <row r="873" ht="15.75" customHeight="1">
      <c r="A873" s="36"/>
      <c r="B873" s="36"/>
      <c r="C873" s="37"/>
      <c r="D873" s="37"/>
      <c r="E873" s="36"/>
      <c r="F873" s="36"/>
      <c r="G873" s="37"/>
      <c r="I873" s="37"/>
      <c r="J873" s="36"/>
      <c r="K873" s="36"/>
      <c r="L873" s="36"/>
      <c r="M873" s="36"/>
      <c r="N873" s="36"/>
      <c r="O873" s="36"/>
      <c r="P873" s="36"/>
      <c r="Q873" s="36"/>
      <c r="R873" s="36"/>
      <c r="S873" s="36"/>
      <c r="T873" s="36"/>
      <c r="U873" s="36"/>
      <c r="V873" s="36"/>
      <c r="W873" s="36"/>
      <c r="X873" s="36"/>
      <c r="Y873" s="36"/>
      <c r="Z873" s="36"/>
    </row>
    <row r="874" ht="15.75" customHeight="1">
      <c r="A874" s="36"/>
      <c r="B874" s="36"/>
      <c r="C874" s="37"/>
      <c r="D874" s="37"/>
      <c r="E874" s="36"/>
      <c r="F874" s="36"/>
      <c r="G874" s="37"/>
      <c r="I874" s="37"/>
      <c r="J874" s="36"/>
      <c r="K874" s="36"/>
      <c r="L874" s="36"/>
      <c r="M874" s="36"/>
      <c r="N874" s="36"/>
      <c r="O874" s="36"/>
      <c r="P874" s="36"/>
      <c r="Q874" s="36"/>
      <c r="R874" s="36"/>
      <c r="S874" s="36"/>
      <c r="T874" s="36"/>
      <c r="U874" s="36"/>
      <c r="V874" s="36"/>
      <c r="W874" s="36"/>
      <c r="X874" s="36"/>
      <c r="Y874" s="36"/>
      <c r="Z874" s="36"/>
    </row>
    <row r="875" ht="15.75" customHeight="1">
      <c r="A875" s="36"/>
      <c r="B875" s="36"/>
      <c r="C875" s="37"/>
      <c r="D875" s="37"/>
      <c r="E875" s="36"/>
      <c r="F875" s="36"/>
      <c r="G875" s="37"/>
      <c r="I875" s="37"/>
      <c r="J875" s="36"/>
      <c r="K875" s="36"/>
      <c r="L875" s="36"/>
      <c r="M875" s="36"/>
      <c r="N875" s="36"/>
      <c r="O875" s="36"/>
      <c r="P875" s="36"/>
      <c r="Q875" s="36"/>
      <c r="R875" s="36"/>
      <c r="S875" s="36"/>
      <c r="T875" s="36"/>
      <c r="U875" s="36"/>
      <c r="V875" s="36"/>
      <c r="W875" s="36"/>
      <c r="X875" s="36"/>
      <c r="Y875" s="36"/>
      <c r="Z875" s="36"/>
    </row>
    <row r="876" ht="15.75" customHeight="1">
      <c r="A876" s="36"/>
      <c r="B876" s="36"/>
      <c r="C876" s="37"/>
      <c r="D876" s="37"/>
      <c r="E876" s="36"/>
      <c r="F876" s="36"/>
      <c r="G876" s="37"/>
      <c r="I876" s="37"/>
      <c r="J876" s="36"/>
      <c r="K876" s="36"/>
      <c r="L876" s="36"/>
      <c r="M876" s="36"/>
      <c r="N876" s="36"/>
      <c r="O876" s="36"/>
      <c r="P876" s="36"/>
      <c r="Q876" s="36"/>
      <c r="R876" s="36"/>
      <c r="S876" s="36"/>
      <c r="T876" s="36"/>
      <c r="U876" s="36"/>
      <c r="V876" s="36"/>
      <c r="W876" s="36"/>
      <c r="X876" s="36"/>
      <c r="Y876" s="36"/>
      <c r="Z876" s="36"/>
    </row>
    <row r="877" ht="15.75" customHeight="1">
      <c r="A877" s="36"/>
      <c r="B877" s="36"/>
      <c r="C877" s="37"/>
      <c r="D877" s="37"/>
      <c r="E877" s="36"/>
      <c r="F877" s="36"/>
      <c r="G877" s="37"/>
      <c r="I877" s="37"/>
      <c r="J877" s="36"/>
      <c r="K877" s="36"/>
      <c r="L877" s="36"/>
      <c r="M877" s="36"/>
      <c r="N877" s="36"/>
      <c r="O877" s="36"/>
      <c r="P877" s="36"/>
      <c r="Q877" s="36"/>
      <c r="R877" s="36"/>
      <c r="S877" s="36"/>
      <c r="T877" s="36"/>
      <c r="U877" s="36"/>
      <c r="V877" s="36"/>
      <c r="W877" s="36"/>
      <c r="X877" s="36"/>
      <c r="Y877" s="36"/>
      <c r="Z877" s="36"/>
    </row>
    <row r="878" ht="15.75" customHeight="1">
      <c r="A878" s="36"/>
      <c r="B878" s="36"/>
      <c r="C878" s="37"/>
      <c r="D878" s="37"/>
      <c r="E878" s="36"/>
      <c r="F878" s="36"/>
      <c r="G878" s="37"/>
      <c r="I878" s="37"/>
      <c r="J878" s="36"/>
      <c r="K878" s="36"/>
      <c r="L878" s="36"/>
      <c r="M878" s="36"/>
      <c r="N878" s="36"/>
      <c r="O878" s="36"/>
      <c r="P878" s="36"/>
      <c r="Q878" s="36"/>
      <c r="R878" s="36"/>
      <c r="S878" s="36"/>
      <c r="T878" s="36"/>
      <c r="U878" s="36"/>
      <c r="V878" s="36"/>
      <c r="W878" s="36"/>
      <c r="X878" s="36"/>
      <c r="Y878" s="36"/>
      <c r="Z878" s="36"/>
    </row>
    <row r="879" ht="15.75" customHeight="1">
      <c r="A879" s="36"/>
      <c r="B879" s="36"/>
      <c r="C879" s="37"/>
      <c r="D879" s="37"/>
      <c r="E879" s="36"/>
      <c r="F879" s="36"/>
      <c r="G879" s="37"/>
      <c r="I879" s="37"/>
      <c r="J879" s="36"/>
      <c r="K879" s="36"/>
      <c r="L879" s="36"/>
      <c r="M879" s="36"/>
      <c r="N879" s="36"/>
      <c r="O879" s="36"/>
      <c r="P879" s="36"/>
      <c r="Q879" s="36"/>
      <c r="R879" s="36"/>
      <c r="S879" s="36"/>
      <c r="T879" s="36"/>
      <c r="U879" s="36"/>
      <c r="V879" s="36"/>
      <c r="W879" s="36"/>
      <c r="X879" s="36"/>
      <c r="Y879" s="36"/>
      <c r="Z879" s="36"/>
    </row>
    <row r="880" ht="15.75" customHeight="1">
      <c r="A880" s="36"/>
      <c r="B880" s="36"/>
      <c r="C880" s="37"/>
      <c r="D880" s="37"/>
      <c r="E880" s="36"/>
      <c r="F880" s="36"/>
      <c r="G880" s="37"/>
      <c r="I880" s="37"/>
      <c r="J880" s="36"/>
      <c r="K880" s="36"/>
      <c r="L880" s="36"/>
      <c r="M880" s="36"/>
      <c r="N880" s="36"/>
      <c r="O880" s="36"/>
      <c r="P880" s="36"/>
      <c r="Q880" s="36"/>
      <c r="R880" s="36"/>
      <c r="S880" s="36"/>
      <c r="T880" s="36"/>
      <c r="U880" s="36"/>
      <c r="V880" s="36"/>
      <c r="W880" s="36"/>
      <c r="X880" s="36"/>
      <c r="Y880" s="36"/>
      <c r="Z880" s="36"/>
    </row>
    <row r="881" ht="15.75" customHeight="1">
      <c r="A881" s="36"/>
      <c r="B881" s="36"/>
      <c r="C881" s="37"/>
      <c r="D881" s="37"/>
      <c r="E881" s="36"/>
      <c r="F881" s="36"/>
      <c r="G881" s="37"/>
      <c r="I881" s="37"/>
      <c r="J881" s="36"/>
      <c r="K881" s="36"/>
      <c r="L881" s="36"/>
      <c r="M881" s="36"/>
      <c r="N881" s="36"/>
      <c r="O881" s="36"/>
      <c r="P881" s="36"/>
      <c r="Q881" s="36"/>
      <c r="R881" s="36"/>
      <c r="S881" s="36"/>
      <c r="T881" s="36"/>
      <c r="U881" s="36"/>
      <c r="V881" s="36"/>
      <c r="W881" s="36"/>
      <c r="X881" s="36"/>
      <c r="Y881" s="36"/>
      <c r="Z881" s="36"/>
    </row>
    <row r="882" ht="15.75" customHeight="1">
      <c r="A882" s="36"/>
      <c r="B882" s="36"/>
      <c r="C882" s="37"/>
      <c r="D882" s="37"/>
      <c r="E882" s="36"/>
      <c r="F882" s="36"/>
      <c r="G882" s="37"/>
      <c r="I882" s="37"/>
      <c r="J882" s="36"/>
      <c r="K882" s="36"/>
      <c r="L882" s="36"/>
      <c r="M882" s="36"/>
      <c r="N882" s="36"/>
      <c r="O882" s="36"/>
      <c r="P882" s="36"/>
      <c r="Q882" s="36"/>
      <c r="R882" s="36"/>
      <c r="S882" s="36"/>
      <c r="T882" s="36"/>
      <c r="U882" s="36"/>
      <c r="V882" s="36"/>
      <c r="W882" s="36"/>
      <c r="X882" s="36"/>
      <c r="Y882" s="36"/>
      <c r="Z882" s="36"/>
    </row>
    <row r="883" ht="15.75" customHeight="1">
      <c r="A883" s="36"/>
      <c r="B883" s="36"/>
      <c r="C883" s="37"/>
      <c r="D883" s="37"/>
      <c r="E883" s="36"/>
      <c r="F883" s="36"/>
      <c r="G883" s="37"/>
      <c r="I883" s="37"/>
      <c r="J883" s="36"/>
      <c r="K883" s="36"/>
      <c r="L883" s="36"/>
      <c r="M883" s="36"/>
      <c r="N883" s="36"/>
      <c r="O883" s="36"/>
      <c r="P883" s="36"/>
      <c r="Q883" s="36"/>
      <c r="R883" s="36"/>
      <c r="S883" s="36"/>
      <c r="T883" s="36"/>
      <c r="U883" s="36"/>
      <c r="V883" s="36"/>
      <c r="W883" s="36"/>
      <c r="X883" s="36"/>
      <c r="Y883" s="36"/>
      <c r="Z883" s="36"/>
    </row>
    <row r="884" ht="15.75" customHeight="1">
      <c r="A884" s="36"/>
      <c r="B884" s="36"/>
      <c r="C884" s="37"/>
      <c r="D884" s="37"/>
      <c r="E884" s="36"/>
      <c r="F884" s="36"/>
      <c r="G884" s="37"/>
      <c r="I884" s="37"/>
      <c r="J884" s="36"/>
      <c r="K884" s="36"/>
      <c r="L884" s="36"/>
      <c r="M884" s="36"/>
      <c r="N884" s="36"/>
      <c r="O884" s="36"/>
      <c r="P884" s="36"/>
      <c r="Q884" s="36"/>
      <c r="R884" s="36"/>
      <c r="S884" s="36"/>
      <c r="T884" s="36"/>
      <c r="U884" s="36"/>
      <c r="V884" s="36"/>
      <c r="W884" s="36"/>
      <c r="X884" s="36"/>
      <c r="Y884" s="36"/>
      <c r="Z884" s="36"/>
    </row>
    <row r="885" ht="15.75" customHeight="1">
      <c r="A885" s="36"/>
      <c r="B885" s="36"/>
      <c r="C885" s="37"/>
      <c r="D885" s="37"/>
      <c r="E885" s="36"/>
      <c r="F885" s="36"/>
      <c r="G885" s="37"/>
      <c r="I885" s="37"/>
      <c r="J885" s="36"/>
      <c r="K885" s="36"/>
      <c r="L885" s="36"/>
      <c r="M885" s="36"/>
      <c r="N885" s="36"/>
      <c r="O885" s="36"/>
      <c r="P885" s="36"/>
      <c r="Q885" s="36"/>
      <c r="R885" s="36"/>
      <c r="S885" s="36"/>
      <c r="T885" s="36"/>
      <c r="U885" s="36"/>
      <c r="V885" s="36"/>
      <c r="W885" s="36"/>
      <c r="X885" s="36"/>
      <c r="Y885" s="36"/>
      <c r="Z885" s="36"/>
    </row>
    <row r="886" ht="15.75" customHeight="1">
      <c r="A886" s="36"/>
      <c r="B886" s="36"/>
      <c r="C886" s="37"/>
      <c r="D886" s="37"/>
      <c r="E886" s="36"/>
      <c r="F886" s="36"/>
      <c r="G886" s="37"/>
      <c r="I886" s="37"/>
      <c r="J886" s="36"/>
      <c r="K886" s="36"/>
      <c r="L886" s="36"/>
      <c r="M886" s="36"/>
      <c r="N886" s="36"/>
      <c r="O886" s="36"/>
      <c r="P886" s="36"/>
      <c r="Q886" s="36"/>
      <c r="R886" s="36"/>
      <c r="S886" s="36"/>
      <c r="T886" s="36"/>
      <c r="U886" s="36"/>
      <c r="V886" s="36"/>
      <c r="W886" s="36"/>
      <c r="X886" s="36"/>
      <c r="Y886" s="36"/>
      <c r="Z886" s="36"/>
    </row>
    <row r="887" ht="15.75" customHeight="1">
      <c r="A887" s="36"/>
      <c r="B887" s="36"/>
      <c r="C887" s="37"/>
      <c r="D887" s="37"/>
      <c r="E887" s="36"/>
      <c r="F887" s="36"/>
      <c r="G887" s="37"/>
      <c r="I887" s="37"/>
      <c r="J887" s="36"/>
      <c r="K887" s="36"/>
      <c r="L887" s="36"/>
      <c r="M887" s="36"/>
      <c r="N887" s="36"/>
      <c r="O887" s="36"/>
      <c r="P887" s="36"/>
      <c r="Q887" s="36"/>
      <c r="R887" s="36"/>
      <c r="S887" s="36"/>
      <c r="T887" s="36"/>
      <c r="U887" s="36"/>
      <c r="V887" s="36"/>
      <c r="W887" s="36"/>
      <c r="X887" s="36"/>
      <c r="Y887" s="36"/>
      <c r="Z887" s="36"/>
    </row>
    <row r="888" ht="15.75" customHeight="1">
      <c r="A888" s="36"/>
      <c r="B888" s="36"/>
      <c r="C888" s="37"/>
      <c r="D888" s="37"/>
      <c r="E888" s="36"/>
      <c r="F888" s="36"/>
      <c r="G888" s="37"/>
      <c r="I888" s="37"/>
      <c r="J888" s="36"/>
      <c r="K888" s="36"/>
      <c r="L888" s="36"/>
      <c r="M888" s="36"/>
      <c r="N888" s="36"/>
      <c r="O888" s="36"/>
      <c r="P888" s="36"/>
      <c r="Q888" s="36"/>
      <c r="R888" s="36"/>
      <c r="S888" s="36"/>
      <c r="T888" s="36"/>
      <c r="U888" s="36"/>
      <c r="V888" s="36"/>
      <c r="W888" s="36"/>
      <c r="X888" s="36"/>
      <c r="Y888" s="36"/>
      <c r="Z888" s="36"/>
    </row>
    <row r="889" ht="15.75" customHeight="1">
      <c r="A889" s="36"/>
      <c r="B889" s="36"/>
      <c r="C889" s="37"/>
      <c r="D889" s="37"/>
      <c r="E889" s="36"/>
      <c r="F889" s="36"/>
      <c r="G889" s="37"/>
      <c r="I889" s="37"/>
      <c r="J889" s="36"/>
      <c r="K889" s="36"/>
      <c r="L889" s="36"/>
      <c r="M889" s="36"/>
      <c r="N889" s="36"/>
      <c r="O889" s="36"/>
      <c r="P889" s="36"/>
      <c r="Q889" s="36"/>
      <c r="R889" s="36"/>
      <c r="S889" s="36"/>
      <c r="T889" s="36"/>
      <c r="U889" s="36"/>
      <c r="V889" s="36"/>
      <c r="W889" s="36"/>
      <c r="X889" s="36"/>
      <c r="Y889" s="36"/>
      <c r="Z889" s="36"/>
    </row>
    <row r="890" ht="15.75" customHeight="1">
      <c r="A890" s="36"/>
      <c r="B890" s="36"/>
      <c r="C890" s="37"/>
      <c r="D890" s="37"/>
      <c r="E890" s="36"/>
      <c r="F890" s="36"/>
      <c r="G890" s="37"/>
      <c r="I890" s="37"/>
      <c r="J890" s="36"/>
      <c r="K890" s="36"/>
      <c r="L890" s="36"/>
      <c r="M890" s="36"/>
      <c r="N890" s="36"/>
      <c r="O890" s="36"/>
      <c r="P890" s="36"/>
      <c r="Q890" s="36"/>
      <c r="R890" s="36"/>
      <c r="S890" s="36"/>
      <c r="T890" s="36"/>
      <c r="U890" s="36"/>
      <c r="V890" s="36"/>
      <c r="W890" s="36"/>
      <c r="X890" s="36"/>
      <c r="Y890" s="36"/>
      <c r="Z890" s="36"/>
    </row>
    <row r="891" ht="15.75" customHeight="1">
      <c r="A891" s="36"/>
      <c r="B891" s="36"/>
      <c r="C891" s="37"/>
      <c r="D891" s="37"/>
      <c r="E891" s="36"/>
      <c r="F891" s="36"/>
      <c r="G891" s="37"/>
      <c r="I891" s="37"/>
      <c r="J891" s="36"/>
      <c r="K891" s="36"/>
      <c r="L891" s="36"/>
      <c r="M891" s="36"/>
      <c r="N891" s="36"/>
      <c r="O891" s="36"/>
      <c r="P891" s="36"/>
      <c r="Q891" s="36"/>
      <c r="R891" s="36"/>
      <c r="S891" s="36"/>
      <c r="T891" s="36"/>
      <c r="U891" s="36"/>
      <c r="V891" s="36"/>
      <c r="W891" s="36"/>
      <c r="X891" s="36"/>
      <c r="Y891" s="36"/>
      <c r="Z891" s="36"/>
    </row>
    <row r="892" ht="15.75" customHeight="1">
      <c r="A892" s="36"/>
      <c r="B892" s="36"/>
      <c r="C892" s="37"/>
      <c r="D892" s="37"/>
      <c r="E892" s="36"/>
      <c r="F892" s="36"/>
      <c r="G892" s="37"/>
      <c r="I892" s="37"/>
      <c r="J892" s="36"/>
      <c r="K892" s="36"/>
      <c r="L892" s="36"/>
      <c r="M892" s="36"/>
      <c r="N892" s="36"/>
      <c r="O892" s="36"/>
      <c r="P892" s="36"/>
      <c r="Q892" s="36"/>
      <c r="R892" s="36"/>
      <c r="S892" s="36"/>
      <c r="T892" s="36"/>
      <c r="U892" s="36"/>
      <c r="V892" s="36"/>
      <c r="W892" s="36"/>
      <c r="X892" s="36"/>
      <c r="Y892" s="36"/>
      <c r="Z892" s="36"/>
    </row>
    <row r="893" ht="15.75" customHeight="1">
      <c r="A893" s="36"/>
      <c r="B893" s="36"/>
      <c r="C893" s="37"/>
      <c r="D893" s="37"/>
      <c r="E893" s="36"/>
      <c r="F893" s="36"/>
      <c r="G893" s="37"/>
      <c r="I893" s="37"/>
      <c r="J893" s="36"/>
      <c r="K893" s="36"/>
      <c r="L893" s="36"/>
      <c r="M893" s="36"/>
      <c r="N893" s="36"/>
      <c r="O893" s="36"/>
      <c r="P893" s="36"/>
      <c r="Q893" s="36"/>
      <c r="R893" s="36"/>
      <c r="S893" s="36"/>
      <c r="T893" s="36"/>
      <c r="U893" s="36"/>
      <c r="V893" s="36"/>
      <c r="W893" s="36"/>
      <c r="X893" s="36"/>
      <c r="Y893" s="36"/>
      <c r="Z893" s="36"/>
    </row>
    <row r="894" ht="15.75" customHeight="1">
      <c r="A894" s="36"/>
      <c r="B894" s="36"/>
      <c r="C894" s="37"/>
      <c r="D894" s="37"/>
      <c r="E894" s="36"/>
      <c r="F894" s="36"/>
      <c r="G894" s="37"/>
      <c r="I894" s="37"/>
      <c r="J894" s="36"/>
      <c r="K894" s="36"/>
      <c r="L894" s="36"/>
      <c r="M894" s="36"/>
      <c r="N894" s="36"/>
      <c r="O894" s="36"/>
      <c r="P894" s="36"/>
      <c r="Q894" s="36"/>
      <c r="R894" s="36"/>
      <c r="S894" s="36"/>
      <c r="T894" s="36"/>
      <c r="U894" s="36"/>
      <c r="V894" s="36"/>
      <c r="W894" s="36"/>
      <c r="X894" s="36"/>
      <c r="Y894" s="36"/>
      <c r="Z894" s="36"/>
    </row>
    <row r="895" ht="15.75" customHeight="1">
      <c r="A895" s="36"/>
      <c r="B895" s="36"/>
      <c r="C895" s="37"/>
      <c r="D895" s="37"/>
      <c r="E895" s="36"/>
      <c r="F895" s="36"/>
      <c r="G895" s="37"/>
      <c r="I895" s="37"/>
      <c r="J895" s="36"/>
      <c r="K895" s="36"/>
      <c r="L895" s="36"/>
      <c r="M895" s="36"/>
      <c r="N895" s="36"/>
      <c r="O895" s="36"/>
      <c r="P895" s="36"/>
      <c r="Q895" s="36"/>
      <c r="R895" s="36"/>
      <c r="S895" s="36"/>
      <c r="T895" s="36"/>
      <c r="U895" s="36"/>
      <c r="V895" s="36"/>
      <c r="W895" s="36"/>
      <c r="X895" s="36"/>
      <c r="Y895" s="36"/>
      <c r="Z895" s="36"/>
    </row>
    <row r="896" ht="15.75" customHeight="1">
      <c r="A896" s="36"/>
      <c r="B896" s="36"/>
      <c r="C896" s="37"/>
      <c r="D896" s="37"/>
      <c r="E896" s="36"/>
      <c r="F896" s="36"/>
      <c r="G896" s="37"/>
      <c r="I896" s="37"/>
      <c r="J896" s="36"/>
      <c r="K896" s="36"/>
      <c r="L896" s="36"/>
      <c r="M896" s="36"/>
      <c r="N896" s="36"/>
      <c r="O896" s="36"/>
      <c r="P896" s="36"/>
      <c r="Q896" s="36"/>
      <c r="R896" s="36"/>
      <c r="S896" s="36"/>
      <c r="T896" s="36"/>
      <c r="U896" s="36"/>
      <c r="V896" s="36"/>
      <c r="W896" s="36"/>
      <c r="X896" s="36"/>
      <c r="Y896" s="36"/>
      <c r="Z896" s="36"/>
    </row>
    <row r="897" ht="15.75" customHeight="1">
      <c r="A897" s="36"/>
      <c r="B897" s="36"/>
      <c r="C897" s="37"/>
      <c r="D897" s="37"/>
      <c r="E897" s="36"/>
      <c r="F897" s="36"/>
      <c r="G897" s="37"/>
      <c r="I897" s="37"/>
      <c r="J897" s="36"/>
      <c r="K897" s="36"/>
      <c r="L897" s="36"/>
      <c r="M897" s="36"/>
      <c r="N897" s="36"/>
      <c r="O897" s="36"/>
      <c r="P897" s="36"/>
      <c r="Q897" s="36"/>
      <c r="R897" s="36"/>
      <c r="S897" s="36"/>
      <c r="T897" s="36"/>
      <c r="U897" s="36"/>
      <c r="V897" s="36"/>
      <c r="W897" s="36"/>
      <c r="X897" s="36"/>
      <c r="Y897" s="36"/>
      <c r="Z897" s="36"/>
    </row>
    <row r="898" ht="15.75" customHeight="1">
      <c r="A898" s="36"/>
      <c r="B898" s="36"/>
      <c r="C898" s="37"/>
      <c r="D898" s="37"/>
      <c r="E898" s="36"/>
      <c r="F898" s="36"/>
      <c r="G898" s="37"/>
      <c r="I898" s="37"/>
      <c r="J898" s="36"/>
      <c r="K898" s="36"/>
      <c r="L898" s="36"/>
      <c r="M898" s="36"/>
      <c r="N898" s="36"/>
      <c r="O898" s="36"/>
      <c r="P898" s="36"/>
      <c r="Q898" s="36"/>
      <c r="R898" s="36"/>
      <c r="S898" s="36"/>
      <c r="T898" s="36"/>
      <c r="U898" s="36"/>
      <c r="V898" s="36"/>
      <c r="W898" s="36"/>
      <c r="X898" s="36"/>
      <c r="Y898" s="36"/>
      <c r="Z898" s="36"/>
    </row>
    <row r="899" ht="15.75" customHeight="1">
      <c r="A899" s="36"/>
      <c r="B899" s="36"/>
      <c r="C899" s="37"/>
      <c r="D899" s="37"/>
      <c r="E899" s="36"/>
      <c r="F899" s="36"/>
      <c r="G899" s="37"/>
      <c r="I899" s="37"/>
      <c r="J899" s="36"/>
      <c r="K899" s="36"/>
      <c r="L899" s="36"/>
      <c r="M899" s="36"/>
      <c r="N899" s="36"/>
      <c r="O899" s="36"/>
      <c r="P899" s="36"/>
      <c r="Q899" s="36"/>
      <c r="R899" s="36"/>
      <c r="S899" s="36"/>
      <c r="T899" s="36"/>
      <c r="U899" s="36"/>
      <c r="V899" s="36"/>
      <c r="W899" s="36"/>
      <c r="X899" s="36"/>
      <c r="Y899" s="36"/>
      <c r="Z899" s="36"/>
    </row>
    <row r="900" ht="15.75" customHeight="1">
      <c r="A900" s="36"/>
      <c r="B900" s="36"/>
      <c r="C900" s="37"/>
      <c r="D900" s="37"/>
      <c r="E900" s="36"/>
      <c r="F900" s="36"/>
      <c r="G900" s="37"/>
      <c r="I900" s="37"/>
      <c r="J900" s="36"/>
      <c r="K900" s="36"/>
      <c r="L900" s="36"/>
      <c r="M900" s="36"/>
      <c r="N900" s="36"/>
      <c r="O900" s="36"/>
      <c r="P900" s="36"/>
      <c r="Q900" s="36"/>
      <c r="R900" s="36"/>
      <c r="S900" s="36"/>
      <c r="T900" s="36"/>
      <c r="U900" s="36"/>
      <c r="V900" s="36"/>
      <c r="W900" s="36"/>
      <c r="X900" s="36"/>
      <c r="Y900" s="36"/>
      <c r="Z900" s="36"/>
    </row>
    <row r="901" ht="15.75" customHeight="1">
      <c r="A901" s="36"/>
      <c r="B901" s="36"/>
      <c r="C901" s="37"/>
      <c r="D901" s="37"/>
      <c r="E901" s="36"/>
      <c r="F901" s="36"/>
      <c r="G901" s="37"/>
      <c r="I901" s="37"/>
      <c r="J901" s="36"/>
      <c r="K901" s="36"/>
      <c r="L901" s="36"/>
      <c r="M901" s="36"/>
      <c r="N901" s="36"/>
      <c r="O901" s="36"/>
      <c r="P901" s="36"/>
      <c r="Q901" s="36"/>
      <c r="R901" s="36"/>
      <c r="S901" s="36"/>
      <c r="T901" s="36"/>
      <c r="U901" s="36"/>
      <c r="V901" s="36"/>
      <c r="W901" s="36"/>
      <c r="X901" s="36"/>
      <c r="Y901" s="36"/>
      <c r="Z901" s="36"/>
    </row>
    <row r="902" ht="15.75" customHeight="1">
      <c r="A902" s="36"/>
      <c r="B902" s="36"/>
      <c r="C902" s="37"/>
      <c r="D902" s="37"/>
      <c r="E902" s="36"/>
      <c r="F902" s="36"/>
      <c r="G902" s="37"/>
      <c r="I902" s="37"/>
      <c r="J902" s="36"/>
      <c r="K902" s="36"/>
      <c r="L902" s="36"/>
      <c r="M902" s="36"/>
      <c r="N902" s="36"/>
      <c r="O902" s="36"/>
      <c r="P902" s="36"/>
      <c r="Q902" s="36"/>
      <c r="R902" s="36"/>
      <c r="S902" s="36"/>
      <c r="T902" s="36"/>
      <c r="U902" s="36"/>
      <c r="V902" s="36"/>
      <c r="W902" s="36"/>
      <c r="X902" s="36"/>
      <c r="Y902" s="36"/>
      <c r="Z902" s="36"/>
    </row>
    <row r="903" ht="15.75" customHeight="1">
      <c r="A903" s="36"/>
      <c r="B903" s="36"/>
      <c r="C903" s="37"/>
      <c r="D903" s="37"/>
      <c r="E903" s="36"/>
      <c r="F903" s="36"/>
      <c r="G903" s="37"/>
      <c r="I903" s="37"/>
      <c r="J903" s="36"/>
      <c r="K903" s="36"/>
      <c r="L903" s="36"/>
      <c r="M903" s="36"/>
      <c r="N903" s="36"/>
      <c r="O903" s="36"/>
      <c r="P903" s="36"/>
      <c r="Q903" s="36"/>
      <c r="R903" s="36"/>
      <c r="S903" s="36"/>
      <c r="T903" s="36"/>
      <c r="U903" s="36"/>
      <c r="V903" s="36"/>
      <c r="W903" s="36"/>
      <c r="X903" s="36"/>
      <c r="Y903" s="36"/>
      <c r="Z903" s="36"/>
    </row>
    <row r="904" ht="15.75" customHeight="1">
      <c r="A904" s="36"/>
      <c r="B904" s="36"/>
      <c r="C904" s="37"/>
      <c r="D904" s="37"/>
      <c r="E904" s="36"/>
      <c r="F904" s="36"/>
      <c r="G904" s="37"/>
      <c r="I904" s="37"/>
      <c r="J904" s="36"/>
      <c r="K904" s="36"/>
      <c r="L904" s="36"/>
      <c r="M904" s="36"/>
      <c r="N904" s="36"/>
      <c r="O904" s="36"/>
      <c r="P904" s="36"/>
      <c r="Q904" s="36"/>
      <c r="R904" s="36"/>
      <c r="S904" s="36"/>
      <c r="T904" s="36"/>
      <c r="U904" s="36"/>
      <c r="V904" s="36"/>
      <c r="W904" s="36"/>
      <c r="X904" s="36"/>
      <c r="Y904" s="36"/>
      <c r="Z904" s="36"/>
    </row>
    <row r="905" ht="15.75" customHeight="1">
      <c r="A905" s="36"/>
      <c r="B905" s="36"/>
      <c r="C905" s="37"/>
      <c r="D905" s="37"/>
      <c r="E905" s="36"/>
      <c r="F905" s="36"/>
      <c r="G905" s="37"/>
      <c r="I905" s="37"/>
      <c r="J905" s="36"/>
      <c r="K905" s="36"/>
      <c r="L905" s="36"/>
      <c r="M905" s="36"/>
      <c r="N905" s="36"/>
      <c r="O905" s="36"/>
      <c r="P905" s="36"/>
      <c r="Q905" s="36"/>
      <c r="R905" s="36"/>
      <c r="S905" s="36"/>
      <c r="T905" s="36"/>
      <c r="U905" s="36"/>
      <c r="V905" s="36"/>
      <c r="W905" s="36"/>
      <c r="X905" s="36"/>
      <c r="Y905" s="36"/>
      <c r="Z905" s="36"/>
    </row>
    <row r="906" ht="15.75" customHeight="1">
      <c r="A906" s="36"/>
      <c r="B906" s="36"/>
      <c r="C906" s="37"/>
      <c r="D906" s="37"/>
      <c r="E906" s="36"/>
      <c r="F906" s="36"/>
      <c r="G906" s="37"/>
      <c r="I906" s="37"/>
      <c r="J906" s="36"/>
      <c r="K906" s="36"/>
      <c r="L906" s="36"/>
      <c r="M906" s="36"/>
      <c r="N906" s="36"/>
      <c r="O906" s="36"/>
      <c r="P906" s="36"/>
      <c r="Q906" s="36"/>
      <c r="R906" s="36"/>
      <c r="S906" s="36"/>
      <c r="T906" s="36"/>
      <c r="U906" s="36"/>
      <c r="V906" s="36"/>
      <c r="W906" s="36"/>
      <c r="X906" s="36"/>
      <c r="Y906" s="36"/>
      <c r="Z906" s="36"/>
    </row>
    <row r="907" ht="15.75" customHeight="1">
      <c r="A907" s="36"/>
      <c r="B907" s="36"/>
      <c r="C907" s="37"/>
      <c r="D907" s="37"/>
      <c r="E907" s="36"/>
      <c r="F907" s="36"/>
      <c r="G907" s="37"/>
      <c r="I907" s="37"/>
      <c r="J907" s="36"/>
      <c r="K907" s="36"/>
      <c r="L907" s="36"/>
      <c r="M907" s="36"/>
      <c r="N907" s="36"/>
      <c r="O907" s="36"/>
      <c r="P907" s="36"/>
      <c r="Q907" s="36"/>
      <c r="R907" s="36"/>
      <c r="S907" s="36"/>
      <c r="T907" s="36"/>
      <c r="U907" s="36"/>
      <c r="V907" s="36"/>
      <c r="W907" s="36"/>
      <c r="X907" s="36"/>
      <c r="Y907" s="36"/>
      <c r="Z907" s="36"/>
    </row>
    <row r="908" ht="15.75" customHeight="1">
      <c r="A908" s="36"/>
      <c r="B908" s="36"/>
      <c r="C908" s="37"/>
      <c r="D908" s="37"/>
      <c r="E908" s="36"/>
      <c r="F908" s="36"/>
      <c r="G908" s="37"/>
      <c r="I908" s="37"/>
      <c r="J908" s="36"/>
      <c r="K908" s="36"/>
      <c r="L908" s="36"/>
      <c r="M908" s="36"/>
      <c r="N908" s="36"/>
      <c r="O908" s="36"/>
      <c r="P908" s="36"/>
      <c r="Q908" s="36"/>
      <c r="R908" s="36"/>
      <c r="S908" s="36"/>
      <c r="T908" s="36"/>
      <c r="U908" s="36"/>
      <c r="V908" s="36"/>
      <c r="W908" s="36"/>
      <c r="X908" s="36"/>
      <c r="Y908" s="36"/>
      <c r="Z908" s="36"/>
    </row>
    <row r="909" ht="15.75" customHeight="1">
      <c r="A909" s="36"/>
      <c r="B909" s="36"/>
      <c r="C909" s="37"/>
      <c r="D909" s="37"/>
      <c r="E909" s="36"/>
      <c r="F909" s="36"/>
      <c r="G909" s="37"/>
      <c r="I909" s="37"/>
      <c r="J909" s="36"/>
      <c r="K909" s="36"/>
      <c r="L909" s="36"/>
      <c r="M909" s="36"/>
      <c r="N909" s="36"/>
      <c r="O909" s="36"/>
      <c r="P909" s="36"/>
      <c r="Q909" s="36"/>
      <c r="R909" s="36"/>
      <c r="S909" s="36"/>
      <c r="T909" s="36"/>
      <c r="U909" s="36"/>
      <c r="V909" s="36"/>
      <c r="W909" s="36"/>
      <c r="X909" s="36"/>
      <c r="Y909" s="36"/>
      <c r="Z909" s="36"/>
    </row>
    <row r="910" ht="15.75" customHeight="1">
      <c r="A910" s="36"/>
      <c r="B910" s="36"/>
      <c r="C910" s="37"/>
      <c r="D910" s="37"/>
      <c r="E910" s="36"/>
      <c r="F910" s="36"/>
      <c r="G910" s="37"/>
      <c r="I910" s="37"/>
      <c r="J910" s="36"/>
      <c r="K910" s="36"/>
      <c r="L910" s="36"/>
      <c r="M910" s="36"/>
      <c r="N910" s="36"/>
      <c r="O910" s="36"/>
      <c r="P910" s="36"/>
      <c r="Q910" s="36"/>
      <c r="R910" s="36"/>
      <c r="S910" s="36"/>
      <c r="T910" s="36"/>
      <c r="U910" s="36"/>
      <c r="V910" s="36"/>
      <c r="W910" s="36"/>
      <c r="X910" s="36"/>
      <c r="Y910" s="36"/>
      <c r="Z910" s="36"/>
    </row>
    <row r="911" ht="15.75" customHeight="1">
      <c r="A911" s="36"/>
      <c r="B911" s="36"/>
      <c r="C911" s="37"/>
      <c r="D911" s="37"/>
      <c r="E911" s="36"/>
      <c r="F911" s="36"/>
      <c r="G911" s="37"/>
      <c r="I911" s="37"/>
      <c r="J911" s="36"/>
      <c r="K911" s="36"/>
      <c r="L911" s="36"/>
      <c r="M911" s="36"/>
      <c r="N911" s="36"/>
      <c r="O911" s="36"/>
      <c r="P911" s="36"/>
      <c r="Q911" s="36"/>
      <c r="R911" s="36"/>
      <c r="S911" s="36"/>
      <c r="T911" s="36"/>
      <c r="U911" s="36"/>
      <c r="V911" s="36"/>
      <c r="W911" s="36"/>
      <c r="X911" s="36"/>
      <c r="Y911" s="36"/>
      <c r="Z911" s="36"/>
    </row>
    <row r="912" ht="15.75" customHeight="1">
      <c r="A912" s="36"/>
      <c r="B912" s="36"/>
      <c r="C912" s="37"/>
      <c r="D912" s="37"/>
      <c r="E912" s="36"/>
      <c r="F912" s="36"/>
      <c r="G912" s="37"/>
      <c r="I912" s="37"/>
      <c r="J912" s="36"/>
      <c r="K912" s="36"/>
      <c r="L912" s="36"/>
      <c r="M912" s="36"/>
      <c r="N912" s="36"/>
      <c r="O912" s="36"/>
      <c r="P912" s="36"/>
      <c r="Q912" s="36"/>
      <c r="R912" s="36"/>
      <c r="S912" s="36"/>
      <c r="T912" s="36"/>
      <c r="U912" s="36"/>
      <c r="V912" s="36"/>
      <c r="W912" s="36"/>
      <c r="X912" s="36"/>
      <c r="Y912" s="36"/>
      <c r="Z912" s="36"/>
    </row>
    <row r="913" ht="15.75" customHeight="1">
      <c r="A913" s="36"/>
      <c r="B913" s="36"/>
      <c r="C913" s="37"/>
      <c r="D913" s="37"/>
      <c r="E913" s="36"/>
      <c r="F913" s="36"/>
      <c r="G913" s="37"/>
      <c r="I913" s="37"/>
      <c r="J913" s="36"/>
      <c r="K913" s="36"/>
      <c r="L913" s="36"/>
      <c r="M913" s="36"/>
      <c r="N913" s="36"/>
      <c r="O913" s="36"/>
      <c r="P913" s="36"/>
      <c r="Q913" s="36"/>
      <c r="R913" s="36"/>
      <c r="S913" s="36"/>
      <c r="T913" s="36"/>
      <c r="U913" s="36"/>
      <c r="V913" s="36"/>
      <c r="W913" s="36"/>
      <c r="X913" s="36"/>
      <c r="Y913" s="36"/>
      <c r="Z913" s="36"/>
    </row>
    <row r="914" ht="15.75" customHeight="1">
      <c r="A914" s="36"/>
      <c r="B914" s="36"/>
      <c r="C914" s="37"/>
      <c r="D914" s="37"/>
      <c r="E914" s="36"/>
      <c r="F914" s="36"/>
      <c r="G914" s="37"/>
      <c r="I914" s="37"/>
      <c r="J914" s="36"/>
      <c r="K914" s="36"/>
      <c r="L914" s="36"/>
      <c r="M914" s="36"/>
      <c r="N914" s="36"/>
      <c r="O914" s="36"/>
      <c r="P914" s="36"/>
      <c r="Q914" s="36"/>
      <c r="R914" s="36"/>
      <c r="S914" s="36"/>
      <c r="T914" s="36"/>
      <c r="U914" s="36"/>
      <c r="V914" s="36"/>
      <c r="W914" s="36"/>
      <c r="X914" s="36"/>
      <c r="Y914" s="36"/>
      <c r="Z914" s="36"/>
    </row>
    <row r="915" ht="15.75" customHeight="1">
      <c r="A915" s="36"/>
      <c r="B915" s="36"/>
      <c r="C915" s="37"/>
      <c r="D915" s="37"/>
      <c r="E915" s="36"/>
      <c r="F915" s="36"/>
      <c r="G915" s="37"/>
      <c r="I915" s="37"/>
      <c r="J915" s="36"/>
      <c r="K915" s="36"/>
      <c r="L915" s="36"/>
      <c r="M915" s="36"/>
      <c r="N915" s="36"/>
      <c r="O915" s="36"/>
      <c r="P915" s="36"/>
      <c r="Q915" s="36"/>
      <c r="R915" s="36"/>
      <c r="S915" s="36"/>
      <c r="T915" s="36"/>
      <c r="U915" s="36"/>
      <c r="V915" s="36"/>
      <c r="W915" s="36"/>
      <c r="X915" s="36"/>
      <c r="Y915" s="36"/>
      <c r="Z915" s="36"/>
    </row>
    <row r="916" ht="15.75" customHeight="1">
      <c r="A916" s="36"/>
      <c r="B916" s="36"/>
      <c r="C916" s="37"/>
      <c r="D916" s="37"/>
      <c r="E916" s="36"/>
      <c r="F916" s="36"/>
      <c r="G916" s="37"/>
      <c r="I916" s="37"/>
      <c r="J916" s="36"/>
      <c r="K916" s="36"/>
      <c r="L916" s="36"/>
      <c r="M916" s="36"/>
      <c r="N916" s="36"/>
      <c r="O916" s="36"/>
      <c r="P916" s="36"/>
      <c r="Q916" s="36"/>
      <c r="R916" s="36"/>
      <c r="S916" s="36"/>
      <c r="T916" s="36"/>
      <c r="U916" s="36"/>
      <c r="V916" s="36"/>
      <c r="W916" s="36"/>
      <c r="X916" s="36"/>
      <c r="Y916" s="36"/>
      <c r="Z916" s="36"/>
    </row>
    <row r="917" ht="15.75" customHeight="1">
      <c r="A917" s="36"/>
      <c r="B917" s="36"/>
      <c r="C917" s="37"/>
      <c r="D917" s="37"/>
      <c r="E917" s="36"/>
      <c r="F917" s="36"/>
      <c r="G917" s="37"/>
      <c r="I917" s="37"/>
      <c r="J917" s="36"/>
      <c r="K917" s="36"/>
      <c r="L917" s="36"/>
      <c r="M917" s="36"/>
      <c r="N917" s="36"/>
      <c r="O917" s="36"/>
      <c r="P917" s="36"/>
      <c r="Q917" s="36"/>
      <c r="R917" s="36"/>
      <c r="S917" s="36"/>
      <c r="T917" s="36"/>
      <c r="U917" s="36"/>
      <c r="V917" s="36"/>
      <c r="W917" s="36"/>
      <c r="X917" s="36"/>
      <c r="Y917" s="36"/>
      <c r="Z917" s="36"/>
    </row>
    <row r="918" ht="15.75" customHeight="1">
      <c r="A918" s="36"/>
      <c r="B918" s="36"/>
      <c r="C918" s="37"/>
      <c r="D918" s="37"/>
      <c r="E918" s="36"/>
      <c r="F918" s="36"/>
      <c r="G918" s="37"/>
      <c r="I918" s="37"/>
      <c r="J918" s="36"/>
      <c r="K918" s="36"/>
      <c r="L918" s="36"/>
      <c r="M918" s="36"/>
      <c r="N918" s="36"/>
      <c r="O918" s="36"/>
      <c r="P918" s="36"/>
      <c r="Q918" s="36"/>
      <c r="R918" s="36"/>
      <c r="S918" s="36"/>
      <c r="T918" s="36"/>
      <c r="U918" s="36"/>
      <c r="V918" s="36"/>
      <c r="W918" s="36"/>
      <c r="X918" s="36"/>
      <c r="Y918" s="36"/>
      <c r="Z918" s="36"/>
    </row>
    <row r="919" ht="15.75" customHeight="1">
      <c r="A919" s="36"/>
      <c r="B919" s="36"/>
      <c r="C919" s="37"/>
      <c r="D919" s="37"/>
      <c r="E919" s="36"/>
      <c r="F919" s="36"/>
      <c r="G919" s="37"/>
      <c r="I919" s="37"/>
      <c r="J919" s="36"/>
      <c r="K919" s="36"/>
      <c r="L919" s="36"/>
      <c r="M919" s="36"/>
      <c r="N919" s="36"/>
      <c r="O919" s="36"/>
      <c r="P919" s="36"/>
      <c r="Q919" s="36"/>
      <c r="R919" s="36"/>
      <c r="S919" s="36"/>
      <c r="T919" s="36"/>
      <c r="U919" s="36"/>
      <c r="V919" s="36"/>
      <c r="W919" s="36"/>
      <c r="X919" s="36"/>
      <c r="Y919" s="36"/>
      <c r="Z919" s="36"/>
    </row>
    <row r="920" ht="15.75" customHeight="1">
      <c r="A920" s="36"/>
      <c r="B920" s="36"/>
      <c r="C920" s="37"/>
      <c r="D920" s="37"/>
      <c r="E920" s="36"/>
      <c r="F920" s="36"/>
      <c r="G920" s="37"/>
      <c r="I920" s="37"/>
      <c r="J920" s="36"/>
      <c r="K920" s="36"/>
      <c r="L920" s="36"/>
      <c r="M920" s="36"/>
      <c r="N920" s="36"/>
      <c r="O920" s="36"/>
      <c r="P920" s="36"/>
      <c r="Q920" s="36"/>
      <c r="R920" s="36"/>
      <c r="S920" s="36"/>
      <c r="T920" s="36"/>
      <c r="U920" s="36"/>
      <c r="V920" s="36"/>
      <c r="W920" s="36"/>
      <c r="X920" s="36"/>
      <c r="Y920" s="36"/>
      <c r="Z920" s="36"/>
    </row>
    <row r="921" ht="15.75" customHeight="1">
      <c r="A921" s="36"/>
      <c r="B921" s="36"/>
      <c r="C921" s="37"/>
      <c r="D921" s="37"/>
      <c r="E921" s="36"/>
      <c r="F921" s="36"/>
      <c r="G921" s="37"/>
      <c r="I921" s="37"/>
      <c r="J921" s="36"/>
      <c r="K921" s="36"/>
      <c r="L921" s="36"/>
      <c r="M921" s="36"/>
      <c r="N921" s="36"/>
      <c r="O921" s="36"/>
      <c r="P921" s="36"/>
      <c r="Q921" s="36"/>
      <c r="R921" s="36"/>
      <c r="S921" s="36"/>
      <c r="T921" s="36"/>
      <c r="U921" s="36"/>
      <c r="V921" s="36"/>
      <c r="W921" s="36"/>
      <c r="X921" s="36"/>
      <c r="Y921" s="36"/>
      <c r="Z921" s="36"/>
    </row>
    <row r="922" ht="15.75" customHeight="1">
      <c r="A922" s="36"/>
      <c r="B922" s="36"/>
      <c r="C922" s="37"/>
      <c r="D922" s="37"/>
      <c r="E922" s="36"/>
      <c r="F922" s="36"/>
      <c r="G922" s="37"/>
      <c r="I922" s="37"/>
      <c r="J922" s="36"/>
      <c r="K922" s="36"/>
      <c r="L922" s="36"/>
      <c r="M922" s="36"/>
      <c r="N922" s="36"/>
      <c r="O922" s="36"/>
      <c r="P922" s="36"/>
      <c r="Q922" s="36"/>
      <c r="R922" s="36"/>
      <c r="S922" s="36"/>
      <c r="T922" s="36"/>
      <c r="U922" s="36"/>
      <c r="V922" s="36"/>
      <c r="W922" s="36"/>
      <c r="X922" s="36"/>
      <c r="Y922" s="36"/>
      <c r="Z922" s="36"/>
    </row>
    <row r="923" ht="15.75" customHeight="1">
      <c r="A923" s="36"/>
      <c r="B923" s="36"/>
      <c r="C923" s="37"/>
      <c r="D923" s="37"/>
      <c r="E923" s="36"/>
      <c r="F923" s="36"/>
      <c r="G923" s="37"/>
      <c r="I923" s="37"/>
      <c r="J923" s="36"/>
      <c r="K923" s="36"/>
      <c r="L923" s="36"/>
      <c r="M923" s="36"/>
      <c r="N923" s="36"/>
      <c r="O923" s="36"/>
      <c r="P923" s="36"/>
      <c r="Q923" s="36"/>
      <c r="R923" s="36"/>
      <c r="S923" s="36"/>
      <c r="T923" s="36"/>
      <c r="U923" s="36"/>
      <c r="V923" s="36"/>
      <c r="W923" s="36"/>
      <c r="X923" s="36"/>
      <c r="Y923" s="36"/>
      <c r="Z923" s="36"/>
    </row>
    <row r="924" ht="15.75" customHeight="1">
      <c r="A924" s="36"/>
      <c r="B924" s="36"/>
      <c r="C924" s="37"/>
      <c r="D924" s="37"/>
      <c r="E924" s="36"/>
      <c r="F924" s="36"/>
      <c r="G924" s="37"/>
      <c r="I924" s="37"/>
      <c r="J924" s="36"/>
      <c r="K924" s="36"/>
      <c r="L924" s="36"/>
      <c r="M924" s="36"/>
      <c r="N924" s="36"/>
      <c r="O924" s="36"/>
      <c r="P924" s="36"/>
      <c r="Q924" s="36"/>
      <c r="R924" s="36"/>
      <c r="S924" s="36"/>
      <c r="T924" s="36"/>
      <c r="U924" s="36"/>
      <c r="V924" s="36"/>
      <c r="W924" s="36"/>
      <c r="X924" s="36"/>
      <c r="Y924" s="36"/>
      <c r="Z924" s="36"/>
    </row>
    <row r="925" ht="15.75" customHeight="1">
      <c r="A925" s="36"/>
      <c r="B925" s="36"/>
      <c r="C925" s="37"/>
      <c r="D925" s="37"/>
      <c r="E925" s="36"/>
      <c r="F925" s="36"/>
      <c r="G925" s="37"/>
      <c r="I925" s="37"/>
      <c r="J925" s="36"/>
      <c r="K925" s="36"/>
      <c r="L925" s="36"/>
      <c r="M925" s="36"/>
      <c r="N925" s="36"/>
      <c r="O925" s="36"/>
      <c r="P925" s="36"/>
      <c r="Q925" s="36"/>
      <c r="R925" s="36"/>
      <c r="S925" s="36"/>
      <c r="T925" s="36"/>
      <c r="U925" s="36"/>
      <c r="V925" s="36"/>
      <c r="W925" s="36"/>
      <c r="X925" s="36"/>
      <c r="Y925" s="36"/>
      <c r="Z925" s="36"/>
    </row>
    <row r="926" ht="15.75" customHeight="1">
      <c r="A926" s="36"/>
      <c r="B926" s="36"/>
      <c r="C926" s="37"/>
      <c r="D926" s="37"/>
      <c r="E926" s="36"/>
      <c r="F926" s="36"/>
      <c r="G926" s="37"/>
      <c r="I926" s="37"/>
      <c r="J926" s="36"/>
      <c r="K926" s="36"/>
      <c r="L926" s="36"/>
      <c r="M926" s="36"/>
      <c r="N926" s="36"/>
      <c r="O926" s="36"/>
      <c r="P926" s="36"/>
      <c r="Q926" s="36"/>
      <c r="R926" s="36"/>
      <c r="S926" s="36"/>
      <c r="T926" s="36"/>
      <c r="U926" s="36"/>
      <c r="V926" s="36"/>
      <c r="W926" s="36"/>
      <c r="X926" s="36"/>
      <c r="Y926" s="36"/>
      <c r="Z926" s="36"/>
    </row>
    <row r="927" ht="15.75" customHeight="1">
      <c r="A927" s="36"/>
      <c r="B927" s="36"/>
      <c r="C927" s="37"/>
      <c r="D927" s="37"/>
      <c r="E927" s="36"/>
      <c r="F927" s="36"/>
      <c r="G927" s="37"/>
      <c r="I927" s="37"/>
      <c r="J927" s="36"/>
      <c r="K927" s="36"/>
      <c r="L927" s="36"/>
      <c r="M927" s="36"/>
      <c r="N927" s="36"/>
      <c r="O927" s="36"/>
      <c r="P927" s="36"/>
      <c r="Q927" s="36"/>
      <c r="R927" s="36"/>
      <c r="S927" s="36"/>
      <c r="T927" s="36"/>
      <c r="U927" s="36"/>
      <c r="V927" s="36"/>
      <c r="W927" s="36"/>
      <c r="X927" s="36"/>
      <c r="Y927" s="36"/>
      <c r="Z927" s="36"/>
    </row>
    <row r="928" ht="15.75" customHeight="1">
      <c r="A928" s="36"/>
      <c r="B928" s="36"/>
      <c r="C928" s="37"/>
      <c r="D928" s="37"/>
      <c r="E928" s="36"/>
      <c r="F928" s="36"/>
      <c r="G928" s="37"/>
      <c r="I928" s="37"/>
      <c r="J928" s="36"/>
      <c r="K928" s="36"/>
      <c r="L928" s="36"/>
      <c r="M928" s="36"/>
      <c r="N928" s="36"/>
      <c r="O928" s="36"/>
      <c r="P928" s="36"/>
      <c r="Q928" s="36"/>
      <c r="R928" s="36"/>
      <c r="S928" s="36"/>
      <c r="T928" s="36"/>
      <c r="U928" s="36"/>
      <c r="V928" s="36"/>
      <c r="W928" s="36"/>
      <c r="X928" s="36"/>
      <c r="Y928" s="36"/>
      <c r="Z928" s="36"/>
    </row>
    <row r="929" ht="15.75" customHeight="1">
      <c r="A929" s="36"/>
      <c r="B929" s="36"/>
      <c r="C929" s="37"/>
      <c r="D929" s="37"/>
      <c r="E929" s="36"/>
      <c r="F929" s="36"/>
      <c r="G929" s="37"/>
      <c r="I929" s="37"/>
      <c r="J929" s="36"/>
      <c r="K929" s="36"/>
      <c r="L929" s="36"/>
      <c r="M929" s="36"/>
      <c r="N929" s="36"/>
      <c r="O929" s="36"/>
      <c r="P929" s="36"/>
      <c r="Q929" s="36"/>
      <c r="R929" s="36"/>
      <c r="S929" s="36"/>
      <c r="T929" s="36"/>
      <c r="U929" s="36"/>
      <c r="V929" s="36"/>
      <c r="W929" s="36"/>
      <c r="X929" s="36"/>
      <c r="Y929" s="36"/>
      <c r="Z929" s="36"/>
    </row>
    <row r="930" ht="15.75" customHeight="1">
      <c r="A930" s="36"/>
      <c r="B930" s="36"/>
      <c r="C930" s="37"/>
      <c r="D930" s="37"/>
      <c r="E930" s="36"/>
      <c r="F930" s="36"/>
      <c r="G930" s="37"/>
      <c r="I930" s="37"/>
      <c r="J930" s="36"/>
      <c r="K930" s="36"/>
      <c r="L930" s="36"/>
      <c r="M930" s="36"/>
      <c r="N930" s="36"/>
      <c r="O930" s="36"/>
      <c r="P930" s="36"/>
      <c r="Q930" s="36"/>
      <c r="R930" s="36"/>
      <c r="S930" s="36"/>
      <c r="T930" s="36"/>
      <c r="U930" s="36"/>
      <c r="V930" s="36"/>
      <c r="W930" s="36"/>
      <c r="X930" s="36"/>
      <c r="Y930" s="36"/>
      <c r="Z930" s="36"/>
    </row>
    <row r="931" ht="15.75" customHeight="1">
      <c r="A931" s="36"/>
      <c r="B931" s="36"/>
      <c r="C931" s="37"/>
      <c r="D931" s="37"/>
      <c r="E931" s="36"/>
      <c r="F931" s="36"/>
      <c r="G931" s="37"/>
      <c r="I931" s="37"/>
      <c r="J931" s="36"/>
      <c r="K931" s="36"/>
      <c r="L931" s="36"/>
      <c r="M931" s="36"/>
      <c r="N931" s="36"/>
      <c r="O931" s="36"/>
      <c r="P931" s="36"/>
      <c r="Q931" s="36"/>
      <c r="R931" s="36"/>
      <c r="S931" s="36"/>
      <c r="T931" s="36"/>
      <c r="U931" s="36"/>
      <c r="V931" s="36"/>
      <c r="W931" s="36"/>
      <c r="X931" s="36"/>
      <c r="Y931" s="36"/>
      <c r="Z931" s="36"/>
    </row>
    <row r="932" ht="15.75" customHeight="1">
      <c r="A932" s="36"/>
      <c r="B932" s="36"/>
      <c r="C932" s="37"/>
      <c r="D932" s="37"/>
      <c r="E932" s="36"/>
      <c r="F932" s="36"/>
      <c r="G932" s="37"/>
      <c r="I932" s="37"/>
      <c r="J932" s="36"/>
      <c r="K932" s="36"/>
      <c r="L932" s="36"/>
      <c r="M932" s="36"/>
      <c r="N932" s="36"/>
      <c r="O932" s="36"/>
      <c r="P932" s="36"/>
      <c r="Q932" s="36"/>
      <c r="R932" s="36"/>
      <c r="S932" s="36"/>
      <c r="T932" s="36"/>
      <c r="U932" s="36"/>
      <c r="V932" s="36"/>
      <c r="W932" s="36"/>
      <c r="X932" s="36"/>
      <c r="Y932" s="36"/>
      <c r="Z932" s="36"/>
    </row>
    <row r="933" ht="15.75" customHeight="1">
      <c r="A933" s="36"/>
      <c r="B933" s="36"/>
      <c r="C933" s="37"/>
      <c r="D933" s="37"/>
      <c r="E933" s="36"/>
      <c r="F933" s="36"/>
      <c r="G933" s="37"/>
      <c r="I933" s="37"/>
      <c r="J933" s="36"/>
      <c r="K933" s="36"/>
      <c r="L933" s="36"/>
      <c r="M933" s="36"/>
      <c r="N933" s="36"/>
      <c r="O933" s="36"/>
      <c r="P933" s="36"/>
      <c r="Q933" s="36"/>
      <c r="R933" s="36"/>
      <c r="S933" s="36"/>
      <c r="T933" s="36"/>
      <c r="U933" s="36"/>
      <c r="V933" s="36"/>
      <c r="W933" s="36"/>
      <c r="X933" s="36"/>
      <c r="Y933" s="36"/>
      <c r="Z933" s="36"/>
    </row>
    <row r="934" ht="15.75" customHeight="1">
      <c r="A934" s="36"/>
      <c r="B934" s="36"/>
      <c r="C934" s="37"/>
      <c r="D934" s="37"/>
      <c r="E934" s="36"/>
      <c r="F934" s="36"/>
      <c r="G934" s="37"/>
      <c r="I934" s="37"/>
      <c r="J934" s="36"/>
      <c r="K934" s="36"/>
      <c r="L934" s="36"/>
      <c r="M934" s="36"/>
      <c r="N934" s="36"/>
      <c r="O934" s="36"/>
      <c r="P934" s="36"/>
      <c r="Q934" s="36"/>
      <c r="R934" s="36"/>
      <c r="S934" s="36"/>
      <c r="T934" s="36"/>
      <c r="U934" s="36"/>
      <c r="V934" s="36"/>
      <c r="W934" s="36"/>
      <c r="X934" s="36"/>
      <c r="Y934" s="36"/>
      <c r="Z934" s="36"/>
    </row>
    <row r="935" ht="15.75" customHeight="1">
      <c r="A935" s="36"/>
      <c r="B935" s="36"/>
      <c r="C935" s="37"/>
      <c r="D935" s="37"/>
      <c r="E935" s="36"/>
      <c r="F935" s="36"/>
      <c r="G935" s="37"/>
      <c r="I935" s="37"/>
      <c r="J935" s="36"/>
      <c r="K935" s="36"/>
      <c r="L935" s="36"/>
      <c r="M935" s="36"/>
      <c r="N935" s="36"/>
      <c r="O935" s="36"/>
      <c r="P935" s="36"/>
      <c r="Q935" s="36"/>
      <c r="R935" s="36"/>
      <c r="S935" s="36"/>
      <c r="T935" s="36"/>
      <c r="U935" s="36"/>
      <c r="V935" s="36"/>
      <c r="W935" s="36"/>
      <c r="X935" s="36"/>
      <c r="Y935" s="36"/>
      <c r="Z935" s="36"/>
    </row>
    <row r="936" ht="15.75" customHeight="1">
      <c r="A936" s="36"/>
      <c r="B936" s="36"/>
      <c r="C936" s="37"/>
      <c r="D936" s="37"/>
      <c r="E936" s="36"/>
      <c r="F936" s="36"/>
      <c r="G936" s="37"/>
      <c r="I936" s="37"/>
      <c r="J936" s="36"/>
      <c r="K936" s="36"/>
      <c r="L936" s="36"/>
      <c r="M936" s="36"/>
      <c r="N936" s="36"/>
      <c r="O936" s="36"/>
      <c r="P936" s="36"/>
      <c r="Q936" s="36"/>
      <c r="R936" s="36"/>
      <c r="S936" s="36"/>
      <c r="T936" s="36"/>
      <c r="U936" s="36"/>
      <c r="V936" s="36"/>
      <c r="W936" s="36"/>
      <c r="X936" s="36"/>
      <c r="Y936" s="36"/>
      <c r="Z936" s="36"/>
    </row>
    <row r="937" ht="15.75" customHeight="1">
      <c r="A937" s="36"/>
      <c r="B937" s="36"/>
      <c r="C937" s="37"/>
      <c r="D937" s="37"/>
      <c r="E937" s="36"/>
      <c r="F937" s="36"/>
      <c r="G937" s="37"/>
      <c r="I937" s="37"/>
      <c r="J937" s="36"/>
      <c r="K937" s="36"/>
      <c r="L937" s="36"/>
      <c r="M937" s="36"/>
      <c r="N937" s="36"/>
      <c r="O937" s="36"/>
      <c r="P937" s="36"/>
      <c r="Q937" s="36"/>
      <c r="R937" s="36"/>
      <c r="S937" s="36"/>
      <c r="T937" s="36"/>
      <c r="U937" s="36"/>
      <c r="V937" s="36"/>
      <c r="W937" s="36"/>
      <c r="X937" s="36"/>
      <c r="Y937" s="36"/>
      <c r="Z937" s="36"/>
    </row>
    <row r="938" ht="15.75" customHeight="1">
      <c r="A938" s="36"/>
      <c r="B938" s="36"/>
      <c r="C938" s="37"/>
      <c r="D938" s="37"/>
      <c r="E938" s="36"/>
      <c r="F938" s="36"/>
      <c r="G938" s="37"/>
      <c r="I938" s="37"/>
      <c r="J938" s="36"/>
      <c r="K938" s="36"/>
      <c r="L938" s="36"/>
      <c r="M938" s="36"/>
      <c r="N938" s="36"/>
      <c r="O938" s="36"/>
      <c r="P938" s="36"/>
      <c r="Q938" s="36"/>
      <c r="R938" s="36"/>
      <c r="S938" s="36"/>
      <c r="T938" s="36"/>
      <c r="U938" s="36"/>
      <c r="V938" s="36"/>
      <c r="W938" s="36"/>
      <c r="X938" s="36"/>
      <c r="Y938" s="36"/>
      <c r="Z938" s="36"/>
    </row>
    <row r="939" ht="15.75" customHeight="1">
      <c r="A939" s="36"/>
      <c r="B939" s="36"/>
      <c r="C939" s="37"/>
      <c r="D939" s="37"/>
      <c r="E939" s="36"/>
      <c r="F939" s="36"/>
      <c r="G939" s="37"/>
      <c r="I939" s="37"/>
      <c r="J939" s="36"/>
      <c r="K939" s="36"/>
      <c r="L939" s="36"/>
      <c r="M939" s="36"/>
      <c r="N939" s="36"/>
      <c r="O939" s="36"/>
      <c r="P939" s="36"/>
      <c r="Q939" s="36"/>
      <c r="R939" s="36"/>
      <c r="S939" s="36"/>
      <c r="T939" s="36"/>
      <c r="U939" s="36"/>
      <c r="V939" s="36"/>
      <c r="W939" s="36"/>
      <c r="X939" s="36"/>
      <c r="Y939" s="36"/>
      <c r="Z939" s="36"/>
    </row>
    <row r="940" ht="15.75" customHeight="1">
      <c r="A940" s="36"/>
      <c r="B940" s="36"/>
      <c r="C940" s="37"/>
      <c r="D940" s="37"/>
      <c r="E940" s="36"/>
      <c r="F940" s="36"/>
      <c r="G940" s="37"/>
      <c r="I940" s="37"/>
      <c r="J940" s="36"/>
      <c r="K940" s="36"/>
      <c r="L940" s="36"/>
      <c r="M940" s="36"/>
      <c r="N940" s="36"/>
      <c r="O940" s="36"/>
      <c r="P940" s="36"/>
      <c r="Q940" s="36"/>
      <c r="R940" s="36"/>
      <c r="S940" s="36"/>
      <c r="T940" s="36"/>
      <c r="U940" s="36"/>
      <c r="V940" s="36"/>
      <c r="W940" s="36"/>
      <c r="X940" s="36"/>
      <c r="Y940" s="36"/>
      <c r="Z940" s="36"/>
    </row>
    <row r="941" ht="15.75" customHeight="1">
      <c r="A941" s="36"/>
      <c r="B941" s="36"/>
      <c r="C941" s="37"/>
      <c r="D941" s="37"/>
      <c r="E941" s="36"/>
      <c r="F941" s="36"/>
      <c r="G941" s="37"/>
      <c r="I941" s="37"/>
      <c r="J941" s="36"/>
      <c r="K941" s="36"/>
      <c r="L941" s="36"/>
      <c r="M941" s="36"/>
      <c r="N941" s="36"/>
      <c r="O941" s="36"/>
      <c r="P941" s="36"/>
      <c r="Q941" s="36"/>
      <c r="R941" s="36"/>
      <c r="S941" s="36"/>
      <c r="T941" s="36"/>
      <c r="U941" s="36"/>
      <c r="V941" s="36"/>
      <c r="W941" s="36"/>
      <c r="X941" s="36"/>
      <c r="Y941" s="36"/>
      <c r="Z941" s="36"/>
    </row>
    <row r="942" ht="15.75" customHeight="1">
      <c r="A942" s="36"/>
      <c r="B942" s="36"/>
      <c r="C942" s="37"/>
      <c r="D942" s="37"/>
      <c r="E942" s="36"/>
      <c r="F942" s="36"/>
      <c r="G942" s="37"/>
      <c r="I942" s="37"/>
      <c r="J942" s="36"/>
      <c r="K942" s="36"/>
      <c r="L942" s="36"/>
      <c r="M942" s="36"/>
      <c r="N942" s="36"/>
      <c r="O942" s="36"/>
      <c r="P942" s="36"/>
      <c r="Q942" s="36"/>
      <c r="R942" s="36"/>
      <c r="S942" s="36"/>
      <c r="T942" s="36"/>
      <c r="U942" s="36"/>
      <c r="V942" s="36"/>
      <c r="W942" s="36"/>
      <c r="X942" s="36"/>
      <c r="Y942" s="36"/>
      <c r="Z942" s="36"/>
    </row>
    <row r="943" ht="15.75" customHeight="1">
      <c r="A943" s="36"/>
      <c r="B943" s="36"/>
      <c r="C943" s="37"/>
      <c r="D943" s="37"/>
      <c r="E943" s="36"/>
      <c r="F943" s="36"/>
      <c r="G943" s="37"/>
      <c r="I943" s="37"/>
      <c r="J943" s="36"/>
      <c r="K943" s="36"/>
      <c r="L943" s="36"/>
      <c r="M943" s="36"/>
      <c r="N943" s="36"/>
      <c r="O943" s="36"/>
      <c r="P943" s="36"/>
      <c r="Q943" s="36"/>
      <c r="R943" s="36"/>
      <c r="S943" s="36"/>
      <c r="T943" s="36"/>
      <c r="U943" s="36"/>
      <c r="V943" s="36"/>
      <c r="W943" s="36"/>
      <c r="X943" s="36"/>
      <c r="Y943" s="36"/>
      <c r="Z943" s="36"/>
    </row>
    <row r="944" ht="15.75" customHeight="1">
      <c r="A944" s="36"/>
      <c r="B944" s="36"/>
      <c r="C944" s="37"/>
      <c r="D944" s="37"/>
      <c r="E944" s="36"/>
      <c r="F944" s="36"/>
      <c r="G944" s="37"/>
      <c r="I944" s="37"/>
      <c r="J944" s="36"/>
      <c r="K944" s="36"/>
      <c r="L944" s="36"/>
      <c r="M944" s="36"/>
      <c r="N944" s="36"/>
      <c r="O944" s="36"/>
      <c r="P944" s="36"/>
      <c r="Q944" s="36"/>
      <c r="R944" s="36"/>
      <c r="S944" s="36"/>
      <c r="T944" s="36"/>
      <c r="U944" s="36"/>
      <c r="V944" s="36"/>
      <c r="W944" s="36"/>
      <c r="X944" s="36"/>
      <c r="Y944" s="36"/>
      <c r="Z944" s="36"/>
    </row>
    <row r="945" ht="15.75" customHeight="1">
      <c r="A945" s="36"/>
      <c r="B945" s="36"/>
      <c r="C945" s="37"/>
      <c r="D945" s="37"/>
      <c r="E945" s="36"/>
      <c r="F945" s="36"/>
      <c r="G945" s="37"/>
      <c r="I945" s="37"/>
      <c r="J945" s="36"/>
      <c r="K945" s="36"/>
      <c r="L945" s="36"/>
      <c r="M945" s="36"/>
      <c r="N945" s="36"/>
      <c r="O945" s="36"/>
      <c r="P945" s="36"/>
      <c r="Q945" s="36"/>
      <c r="R945" s="36"/>
      <c r="S945" s="36"/>
      <c r="T945" s="36"/>
      <c r="U945" s="36"/>
      <c r="V945" s="36"/>
      <c r="W945" s="36"/>
      <c r="X945" s="36"/>
      <c r="Y945" s="36"/>
      <c r="Z945" s="36"/>
    </row>
    <row r="946" ht="15.75" customHeight="1">
      <c r="A946" s="36"/>
      <c r="B946" s="36"/>
      <c r="C946" s="37"/>
      <c r="D946" s="37"/>
      <c r="E946" s="36"/>
      <c r="F946" s="36"/>
      <c r="G946" s="37"/>
      <c r="I946" s="37"/>
      <c r="J946" s="36"/>
      <c r="K946" s="36"/>
      <c r="L946" s="36"/>
      <c r="M946" s="36"/>
      <c r="N946" s="36"/>
      <c r="O946" s="36"/>
      <c r="P946" s="36"/>
      <c r="Q946" s="36"/>
      <c r="R946" s="36"/>
      <c r="S946" s="36"/>
      <c r="T946" s="36"/>
      <c r="U946" s="36"/>
      <c r="V946" s="36"/>
      <c r="W946" s="36"/>
      <c r="X946" s="36"/>
      <c r="Y946" s="36"/>
      <c r="Z946" s="36"/>
    </row>
    <row r="947" ht="15.75" customHeight="1">
      <c r="A947" s="36"/>
      <c r="B947" s="36"/>
      <c r="C947" s="37"/>
      <c r="D947" s="37"/>
      <c r="E947" s="36"/>
      <c r="F947" s="36"/>
      <c r="G947" s="37"/>
      <c r="I947" s="37"/>
      <c r="J947" s="36"/>
      <c r="K947" s="36"/>
      <c r="L947" s="36"/>
      <c r="M947" s="36"/>
      <c r="N947" s="36"/>
      <c r="O947" s="36"/>
      <c r="P947" s="36"/>
      <c r="Q947" s="36"/>
      <c r="R947" s="36"/>
      <c r="S947" s="36"/>
      <c r="T947" s="36"/>
      <c r="U947" s="36"/>
      <c r="V947" s="36"/>
      <c r="W947" s="36"/>
      <c r="X947" s="36"/>
      <c r="Y947" s="36"/>
      <c r="Z947" s="36"/>
    </row>
    <row r="948" ht="15.75" customHeight="1">
      <c r="A948" s="36"/>
      <c r="B948" s="36"/>
      <c r="C948" s="37"/>
      <c r="D948" s="37"/>
      <c r="E948" s="36"/>
      <c r="F948" s="36"/>
      <c r="G948" s="37"/>
      <c r="I948" s="37"/>
      <c r="J948" s="36"/>
      <c r="K948" s="36"/>
      <c r="L948" s="36"/>
      <c r="M948" s="36"/>
      <c r="N948" s="36"/>
      <c r="O948" s="36"/>
      <c r="P948" s="36"/>
      <c r="Q948" s="36"/>
      <c r="R948" s="36"/>
      <c r="S948" s="36"/>
      <c r="T948" s="36"/>
      <c r="U948" s="36"/>
      <c r="V948" s="36"/>
      <c r="W948" s="36"/>
      <c r="X948" s="36"/>
      <c r="Y948" s="36"/>
      <c r="Z948" s="36"/>
    </row>
    <row r="949" ht="15.75" customHeight="1">
      <c r="A949" s="36"/>
      <c r="B949" s="36"/>
      <c r="C949" s="37"/>
      <c r="D949" s="37"/>
      <c r="E949" s="36"/>
      <c r="F949" s="36"/>
      <c r="G949" s="37"/>
      <c r="I949" s="37"/>
      <c r="J949" s="36"/>
      <c r="K949" s="36"/>
      <c r="L949" s="36"/>
      <c r="M949" s="36"/>
      <c r="N949" s="36"/>
      <c r="O949" s="36"/>
      <c r="P949" s="36"/>
      <c r="Q949" s="36"/>
      <c r="R949" s="36"/>
      <c r="S949" s="36"/>
      <c r="T949" s="36"/>
      <c r="U949" s="36"/>
      <c r="V949" s="36"/>
      <c r="W949" s="36"/>
      <c r="X949" s="36"/>
      <c r="Y949" s="36"/>
      <c r="Z949" s="36"/>
    </row>
    <row r="950" ht="15.75" customHeight="1">
      <c r="A950" s="36"/>
      <c r="B950" s="36"/>
      <c r="C950" s="37"/>
      <c r="D950" s="37"/>
      <c r="E950" s="36"/>
      <c r="F950" s="36"/>
      <c r="G950" s="37"/>
      <c r="I950" s="37"/>
      <c r="J950" s="36"/>
      <c r="K950" s="36"/>
      <c r="L950" s="36"/>
      <c r="M950" s="36"/>
      <c r="N950" s="36"/>
      <c r="O950" s="36"/>
      <c r="P950" s="36"/>
      <c r="Q950" s="36"/>
      <c r="R950" s="36"/>
      <c r="S950" s="36"/>
      <c r="T950" s="36"/>
      <c r="U950" s="36"/>
      <c r="V950" s="36"/>
      <c r="W950" s="36"/>
      <c r="X950" s="36"/>
      <c r="Y950" s="36"/>
      <c r="Z950" s="36"/>
    </row>
    <row r="951" ht="15.75" customHeight="1">
      <c r="A951" s="36"/>
      <c r="B951" s="36"/>
      <c r="C951" s="37"/>
      <c r="D951" s="37"/>
      <c r="E951" s="36"/>
      <c r="F951" s="36"/>
      <c r="G951" s="37"/>
      <c r="I951" s="37"/>
      <c r="J951" s="36"/>
      <c r="K951" s="36"/>
      <c r="L951" s="36"/>
      <c r="M951" s="36"/>
      <c r="N951" s="36"/>
      <c r="O951" s="36"/>
      <c r="P951" s="36"/>
      <c r="Q951" s="36"/>
      <c r="R951" s="36"/>
      <c r="S951" s="36"/>
      <c r="T951" s="36"/>
      <c r="U951" s="36"/>
      <c r="V951" s="36"/>
      <c r="W951" s="36"/>
      <c r="X951" s="36"/>
      <c r="Y951" s="36"/>
      <c r="Z951" s="36"/>
    </row>
    <row r="952" ht="15.75" customHeight="1">
      <c r="A952" s="36"/>
      <c r="B952" s="36"/>
      <c r="C952" s="37"/>
      <c r="D952" s="37"/>
      <c r="E952" s="36"/>
      <c r="F952" s="36"/>
      <c r="G952" s="37"/>
      <c r="I952" s="37"/>
      <c r="J952" s="36"/>
      <c r="K952" s="36"/>
      <c r="L952" s="36"/>
      <c r="M952" s="36"/>
      <c r="N952" s="36"/>
      <c r="O952" s="36"/>
      <c r="P952" s="36"/>
      <c r="Q952" s="36"/>
      <c r="R952" s="36"/>
      <c r="S952" s="36"/>
      <c r="T952" s="36"/>
      <c r="U952" s="36"/>
      <c r="V952" s="36"/>
      <c r="W952" s="36"/>
      <c r="X952" s="36"/>
      <c r="Y952" s="36"/>
      <c r="Z952" s="36"/>
    </row>
    <row r="953" ht="15.75" customHeight="1">
      <c r="A953" s="36"/>
      <c r="B953" s="36"/>
      <c r="C953" s="37"/>
      <c r="D953" s="37"/>
      <c r="E953" s="36"/>
      <c r="F953" s="36"/>
      <c r="G953" s="37"/>
      <c r="I953" s="37"/>
      <c r="J953" s="36"/>
      <c r="K953" s="36"/>
      <c r="L953" s="36"/>
      <c r="M953" s="36"/>
      <c r="N953" s="36"/>
      <c r="O953" s="36"/>
      <c r="P953" s="36"/>
      <c r="Q953" s="36"/>
      <c r="R953" s="36"/>
      <c r="S953" s="36"/>
      <c r="T953" s="36"/>
      <c r="U953" s="36"/>
      <c r="V953" s="36"/>
      <c r="W953" s="36"/>
      <c r="X953" s="36"/>
      <c r="Y953" s="36"/>
      <c r="Z953" s="36"/>
    </row>
    <row r="954" ht="15.75" customHeight="1">
      <c r="A954" s="36"/>
      <c r="B954" s="36"/>
      <c r="C954" s="37"/>
      <c r="D954" s="37"/>
      <c r="E954" s="36"/>
      <c r="F954" s="36"/>
      <c r="G954" s="37"/>
      <c r="I954" s="37"/>
      <c r="J954" s="36"/>
      <c r="K954" s="36"/>
      <c r="L954" s="36"/>
      <c r="M954" s="36"/>
      <c r="N954" s="36"/>
      <c r="O954" s="36"/>
      <c r="P954" s="36"/>
      <c r="Q954" s="36"/>
      <c r="R954" s="36"/>
      <c r="S954" s="36"/>
      <c r="T954" s="36"/>
      <c r="U954" s="36"/>
      <c r="V954" s="36"/>
      <c r="W954" s="36"/>
      <c r="X954" s="36"/>
      <c r="Y954" s="36"/>
      <c r="Z954" s="36"/>
    </row>
    <row r="955" ht="15.75" customHeight="1">
      <c r="A955" s="36"/>
      <c r="B955" s="36"/>
      <c r="C955" s="37"/>
      <c r="D955" s="37"/>
      <c r="E955" s="36"/>
      <c r="F955" s="36"/>
      <c r="G955" s="37"/>
      <c r="I955" s="37"/>
      <c r="J955" s="36"/>
      <c r="K955" s="36"/>
      <c r="L955" s="36"/>
      <c r="M955" s="36"/>
      <c r="N955" s="36"/>
      <c r="O955" s="36"/>
      <c r="P955" s="36"/>
      <c r="Q955" s="36"/>
      <c r="R955" s="36"/>
      <c r="S955" s="36"/>
      <c r="T955" s="36"/>
      <c r="U955" s="36"/>
      <c r="V955" s="36"/>
      <c r="W955" s="36"/>
      <c r="X955" s="36"/>
      <c r="Y955" s="36"/>
      <c r="Z955" s="36"/>
    </row>
    <row r="956" ht="15.75" customHeight="1">
      <c r="A956" s="36"/>
      <c r="B956" s="36"/>
      <c r="C956" s="37"/>
      <c r="D956" s="37"/>
      <c r="E956" s="36"/>
      <c r="F956" s="36"/>
      <c r="G956" s="37"/>
      <c r="I956" s="37"/>
      <c r="J956" s="36"/>
      <c r="K956" s="36"/>
      <c r="L956" s="36"/>
      <c r="M956" s="36"/>
      <c r="N956" s="36"/>
      <c r="O956" s="36"/>
      <c r="P956" s="36"/>
      <c r="Q956" s="36"/>
      <c r="R956" s="36"/>
      <c r="S956" s="36"/>
      <c r="T956" s="36"/>
      <c r="U956" s="36"/>
      <c r="V956" s="36"/>
      <c r="W956" s="36"/>
      <c r="X956" s="36"/>
      <c r="Y956" s="36"/>
      <c r="Z956" s="36"/>
    </row>
    <row r="957" ht="15.75" customHeight="1">
      <c r="A957" s="36"/>
      <c r="B957" s="36"/>
      <c r="C957" s="37"/>
      <c r="D957" s="37"/>
      <c r="E957" s="36"/>
      <c r="F957" s="36"/>
      <c r="G957" s="37"/>
      <c r="I957" s="37"/>
      <c r="J957" s="36"/>
      <c r="K957" s="36"/>
      <c r="L957" s="36"/>
      <c r="M957" s="36"/>
      <c r="N957" s="36"/>
      <c r="O957" s="36"/>
      <c r="P957" s="36"/>
      <c r="Q957" s="36"/>
      <c r="R957" s="36"/>
      <c r="S957" s="36"/>
      <c r="T957" s="36"/>
      <c r="U957" s="36"/>
      <c r="V957" s="36"/>
      <c r="W957" s="36"/>
      <c r="X957" s="36"/>
      <c r="Y957" s="36"/>
      <c r="Z957" s="36"/>
    </row>
    <row r="958" ht="15.75" customHeight="1">
      <c r="A958" s="36"/>
      <c r="B958" s="36"/>
      <c r="C958" s="37"/>
      <c r="D958" s="37"/>
      <c r="E958" s="36"/>
      <c r="F958" s="36"/>
      <c r="G958" s="37"/>
      <c r="I958" s="37"/>
      <c r="J958" s="36"/>
      <c r="K958" s="36"/>
      <c r="L958" s="36"/>
      <c r="M958" s="36"/>
      <c r="N958" s="36"/>
      <c r="O958" s="36"/>
      <c r="P958" s="36"/>
      <c r="Q958" s="36"/>
      <c r="R958" s="36"/>
      <c r="S958" s="36"/>
      <c r="T958" s="36"/>
      <c r="U958" s="36"/>
      <c r="V958" s="36"/>
      <c r="W958" s="36"/>
      <c r="X958" s="36"/>
      <c r="Y958" s="36"/>
      <c r="Z958" s="36"/>
    </row>
    <row r="959" ht="15.75" customHeight="1">
      <c r="A959" s="36"/>
      <c r="B959" s="36"/>
      <c r="C959" s="37"/>
      <c r="D959" s="37"/>
      <c r="E959" s="36"/>
      <c r="F959" s="36"/>
      <c r="G959" s="37"/>
      <c r="I959" s="37"/>
      <c r="J959" s="36"/>
      <c r="K959" s="36"/>
      <c r="L959" s="36"/>
      <c r="M959" s="36"/>
      <c r="N959" s="36"/>
      <c r="O959" s="36"/>
      <c r="P959" s="36"/>
      <c r="Q959" s="36"/>
      <c r="R959" s="36"/>
      <c r="S959" s="36"/>
      <c r="T959" s="36"/>
      <c r="U959" s="36"/>
      <c r="V959" s="36"/>
      <c r="W959" s="36"/>
      <c r="X959" s="36"/>
      <c r="Y959" s="36"/>
      <c r="Z959" s="36"/>
    </row>
    <row r="960" ht="15.75" customHeight="1">
      <c r="A960" s="36"/>
      <c r="B960" s="36"/>
      <c r="C960" s="37"/>
      <c r="D960" s="37"/>
      <c r="E960" s="36"/>
      <c r="F960" s="36"/>
      <c r="G960" s="37"/>
      <c r="I960" s="37"/>
      <c r="J960" s="36"/>
      <c r="K960" s="36"/>
      <c r="L960" s="36"/>
      <c r="M960" s="36"/>
      <c r="N960" s="36"/>
      <c r="O960" s="36"/>
      <c r="P960" s="36"/>
      <c r="Q960" s="36"/>
      <c r="R960" s="36"/>
      <c r="S960" s="36"/>
      <c r="T960" s="36"/>
      <c r="U960" s="36"/>
      <c r="V960" s="36"/>
      <c r="W960" s="36"/>
      <c r="X960" s="36"/>
      <c r="Y960" s="36"/>
      <c r="Z960" s="36"/>
    </row>
    <row r="961" ht="15.75" customHeight="1">
      <c r="A961" s="36"/>
      <c r="B961" s="36"/>
      <c r="C961" s="37"/>
      <c r="D961" s="37"/>
      <c r="E961" s="36"/>
      <c r="F961" s="36"/>
      <c r="G961" s="37"/>
      <c r="I961" s="37"/>
      <c r="J961" s="36"/>
      <c r="K961" s="36"/>
      <c r="L961" s="36"/>
      <c r="M961" s="36"/>
      <c r="N961" s="36"/>
      <c r="O961" s="36"/>
      <c r="P961" s="36"/>
      <c r="Q961" s="36"/>
      <c r="R961" s="36"/>
      <c r="S961" s="36"/>
      <c r="T961" s="36"/>
      <c r="U961" s="36"/>
      <c r="V961" s="36"/>
      <c r="W961" s="36"/>
      <c r="X961" s="36"/>
      <c r="Y961" s="36"/>
      <c r="Z961" s="36"/>
    </row>
    <row r="962" ht="15.75" customHeight="1">
      <c r="A962" s="36"/>
      <c r="B962" s="36"/>
      <c r="C962" s="37"/>
      <c r="D962" s="37"/>
      <c r="E962" s="36"/>
      <c r="F962" s="36"/>
      <c r="G962" s="37"/>
      <c r="I962" s="37"/>
      <c r="J962" s="36"/>
      <c r="K962" s="36"/>
      <c r="L962" s="36"/>
      <c r="M962" s="36"/>
      <c r="N962" s="36"/>
      <c r="O962" s="36"/>
      <c r="P962" s="36"/>
      <c r="Q962" s="36"/>
      <c r="R962" s="36"/>
      <c r="S962" s="36"/>
      <c r="T962" s="36"/>
      <c r="U962" s="36"/>
      <c r="V962" s="36"/>
      <c r="W962" s="36"/>
      <c r="X962" s="36"/>
      <c r="Y962" s="36"/>
      <c r="Z962" s="36"/>
    </row>
    <row r="963" ht="15.75" customHeight="1">
      <c r="A963" s="36"/>
      <c r="B963" s="36"/>
      <c r="C963" s="37"/>
      <c r="D963" s="37"/>
      <c r="E963" s="36"/>
      <c r="F963" s="36"/>
      <c r="G963" s="37"/>
      <c r="I963" s="37"/>
      <c r="J963" s="36"/>
      <c r="K963" s="36"/>
      <c r="L963" s="36"/>
      <c r="M963" s="36"/>
      <c r="N963" s="36"/>
      <c r="O963" s="36"/>
      <c r="P963" s="36"/>
      <c r="Q963" s="36"/>
      <c r="R963" s="36"/>
      <c r="S963" s="36"/>
      <c r="T963" s="36"/>
      <c r="U963" s="36"/>
      <c r="V963" s="36"/>
      <c r="W963" s="36"/>
      <c r="X963" s="36"/>
      <c r="Y963" s="36"/>
      <c r="Z963" s="36"/>
    </row>
    <row r="964" ht="15.75" customHeight="1">
      <c r="A964" s="36"/>
      <c r="B964" s="36"/>
      <c r="C964" s="37"/>
      <c r="D964" s="37"/>
      <c r="E964" s="36"/>
      <c r="F964" s="36"/>
      <c r="G964" s="37"/>
      <c r="I964" s="37"/>
      <c r="J964" s="36"/>
      <c r="K964" s="36"/>
      <c r="L964" s="36"/>
      <c r="M964" s="36"/>
      <c r="N964" s="36"/>
      <c r="O964" s="36"/>
      <c r="P964" s="36"/>
      <c r="Q964" s="36"/>
      <c r="R964" s="36"/>
      <c r="S964" s="36"/>
      <c r="T964" s="36"/>
      <c r="U964" s="36"/>
      <c r="V964" s="36"/>
      <c r="W964" s="36"/>
      <c r="X964" s="36"/>
      <c r="Y964" s="36"/>
      <c r="Z964" s="36"/>
    </row>
    <row r="965" ht="15.75" customHeight="1">
      <c r="A965" s="36"/>
      <c r="B965" s="36"/>
      <c r="C965" s="37"/>
      <c r="D965" s="37"/>
      <c r="E965" s="36"/>
      <c r="F965" s="36"/>
      <c r="G965" s="37"/>
      <c r="I965" s="37"/>
      <c r="J965" s="36"/>
      <c r="K965" s="36"/>
      <c r="L965" s="36"/>
      <c r="M965" s="36"/>
      <c r="N965" s="36"/>
      <c r="O965" s="36"/>
      <c r="P965" s="36"/>
      <c r="Q965" s="36"/>
      <c r="R965" s="36"/>
      <c r="S965" s="36"/>
      <c r="T965" s="36"/>
      <c r="U965" s="36"/>
      <c r="V965" s="36"/>
      <c r="W965" s="36"/>
      <c r="X965" s="36"/>
      <c r="Y965" s="36"/>
      <c r="Z965" s="36"/>
    </row>
    <row r="966" ht="15.75" customHeight="1">
      <c r="A966" s="36"/>
      <c r="B966" s="36"/>
      <c r="C966" s="37"/>
      <c r="D966" s="37"/>
      <c r="E966" s="36"/>
      <c r="F966" s="36"/>
      <c r="G966" s="37"/>
      <c r="I966" s="37"/>
      <c r="J966" s="36"/>
      <c r="K966" s="36"/>
      <c r="L966" s="36"/>
      <c r="M966" s="36"/>
      <c r="N966" s="36"/>
      <c r="O966" s="36"/>
      <c r="P966" s="36"/>
      <c r="Q966" s="36"/>
      <c r="R966" s="36"/>
      <c r="S966" s="36"/>
      <c r="T966" s="36"/>
      <c r="U966" s="36"/>
      <c r="V966" s="36"/>
      <c r="W966" s="36"/>
      <c r="X966" s="36"/>
      <c r="Y966" s="36"/>
      <c r="Z966" s="36"/>
    </row>
    <row r="967" ht="15.75" customHeight="1">
      <c r="A967" s="36"/>
      <c r="B967" s="36"/>
      <c r="C967" s="37"/>
      <c r="D967" s="37"/>
      <c r="E967" s="36"/>
      <c r="F967" s="36"/>
      <c r="G967" s="37"/>
      <c r="I967" s="37"/>
      <c r="J967" s="36"/>
      <c r="K967" s="36"/>
      <c r="L967" s="36"/>
      <c r="M967" s="36"/>
      <c r="N967" s="36"/>
      <c r="O967" s="36"/>
      <c r="P967" s="36"/>
      <c r="Q967" s="36"/>
      <c r="R967" s="36"/>
      <c r="S967" s="36"/>
      <c r="T967" s="36"/>
      <c r="U967" s="36"/>
      <c r="V967" s="36"/>
      <c r="W967" s="36"/>
      <c r="X967" s="36"/>
      <c r="Y967" s="36"/>
      <c r="Z967" s="36"/>
    </row>
    <row r="968" ht="15.75" customHeight="1">
      <c r="A968" s="36"/>
      <c r="B968" s="36"/>
      <c r="C968" s="37"/>
      <c r="D968" s="37"/>
      <c r="E968" s="36"/>
      <c r="F968" s="36"/>
      <c r="G968" s="37"/>
      <c r="I968" s="37"/>
      <c r="J968" s="36"/>
      <c r="K968" s="36"/>
      <c r="L968" s="36"/>
      <c r="M968" s="36"/>
      <c r="N968" s="36"/>
      <c r="O968" s="36"/>
      <c r="P968" s="36"/>
      <c r="Q968" s="36"/>
      <c r="R968" s="36"/>
      <c r="S968" s="36"/>
      <c r="T968" s="36"/>
      <c r="U968" s="36"/>
      <c r="V968" s="36"/>
      <c r="W968" s="36"/>
      <c r="X968" s="36"/>
      <c r="Y968" s="36"/>
      <c r="Z968" s="36"/>
    </row>
    <row r="969" ht="15.75" customHeight="1">
      <c r="A969" s="36"/>
      <c r="B969" s="36"/>
      <c r="C969" s="37"/>
      <c r="D969" s="37"/>
      <c r="E969" s="36"/>
      <c r="F969" s="36"/>
      <c r="G969" s="37"/>
      <c r="I969" s="37"/>
      <c r="J969" s="36"/>
      <c r="K969" s="36"/>
      <c r="L969" s="36"/>
      <c r="M969" s="36"/>
      <c r="N969" s="36"/>
      <c r="O969" s="36"/>
      <c r="P969" s="36"/>
      <c r="Q969" s="36"/>
      <c r="R969" s="36"/>
      <c r="S969" s="36"/>
      <c r="T969" s="36"/>
      <c r="U969" s="36"/>
      <c r="V969" s="36"/>
      <c r="W969" s="36"/>
      <c r="X969" s="36"/>
      <c r="Y969" s="36"/>
      <c r="Z969" s="36"/>
    </row>
    <row r="970" ht="15.75" customHeight="1">
      <c r="A970" s="36"/>
      <c r="B970" s="36"/>
      <c r="C970" s="37"/>
      <c r="D970" s="37"/>
      <c r="E970" s="36"/>
      <c r="F970" s="36"/>
      <c r="G970" s="37"/>
      <c r="I970" s="37"/>
      <c r="J970" s="36"/>
      <c r="K970" s="36"/>
      <c r="L970" s="36"/>
      <c r="M970" s="36"/>
      <c r="N970" s="36"/>
      <c r="O970" s="36"/>
      <c r="P970" s="36"/>
      <c r="Q970" s="36"/>
      <c r="R970" s="36"/>
      <c r="S970" s="36"/>
      <c r="T970" s="36"/>
      <c r="U970" s="36"/>
      <c r="V970" s="36"/>
      <c r="W970" s="36"/>
      <c r="X970" s="36"/>
      <c r="Y970" s="36"/>
      <c r="Z970" s="36"/>
    </row>
    <row r="971" ht="15.75" customHeight="1">
      <c r="A971" s="36"/>
      <c r="B971" s="36"/>
      <c r="C971" s="37"/>
      <c r="D971" s="37"/>
      <c r="E971" s="36"/>
      <c r="F971" s="36"/>
      <c r="G971" s="37"/>
      <c r="I971" s="37"/>
      <c r="J971" s="36"/>
      <c r="K971" s="36"/>
      <c r="L971" s="36"/>
      <c r="M971" s="36"/>
      <c r="N971" s="36"/>
      <c r="O971" s="36"/>
      <c r="P971" s="36"/>
      <c r="Q971" s="36"/>
      <c r="R971" s="36"/>
      <c r="S971" s="36"/>
      <c r="T971" s="36"/>
      <c r="U971" s="36"/>
      <c r="V971" s="36"/>
      <c r="W971" s="36"/>
      <c r="X971" s="36"/>
      <c r="Y971" s="36"/>
      <c r="Z971" s="36"/>
    </row>
    <row r="972" ht="15.75" customHeight="1">
      <c r="A972" s="36"/>
      <c r="B972" s="36"/>
      <c r="C972" s="37"/>
      <c r="D972" s="37"/>
      <c r="E972" s="36"/>
      <c r="F972" s="36"/>
      <c r="G972" s="37"/>
      <c r="I972" s="37"/>
      <c r="J972" s="36"/>
      <c r="K972" s="36"/>
      <c r="L972" s="36"/>
      <c r="M972" s="36"/>
      <c r="N972" s="36"/>
      <c r="O972" s="36"/>
      <c r="P972" s="36"/>
      <c r="Q972" s="36"/>
      <c r="R972" s="36"/>
      <c r="S972" s="36"/>
      <c r="T972" s="36"/>
      <c r="U972" s="36"/>
      <c r="V972" s="36"/>
      <c r="W972" s="36"/>
      <c r="X972" s="36"/>
      <c r="Y972" s="36"/>
      <c r="Z972" s="36"/>
    </row>
    <row r="973" ht="15.75" customHeight="1">
      <c r="A973" s="36"/>
      <c r="B973" s="36"/>
      <c r="C973" s="37"/>
      <c r="D973" s="37"/>
      <c r="E973" s="36"/>
      <c r="F973" s="36"/>
      <c r="G973" s="37"/>
      <c r="I973" s="37"/>
      <c r="J973" s="36"/>
      <c r="K973" s="36"/>
      <c r="L973" s="36"/>
      <c r="M973" s="36"/>
      <c r="N973" s="36"/>
      <c r="O973" s="36"/>
      <c r="P973" s="36"/>
      <c r="Q973" s="36"/>
      <c r="R973" s="36"/>
      <c r="S973" s="36"/>
      <c r="T973" s="36"/>
      <c r="U973" s="36"/>
      <c r="V973" s="36"/>
      <c r="W973" s="36"/>
      <c r="X973" s="36"/>
      <c r="Y973" s="36"/>
      <c r="Z973" s="36"/>
    </row>
    <row r="974" ht="15.75" customHeight="1">
      <c r="A974" s="36"/>
      <c r="B974" s="36"/>
      <c r="C974" s="37"/>
      <c r="D974" s="37"/>
      <c r="E974" s="36"/>
      <c r="F974" s="36"/>
      <c r="G974" s="37"/>
      <c r="I974" s="37"/>
      <c r="J974" s="36"/>
      <c r="K974" s="36"/>
      <c r="L974" s="36"/>
      <c r="M974" s="36"/>
      <c r="N974" s="36"/>
      <c r="O974" s="36"/>
      <c r="P974" s="36"/>
      <c r="Q974" s="36"/>
      <c r="R974" s="36"/>
      <c r="S974" s="36"/>
      <c r="T974" s="36"/>
      <c r="U974" s="36"/>
      <c r="V974" s="36"/>
      <c r="W974" s="36"/>
      <c r="X974" s="36"/>
      <c r="Y974" s="36"/>
      <c r="Z974" s="36"/>
    </row>
    <row r="975" ht="15.75" customHeight="1">
      <c r="A975" s="36"/>
      <c r="B975" s="36"/>
      <c r="C975" s="37"/>
      <c r="D975" s="37"/>
      <c r="E975" s="36"/>
      <c r="F975" s="36"/>
      <c r="G975" s="37"/>
      <c r="I975" s="37"/>
      <c r="J975" s="36"/>
      <c r="K975" s="36"/>
      <c r="L975" s="36"/>
      <c r="M975" s="36"/>
      <c r="N975" s="36"/>
      <c r="O975" s="36"/>
      <c r="P975" s="36"/>
      <c r="Q975" s="36"/>
      <c r="R975" s="36"/>
      <c r="S975" s="36"/>
      <c r="T975" s="36"/>
      <c r="U975" s="36"/>
      <c r="V975" s="36"/>
      <c r="W975" s="36"/>
      <c r="X975" s="36"/>
      <c r="Y975" s="36"/>
      <c r="Z975" s="36"/>
    </row>
    <row r="976" ht="15.75" customHeight="1">
      <c r="A976" s="36"/>
      <c r="B976" s="36"/>
      <c r="C976" s="37"/>
      <c r="D976" s="37"/>
      <c r="E976" s="36"/>
      <c r="F976" s="36"/>
      <c r="G976" s="37"/>
      <c r="I976" s="37"/>
      <c r="J976" s="36"/>
      <c r="K976" s="36"/>
      <c r="L976" s="36"/>
      <c r="M976" s="36"/>
      <c r="N976" s="36"/>
      <c r="O976" s="36"/>
      <c r="P976" s="36"/>
      <c r="Q976" s="36"/>
      <c r="R976" s="36"/>
      <c r="S976" s="36"/>
      <c r="T976" s="36"/>
      <c r="U976" s="36"/>
      <c r="V976" s="36"/>
      <c r="W976" s="36"/>
      <c r="X976" s="36"/>
      <c r="Y976" s="36"/>
      <c r="Z976" s="36"/>
    </row>
    <row r="977" ht="15.75" customHeight="1">
      <c r="A977" s="36"/>
      <c r="B977" s="36"/>
      <c r="C977" s="37"/>
      <c r="D977" s="37"/>
      <c r="E977" s="36"/>
      <c r="F977" s="36"/>
      <c r="G977" s="37"/>
      <c r="I977" s="37"/>
      <c r="J977" s="36"/>
      <c r="K977" s="36"/>
      <c r="L977" s="36"/>
      <c r="M977" s="36"/>
      <c r="N977" s="36"/>
      <c r="O977" s="36"/>
      <c r="P977" s="36"/>
      <c r="Q977" s="36"/>
      <c r="R977" s="36"/>
      <c r="S977" s="36"/>
      <c r="T977" s="36"/>
      <c r="U977" s="36"/>
      <c r="V977" s="36"/>
      <c r="W977" s="36"/>
      <c r="X977" s="36"/>
      <c r="Y977" s="36"/>
      <c r="Z977" s="36"/>
    </row>
    <row r="978" ht="15.75" customHeight="1">
      <c r="A978" s="36"/>
      <c r="B978" s="36"/>
      <c r="C978" s="37"/>
      <c r="D978" s="37"/>
      <c r="E978" s="36"/>
      <c r="F978" s="36"/>
      <c r="G978" s="37"/>
      <c r="I978" s="37"/>
      <c r="J978" s="36"/>
      <c r="K978" s="36"/>
      <c r="L978" s="36"/>
      <c r="M978" s="36"/>
      <c r="N978" s="36"/>
      <c r="O978" s="36"/>
      <c r="P978" s="36"/>
      <c r="Q978" s="36"/>
      <c r="R978" s="36"/>
      <c r="S978" s="36"/>
      <c r="T978" s="36"/>
      <c r="U978" s="36"/>
      <c r="V978" s="36"/>
      <c r="W978" s="36"/>
      <c r="X978" s="36"/>
      <c r="Y978" s="36"/>
      <c r="Z978" s="36"/>
    </row>
    <row r="979" ht="15.75" customHeight="1">
      <c r="A979" s="36"/>
      <c r="B979" s="36"/>
      <c r="C979" s="37"/>
      <c r="D979" s="37"/>
      <c r="E979" s="36"/>
      <c r="F979" s="36"/>
      <c r="G979" s="37"/>
      <c r="I979" s="37"/>
      <c r="J979" s="36"/>
      <c r="K979" s="36"/>
      <c r="L979" s="36"/>
      <c r="M979" s="36"/>
      <c r="N979" s="36"/>
      <c r="O979" s="36"/>
      <c r="P979" s="36"/>
      <c r="Q979" s="36"/>
      <c r="R979" s="36"/>
      <c r="S979" s="36"/>
      <c r="T979" s="36"/>
      <c r="U979" s="36"/>
      <c r="V979" s="36"/>
      <c r="W979" s="36"/>
      <c r="X979" s="36"/>
      <c r="Y979" s="36"/>
      <c r="Z979" s="36"/>
    </row>
    <row r="980" ht="15.75" customHeight="1">
      <c r="A980" s="36"/>
      <c r="B980" s="36"/>
      <c r="C980" s="37"/>
      <c r="D980" s="37"/>
      <c r="E980" s="36"/>
      <c r="F980" s="36"/>
      <c r="G980" s="37"/>
      <c r="I980" s="37"/>
      <c r="J980" s="36"/>
      <c r="K980" s="36"/>
      <c r="L980" s="36"/>
      <c r="M980" s="36"/>
      <c r="N980" s="36"/>
      <c r="O980" s="36"/>
      <c r="P980" s="36"/>
      <c r="Q980" s="36"/>
      <c r="R980" s="36"/>
      <c r="S980" s="36"/>
      <c r="T980" s="36"/>
      <c r="U980" s="36"/>
      <c r="V980" s="36"/>
      <c r="W980" s="36"/>
      <c r="X980" s="36"/>
      <c r="Y980" s="36"/>
      <c r="Z980" s="36"/>
    </row>
    <row r="981" ht="15.75" customHeight="1">
      <c r="A981" s="36"/>
      <c r="B981" s="36"/>
      <c r="C981" s="37"/>
      <c r="D981" s="37"/>
      <c r="E981" s="36"/>
      <c r="F981" s="36"/>
      <c r="G981" s="37"/>
      <c r="I981" s="37"/>
      <c r="J981" s="36"/>
      <c r="K981" s="36"/>
      <c r="L981" s="36"/>
      <c r="M981" s="36"/>
      <c r="N981" s="36"/>
      <c r="O981" s="36"/>
      <c r="P981" s="36"/>
      <c r="Q981" s="36"/>
      <c r="R981" s="36"/>
      <c r="S981" s="36"/>
      <c r="T981" s="36"/>
      <c r="U981" s="36"/>
      <c r="V981" s="36"/>
      <c r="W981" s="36"/>
      <c r="X981" s="36"/>
      <c r="Y981" s="36"/>
      <c r="Z981" s="36"/>
    </row>
    <row r="982" ht="15.75" customHeight="1">
      <c r="A982" s="36"/>
      <c r="B982" s="36"/>
      <c r="C982" s="37"/>
      <c r="D982" s="37"/>
      <c r="E982" s="36"/>
      <c r="F982" s="36"/>
      <c r="G982" s="37"/>
      <c r="I982" s="37"/>
      <c r="J982" s="36"/>
      <c r="K982" s="36"/>
      <c r="L982" s="36"/>
      <c r="M982" s="36"/>
      <c r="N982" s="36"/>
      <c r="O982" s="36"/>
      <c r="P982" s="36"/>
      <c r="Q982" s="36"/>
      <c r="R982" s="36"/>
      <c r="S982" s="36"/>
      <c r="T982" s="36"/>
      <c r="U982" s="36"/>
      <c r="V982" s="36"/>
      <c r="W982" s="36"/>
      <c r="X982" s="36"/>
      <c r="Y982" s="36"/>
      <c r="Z982" s="36"/>
    </row>
    <row r="983" ht="15.75" customHeight="1">
      <c r="A983" s="36"/>
      <c r="B983" s="36"/>
      <c r="C983" s="37"/>
      <c r="D983" s="37"/>
      <c r="E983" s="36"/>
      <c r="F983" s="36"/>
      <c r="G983" s="37"/>
      <c r="I983" s="37"/>
      <c r="J983" s="36"/>
      <c r="K983" s="36"/>
      <c r="L983" s="36"/>
      <c r="M983" s="36"/>
      <c r="N983" s="36"/>
      <c r="O983" s="36"/>
      <c r="P983" s="36"/>
      <c r="Q983" s="36"/>
      <c r="R983" s="36"/>
      <c r="S983" s="36"/>
      <c r="T983" s="36"/>
      <c r="U983" s="36"/>
      <c r="V983" s="36"/>
      <c r="W983" s="36"/>
      <c r="X983" s="36"/>
      <c r="Y983" s="36"/>
      <c r="Z983" s="36"/>
    </row>
    <row r="984" ht="15.75" customHeight="1">
      <c r="A984" s="36"/>
      <c r="B984" s="36"/>
      <c r="C984" s="37"/>
      <c r="D984" s="37"/>
      <c r="E984" s="36"/>
      <c r="F984" s="36"/>
      <c r="G984" s="37"/>
      <c r="I984" s="37"/>
      <c r="J984" s="36"/>
      <c r="K984" s="36"/>
      <c r="L984" s="36"/>
      <c r="M984" s="36"/>
      <c r="N984" s="36"/>
      <c r="O984" s="36"/>
      <c r="P984" s="36"/>
      <c r="Q984" s="36"/>
      <c r="R984" s="36"/>
      <c r="S984" s="36"/>
      <c r="T984" s="36"/>
      <c r="U984" s="36"/>
      <c r="V984" s="36"/>
      <c r="W984" s="36"/>
      <c r="X984" s="36"/>
      <c r="Y984" s="36"/>
      <c r="Z984" s="36"/>
    </row>
    <row r="985" ht="15.75" customHeight="1">
      <c r="A985" s="36"/>
      <c r="B985" s="36"/>
      <c r="C985" s="37"/>
      <c r="D985" s="37"/>
      <c r="E985" s="36"/>
      <c r="F985" s="36"/>
      <c r="G985" s="37"/>
      <c r="I985" s="37"/>
      <c r="J985" s="36"/>
      <c r="K985" s="36"/>
      <c r="L985" s="36"/>
      <c r="M985" s="36"/>
      <c r="N985" s="36"/>
      <c r="O985" s="36"/>
      <c r="P985" s="36"/>
      <c r="Q985" s="36"/>
      <c r="R985" s="36"/>
      <c r="S985" s="36"/>
      <c r="T985" s="36"/>
      <c r="U985" s="36"/>
      <c r="V985" s="36"/>
      <c r="W985" s="36"/>
      <c r="X985" s="36"/>
      <c r="Y985" s="36"/>
      <c r="Z985" s="36"/>
    </row>
    <row r="986" ht="15.75" customHeight="1">
      <c r="A986" s="36"/>
      <c r="B986" s="36"/>
      <c r="C986" s="37"/>
      <c r="D986" s="37"/>
      <c r="E986" s="36"/>
      <c r="F986" s="36"/>
      <c r="G986" s="37"/>
      <c r="I986" s="37"/>
      <c r="J986" s="36"/>
      <c r="K986" s="36"/>
      <c r="L986" s="36"/>
      <c r="M986" s="36"/>
      <c r="N986" s="36"/>
      <c r="O986" s="36"/>
      <c r="P986" s="36"/>
      <c r="Q986" s="36"/>
      <c r="R986" s="36"/>
      <c r="S986" s="36"/>
      <c r="T986" s="36"/>
      <c r="U986" s="36"/>
      <c r="V986" s="36"/>
      <c r="W986" s="36"/>
      <c r="X986" s="36"/>
      <c r="Y986" s="36"/>
      <c r="Z986" s="36"/>
    </row>
    <row r="987" ht="15.75" customHeight="1">
      <c r="A987" s="36"/>
      <c r="B987" s="36"/>
      <c r="C987" s="37"/>
      <c r="D987" s="37"/>
      <c r="E987" s="36"/>
      <c r="F987" s="36"/>
      <c r="G987" s="37"/>
      <c r="I987" s="37"/>
      <c r="J987" s="36"/>
      <c r="K987" s="36"/>
      <c r="L987" s="36"/>
      <c r="M987" s="36"/>
      <c r="N987" s="36"/>
      <c r="O987" s="36"/>
      <c r="P987" s="36"/>
      <c r="Q987" s="36"/>
      <c r="R987" s="36"/>
      <c r="S987" s="36"/>
      <c r="T987" s="36"/>
      <c r="U987" s="36"/>
      <c r="V987" s="36"/>
      <c r="W987" s="36"/>
      <c r="X987" s="36"/>
      <c r="Y987" s="36"/>
      <c r="Z987" s="36"/>
    </row>
    <row r="988" ht="15.75" customHeight="1">
      <c r="A988" s="36"/>
      <c r="B988" s="36"/>
      <c r="C988" s="37"/>
      <c r="D988" s="37"/>
      <c r="E988" s="36"/>
      <c r="F988" s="36"/>
      <c r="G988" s="37"/>
      <c r="I988" s="37"/>
      <c r="J988" s="36"/>
      <c r="K988" s="36"/>
      <c r="L988" s="36"/>
      <c r="M988" s="36"/>
      <c r="N988" s="36"/>
      <c r="O988" s="36"/>
      <c r="P988" s="36"/>
      <c r="Q988" s="36"/>
      <c r="R988" s="36"/>
      <c r="S988" s="36"/>
      <c r="T988" s="36"/>
      <c r="U988" s="36"/>
      <c r="V988" s="36"/>
      <c r="W988" s="36"/>
      <c r="X988" s="36"/>
      <c r="Y988" s="36"/>
      <c r="Z988" s="36"/>
    </row>
    <row r="989" ht="15.75" customHeight="1">
      <c r="A989" s="36"/>
      <c r="B989" s="36"/>
      <c r="C989" s="37"/>
      <c r="D989" s="37"/>
      <c r="E989" s="36"/>
      <c r="F989" s="36"/>
      <c r="G989" s="37"/>
      <c r="I989" s="37"/>
      <c r="J989" s="36"/>
      <c r="K989" s="36"/>
      <c r="L989" s="36"/>
      <c r="M989" s="36"/>
      <c r="N989" s="36"/>
      <c r="O989" s="36"/>
      <c r="P989" s="36"/>
      <c r="Q989" s="36"/>
      <c r="R989" s="36"/>
      <c r="S989" s="36"/>
      <c r="T989" s="36"/>
      <c r="U989" s="36"/>
      <c r="V989" s="36"/>
      <c r="W989" s="36"/>
      <c r="X989" s="36"/>
      <c r="Y989" s="36"/>
      <c r="Z989" s="36"/>
    </row>
    <row r="990" ht="15.75" customHeight="1">
      <c r="A990" s="36"/>
      <c r="B990" s="36"/>
      <c r="C990" s="37"/>
      <c r="D990" s="37"/>
      <c r="E990" s="36"/>
      <c r="F990" s="36"/>
      <c r="G990" s="37"/>
      <c r="I990" s="37"/>
      <c r="J990" s="36"/>
      <c r="K990" s="36"/>
      <c r="L990" s="36"/>
      <c r="M990" s="36"/>
      <c r="N990" s="36"/>
      <c r="O990" s="36"/>
      <c r="P990" s="36"/>
      <c r="Q990" s="36"/>
      <c r="R990" s="36"/>
      <c r="S990" s="36"/>
      <c r="T990" s="36"/>
      <c r="U990" s="36"/>
      <c r="V990" s="36"/>
      <c r="W990" s="36"/>
      <c r="X990" s="36"/>
      <c r="Y990" s="36"/>
      <c r="Z990" s="36"/>
    </row>
    <row r="991" ht="15.75" customHeight="1">
      <c r="A991" s="36"/>
      <c r="B991" s="36"/>
      <c r="C991" s="37"/>
      <c r="D991" s="37"/>
      <c r="E991" s="36"/>
      <c r="F991" s="36"/>
      <c r="G991" s="37"/>
      <c r="I991" s="37"/>
      <c r="J991" s="36"/>
      <c r="K991" s="36"/>
      <c r="L991" s="36"/>
      <c r="M991" s="36"/>
      <c r="N991" s="36"/>
      <c r="O991" s="36"/>
      <c r="P991" s="36"/>
      <c r="Q991" s="36"/>
      <c r="R991" s="36"/>
      <c r="S991" s="36"/>
      <c r="T991" s="36"/>
      <c r="U991" s="36"/>
      <c r="V991" s="36"/>
      <c r="W991" s="36"/>
      <c r="X991" s="36"/>
      <c r="Y991" s="36"/>
      <c r="Z991" s="36"/>
    </row>
    <row r="992" ht="15.75" customHeight="1">
      <c r="A992" s="36"/>
      <c r="B992" s="36"/>
      <c r="C992" s="37"/>
      <c r="D992" s="37"/>
      <c r="E992" s="36"/>
      <c r="F992" s="36"/>
      <c r="G992" s="37"/>
      <c r="I992" s="37"/>
      <c r="J992" s="36"/>
      <c r="K992" s="36"/>
      <c r="L992" s="36"/>
      <c r="M992" s="36"/>
      <c r="N992" s="36"/>
      <c r="O992" s="36"/>
      <c r="P992" s="36"/>
      <c r="Q992" s="36"/>
      <c r="R992" s="36"/>
      <c r="S992" s="36"/>
      <c r="T992" s="36"/>
      <c r="U992" s="36"/>
      <c r="V992" s="36"/>
      <c r="W992" s="36"/>
      <c r="X992" s="36"/>
      <c r="Y992" s="36"/>
      <c r="Z992" s="36"/>
    </row>
    <row r="993" ht="15.75" customHeight="1">
      <c r="A993" s="36"/>
      <c r="B993" s="36"/>
      <c r="C993" s="37"/>
      <c r="D993" s="37"/>
      <c r="E993" s="36"/>
      <c r="F993" s="36"/>
      <c r="G993" s="37"/>
      <c r="I993" s="37"/>
      <c r="J993" s="36"/>
      <c r="K993" s="36"/>
      <c r="L993" s="36"/>
      <c r="M993" s="36"/>
      <c r="N993" s="36"/>
      <c r="O993" s="36"/>
      <c r="P993" s="36"/>
      <c r="Q993" s="36"/>
      <c r="R993" s="36"/>
      <c r="S993" s="36"/>
      <c r="T993" s="36"/>
      <c r="U993" s="36"/>
      <c r="V993" s="36"/>
      <c r="W993" s="36"/>
      <c r="X993" s="36"/>
      <c r="Y993" s="36"/>
      <c r="Z993" s="36"/>
    </row>
    <row r="994" ht="15.75" customHeight="1">
      <c r="A994" s="36"/>
      <c r="B994" s="36"/>
      <c r="C994" s="37"/>
      <c r="D994" s="37"/>
      <c r="E994" s="36"/>
      <c r="F994" s="36"/>
      <c r="G994" s="37"/>
      <c r="I994" s="37"/>
      <c r="J994" s="36"/>
      <c r="K994" s="36"/>
      <c r="L994" s="36"/>
      <c r="M994" s="36"/>
      <c r="N994" s="36"/>
      <c r="O994" s="36"/>
      <c r="P994" s="36"/>
      <c r="Q994" s="36"/>
      <c r="R994" s="36"/>
      <c r="S994" s="36"/>
      <c r="T994" s="36"/>
      <c r="U994" s="36"/>
      <c r="V994" s="36"/>
      <c r="W994" s="36"/>
      <c r="X994" s="36"/>
      <c r="Y994" s="36"/>
      <c r="Z994" s="36"/>
    </row>
    <row r="995" ht="15.75" customHeight="1">
      <c r="A995" s="36"/>
      <c r="B995" s="36"/>
      <c r="C995" s="37"/>
      <c r="D995" s="37"/>
      <c r="E995" s="36"/>
      <c r="F995" s="36"/>
      <c r="G995" s="37"/>
      <c r="I995" s="37"/>
      <c r="J995" s="36"/>
      <c r="K995" s="36"/>
      <c r="L995" s="36"/>
      <c r="M995" s="36"/>
      <c r="N995" s="36"/>
      <c r="O995" s="36"/>
      <c r="P995" s="36"/>
      <c r="Q995" s="36"/>
      <c r="R995" s="36"/>
      <c r="S995" s="36"/>
      <c r="T995" s="36"/>
      <c r="U995" s="36"/>
      <c r="V995" s="36"/>
      <c r="W995" s="36"/>
      <c r="X995" s="36"/>
      <c r="Y995" s="36"/>
      <c r="Z995" s="36"/>
    </row>
    <row r="996" ht="15.75" customHeight="1">
      <c r="A996" s="36"/>
      <c r="B996" s="36"/>
      <c r="C996" s="37"/>
      <c r="D996" s="37"/>
      <c r="E996" s="36"/>
      <c r="F996" s="36"/>
      <c r="G996" s="37"/>
      <c r="I996" s="37"/>
      <c r="J996" s="36"/>
      <c r="K996" s="36"/>
      <c r="L996" s="36"/>
      <c r="M996" s="36"/>
      <c r="N996" s="36"/>
      <c r="O996" s="36"/>
      <c r="P996" s="36"/>
      <c r="Q996" s="36"/>
      <c r="R996" s="36"/>
      <c r="S996" s="36"/>
      <c r="T996" s="36"/>
      <c r="U996" s="36"/>
      <c r="V996" s="36"/>
      <c r="W996" s="36"/>
      <c r="X996" s="36"/>
      <c r="Y996" s="36"/>
      <c r="Z996" s="36"/>
    </row>
    <row r="997" ht="15.75" customHeight="1">
      <c r="A997" s="36"/>
      <c r="B997" s="36"/>
      <c r="C997" s="37"/>
      <c r="D997" s="37"/>
      <c r="E997" s="36"/>
      <c r="F997" s="36"/>
      <c r="G997" s="37"/>
      <c r="I997" s="37"/>
      <c r="J997" s="36"/>
      <c r="K997" s="36"/>
      <c r="L997" s="36"/>
      <c r="M997" s="36"/>
      <c r="N997" s="36"/>
      <c r="O997" s="36"/>
      <c r="P997" s="36"/>
      <c r="Q997" s="36"/>
      <c r="R997" s="36"/>
      <c r="S997" s="36"/>
      <c r="T997" s="36"/>
      <c r="U997" s="36"/>
      <c r="V997" s="36"/>
      <c r="W997" s="36"/>
      <c r="X997" s="36"/>
      <c r="Y997" s="36"/>
      <c r="Z997" s="36"/>
    </row>
    <row r="998" ht="15.75" customHeight="1">
      <c r="A998" s="36"/>
      <c r="B998" s="36"/>
      <c r="C998" s="37"/>
      <c r="D998" s="37"/>
      <c r="E998" s="36"/>
      <c r="F998" s="36"/>
      <c r="G998" s="37"/>
      <c r="I998" s="37"/>
      <c r="J998" s="36"/>
      <c r="K998" s="36"/>
      <c r="L998" s="36"/>
      <c r="M998" s="36"/>
      <c r="N998" s="36"/>
      <c r="O998" s="36"/>
      <c r="P998" s="36"/>
      <c r="Q998" s="36"/>
      <c r="R998" s="36"/>
      <c r="S998" s="36"/>
      <c r="T998" s="36"/>
      <c r="U998" s="36"/>
      <c r="V998" s="36"/>
      <c r="W998" s="36"/>
      <c r="X998" s="36"/>
      <c r="Y998" s="36"/>
      <c r="Z998" s="36"/>
    </row>
    <row r="999" ht="15.75" customHeight="1">
      <c r="A999" s="36"/>
      <c r="B999" s="36"/>
      <c r="C999" s="37"/>
      <c r="D999" s="37"/>
      <c r="E999" s="36"/>
      <c r="F999" s="36"/>
      <c r="G999" s="37"/>
      <c r="I999" s="37"/>
      <c r="J999" s="36"/>
      <c r="K999" s="36"/>
      <c r="L999" s="36"/>
      <c r="M999" s="36"/>
      <c r="N999" s="36"/>
      <c r="O999" s="36"/>
      <c r="P999" s="36"/>
      <c r="Q999" s="36"/>
      <c r="R999" s="36"/>
      <c r="S999" s="36"/>
      <c r="T999" s="36"/>
      <c r="U999" s="36"/>
      <c r="V999" s="36"/>
      <c r="W999" s="36"/>
      <c r="X999" s="36"/>
      <c r="Y999" s="36"/>
      <c r="Z999" s="36"/>
    </row>
    <row r="1000" ht="15.75" customHeight="1">
      <c r="A1000" s="36"/>
      <c r="B1000" s="36"/>
      <c r="C1000" s="37"/>
      <c r="D1000" s="37"/>
      <c r="E1000" s="36"/>
      <c r="F1000" s="36"/>
      <c r="G1000" s="37"/>
      <c r="I1000" s="37"/>
      <c r="J1000" s="36"/>
      <c r="K1000" s="36"/>
      <c r="L1000" s="36"/>
      <c r="M1000" s="36"/>
      <c r="N1000" s="36"/>
      <c r="O1000" s="36"/>
      <c r="P1000" s="36"/>
      <c r="Q1000" s="36"/>
      <c r="R1000" s="36"/>
      <c r="S1000" s="36"/>
      <c r="T1000" s="36"/>
      <c r="U1000" s="36"/>
      <c r="V1000" s="36"/>
      <c r="W1000" s="36"/>
      <c r="X1000" s="36"/>
      <c r="Y1000" s="36"/>
      <c r="Z1000" s="36"/>
    </row>
  </sheetData>
  <conditionalFormatting sqref="F2:F9">
    <cfRule type="expression" dxfId="0" priority="1">
      <formula>E2/$G2&gt;=0.75</formula>
    </cfRule>
  </conditionalFormatting>
  <conditionalFormatting sqref="F2:F9">
    <cfRule type="expression" dxfId="1" priority="2">
      <formula>AND(E2/$G2&gt;0.3,E2/$G2&lt;0.75)</formula>
    </cfRule>
  </conditionalFormatting>
  <conditionalFormatting sqref="F2:F9">
    <cfRule type="expression" dxfId="2" priority="3">
      <formula>E2/$G2&lt;=0.3</formula>
    </cfRule>
  </conditionalFormatting>
  <conditionalFormatting sqref="K2:K10">
    <cfRule type="expression" dxfId="2" priority="4">
      <formula>J2/$L2&lt;=0.3</formula>
    </cfRule>
  </conditionalFormatting>
  <conditionalFormatting sqref="K2:K10">
    <cfRule type="expression" dxfId="3" priority="5">
      <formula>J2/$L2&gt;=0.75</formula>
    </cfRule>
  </conditionalFormatting>
  <conditionalFormatting sqref="K2:K10">
    <cfRule type="expression" dxfId="1" priority="6">
      <formula>AND(J2/$L2&gt;0.3,J2/$L2&lt;0.75)</formula>
    </cfRule>
  </conditionalFormatting>
  <conditionalFormatting sqref="U2:U3 U6:U7 U10:U11">
    <cfRule type="expression" dxfId="4" priority="7">
      <formula>AND($T2="Done",$U2/250&lt;=0.3)</formula>
    </cfRule>
  </conditionalFormatting>
  <conditionalFormatting sqref="U2:U3 U6:U7 U10:U11">
    <cfRule type="expression" dxfId="5" priority="8">
      <formula>AND($T2="Done",$U2/200&gt;0.3,$U2/250&lt;0.75)</formula>
    </cfRule>
  </conditionalFormatting>
  <conditionalFormatting sqref="U2:U3 U6:U7 U10:U11">
    <cfRule type="expression" dxfId="6" priority="9">
      <formula>AND($T2="Done",$U2/250&gt;=0.75)</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14"/>
    <col customWidth="1" min="2" max="2" width="23.0"/>
    <col customWidth="1" min="3" max="3" width="56.29"/>
    <col customWidth="1" min="4" max="4" width="52.86"/>
    <col customWidth="1" min="5" max="5" width="35.14"/>
  </cols>
  <sheetData>
    <row r="1">
      <c r="A1" s="65" t="s">
        <v>2579</v>
      </c>
      <c r="B1" s="66" t="s">
        <v>2580</v>
      </c>
      <c r="C1" s="67" t="s">
        <v>2581</v>
      </c>
      <c r="D1" s="68" t="s">
        <v>2582</v>
      </c>
      <c r="E1" s="69" t="s">
        <v>2583</v>
      </c>
      <c r="F1" s="63"/>
      <c r="G1" s="70"/>
      <c r="H1" s="70"/>
      <c r="I1" s="71"/>
      <c r="J1" s="70"/>
      <c r="K1" s="70"/>
      <c r="L1" s="63"/>
      <c r="M1" s="70"/>
      <c r="N1" s="70"/>
      <c r="O1" s="71"/>
      <c r="P1" s="70"/>
      <c r="Q1" s="70"/>
      <c r="R1" s="70"/>
      <c r="S1" s="70"/>
      <c r="T1" s="70"/>
      <c r="U1" s="70"/>
      <c r="V1" s="70"/>
      <c r="W1" s="70"/>
      <c r="X1" s="70"/>
      <c r="Y1" s="70"/>
      <c r="Z1" s="70"/>
    </row>
    <row r="2">
      <c r="A2" s="63" t="s">
        <v>2584</v>
      </c>
      <c r="B2" s="72" t="s">
        <v>144</v>
      </c>
      <c r="C2" s="73" t="s">
        <v>2585</v>
      </c>
      <c r="D2" s="74" t="s">
        <v>2586</v>
      </c>
      <c r="E2" s="74" t="s">
        <v>2587</v>
      </c>
      <c r="F2" s="70"/>
      <c r="G2" s="70"/>
      <c r="H2" s="70"/>
      <c r="I2" s="70"/>
      <c r="J2" s="70"/>
      <c r="K2" s="70"/>
      <c r="L2" s="70"/>
      <c r="M2" s="70"/>
      <c r="N2" s="70"/>
      <c r="O2" s="70"/>
      <c r="P2" s="70"/>
      <c r="Q2" s="70"/>
      <c r="R2" s="70"/>
      <c r="S2" s="70"/>
      <c r="T2" s="70"/>
      <c r="U2" s="70"/>
      <c r="V2" s="70"/>
      <c r="W2" s="70"/>
      <c r="X2" s="70"/>
      <c r="Y2" s="70"/>
      <c r="Z2" s="70"/>
    </row>
    <row r="3">
      <c r="A3" s="63" t="s">
        <v>2588</v>
      </c>
      <c r="B3" s="72" t="s">
        <v>500</v>
      </c>
      <c r="C3" s="73" t="s">
        <v>2589</v>
      </c>
      <c r="D3" s="73" t="s">
        <v>2590</v>
      </c>
      <c r="E3" s="71"/>
      <c r="F3" s="70"/>
      <c r="G3" s="70"/>
      <c r="H3" s="70"/>
      <c r="I3" s="70"/>
      <c r="J3" s="70"/>
      <c r="K3" s="70"/>
      <c r="L3" s="70"/>
      <c r="M3" s="70"/>
      <c r="N3" s="70"/>
      <c r="O3" s="70"/>
      <c r="P3" s="63"/>
      <c r="Q3" s="70"/>
      <c r="R3" s="70"/>
      <c r="S3" s="70"/>
      <c r="T3" s="70"/>
      <c r="U3" s="70"/>
      <c r="V3" s="70"/>
      <c r="W3" s="70"/>
      <c r="X3" s="70"/>
      <c r="Y3" s="70"/>
      <c r="Z3" s="70"/>
    </row>
    <row r="4">
      <c r="A4" s="63" t="s">
        <v>2591</v>
      </c>
      <c r="B4" s="72" t="s">
        <v>261</v>
      </c>
      <c r="C4" s="73" t="s">
        <v>2592</v>
      </c>
      <c r="D4" s="73" t="s">
        <v>2593</v>
      </c>
      <c r="E4" s="71"/>
      <c r="F4" s="70"/>
      <c r="G4" s="70"/>
      <c r="H4" s="70"/>
      <c r="I4" s="70"/>
      <c r="J4" s="70"/>
      <c r="K4" s="70"/>
      <c r="L4" s="70"/>
      <c r="M4" s="70"/>
      <c r="N4" s="70"/>
      <c r="O4" s="70"/>
      <c r="P4" s="70"/>
      <c r="Q4" s="70"/>
      <c r="R4" s="70"/>
      <c r="S4" s="70"/>
      <c r="T4" s="70"/>
      <c r="U4" s="70"/>
      <c r="V4" s="70"/>
      <c r="W4" s="70"/>
      <c r="X4" s="70"/>
      <c r="Y4" s="70"/>
      <c r="Z4" s="70"/>
    </row>
    <row r="5">
      <c r="A5" s="75" t="s">
        <v>2594</v>
      </c>
      <c r="B5" s="72" t="s">
        <v>480</v>
      </c>
      <c r="C5" s="74" t="s">
        <v>2595</v>
      </c>
      <c r="D5" s="76" t="s">
        <v>2596</v>
      </c>
      <c r="E5" s="71"/>
      <c r="F5" s="70"/>
      <c r="G5" s="70"/>
      <c r="H5" s="70"/>
      <c r="I5" s="70"/>
      <c r="J5" s="70"/>
      <c r="K5" s="70"/>
      <c r="L5" s="70"/>
      <c r="M5" s="70"/>
      <c r="N5" s="70"/>
      <c r="O5" s="70"/>
      <c r="P5" s="70"/>
      <c r="Q5" s="70"/>
      <c r="R5" s="70"/>
      <c r="S5" s="70"/>
      <c r="T5" s="70"/>
      <c r="U5" s="70"/>
      <c r="V5" s="70"/>
      <c r="W5" s="70"/>
      <c r="X5" s="70"/>
      <c r="Y5" s="70"/>
      <c r="Z5" s="70"/>
    </row>
    <row r="6">
      <c r="A6" s="63" t="s">
        <v>2597</v>
      </c>
      <c r="B6" s="72" t="s">
        <v>661</v>
      </c>
      <c r="C6" s="77"/>
      <c r="D6" s="74" t="s">
        <v>2598</v>
      </c>
      <c r="E6" s="71"/>
      <c r="F6" s="70"/>
      <c r="G6" s="70"/>
      <c r="H6" s="70"/>
      <c r="I6" s="70"/>
      <c r="J6" s="70"/>
      <c r="K6" s="70"/>
      <c r="L6" s="70"/>
      <c r="M6" s="70"/>
      <c r="N6" s="70"/>
      <c r="O6" s="70"/>
      <c r="P6" s="70"/>
      <c r="Q6" s="70"/>
      <c r="R6" s="70"/>
      <c r="S6" s="70"/>
      <c r="T6" s="70"/>
      <c r="U6" s="70"/>
      <c r="V6" s="70"/>
      <c r="W6" s="70"/>
      <c r="X6" s="70"/>
      <c r="Y6" s="70"/>
      <c r="Z6" s="70"/>
    </row>
    <row r="7">
      <c r="A7" s="63" t="s">
        <v>2599</v>
      </c>
      <c r="B7" s="72" t="s">
        <v>600</v>
      </c>
      <c r="C7" s="77"/>
      <c r="D7" s="78"/>
      <c r="E7" s="71"/>
      <c r="F7" s="70"/>
      <c r="G7" s="70"/>
      <c r="H7" s="70"/>
      <c r="I7" s="70"/>
      <c r="J7" s="70"/>
      <c r="K7" s="70"/>
      <c r="L7" s="70"/>
      <c r="M7" s="70"/>
      <c r="N7" s="70"/>
      <c r="O7" s="70"/>
      <c r="P7" s="70"/>
      <c r="Q7" s="70"/>
      <c r="R7" s="70"/>
      <c r="S7" s="70"/>
      <c r="T7" s="70"/>
      <c r="U7" s="70"/>
      <c r="V7" s="70"/>
      <c r="W7" s="70"/>
      <c r="X7" s="70"/>
      <c r="Y7" s="70"/>
      <c r="Z7" s="70"/>
    </row>
    <row r="8">
      <c r="A8" s="70"/>
      <c r="B8" s="79"/>
      <c r="C8" s="72" t="s">
        <v>2600</v>
      </c>
      <c r="D8" s="74" t="s">
        <v>2601</v>
      </c>
      <c r="E8" s="71"/>
      <c r="F8" s="70"/>
      <c r="G8" s="70"/>
      <c r="H8" s="70"/>
      <c r="I8" s="70"/>
      <c r="J8" s="70"/>
      <c r="K8" s="70"/>
      <c r="L8" s="70"/>
      <c r="M8" s="70"/>
      <c r="N8" s="70"/>
      <c r="O8" s="70"/>
      <c r="P8" s="70"/>
      <c r="Q8" s="70"/>
      <c r="R8" s="70"/>
      <c r="S8" s="70"/>
      <c r="T8" s="70"/>
      <c r="U8" s="70"/>
      <c r="V8" s="70"/>
      <c r="W8" s="70"/>
      <c r="X8" s="70"/>
      <c r="Y8" s="70"/>
      <c r="Z8" s="70"/>
    </row>
    <row r="9">
      <c r="A9" s="70"/>
      <c r="B9" s="79"/>
      <c r="C9" s="72"/>
      <c r="D9" s="74" t="s">
        <v>2602</v>
      </c>
      <c r="E9" s="71"/>
      <c r="F9" s="70"/>
      <c r="G9" s="70"/>
      <c r="H9" s="70"/>
      <c r="I9" s="70"/>
      <c r="J9" s="70"/>
      <c r="K9" s="70"/>
      <c r="L9" s="70"/>
      <c r="M9" s="70"/>
      <c r="N9" s="70"/>
      <c r="O9" s="70"/>
      <c r="P9" s="70"/>
      <c r="Q9" s="70"/>
      <c r="R9" s="70"/>
      <c r="S9" s="70"/>
      <c r="T9" s="70"/>
      <c r="U9" s="70"/>
      <c r="V9" s="70"/>
      <c r="W9" s="70"/>
      <c r="X9" s="70"/>
      <c r="Y9" s="70"/>
      <c r="Z9" s="70"/>
    </row>
    <row r="10">
      <c r="A10" s="63"/>
      <c r="B10" s="79"/>
      <c r="C10" s="72"/>
      <c r="D10" s="74" t="s">
        <v>2603</v>
      </c>
      <c r="E10" s="71"/>
      <c r="F10" s="70"/>
      <c r="G10" s="70"/>
      <c r="H10" s="70"/>
      <c r="I10" s="70"/>
      <c r="J10" s="70"/>
      <c r="K10" s="70"/>
      <c r="L10" s="70"/>
      <c r="M10" s="70"/>
      <c r="N10" s="70"/>
      <c r="O10" s="70"/>
      <c r="P10" s="70"/>
      <c r="Q10" s="70"/>
      <c r="R10" s="70"/>
      <c r="S10" s="70"/>
      <c r="T10" s="70"/>
      <c r="U10" s="70"/>
      <c r="V10" s="70"/>
      <c r="W10" s="70"/>
      <c r="X10" s="70"/>
      <c r="Y10" s="70"/>
      <c r="Z10" s="70"/>
    </row>
    <row r="11">
      <c r="A11" s="63"/>
      <c r="B11" s="79"/>
      <c r="C11" s="77"/>
      <c r="D11" s="73" t="s">
        <v>2604</v>
      </c>
      <c r="E11" s="71"/>
      <c r="F11" s="70"/>
      <c r="G11" s="70"/>
      <c r="H11" s="70"/>
      <c r="I11" s="70"/>
      <c r="J11" s="70"/>
      <c r="K11" s="70"/>
      <c r="L11" s="70"/>
      <c r="M11" s="70"/>
      <c r="N11" s="70"/>
      <c r="O11" s="70"/>
      <c r="P11" s="70"/>
      <c r="Q11" s="70"/>
      <c r="R11" s="70"/>
      <c r="S11" s="70"/>
      <c r="T11" s="70"/>
      <c r="U11" s="70"/>
      <c r="V11" s="70"/>
      <c r="W11" s="70"/>
      <c r="X11" s="70"/>
      <c r="Y11" s="70"/>
      <c r="Z11" s="70"/>
    </row>
    <row r="12">
      <c r="A12" s="63"/>
      <c r="B12" s="79"/>
      <c r="C12" s="77"/>
      <c r="D12" s="74" t="s">
        <v>2605</v>
      </c>
      <c r="E12" s="71"/>
      <c r="F12" s="70"/>
      <c r="G12" s="70"/>
      <c r="H12" s="70"/>
      <c r="I12" s="70"/>
      <c r="J12" s="70"/>
      <c r="K12" s="70"/>
      <c r="L12" s="70"/>
      <c r="M12" s="70"/>
      <c r="N12" s="70"/>
      <c r="O12" s="70"/>
      <c r="P12" s="70"/>
      <c r="Q12" s="70"/>
      <c r="R12" s="70"/>
      <c r="S12" s="70"/>
      <c r="T12" s="70"/>
      <c r="U12" s="70"/>
      <c r="V12" s="70"/>
      <c r="W12" s="70"/>
      <c r="X12" s="70"/>
      <c r="Y12" s="70"/>
      <c r="Z12" s="70"/>
    </row>
    <row r="13">
      <c r="A13" s="70"/>
      <c r="B13" s="79"/>
      <c r="C13" s="77"/>
      <c r="D13" s="80" t="s">
        <v>2606</v>
      </c>
      <c r="E13" s="71"/>
      <c r="F13" s="70"/>
      <c r="G13" s="70"/>
      <c r="H13" s="70"/>
      <c r="I13" s="70"/>
      <c r="J13" s="70"/>
      <c r="K13" s="70"/>
      <c r="L13" s="70"/>
      <c r="M13" s="70"/>
      <c r="N13" s="70"/>
      <c r="O13" s="70"/>
      <c r="P13" s="70"/>
      <c r="Q13" s="70"/>
      <c r="R13" s="70"/>
      <c r="S13" s="70"/>
      <c r="T13" s="70"/>
      <c r="U13" s="70"/>
      <c r="V13" s="70"/>
      <c r="W13" s="70"/>
      <c r="X13" s="70"/>
      <c r="Y13" s="70"/>
      <c r="Z13" s="70"/>
    </row>
    <row r="14">
      <c r="A14" s="70"/>
      <c r="B14" s="79"/>
      <c r="C14" s="77"/>
      <c r="D14" s="78"/>
      <c r="E14" s="71"/>
      <c r="F14" s="70"/>
      <c r="G14" s="70"/>
      <c r="H14" s="70"/>
      <c r="I14" s="70"/>
      <c r="J14" s="70"/>
      <c r="K14" s="70"/>
      <c r="L14" s="70"/>
      <c r="M14" s="70"/>
      <c r="N14" s="70"/>
      <c r="O14" s="70"/>
      <c r="P14" s="70"/>
      <c r="Q14" s="70"/>
      <c r="R14" s="70"/>
      <c r="S14" s="70"/>
      <c r="T14" s="70"/>
      <c r="U14" s="70"/>
      <c r="V14" s="70"/>
      <c r="W14" s="70"/>
      <c r="X14" s="70"/>
      <c r="Y14" s="70"/>
      <c r="Z14" s="70"/>
    </row>
    <row r="15">
      <c r="A15" s="70"/>
      <c r="B15" s="79"/>
      <c r="C15" s="77"/>
      <c r="D15" s="78"/>
      <c r="E15" s="71"/>
      <c r="F15" s="70"/>
      <c r="G15" s="70"/>
      <c r="H15" s="70"/>
      <c r="I15" s="70"/>
      <c r="J15" s="70"/>
      <c r="K15" s="70"/>
      <c r="L15" s="70"/>
      <c r="M15" s="70"/>
      <c r="N15" s="70"/>
      <c r="O15" s="70"/>
      <c r="P15" s="70"/>
      <c r="Q15" s="70"/>
      <c r="R15" s="70"/>
      <c r="S15" s="70"/>
      <c r="T15" s="70"/>
      <c r="U15" s="70"/>
      <c r="V15" s="70"/>
      <c r="W15" s="70"/>
      <c r="X15" s="70"/>
      <c r="Y15" s="70"/>
      <c r="Z15" s="70"/>
    </row>
    <row r="16">
      <c r="A16" s="70"/>
      <c r="B16" s="79"/>
      <c r="C16" s="77"/>
      <c r="D16" s="78"/>
      <c r="E16" s="71"/>
      <c r="F16" s="70"/>
      <c r="G16" s="70"/>
      <c r="H16" s="70"/>
      <c r="I16" s="70"/>
      <c r="J16" s="70"/>
      <c r="K16" s="70"/>
      <c r="L16" s="70"/>
      <c r="M16" s="70"/>
      <c r="N16" s="70"/>
      <c r="O16" s="70"/>
      <c r="P16" s="70"/>
      <c r="Q16" s="70"/>
      <c r="R16" s="70"/>
      <c r="S16" s="70"/>
      <c r="T16" s="70"/>
      <c r="U16" s="70"/>
      <c r="V16" s="70"/>
      <c r="W16" s="70"/>
      <c r="X16" s="70"/>
      <c r="Y16" s="70"/>
      <c r="Z16" s="70"/>
    </row>
    <row r="17">
      <c r="A17" s="70"/>
      <c r="B17" s="79"/>
      <c r="C17" s="77"/>
      <c r="D17" s="78"/>
      <c r="E17" s="71"/>
      <c r="F17" s="70"/>
      <c r="G17" s="70"/>
      <c r="H17" s="70"/>
      <c r="I17" s="70"/>
      <c r="J17" s="70"/>
      <c r="K17" s="70"/>
      <c r="L17" s="70"/>
      <c r="M17" s="70"/>
      <c r="N17" s="70"/>
      <c r="O17" s="70"/>
      <c r="P17" s="70"/>
      <c r="Q17" s="70"/>
      <c r="R17" s="70"/>
      <c r="S17" s="70"/>
      <c r="T17" s="70"/>
      <c r="U17" s="70"/>
      <c r="V17" s="70"/>
      <c r="W17" s="70"/>
      <c r="X17" s="70"/>
      <c r="Y17" s="70"/>
      <c r="Z17" s="70"/>
    </row>
    <row r="18">
      <c r="A18" s="70"/>
      <c r="B18" s="79"/>
      <c r="C18" s="77"/>
      <c r="D18" s="78"/>
      <c r="E18" s="71"/>
      <c r="F18" s="70"/>
      <c r="G18" s="70"/>
      <c r="H18" s="70"/>
      <c r="I18" s="70"/>
      <c r="J18" s="70"/>
      <c r="K18" s="70"/>
      <c r="L18" s="70"/>
      <c r="M18" s="70"/>
      <c r="N18" s="70"/>
      <c r="O18" s="70"/>
      <c r="P18" s="70"/>
      <c r="Q18" s="70"/>
      <c r="R18" s="70"/>
      <c r="S18" s="70"/>
      <c r="T18" s="70"/>
      <c r="U18" s="70"/>
      <c r="V18" s="70"/>
      <c r="W18" s="70"/>
      <c r="X18" s="70"/>
      <c r="Y18" s="70"/>
      <c r="Z18" s="70"/>
    </row>
    <row r="19">
      <c r="A19" s="70"/>
      <c r="B19" s="79"/>
      <c r="C19" s="77"/>
      <c r="D19" s="78"/>
      <c r="E19" s="71"/>
      <c r="F19" s="70"/>
      <c r="G19" s="70"/>
      <c r="H19" s="70"/>
      <c r="I19" s="70"/>
      <c r="J19" s="70"/>
      <c r="K19" s="70"/>
      <c r="L19" s="70"/>
      <c r="M19" s="70"/>
      <c r="N19" s="70"/>
      <c r="O19" s="70"/>
      <c r="P19" s="70"/>
      <c r="Q19" s="70"/>
      <c r="R19" s="70"/>
      <c r="S19" s="70"/>
      <c r="T19" s="70"/>
      <c r="U19" s="70"/>
      <c r="V19" s="70"/>
      <c r="W19" s="70"/>
      <c r="X19" s="70"/>
      <c r="Y19" s="70"/>
      <c r="Z19" s="70"/>
    </row>
    <row r="20">
      <c r="A20" s="70"/>
      <c r="B20" s="79"/>
      <c r="C20" s="77"/>
      <c r="D20" s="78"/>
      <c r="E20" s="71"/>
      <c r="F20" s="70"/>
      <c r="G20" s="70"/>
      <c r="H20" s="70"/>
      <c r="I20" s="70"/>
      <c r="J20" s="70"/>
      <c r="K20" s="70"/>
      <c r="L20" s="70"/>
      <c r="M20" s="70"/>
      <c r="N20" s="70"/>
      <c r="O20" s="63"/>
      <c r="P20" s="70"/>
      <c r="Q20" s="70"/>
      <c r="R20" s="70"/>
      <c r="S20" s="70"/>
      <c r="T20" s="70"/>
      <c r="U20" s="70"/>
      <c r="V20" s="70"/>
      <c r="W20" s="70"/>
      <c r="X20" s="70"/>
      <c r="Y20" s="70"/>
      <c r="Z20" s="70"/>
    </row>
    <row r="21">
      <c r="A21" s="70"/>
      <c r="B21" s="79"/>
      <c r="C21" s="77"/>
      <c r="D21" s="78"/>
      <c r="E21" s="71"/>
      <c r="F21" s="70"/>
      <c r="G21" s="70"/>
      <c r="H21" s="70"/>
      <c r="I21" s="70"/>
      <c r="J21" s="70"/>
      <c r="K21" s="70"/>
      <c r="L21" s="70"/>
      <c r="M21" s="70"/>
      <c r="N21" s="70"/>
      <c r="O21" s="70"/>
      <c r="P21" s="70"/>
      <c r="Q21" s="70"/>
      <c r="R21" s="70"/>
      <c r="S21" s="70"/>
      <c r="T21" s="70"/>
      <c r="U21" s="70"/>
      <c r="V21" s="70"/>
      <c r="W21" s="70"/>
      <c r="X21" s="70"/>
      <c r="Y21" s="70"/>
      <c r="Z21" s="70"/>
    </row>
    <row r="22">
      <c r="A22" s="70"/>
      <c r="B22" s="79"/>
      <c r="C22" s="77"/>
      <c r="D22" s="78"/>
      <c r="E22" s="71"/>
      <c r="F22" s="70"/>
      <c r="G22" s="70"/>
      <c r="H22" s="70"/>
      <c r="I22" s="70"/>
      <c r="J22" s="70"/>
      <c r="K22" s="70"/>
      <c r="L22" s="70"/>
      <c r="M22" s="70"/>
      <c r="N22" s="70"/>
      <c r="O22" s="70"/>
      <c r="P22" s="70"/>
      <c r="Q22" s="70"/>
      <c r="R22" s="70"/>
      <c r="S22" s="70"/>
      <c r="T22" s="70"/>
      <c r="U22" s="70"/>
      <c r="V22" s="70"/>
      <c r="W22" s="70"/>
      <c r="X22" s="70"/>
      <c r="Y22" s="70"/>
      <c r="Z22" s="70"/>
    </row>
    <row r="23">
      <c r="A23" s="70"/>
      <c r="B23" s="79"/>
      <c r="C23" s="77"/>
      <c r="D23" s="78"/>
      <c r="E23" s="71"/>
      <c r="F23" s="70"/>
      <c r="G23" s="70"/>
      <c r="H23" s="70"/>
      <c r="I23" s="70"/>
      <c r="J23" s="70"/>
      <c r="K23" s="70"/>
      <c r="L23" s="70"/>
      <c r="M23" s="70"/>
      <c r="N23" s="70"/>
      <c r="O23" s="70"/>
      <c r="P23" s="70"/>
      <c r="Q23" s="70"/>
      <c r="R23" s="70"/>
      <c r="S23" s="70"/>
      <c r="T23" s="70"/>
      <c r="U23" s="70"/>
      <c r="V23" s="70"/>
      <c r="W23" s="70"/>
      <c r="X23" s="70"/>
      <c r="Y23" s="70"/>
      <c r="Z23" s="70"/>
    </row>
    <row r="24">
      <c r="A24" s="70"/>
      <c r="B24" s="79"/>
      <c r="C24" s="77"/>
      <c r="D24" s="78"/>
      <c r="E24" s="71"/>
      <c r="F24" s="70"/>
      <c r="G24" s="70"/>
      <c r="H24" s="70"/>
      <c r="I24" s="70"/>
      <c r="J24" s="70"/>
      <c r="K24" s="70"/>
      <c r="L24" s="70"/>
      <c r="M24" s="70"/>
      <c r="N24" s="70"/>
      <c r="O24" s="70"/>
      <c r="P24" s="70"/>
      <c r="Q24" s="70"/>
      <c r="R24" s="70"/>
      <c r="S24" s="70"/>
      <c r="T24" s="70"/>
      <c r="U24" s="70"/>
      <c r="V24" s="70"/>
      <c r="W24" s="70"/>
      <c r="X24" s="70"/>
      <c r="Y24" s="70"/>
      <c r="Z24" s="70"/>
    </row>
    <row r="25">
      <c r="A25" s="70"/>
      <c r="B25" s="79"/>
      <c r="C25" s="77"/>
      <c r="D25" s="78"/>
      <c r="E25" s="71"/>
      <c r="F25" s="70"/>
      <c r="G25" s="70"/>
      <c r="H25" s="70"/>
      <c r="I25" s="70"/>
      <c r="J25" s="70"/>
      <c r="K25" s="70"/>
      <c r="L25" s="70"/>
      <c r="M25" s="70"/>
      <c r="N25" s="70"/>
      <c r="O25" s="70"/>
      <c r="P25" s="70"/>
      <c r="Q25" s="70"/>
      <c r="R25" s="70"/>
      <c r="S25" s="70"/>
      <c r="T25" s="70"/>
      <c r="U25" s="70"/>
      <c r="V25" s="70"/>
      <c r="W25" s="70"/>
      <c r="X25" s="70"/>
      <c r="Y25" s="70"/>
      <c r="Z25" s="70"/>
    </row>
    <row r="26">
      <c r="A26" s="70"/>
      <c r="B26" s="79"/>
      <c r="C26" s="77"/>
      <c r="D26" s="78"/>
      <c r="E26" s="71"/>
      <c r="F26" s="70"/>
      <c r="G26" s="70"/>
      <c r="H26" s="70"/>
      <c r="I26" s="70"/>
      <c r="J26" s="70"/>
      <c r="K26" s="70"/>
      <c r="L26" s="70"/>
      <c r="M26" s="70"/>
      <c r="N26" s="70"/>
      <c r="O26" s="70"/>
      <c r="P26" s="70"/>
      <c r="Q26" s="70"/>
      <c r="R26" s="70"/>
      <c r="S26" s="70"/>
      <c r="T26" s="70"/>
      <c r="U26" s="70"/>
      <c r="V26" s="70"/>
      <c r="W26" s="70"/>
      <c r="X26" s="70"/>
      <c r="Y26" s="70"/>
      <c r="Z26" s="70"/>
    </row>
    <row r="27">
      <c r="A27" s="70"/>
      <c r="B27" s="79"/>
      <c r="C27" s="77"/>
      <c r="D27" s="78"/>
      <c r="E27" s="71"/>
      <c r="F27" s="70"/>
      <c r="G27" s="70"/>
      <c r="H27" s="70"/>
      <c r="I27" s="70"/>
      <c r="J27" s="70"/>
      <c r="K27" s="70"/>
      <c r="L27" s="70"/>
      <c r="M27" s="70"/>
      <c r="N27" s="70"/>
      <c r="O27" s="70"/>
      <c r="P27" s="70"/>
      <c r="Q27" s="70"/>
      <c r="R27" s="70"/>
      <c r="S27" s="70"/>
      <c r="T27" s="70"/>
      <c r="U27" s="70"/>
      <c r="V27" s="70"/>
      <c r="W27" s="70"/>
      <c r="X27" s="70"/>
      <c r="Y27" s="70"/>
      <c r="Z27" s="70"/>
    </row>
    <row r="28">
      <c r="A28" s="70"/>
      <c r="B28" s="79"/>
      <c r="C28" s="77"/>
      <c r="D28" s="78"/>
      <c r="E28" s="71"/>
      <c r="F28" s="70"/>
      <c r="G28" s="70"/>
      <c r="H28" s="70"/>
      <c r="I28" s="70"/>
      <c r="J28" s="70"/>
      <c r="K28" s="70"/>
      <c r="L28" s="70"/>
      <c r="M28" s="70"/>
      <c r="N28" s="70"/>
      <c r="O28" s="70"/>
      <c r="P28" s="70"/>
      <c r="Q28" s="70"/>
      <c r="R28" s="70"/>
      <c r="S28" s="70"/>
      <c r="T28" s="70"/>
      <c r="U28" s="70"/>
      <c r="V28" s="70"/>
      <c r="W28" s="70"/>
      <c r="X28" s="70"/>
      <c r="Y28" s="70"/>
      <c r="Z28" s="70"/>
    </row>
    <row r="29">
      <c r="A29" s="70"/>
      <c r="B29" s="79"/>
      <c r="C29" s="77"/>
      <c r="D29" s="78"/>
      <c r="E29" s="71"/>
      <c r="F29" s="70"/>
      <c r="G29" s="70"/>
      <c r="H29" s="70"/>
      <c r="I29" s="70"/>
      <c r="J29" s="70"/>
      <c r="K29" s="70"/>
      <c r="L29" s="70"/>
      <c r="M29" s="70"/>
      <c r="N29" s="70"/>
      <c r="O29" s="70"/>
      <c r="P29" s="70"/>
      <c r="Q29" s="70"/>
      <c r="R29" s="70"/>
      <c r="S29" s="70"/>
      <c r="T29" s="70"/>
      <c r="U29" s="70"/>
      <c r="V29" s="70"/>
      <c r="W29" s="70"/>
      <c r="X29" s="70"/>
      <c r="Y29" s="70"/>
      <c r="Z29" s="70"/>
    </row>
    <row r="30">
      <c r="A30" s="70"/>
      <c r="B30" s="79"/>
      <c r="C30" s="77"/>
      <c r="D30" s="78"/>
      <c r="E30" s="71"/>
      <c r="F30" s="70"/>
      <c r="G30" s="70"/>
      <c r="H30" s="70"/>
      <c r="I30" s="70"/>
      <c r="J30" s="70"/>
      <c r="K30" s="70"/>
      <c r="L30" s="70"/>
      <c r="M30" s="70"/>
      <c r="N30" s="70"/>
      <c r="O30" s="70"/>
      <c r="P30" s="70"/>
      <c r="Q30" s="70"/>
      <c r="R30" s="70"/>
      <c r="S30" s="70"/>
      <c r="T30" s="70"/>
      <c r="U30" s="70"/>
      <c r="V30" s="70"/>
      <c r="W30" s="70"/>
      <c r="X30" s="70"/>
      <c r="Y30" s="70"/>
      <c r="Z30" s="70"/>
    </row>
    <row r="31">
      <c r="A31" s="70"/>
      <c r="B31" s="79"/>
      <c r="C31" s="77"/>
      <c r="D31" s="78"/>
      <c r="E31" s="71"/>
      <c r="F31" s="70"/>
      <c r="G31" s="70"/>
      <c r="H31" s="70"/>
      <c r="I31" s="70"/>
      <c r="J31" s="70"/>
      <c r="K31" s="70"/>
      <c r="L31" s="70"/>
      <c r="M31" s="70"/>
      <c r="N31" s="70"/>
      <c r="O31" s="70"/>
      <c r="P31" s="70"/>
      <c r="Q31" s="70"/>
      <c r="R31" s="70"/>
      <c r="S31" s="70"/>
      <c r="T31" s="70"/>
      <c r="U31" s="70"/>
      <c r="V31" s="70"/>
      <c r="W31" s="70"/>
      <c r="X31" s="70"/>
      <c r="Y31" s="70"/>
      <c r="Z31" s="70"/>
    </row>
    <row r="32">
      <c r="A32" s="70"/>
      <c r="B32" s="79"/>
      <c r="C32" s="77"/>
      <c r="D32" s="78"/>
      <c r="E32" s="71"/>
      <c r="F32" s="70"/>
      <c r="G32" s="70"/>
      <c r="H32" s="70"/>
      <c r="I32" s="70"/>
      <c r="J32" s="70"/>
      <c r="K32" s="70"/>
      <c r="L32" s="70"/>
      <c r="M32" s="70"/>
      <c r="N32" s="70"/>
      <c r="O32" s="70"/>
      <c r="P32" s="70"/>
      <c r="Q32" s="70"/>
      <c r="R32" s="70"/>
      <c r="S32" s="70"/>
      <c r="T32" s="70"/>
      <c r="U32" s="70"/>
      <c r="V32" s="70"/>
      <c r="W32" s="70"/>
      <c r="X32" s="70"/>
      <c r="Y32" s="70"/>
      <c r="Z32" s="70"/>
    </row>
    <row r="33">
      <c r="A33" s="70"/>
      <c r="B33" s="79"/>
      <c r="C33" s="77"/>
      <c r="D33" s="78"/>
      <c r="E33" s="71"/>
      <c r="F33" s="70"/>
      <c r="G33" s="70"/>
      <c r="H33" s="70"/>
      <c r="I33" s="70"/>
      <c r="J33" s="70"/>
      <c r="K33" s="70"/>
      <c r="L33" s="70"/>
      <c r="M33" s="70"/>
      <c r="N33" s="70"/>
      <c r="O33" s="70"/>
      <c r="P33" s="70"/>
      <c r="Q33" s="70"/>
      <c r="R33" s="70"/>
      <c r="S33" s="70"/>
      <c r="T33" s="70"/>
      <c r="U33" s="70"/>
      <c r="V33" s="70"/>
      <c r="W33" s="70"/>
      <c r="X33" s="70"/>
      <c r="Y33" s="70"/>
      <c r="Z33" s="70"/>
    </row>
    <row r="34">
      <c r="A34" s="70"/>
      <c r="B34" s="79"/>
      <c r="C34" s="77"/>
      <c r="D34" s="78"/>
      <c r="E34" s="71"/>
      <c r="F34" s="70"/>
      <c r="G34" s="70"/>
      <c r="H34" s="70"/>
      <c r="I34" s="70"/>
      <c r="J34" s="70"/>
      <c r="K34" s="70"/>
      <c r="L34" s="70"/>
      <c r="M34" s="70"/>
      <c r="N34" s="70"/>
      <c r="O34" s="70"/>
      <c r="P34" s="70"/>
      <c r="Q34" s="70"/>
      <c r="R34" s="70"/>
      <c r="S34" s="70"/>
      <c r="T34" s="70"/>
      <c r="U34" s="70"/>
      <c r="V34" s="70"/>
      <c r="W34" s="70"/>
      <c r="X34" s="70"/>
      <c r="Y34" s="70"/>
      <c r="Z34" s="70"/>
    </row>
    <row r="35">
      <c r="A35" s="70"/>
      <c r="B35" s="79"/>
      <c r="C35" s="77"/>
      <c r="D35" s="78"/>
      <c r="E35" s="71"/>
      <c r="F35" s="70"/>
      <c r="G35" s="70"/>
      <c r="H35" s="70"/>
      <c r="I35" s="70"/>
      <c r="J35" s="70"/>
      <c r="K35" s="70"/>
      <c r="L35" s="70"/>
      <c r="M35" s="70"/>
      <c r="N35" s="70"/>
      <c r="O35" s="70"/>
      <c r="P35" s="70"/>
      <c r="Q35" s="70"/>
      <c r="R35" s="70"/>
      <c r="S35" s="70"/>
      <c r="T35" s="70"/>
      <c r="U35" s="70"/>
      <c r="V35" s="70"/>
      <c r="W35" s="70"/>
      <c r="X35" s="70"/>
      <c r="Y35" s="70"/>
      <c r="Z35" s="70"/>
    </row>
    <row r="36">
      <c r="A36" s="70"/>
      <c r="B36" s="79"/>
      <c r="C36" s="77"/>
      <c r="D36" s="78"/>
      <c r="E36" s="71"/>
      <c r="F36" s="70"/>
      <c r="G36" s="70"/>
      <c r="H36" s="70"/>
      <c r="I36" s="70"/>
      <c r="J36" s="70"/>
      <c r="K36" s="70"/>
      <c r="L36" s="70"/>
      <c r="M36" s="70"/>
      <c r="N36" s="70"/>
      <c r="O36" s="70"/>
      <c r="P36" s="70"/>
      <c r="Q36" s="70"/>
      <c r="R36" s="70"/>
      <c r="S36" s="70"/>
      <c r="T36" s="70"/>
      <c r="U36" s="70"/>
      <c r="V36" s="70"/>
      <c r="W36" s="70"/>
      <c r="X36" s="70"/>
      <c r="Y36" s="70"/>
      <c r="Z36" s="70"/>
    </row>
    <row r="37">
      <c r="A37" s="70"/>
      <c r="B37" s="79"/>
      <c r="C37" s="77"/>
      <c r="D37" s="78"/>
      <c r="E37" s="71"/>
      <c r="F37" s="70"/>
      <c r="G37" s="70"/>
      <c r="H37" s="70"/>
      <c r="I37" s="70"/>
      <c r="J37" s="70"/>
      <c r="K37" s="70"/>
      <c r="L37" s="70"/>
      <c r="M37" s="70"/>
      <c r="N37" s="70"/>
      <c r="O37" s="70"/>
      <c r="P37" s="70"/>
      <c r="Q37" s="70"/>
      <c r="R37" s="70"/>
      <c r="S37" s="70"/>
      <c r="T37" s="70"/>
      <c r="U37" s="70"/>
      <c r="V37" s="70"/>
      <c r="W37" s="70"/>
      <c r="X37" s="70"/>
      <c r="Y37" s="70"/>
      <c r="Z37" s="70"/>
    </row>
    <row r="38">
      <c r="A38" s="70"/>
      <c r="B38" s="79"/>
      <c r="C38" s="77"/>
      <c r="D38" s="78"/>
      <c r="E38" s="71"/>
      <c r="F38" s="70"/>
      <c r="G38" s="70"/>
      <c r="H38" s="70"/>
      <c r="I38" s="70"/>
      <c r="J38" s="70"/>
      <c r="K38" s="70"/>
      <c r="L38" s="70"/>
      <c r="M38" s="70"/>
      <c r="N38" s="70"/>
      <c r="O38" s="70"/>
      <c r="P38" s="70"/>
      <c r="Q38" s="70"/>
      <c r="R38" s="70"/>
      <c r="S38" s="70"/>
      <c r="T38" s="70"/>
      <c r="U38" s="70"/>
      <c r="V38" s="70"/>
      <c r="W38" s="70"/>
      <c r="X38" s="70"/>
      <c r="Y38" s="70"/>
      <c r="Z38" s="70"/>
    </row>
    <row r="39">
      <c r="A39" s="70"/>
      <c r="B39" s="79"/>
      <c r="C39" s="77"/>
      <c r="D39" s="78"/>
      <c r="E39" s="71"/>
      <c r="F39" s="70"/>
      <c r="G39" s="70"/>
      <c r="H39" s="70"/>
      <c r="I39" s="70"/>
      <c r="J39" s="70"/>
      <c r="K39" s="70"/>
      <c r="L39" s="70"/>
      <c r="M39" s="70"/>
      <c r="N39" s="70"/>
      <c r="O39" s="70"/>
      <c r="P39" s="70"/>
      <c r="Q39" s="70"/>
      <c r="R39" s="70"/>
      <c r="S39" s="70"/>
      <c r="T39" s="70"/>
      <c r="U39" s="70"/>
      <c r="V39" s="70"/>
      <c r="W39" s="70"/>
      <c r="X39" s="70"/>
      <c r="Y39" s="70"/>
      <c r="Z39" s="70"/>
    </row>
    <row r="40">
      <c r="A40" s="70"/>
      <c r="B40" s="79"/>
      <c r="C40" s="77"/>
      <c r="D40" s="78"/>
      <c r="E40" s="71"/>
      <c r="F40" s="70"/>
      <c r="G40" s="70"/>
      <c r="H40" s="70"/>
      <c r="I40" s="70"/>
      <c r="J40" s="70"/>
      <c r="K40" s="70"/>
      <c r="L40" s="70"/>
      <c r="M40" s="70"/>
      <c r="N40" s="70"/>
      <c r="O40" s="70"/>
      <c r="P40" s="70"/>
      <c r="Q40" s="70"/>
      <c r="R40" s="70"/>
      <c r="S40" s="70"/>
      <c r="T40" s="70"/>
      <c r="U40" s="70"/>
      <c r="V40" s="70"/>
      <c r="W40" s="70"/>
      <c r="X40" s="70"/>
      <c r="Y40" s="70"/>
      <c r="Z40" s="70"/>
    </row>
    <row r="41">
      <c r="A41" s="70"/>
      <c r="B41" s="79"/>
      <c r="C41" s="77"/>
      <c r="D41" s="78"/>
      <c r="E41" s="71"/>
      <c r="F41" s="70"/>
      <c r="G41" s="70"/>
      <c r="H41" s="70"/>
      <c r="I41" s="70"/>
      <c r="J41" s="70"/>
      <c r="K41" s="70"/>
      <c r="L41" s="70"/>
      <c r="M41" s="70"/>
      <c r="N41" s="70"/>
      <c r="O41" s="70"/>
      <c r="P41" s="70"/>
      <c r="Q41" s="70"/>
      <c r="R41" s="70"/>
      <c r="S41" s="70"/>
      <c r="T41" s="70"/>
      <c r="U41" s="70"/>
      <c r="V41" s="70"/>
      <c r="W41" s="70"/>
      <c r="X41" s="70"/>
      <c r="Y41" s="70"/>
      <c r="Z41" s="70"/>
    </row>
    <row r="42">
      <c r="A42" s="70"/>
      <c r="B42" s="79"/>
      <c r="C42" s="77"/>
      <c r="D42" s="78"/>
      <c r="E42" s="71"/>
      <c r="F42" s="70"/>
      <c r="G42" s="70"/>
      <c r="H42" s="70"/>
      <c r="I42" s="70"/>
      <c r="J42" s="70"/>
      <c r="K42" s="70"/>
      <c r="L42" s="70"/>
      <c r="M42" s="70"/>
      <c r="N42" s="70"/>
      <c r="O42" s="70"/>
      <c r="P42" s="70"/>
      <c r="Q42" s="70"/>
      <c r="R42" s="70"/>
      <c r="S42" s="70"/>
      <c r="T42" s="70"/>
      <c r="U42" s="70"/>
      <c r="V42" s="70"/>
      <c r="W42" s="70"/>
      <c r="X42" s="70"/>
      <c r="Y42" s="70"/>
      <c r="Z42" s="70"/>
    </row>
    <row r="43">
      <c r="A43" s="70"/>
      <c r="B43" s="79"/>
      <c r="C43" s="77"/>
      <c r="D43" s="78"/>
      <c r="E43" s="71"/>
      <c r="F43" s="70"/>
      <c r="G43" s="70"/>
      <c r="H43" s="70"/>
      <c r="I43" s="70"/>
      <c r="J43" s="70"/>
      <c r="K43" s="70"/>
      <c r="L43" s="70"/>
      <c r="M43" s="70"/>
      <c r="N43" s="70"/>
      <c r="O43" s="70"/>
      <c r="P43" s="70"/>
      <c r="Q43" s="70"/>
      <c r="R43" s="70"/>
      <c r="S43" s="70"/>
      <c r="T43" s="70"/>
      <c r="U43" s="70"/>
      <c r="V43" s="70"/>
      <c r="W43" s="70"/>
      <c r="X43" s="70"/>
      <c r="Y43" s="70"/>
      <c r="Z43" s="70"/>
    </row>
    <row r="44">
      <c r="A44" s="70"/>
      <c r="B44" s="79"/>
      <c r="C44" s="77"/>
      <c r="D44" s="78"/>
      <c r="E44" s="71"/>
      <c r="F44" s="70"/>
      <c r="G44" s="70"/>
      <c r="H44" s="70"/>
      <c r="I44" s="70"/>
      <c r="J44" s="70"/>
      <c r="K44" s="70"/>
      <c r="L44" s="70"/>
      <c r="M44" s="70"/>
      <c r="N44" s="70"/>
      <c r="O44" s="70"/>
      <c r="P44" s="70"/>
      <c r="Q44" s="70"/>
      <c r="R44" s="70"/>
      <c r="S44" s="70"/>
      <c r="T44" s="70"/>
      <c r="U44" s="70"/>
      <c r="V44" s="70"/>
      <c r="W44" s="70"/>
      <c r="X44" s="70"/>
      <c r="Y44" s="70"/>
      <c r="Z44" s="70"/>
    </row>
    <row r="45">
      <c r="A45" s="70"/>
      <c r="B45" s="79"/>
      <c r="C45" s="77"/>
      <c r="D45" s="78"/>
      <c r="E45" s="71"/>
      <c r="F45" s="70"/>
      <c r="G45" s="70"/>
      <c r="H45" s="70"/>
      <c r="I45" s="70"/>
      <c r="J45" s="70"/>
      <c r="K45" s="70"/>
      <c r="L45" s="70"/>
      <c r="M45" s="70"/>
      <c r="N45" s="70"/>
      <c r="O45" s="70"/>
      <c r="P45" s="70"/>
      <c r="Q45" s="70"/>
      <c r="R45" s="70"/>
      <c r="S45" s="70"/>
      <c r="T45" s="70"/>
      <c r="U45" s="70"/>
      <c r="V45" s="70"/>
      <c r="W45" s="70"/>
      <c r="X45" s="70"/>
      <c r="Y45" s="70"/>
      <c r="Z45" s="70"/>
    </row>
    <row r="46">
      <c r="A46" s="70"/>
      <c r="B46" s="79"/>
      <c r="C46" s="77"/>
      <c r="D46" s="78"/>
      <c r="E46" s="71"/>
      <c r="F46" s="70"/>
      <c r="G46" s="70"/>
      <c r="H46" s="70"/>
      <c r="I46" s="70"/>
      <c r="J46" s="70"/>
      <c r="K46" s="70"/>
      <c r="L46" s="70"/>
      <c r="M46" s="70"/>
      <c r="N46" s="70"/>
      <c r="O46" s="70"/>
      <c r="P46" s="70"/>
      <c r="Q46" s="70"/>
      <c r="R46" s="70"/>
      <c r="S46" s="70"/>
      <c r="T46" s="70"/>
      <c r="U46" s="70"/>
      <c r="V46" s="70"/>
      <c r="W46" s="70"/>
      <c r="X46" s="70"/>
      <c r="Y46" s="70"/>
      <c r="Z46" s="70"/>
    </row>
    <row r="47">
      <c r="A47" s="70"/>
      <c r="B47" s="79"/>
      <c r="C47" s="77"/>
      <c r="D47" s="78"/>
      <c r="E47" s="71"/>
      <c r="F47" s="70"/>
      <c r="G47" s="70"/>
      <c r="H47" s="70"/>
      <c r="I47" s="70"/>
      <c r="J47" s="70"/>
      <c r="K47" s="70"/>
      <c r="L47" s="70"/>
      <c r="M47" s="70"/>
      <c r="N47" s="70"/>
      <c r="O47" s="70"/>
      <c r="P47" s="70"/>
      <c r="Q47" s="70"/>
      <c r="R47" s="70"/>
      <c r="S47" s="70"/>
      <c r="T47" s="70"/>
      <c r="U47" s="70"/>
      <c r="V47" s="70"/>
      <c r="W47" s="70"/>
      <c r="X47" s="70"/>
      <c r="Y47" s="70"/>
      <c r="Z47" s="70"/>
    </row>
    <row r="48">
      <c r="A48" s="70"/>
      <c r="B48" s="79"/>
      <c r="C48" s="77"/>
      <c r="D48" s="78"/>
      <c r="E48" s="71"/>
      <c r="F48" s="70"/>
      <c r="G48" s="70"/>
      <c r="H48" s="70"/>
      <c r="I48" s="70"/>
      <c r="J48" s="70"/>
      <c r="K48" s="70"/>
      <c r="L48" s="70"/>
      <c r="M48" s="70"/>
      <c r="N48" s="70"/>
      <c r="O48" s="70"/>
      <c r="P48" s="70"/>
      <c r="Q48" s="70"/>
      <c r="R48" s="70"/>
      <c r="S48" s="70"/>
      <c r="T48" s="70"/>
      <c r="U48" s="70"/>
      <c r="V48" s="70"/>
      <c r="W48" s="70"/>
      <c r="X48" s="70"/>
      <c r="Y48" s="70"/>
      <c r="Z48" s="70"/>
    </row>
    <row r="49">
      <c r="A49" s="70"/>
      <c r="B49" s="79"/>
      <c r="C49" s="77"/>
      <c r="D49" s="78"/>
      <c r="E49" s="71"/>
      <c r="F49" s="70"/>
      <c r="G49" s="70"/>
      <c r="H49" s="70"/>
      <c r="I49" s="70"/>
      <c r="J49" s="70"/>
      <c r="K49" s="70"/>
      <c r="L49" s="70"/>
      <c r="M49" s="70"/>
      <c r="N49" s="70"/>
      <c r="O49" s="70"/>
      <c r="P49" s="70"/>
      <c r="Q49" s="70"/>
      <c r="R49" s="70"/>
      <c r="S49" s="70"/>
      <c r="T49" s="70"/>
      <c r="U49" s="70"/>
      <c r="V49" s="70"/>
      <c r="W49" s="70"/>
      <c r="X49" s="70"/>
      <c r="Y49" s="70"/>
      <c r="Z49" s="70"/>
    </row>
    <row r="50">
      <c r="A50" s="70"/>
      <c r="B50" s="79"/>
      <c r="C50" s="77"/>
      <c r="D50" s="78"/>
      <c r="E50" s="71"/>
      <c r="F50" s="70"/>
      <c r="G50" s="70"/>
      <c r="H50" s="70"/>
      <c r="I50" s="70"/>
      <c r="J50" s="70"/>
      <c r="K50" s="70"/>
      <c r="L50" s="70"/>
      <c r="M50" s="70"/>
      <c r="N50" s="70"/>
      <c r="O50" s="70"/>
      <c r="P50" s="70"/>
      <c r="Q50" s="70"/>
      <c r="R50" s="70"/>
      <c r="S50" s="70"/>
      <c r="T50" s="70"/>
      <c r="U50" s="70"/>
      <c r="V50" s="70"/>
      <c r="W50" s="70"/>
      <c r="X50" s="70"/>
      <c r="Y50" s="70"/>
      <c r="Z50" s="70"/>
    </row>
    <row r="51">
      <c r="A51" s="70"/>
      <c r="B51" s="79"/>
      <c r="C51" s="77"/>
      <c r="D51" s="78"/>
      <c r="E51" s="71"/>
      <c r="F51" s="70"/>
      <c r="G51" s="70"/>
      <c r="H51" s="70"/>
      <c r="I51" s="70"/>
      <c r="J51" s="70"/>
      <c r="K51" s="70"/>
      <c r="L51" s="70"/>
      <c r="M51" s="70"/>
      <c r="N51" s="70"/>
      <c r="O51" s="70"/>
      <c r="P51" s="70"/>
      <c r="Q51" s="70"/>
      <c r="R51" s="70"/>
      <c r="S51" s="70"/>
      <c r="T51" s="70"/>
      <c r="U51" s="70"/>
      <c r="V51" s="70"/>
      <c r="W51" s="70"/>
      <c r="X51" s="70"/>
      <c r="Y51" s="70"/>
      <c r="Z51" s="70"/>
    </row>
    <row r="52">
      <c r="A52" s="70"/>
      <c r="B52" s="79"/>
      <c r="C52" s="77"/>
      <c r="D52" s="78"/>
      <c r="E52" s="71"/>
      <c r="F52" s="70"/>
      <c r="G52" s="70"/>
      <c r="H52" s="70"/>
      <c r="I52" s="70"/>
      <c r="J52" s="70"/>
      <c r="K52" s="70"/>
      <c r="L52" s="70"/>
      <c r="M52" s="70"/>
      <c r="N52" s="70"/>
      <c r="O52" s="70"/>
      <c r="P52" s="70"/>
      <c r="Q52" s="70"/>
      <c r="R52" s="70"/>
      <c r="S52" s="70"/>
      <c r="T52" s="70"/>
      <c r="U52" s="70"/>
      <c r="V52" s="70"/>
      <c r="W52" s="70"/>
      <c r="X52" s="70"/>
      <c r="Y52" s="70"/>
      <c r="Z52" s="70"/>
    </row>
    <row r="53">
      <c r="A53" s="70"/>
      <c r="B53" s="79"/>
      <c r="C53" s="77"/>
      <c r="D53" s="78"/>
      <c r="E53" s="71"/>
      <c r="F53" s="70"/>
      <c r="G53" s="70"/>
      <c r="H53" s="70"/>
      <c r="I53" s="70"/>
      <c r="J53" s="70"/>
      <c r="K53" s="70"/>
      <c r="L53" s="70"/>
      <c r="M53" s="70"/>
      <c r="N53" s="70"/>
      <c r="O53" s="70"/>
      <c r="P53" s="70"/>
      <c r="Q53" s="70"/>
      <c r="R53" s="70"/>
      <c r="S53" s="70"/>
      <c r="T53" s="70"/>
      <c r="U53" s="70"/>
      <c r="V53" s="70"/>
      <c r="W53" s="70"/>
      <c r="X53" s="70"/>
      <c r="Y53" s="70"/>
      <c r="Z53" s="70"/>
    </row>
    <row r="54">
      <c r="A54" s="70"/>
      <c r="B54" s="79"/>
      <c r="C54" s="77"/>
      <c r="D54" s="78"/>
      <c r="E54" s="71"/>
      <c r="F54" s="70"/>
      <c r="G54" s="70"/>
      <c r="H54" s="70"/>
      <c r="I54" s="70"/>
      <c r="J54" s="70"/>
      <c r="K54" s="70"/>
      <c r="L54" s="70"/>
      <c r="M54" s="70"/>
      <c r="N54" s="70"/>
      <c r="O54" s="70"/>
      <c r="P54" s="70"/>
      <c r="Q54" s="70"/>
      <c r="R54" s="70"/>
      <c r="S54" s="70"/>
      <c r="T54" s="70"/>
      <c r="U54" s="70"/>
      <c r="V54" s="70"/>
      <c r="W54" s="70"/>
      <c r="X54" s="70"/>
      <c r="Y54" s="70"/>
      <c r="Z54" s="70"/>
    </row>
    <row r="55">
      <c r="A55" s="70"/>
      <c r="B55" s="79"/>
      <c r="C55" s="77"/>
      <c r="D55" s="78"/>
      <c r="E55" s="71"/>
      <c r="F55" s="70"/>
      <c r="G55" s="70"/>
      <c r="H55" s="70"/>
      <c r="I55" s="70"/>
      <c r="J55" s="70"/>
      <c r="K55" s="70"/>
      <c r="L55" s="70"/>
      <c r="M55" s="70"/>
      <c r="N55" s="70"/>
      <c r="O55" s="70"/>
      <c r="P55" s="70"/>
      <c r="Q55" s="70"/>
      <c r="R55" s="70"/>
      <c r="S55" s="70"/>
      <c r="T55" s="70"/>
      <c r="U55" s="70"/>
      <c r="V55" s="70"/>
      <c r="W55" s="70"/>
      <c r="X55" s="70"/>
      <c r="Y55" s="70"/>
      <c r="Z55" s="70"/>
    </row>
    <row r="56">
      <c r="A56" s="70"/>
      <c r="B56" s="79"/>
      <c r="C56" s="77"/>
      <c r="D56" s="78"/>
      <c r="E56" s="71"/>
      <c r="F56" s="70"/>
      <c r="G56" s="70"/>
      <c r="H56" s="70"/>
      <c r="I56" s="70"/>
      <c r="J56" s="70"/>
      <c r="K56" s="70"/>
      <c r="L56" s="70"/>
      <c r="M56" s="70"/>
      <c r="N56" s="70"/>
      <c r="O56" s="70"/>
      <c r="P56" s="70"/>
      <c r="Q56" s="70"/>
      <c r="R56" s="70"/>
      <c r="S56" s="70"/>
      <c r="T56" s="70"/>
      <c r="U56" s="70"/>
      <c r="V56" s="70"/>
      <c r="W56" s="70"/>
      <c r="X56" s="70"/>
      <c r="Y56" s="70"/>
      <c r="Z56" s="70"/>
    </row>
    <row r="57">
      <c r="A57" s="70"/>
      <c r="B57" s="79"/>
      <c r="C57" s="77"/>
      <c r="D57" s="78"/>
      <c r="E57" s="71"/>
      <c r="F57" s="70"/>
      <c r="G57" s="70"/>
      <c r="H57" s="70"/>
      <c r="I57" s="70"/>
      <c r="J57" s="70"/>
      <c r="K57" s="70"/>
      <c r="L57" s="70"/>
      <c r="M57" s="70"/>
      <c r="N57" s="70"/>
      <c r="O57" s="70"/>
      <c r="P57" s="70"/>
      <c r="Q57" s="70"/>
      <c r="R57" s="70"/>
      <c r="S57" s="70"/>
      <c r="T57" s="70"/>
      <c r="U57" s="70"/>
      <c r="V57" s="70"/>
      <c r="W57" s="70"/>
      <c r="X57" s="70"/>
      <c r="Y57" s="70"/>
      <c r="Z57" s="70"/>
    </row>
    <row r="58">
      <c r="A58" s="70"/>
      <c r="B58" s="79"/>
      <c r="C58" s="77"/>
      <c r="D58" s="78"/>
      <c r="E58" s="71"/>
      <c r="F58" s="70"/>
      <c r="G58" s="70"/>
      <c r="H58" s="70"/>
      <c r="I58" s="70"/>
      <c r="J58" s="70"/>
      <c r="K58" s="70"/>
      <c r="L58" s="70"/>
      <c r="M58" s="70"/>
      <c r="N58" s="70"/>
      <c r="O58" s="70"/>
      <c r="P58" s="70"/>
      <c r="Q58" s="70"/>
      <c r="R58" s="70"/>
      <c r="S58" s="70"/>
      <c r="T58" s="70"/>
      <c r="U58" s="70"/>
      <c r="V58" s="70"/>
      <c r="W58" s="70"/>
      <c r="X58" s="70"/>
      <c r="Y58" s="70"/>
      <c r="Z58" s="70"/>
    </row>
    <row r="59">
      <c r="A59" s="70"/>
      <c r="B59" s="79"/>
      <c r="C59" s="77"/>
      <c r="D59" s="78"/>
      <c r="E59" s="71"/>
      <c r="F59" s="70"/>
      <c r="G59" s="70"/>
      <c r="H59" s="70"/>
      <c r="I59" s="70"/>
      <c r="J59" s="70"/>
      <c r="K59" s="70"/>
      <c r="L59" s="70"/>
      <c r="M59" s="70"/>
      <c r="N59" s="70"/>
      <c r="O59" s="70"/>
      <c r="P59" s="70"/>
      <c r="Q59" s="70"/>
      <c r="R59" s="70"/>
      <c r="S59" s="70"/>
      <c r="T59" s="70"/>
      <c r="U59" s="70"/>
      <c r="V59" s="70"/>
      <c r="W59" s="70"/>
      <c r="X59" s="70"/>
      <c r="Y59" s="70"/>
      <c r="Z59" s="70"/>
    </row>
    <row r="60">
      <c r="A60" s="70"/>
      <c r="B60" s="79"/>
      <c r="C60" s="77"/>
      <c r="D60" s="78"/>
      <c r="E60" s="71"/>
      <c r="F60" s="70"/>
      <c r="G60" s="70"/>
      <c r="H60" s="70"/>
      <c r="I60" s="70"/>
      <c r="J60" s="70"/>
      <c r="K60" s="70"/>
      <c r="L60" s="70"/>
      <c r="M60" s="70"/>
      <c r="N60" s="70"/>
      <c r="O60" s="70"/>
      <c r="P60" s="70"/>
      <c r="Q60" s="70"/>
      <c r="R60" s="70"/>
      <c r="S60" s="70"/>
      <c r="T60" s="70"/>
      <c r="U60" s="70"/>
      <c r="V60" s="70"/>
      <c r="W60" s="70"/>
      <c r="X60" s="70"/>
      <c r="Y60" s="70"/>
      <c r="Z60" s="70"/>
    </row>
    <row r="61">
      <c r="A61" s="70"/>
      <c r="B61" s="79"/>
      <c r="C61" s="77"/>
      <c r="D61" s="78"/>
      <c r="E61" s="71"/>
      <c r="F61" s="70"/>
      <c r="G61" s="70"/>
      <c r="H61" s="70"/>
      <c r="I61" s="70"/>
      <c r="J61" s="70"/>
      <c r="K61" s="70"/>
      <c r="L61" s="70"/>
      <c r="M61" s="70"/>
      <c r="N61" s="70"/>
      <c r="O61" s="70"/>
      <c r="P61" s="70"/>
      <c r="Q61" s="70"/>
      <c r="R61" s="70"/>
      <c r="S61" s="70"/>
      <c r="T61" s="70"/>
      <c r="U61" s="70"/>
      <c r="V61" s="70"/>
      <c r="W61" s="70"/>
      <c r="X61" s="70"/>
      <c r="Y61" s="70"/>
      <c r="Z61" s="70"/>
    </row>
    <row r="62">
      <c r="A62" s="70"/>
      <c r="B62" s="79"/>
      <c r="C62" s="77"/>
      <c r="D62" s="78"/>
      <c r="E62" s="71"/>
      <c r="F62" s="70"/>
      <c r="G62" s="70"/>
      <c r="H62" s="70"/>
      <c r="I62" s="70"/>
      <c r="J62" s="70"/>
      <c r="K62" s="70"/>
      <c r="L62" s="70"/>
      <c r="M62" s="70"/>
      <c r="N62" s="70"/>
      <c r="O62" s="70"/>
      <c r="P62" s="70"/>
      <c r="Q62" s="70"/>
      <c r="R62" s="70"/>
      <c r="S62" s="70"/>
      <c r="T62" s="70"/>
      <c r="U62" s="70"/>
      <c r="V62" s="70"/>
      <c r="W62" s="70"/>
      <c r="X62" s="70"/>
      <c r="Y62" s="70"/>
      <c r="Z62" s="70"/>
    </row>
    <row r="63">
      <c r="A63" s="70"/>
      <c r="B63" s="79"/>
      <c r="C63" s="77"/>
      <c r="D63" s="78"/>
      <c r="E63" s="71"/>
      <c r="F63" s="70"/>
      <c r="G63" s="70"/>
      <c r="H63" s="70"/>
      <c r="I63" s="70"/>
      <c r="J63" s="70"/>
      <c r="K63" s="70"/>
      <c r="L63" s="70"/>
      <c r="M63" s="70"/>
      <c r="N63" s="70"/>
      <c r="O63" s="70"/>
      <c r="P63" s="70"/>
      <c r="Q63" s="70"/>
      <c r="R63" s="70"/>
      <c r="S63" s="70"/>
      <c r="T63" s="70"/>
      <c r="U63" s="70"/>
      <c r="V63" s="70"/>
      <c r="W63" s="70"/>
      <c r="X63" s="70"/>
      <c r="Y63" s="70"/>
      <c r="Z63" s="70"/>
    </row>
    <row r="64">
      <c r="A64" s="70"/>
      <c r="B64" s="79"/>
      <c r="C64" s="77"/>
      <c r="D64" s="78"/>
      <c r="E64" s="71"/>
      <c r="F64" s="70"/>
      <c r="G64" s="70"/>
      <c r="H64" s="70"/>
      <c r="I64" s="70"/>
      <c r="J64" s="70"/>
      <c r="K64" s="70"/>
      <c r="L64" s="70"/>
      <c r="M64" s="70"/>
      <c r="N64" s="70"/>
      <c r="O64" s="70"/>
      <c r="P64" s="70"/>
      <c r="Q64" s="70"/>
      <c r="R64" s="70"/>
      <c r="S64" s="70"/>
      <c r="T64" s="70"/>
      <c r="U64" s="70"/>
      <c r="V64" s="70"/>
      <c r="W64" s="70"/>
      <c r="X64" s="70"/>
      <c r="Y64" s="70"/>
      <c r="Z64" s="70"/>
    </row>
    <row r="65">
      <c r="A65" s="70"/>
      <c r="B65" s="79"/>
      <c r="C65" s="77"/>
      <c r="D65" s="78"/>
      <c r="E65" s="71"/>
      <c r="F65" s="70"/>
      <c r="G65" s="70"/>
      <c r="H65" s="70"/>
      <c r="I65" s="70"/>
      <c r="J65" s="70"/>
      <c r="K65" s="70"/>
      <c r="L65" s="70"/>
      <c r="M65" s="70"/>
      <c r="N65" s="70"/>
      <c r="O65" s="70"/>
      <c r="P65" s="70"/>
      <c r="Q65" s="70"/>
      <c r="R65" s="70"/>
      <c r="S65" s="70"/>
      <c r="T65" s="70"/>
      <c r="U65" s="70"/>
      <c r="V65" s="70"/>
      <c r="W65" s="70"/>
      <c r="X65" s="70"/>
      <c r="Y65" s="70"/>
      <c r="Z65" s="70"/>
    </row>
    <row r="66">
      <c r="A66" s="70"/>
      <c r="B66" s="79"/>
      <c r="C66" s="77"/>
      <c r="D66" s="78"/>
      <c r="E66" s="71"/>
      <c r="F66" s="70"/>
      <c r="G66" s="70"/>
      <c r="H66" s="70"/>
      <c r="I66" s="70"/>
      <c r="J66" s="70"/>
      <c r="K66" s="70"/>
      <c r="L66" s="70"/>
      <c r="M66" s="70"/>
      <c r="N66" s="70"/>
      <c r="O66" s="70"/>
      <c r="P66" s="70"/>
      <c r="Q66" s="70"/>
      <c r="R66" s="70"/>
      <c r="S66" s="70"/>
      <c r="T66" s="70"/>
      <c r="U66" s="70"/>
      <c r="V66" s="70"/>
      <c r="W66" s="70"/>
      <c r="X66" s="70"/>
      <c r="Y66" s="70"/>
      <c r="Z66" s="70"/>
    </row>
    <row r="67">
      <c r="A67" s="70"/>
      <c r="B67" s="79"/>
      <c r="C67" s="77"/>
      <c r="D67" s="78"/>
      <c r="E67" s="71"/>
      <c r="F67" s="70"/>
      <c r="G67" s="70"/>
      <c r="H67" s="70"/>
      <c r="I67" s="70"/>
      <c r="J67" s="70"/>
      <c r="K67" s="70"/>
      <c r="L67" s="70"/>
      <c r="M67" s="70"/>
      <c r="N67" s="70"/>
      <c r="O67" s="70"/>
      <c r="P67" s="70"/>
      <c r="Q67" s="70"/>
      <c r="R67" s="70"/>
      <c r="S67" s="70"/>
      <c r="T67" s="70"/>
      <c r="U67" s="70"/>
      <c r="V67" s="70"/>
      <c r="W67" s="70"/>
      <c r="X67" s="70"/>
      <c r="Y67" s="70"/>
      <c r="Z67" s="70"/>
    </row>
    <row r="68">
      <c r="A68" s="70"/>
      <c r="B68" s="79"/>
      <c r="C68" s="77"/>
      <c r="D68" s="78"/>
      <c r="E68" s="71"/>
      <c r="F68" s="70"/>
      <c r="G68" s="70"/>
      <c r="H68" s="70"/>
      <c r="I68" s="70"/>
      <c r="J68" s="70"/>
      <c r="K68" s="70"/>
      <c r="L68" s="70"/>
      <c r="M68" s="70"/>
      <c r="N68" s="70"/>
      <c r="O68" s="70"/>
      <c r="P68" s="70"/>
      <c r="Q68" s="70"/>
      <c r="R68" s="70"/>
      <c r="S68" s="70"/>
      <c r="T68" s="70"/>
      <c r="U68" s="70"/>
      <c r="V68" s="70"/>
      <c r="W68" s="70"/>
      <c r="X68" s="70"/>
      <c r="Y68" s="70"/>
      <c r="Z68" s="70"/>
    </row>
    <row r="69">
      <c r="A69" s="70"/>
      <c r="B69" s="79"/>
      <c r="C69" s="77"/>
      <c r="D69" s="78"/>
      <c r="E69" s="71"/>
      <c r="F69" s="70"/>
      <c r="G69" s="70"/>
      <c r="H69" s="70"/>
      <c r="I69" s="70"/>
      <c r="J69" s="70"/>
      <c r="K69" s="70"/>
      <c r="L69" s="70"/>
      <c r="M69" s="70"/>
      <c r="N69" s="70"/>
      <c r="O69" s="70"/>
      <c r="P69" s="70"/>
      <c r="Q69" s="70"/>
      <c r="R69" s="70"/>
      <c r="S69" s="70"/>
      <c r="T69" s="70"/>
      <c r="U69" s="70"/>
      <c r="V69" s="70"/>
      <c r="W69" s="70"/>
      <c r="X69" s="70"/>
      <c r="Y69" s="70"/>
      <c r="Z69" s="70"/>
    </row>
    <row r="70">
      <c r="A70" s="70"/>
      <c r="B70" s="79"/>
      <c r="C70" s="77"/>
      <c r="D70" s="78"/>
      <c r="E70" s="71"/>
      <c r="F70" s="70"/>
      <c r="G70" s="70"/>
      <c r="H70" s="70"/>
      <c r="I70" s="70"/>
      <c r="J70" s="70"/>
      <c r="K70" s="70"/>
      <c r="L70" s="70"/>
      <c r="M70" s="70"/>
      <c r="N70" s="70"/>
      <c r="O70" s="70"/>
      <c r="P70" s="70"/>
      <c r="Q70" s="70"/>
      <c r="R70" s="70"/>
      <c r="S70" s="70"/>
      <c r="T70" s="70"/>
      <c r="U70" s="70"/>
      <c r="V70" s="70"/>
      <c r="W70" s="70"/>
      <c r="X70" s="70"/>
      <c r="Y70" s="70"/>
      <c r="Z70" s="70"/>
    </row>
    <row r="71">
      <c r="A71" s="70"/>
      <c r="B71" s="79"/>
      <c r="C71" s="77"/>
      <c r="D71" s="78"/>
      <c r="E71" s="71"/>
      <c r="F71" s="70"/>
      <c r="G71" s="70"/>
      <c r="H71" s="70"/>
      <c r="I71" s="70"/>
      <c r="J71" s="70"/>
      <c r="K71" s="70"/>
      <c r="L71" s="70"/>
      <c r="M71" s="70"/>
      <c r="N71" s="70"/>
      <c r="O71" s="70"/>
      <c r="P71" s="70"/>
      <c r="Q71" s="70"/>
      <c r="R71" s="70"/>
      <c r="S71" s="70"/>
      <c r="T71" s="70"/>
      <c r="U71" s="70"/>
      <c r="V71" s="70"/>
      <c r="W71" s="70"/>
      <c r="X71" s="70"/>
      <c r="Y71" s="70"/>
      <c r="Z71" s="70"/>
    </row>
    <row r="72">
      <c r="A72" s="70"/>
      <c r="B72" s="79"/>
      <c r="C72" s="77"/>
      <c r="D72" s="78"/>
      <c r="E72" s="71"/>
      <c r="F72" s="70"/>
      <c r="G72" s="70"/>
      <c r="H72" s="70"/>
      <c r="I72" s="70"/>
      <c r="J72" s="70"/>
      <c r="K72" s="70"/>
      <c r="L72" s="70"/>
      <c r="M72" s="70"/>
      <c r="N72" s="70"/>
      <c r="O72" s="70"/>
      <c r="P72" s="70"/>
      <c r="Q72" s="70"/>
      <c r="R72" s="70"/>
      <c r="S72" s="70"/>
      <c r="T72" s="70"/>
      <c r="U72" s="70"/>
      <c r="V72" s="70"/>
      <c r="W72" s="70"/>
      <c r="X72" s="70"/>
      <c r="Y72" s="70"/>
      <c r="Z72" s="70"/>
    </row>
    <row r="73">
      <c r="A73" s="70"/>
      <c r="B73" s="79"/>
      <c r="C73" s="77"/>
      <c r="D73" s="78"/>
      <c r="E73" s="71"/>
      <c r="F73" s="70"/>
      <c r="G73" s="70"/>
      <c r="H73" s="70"/>
      <c r="I73" s="70"/>
      <c r="J73" s="70"/>
      <c r="K73" s="70"/>
      <c r="L73" s="70"/>
      <c r="M73" s="70"/>
      <c r="N73" s="70"/>
      <c r="O73" s="70"/>
      <c r="P73" s="70"/>
      <c r="Q73" s="70"/>
      <c r="R73" s="70"/>
      <c r="S73" s="70"/>
      <c r="T73" s="70"/>
      <c r="U73" s="70"/>
      <c r="V73" s="70"/>
      <c r="W73" s="70"/>
      <c r="X73" s="70"/>
      <c r="Y73" s="70"/>
      <c r="Z73" s="70"/>
    </row>
    <row r="74">
      <c r="A74" s="70"/>
      <c r="B74" s="79"/>
      <c r="C74" s="77"/>
      <c r="D74" s="78"/>
      <c r="E74" s="71"/>
      <c r="F74" s="70"/>
      <c r="G74" s="70"/>
      <c r="H74" s="70"/>
      <c r="I74" s="70"/>
      <c r="J74" s="70"/>
      <c r="K74" s="70"/>
      <c r="L74" s="70"/>
      <c r="M74" s="70"/>
      <c r="N74" s="70"/>
      <c r="O74" s="70"/>
      <c r="P74" s="70"/>
      <c r="Q74" s="70"/>
      <c r="R74" s="70"/>
      <c r="S74" s="70"/>
      <c r="T74" s="70"/>
      <c r="U74" s="70"/>
      <c r="V74" s="70"/>
      <c r="W74" s="70"/>
      <c r="X74" s="70"/>
      <c r="Y74" s="70"/>
      <c r="Z74" s="70"/>
    </row>
    <row r="75">
      <c r="A75" s="70"/>
      <c r="B75" s="79"/>
      <c r="C75" s="77"/>
      <c r="D75" s="78"/>
      <c r="E75" s="71"/>
      <c r="F75" s="70"/>
      <c r="G75" s="70"/>
      <c r="H75" s="70"/>
      <c r="I75" s="70"/>
      <c r="J75" s="70"/>
      <c r="K75" s="70"/>
      <c r="L75" s="70"/>
      <c r="M75" s="70"/>
      <c r="N75" s="70"/>
      <c r="O75" s="70"/>
      <c r="P75" s="70"/>
      <c r="Q75" s="70"/>
      <c r="R75" s="70"/>
      <c r="S75" s="70"/>
      <c r="T75" s="70"/>
      <c r="U75" s="70"/>
      <c r="V75" s="70"/>
      <c r="W75" s="70"/>
      <c r="X75" s="70"/>
      <c r="Y75" s="70"/>
      <c r="Z75" s="70"/>
    </row>
    <row r="76">
      <c r="A76" s="70"/>
      <c r="B76" s="79"/>
      <c r="C76" s="77"/>
      <c r="D76" s="78"/>
      <c r="E76" s="71"/>
      <c r="F76" s="70"/>
      <c r="G76" s="70"/>
      <c r="H76" s="70"/>
      <c r="I76" s="70"/>
      <c r="J76" s="70"/>
      <c r="K76" s="70"/>
      <c r="L76" s="70"/>
      <c r="M76" s="70"/>
      <c r="N76" s="70"/>
      <c r="O76" s="70"/>
      <c r="P76" s="70"/>
      <c r="Q76" s="70"/>
      <c r="R76" s="70"/>
      <c r="S76" s="70"/>
      <c r="T76" s="70"/>
      <c r="U76" s="70"/>
      <c r="V76" s="70"/>
      <c r="W76" s="70"/>
      <c r="X76" s="70"/>
      <c r="Y76" s="70"/>
      <c r="Z76" s="70"/>
    </row>
    <row r="77">
      <c r="A77" s="70"/>
      <c r="B77" s="79"/>
      <c r="C77" s="77"/>
      <c r="D77" s="78"/>
      <c r="E77" s="71"/>
      <c r="F77" s="70"/>
      <c r="G77" s="70"/>
      <c r="H77" s="70"/>
      <c r="I77" s="70"/>
      <c r="J77" s="70"/>
      <c r="K77" s="70"/>
      <c r="L77" s="70"/>
      <c r="M77" s="70"/>
      <c r="N77" s="70"/>
      <c r="O77" s="70"/>
      <c r="P77" s="70"/>
      <c r="Q77" s="70"/>
      <c r="R77" s="70"/>
      <c r="S77" s="70"/>
      <c r="T77" s="70"/>
      <c r="U77" s="70"/>
      <c r="V77" s="70"/>
      <c r="W77" s="70"/>
      <c r="X77" s="70"/>
      <c r="Y77" s="70"/>
      <c r="Z77" s="70"/>
    </row>
    <row r="78">
      <c r="A78" s="70"/>
      <c r="B78" s="79"/>
      <c r="C78" s="77"/>
      <c r="D78" s="78"/>
      <c r="E78" s="71"/>
      <c r="F78" s="70"/>
      <c r="G78" s="70"/>
      <c r="H78" s="70"/>
      <c r="I78" s="70"/>
      <c r="J78" s="70"/>
      <c r="K78" s="70"/>
      <c r="L78" s="70"/>
      <c r="M78" s="70"/>
      <c r="N78" s="70"/>
      <c r="O78" s="70"/>
      <c r="P78" s="70"/>
      <c r="Q78" s="70"/>
      <c r="R78" s="70"/>
      <c r="S78" s="70"/>
      <c r="T78" s="70"/>
      <c r="U78" s="70"/>
      <c r="V78" s="70"/>
      <c r="W78" s="70"/>
      <c r="X78" s="70"/>
      <c r="Y78" s="70"/>
      <c r="Z78" s="70"/>
    </row>
    <row r="79">
      <c r="A79" s="70"/>
      <c r="B79" s="79"/>
      <c r="C79" s="77"/>
      <c r="D79" s="78"/>
      <c r="E79" s="71"/>
      <c r="F79" s="70"/>
      <c r="G79" s="70"/>
      <c r="H79" s="70"/>
      <c r="I79" s="70"/>
      <c r="J79" s="70"/>
      <c r="K79" s="70"/>
      <c r="L79" s="70"/>
      <c r="M79" s="70"/>
      <c r="N79" s="70"/>
      <c r="O79" s="70"/>
      <c r="P79" s="70"/>
      <c r="Q79" s="70"/>
      <c r="R79" s="70"/>
      <c r="S79" s="70"/>
      <c r="T79" s="70"/>
      <c r="U79" s="70"/>
      <c r="V79" s="70"/>
      <c r="W79" s="70"/>
      <c r="X79" s="70"/>
      <c r="Y79" s="70"/>
      <c r="Z79" s="70"/>
    </row>
    <row r="80">
      <c r="A80" s="70"/>
      <c r="B80" s="79"/>
      <c r="C80" s="77"/>
      <c r="D80" s="78"/>
      <c r="E80" s="71"/>
      <c r="F80" s="70"/>
      <c r="G80" s="70"/>
      <c r="H80" s="70"/>
      <c r="I80" s="70"/>
      <c r="J80" s="70"/>
      <c r="K80" s="70"/>
      <c r="L80" s="70"/>
      <c r="M80" s="70"/>
      <c r="N80" s="70"/>
      <c r="O80" s="70"/>
      <c r="P80" s="70"/>
      <c r="Q80" s="70"/>
      <c r="R80" s="70"/>
      <c r="S80" s="70"/>
      <c r="T80" s="70"/>
      <c r="U80" s="70"/>
      <c r="V80" s="70"/>
      <c r="W80" s="70"/>
      <c r="X80" s="70"/>
      <c r="Y80" s="70"/>
      <c r="Z80" s="70"/>
    </row>
    <row r="81">
      <c r="A81" s="70"/>
      <c r="B81" s="79"/>
      <c r="C81" s="77"/>
      <c r="D81" s="78"/>
      <c r="E81" s="71"/>
      <c r="F81" s="70"/>
      <c r="G81" s="70"/>
      <c r="H81" s="70"/>
      <c r="I81" s="70"/>
      <c r="J81" s="70"/>
      <c r="K81" s="70"/>
      <c r="L81" s="70"/>
      <c r="M81" s="70"/>
      <c r="N81" s="70"/>
      <c r="O81" s="70"/>
      <c r="P81" s="70"/>
      <c r="Q81" s="70"/>
      <c r="R81" s="70"/>
      <c r="S81" s="70"/>
      <c r="T81" s="70"/>
      <c r="U81" s="70"/>
      <c r="V81" s="70"/>
      <c r="W81" s="70"/>
      <c r="X81" s="70"/>
      <c r="Y81" s="70"/>
      <c r="Z81" s="70"/>
    </row>
    <row r="82">
      <c r="A82" s="70"/>
      <c r="B82" s="79"/>
      <c r="C82" s="77"/>
      <c r="D82" s="78"/>
      <c r="E82" s="71"/>
      <c r="F82" s="70"/>
      <c r="G82" s="70"/>
      <c r="H82" s="70"/>
      <c r="I82" s="70"/>
      <c r="J82" s="70"/>
      <c r="K82" s="70"/>
      <c r="L82" s="70"/>
      <c r="M82" s="70"/>
      <c r="N82" s="70"/>
      <c r="O82" s="70"/>
      <c r="P82" s="70"/>
      <c r="Q82" s="70"/>
      <c r="R82" s="70"/>
      <c r="S82" s="70"/>
      <c r="T82" s="70"/>
      <c r="U82" s="70"/>
      <c r="V82" s="70"/>
      <c r="W82" s="70"/>
      <c r="X82" s="70"/>
      <c r="Y82" s="70"/>
      <c r="Z82" s="70"/>
    </row>
    <row r="83">
      <c r="A83" s="70"/>
      <c r="B83" s="79"/>
      <c r="C83" s="77"/>
      <c r="D83" s="78"/>
      <c r="E83" s="71"/>
      <c r="F83" s="70"/>
      <c r="G83" s="70"/>
      <c r="H83" s="70"/>
      <c r="I83" s="70"/>
      <c r="J83" s="70"/>
      <c r="K83" s="70"/>
      <c r="L83" s="70"/>
      <c r="M83" s="70"/>
      <c r="N83" s="70"/>
      <c r="O83" s="70"/>
      <c r="P83" s="70"/>
      <c r="Q83" s="70"/>
      <c r="R83" s="70"/>
      <c r="S83" s="70"/>
      <c r="T83" s="70"/>
      <c r="U83" s="70"/>
      <c r="V83" s="70"/>
      <c r="W83" s="70"/>
      <c r="X83" s="70"/>
      <c r="Y83" s="70"/>
      <c r="Z83" s="70"/>
    </row>
    <row r="84">
      <c r="A84" s="70"/>
      <c r="B84" s="79"/>
      <c r="C84" s="77"/>
      <c r="D84" s="78"/>
      <c r="E84" s="71"/>
      <c r="F84" s="70"/>
      <c r="G84" s="70"/>
      <c r="H84" s="70"/>
      <c r="I84" s="70"/>
      <c r="J84" s="70"/>
      <c r="K84" s="70"/>
      <c r="L84" s="70"/>
      <c r="M84" s="70"/>
      <c r="N84" s="70"/>
      <c r="O84" s="70"/>
      <c r="P84" s="70"/>
      <c r="Q84" s="70"/>
      <c r="R84" s="70"/>
      <c r="S84" s="70"/>
      <c r="T84" s="70"/>
      <c r="U84" s="70"/>
      <c r="V84" s="70"/>
      <c r="W84" s="70"/>
      <c r="X84" s="70"/>
      <c r="Y84" s="70"/>
      <c r="Z84" s="70"/>
    </row>
    <row r="85">
      <c r="A85" s="70"/>
      <c r="B85" s="79"/>
      <c r="C85" s="77"/>
      <c r="D85" s="78"/>
      <c r="E85" s="71"/>
      <c r="F85" s="70"/>
      <c r="G85" s="70"/>
      <c r="H85" s="70"/>
      <c r="I85" s="70"/>
      <c r="J85" s="70"/>
      <c r="K85" s="70"/>
      <c r="L85" s="70"/>
      <c r="M85" s="70"/>
      <c r="N85" s="70"/>
      <c r="O85" s="70"/>
      <c r="P85" s="70"/>
      <c r="Q85" s="70"/>
      <c r="R85" s="70"/>
      <c r="S85" s="70"/>
      <c r="T85" s="70"/>
      <c r="U85" s="70"/>
      <c r="V85" s="70"/>
      <c r="W85" s="70"/>
      <c r="X85" s="70"/>
      <c r="Y85" s="70"/>
      <c r="Z85" s="70"/>
    </row>
    <row r="86">
      <c r="A86" s="70"/>
      <c r="B86" s="79"/>
      <c r="C86" s="77"/>
      <c r="D86" s="78"/>
      <c r="E86" s="71"/>
      <c r="F86" s="70"/>
      <c r="G86" s="70"/>
      <c r="H86" s="70"/>
      <c r="I86" s="70"/>
      <c r="J86" s="70"/>
      <c r="K86" s="70"/>
      <c r="L86" s="70"/>
      <c r="M86" s="70"/>
      <c r="N86" s="70"/>
      <c r="O86" s="70"/>
      <c r="P86" s="70"/>
      <c r="Q86" s="70"/>
      <c r="R86" s="70"/>
      <c r="S86" s="70"/>
      <c r="T86" s="70"/>
      <c r="U86" s="70"/>
      <c r="V86" s="70"/>
      <c r="W86" s="70"/>
      <c r="X86" s="70"/>
      <c r="Y86" s="70"/>
      <c r="Z86" s="70"/>
    </row>
    <row r="87">
      <c r="A87" s="70"/>
      <c r="B87" s="79"/>
      <c r="C87" s="77"/>
      <c r="D87" s="78"/>
      <c r="E87" s="71"/>
      <c r="F87" s="70"/>
      <c r="G87" s="70"/>
      <c r="H87" s="70"/>
      <c r="I87" s="70"/>
      <c r="J87" s="70"/>
      <c r="K87" s="70"/>
      <c r="L87" s="70"/>
      <c r="M87" s="70"/>
      <c r="N87" s="70"/>
      <c r="O87" s="70"/>
      <c r="P87" s="70"/>
      <c r="Q87" s="70"/>
      <c r="R87" s="70"/>
      <c r="S87" s="70"/>
      <c r="T87" s="70"/>
      <c r="U87" s="70"/>
      <c r="V87" s="70"/>
      <c r="W87" s="70"/>
      <c r="X87" s="70"/>
      <c r="Y87" s="70"/>
      <c r="Z87" s="70"/>
    </row>
    <row r="88">
      <c r="A88" s="70"/>
      <c r="B88" s="79"/>
      <c r="C88" s="77"/>
      <c r="D88" s="78"/>
      <c r="E88" s="71"/>
      <c r="F88" s="70"/>
      <c r="G88" s="70"/>
      <c r="H88" s="70"/>
      <c r="I88" s="70"/>
      <c r="J88" s="70"/>
      <c r="K88" s="70"/>
      <c r="L88" s="70"/>
      <c r="M88" s="70"/>
      <c r="N88" s="70"/>
      <c r="O88" s="70"/>
      <c r="P88" s="70"/>
      <c r="Q88" s="70"/>
      <c r="R88" s="70"/>
      <c r="S88" s="70"/>
      <c r="T88" s="70"/>
      <c r="U88" s="70"/>
      <c r="V88" s="70"/>
      <c r="W88" s="70"/>
      <c r="X88" s="70"/>
      <c r="Y88" s="70"/>
      <c r="Z88" s="70"/>
    </row>
    <row r="89">
      <c r="A89" s="70"/>
      <c r="B89" s="79"/>
      <c r="C89" s="77"/>
      <c r="D89" s="78"/>
      <c r="E89" s="71"/>
      <c r="F89" s="70"/>
      <c r="G89" s="70"/>
      <c r="H89" s="70"/>
      <c r="I89" s="70"/>
      <c r="J89" s="70"/>
      <c r="K89" s="70"/>
      <c r="L89" s="70"/>
      <c r="M89" s="70"/>
      <c r="N89" s="70"/>
      <c r="O89" s="70"/>
      <c r="P89" s="70"/>
      <c r="Q89" s="70"/>
      <c r="R89" s="70"/>
      <c r="S89" s="70"/>
      <c r="T89" s="70"/>
      <c r="U89" s="70"/>
      <c r="V89" s="70"/>
      <c r="W89" s="70"/>
      <c r="X89" s="70"/>
      <c r="Y89" s="70"/>
      <c r="Z89" s="70"/>
    </row>
    <row r="90">
      <c r="A90" s="70"/>
      <c r="B90" s="79"/>
      <c r="C90" s="77"/>
      <c r="D90" s="78"/>
      <c r="E90" s="71"/>
      <c r="F90" s="70"/>
      <c r="G90" s="70"/>
      <c r="H90" s="70"/>
      <c r="I90" s="70"/>
      <c r="J90" s="70"/>
      <c r="K90" s="70"/>
      <c r="L90" s="70"/>
      <c r="M90" s="70"/>
      <c r="N90" s="70"/>
      <c r="O90" s="70"/>
      <c r="P90" s="70"/>
      <c r="Q90" s="70"/>
      <c r="R90" s="70"/>
      <c r="S90" s="70"/>
      <c r="T90" s="70"/>
      <c r="U90" s="70"/>
      <c r="V90" s="70"/>
      <c r="W90" s="70"/>
      <c r="X90" s="70"/>
      <c r="Y90" s="70"/>
      <c r="Z90" s="70"/>
    </row>
    <row r="91">
      <c r="A91" s="70"/>
      <c r="B91" s="79"/>
      <c r="C91" s="77"/>
      <c r="D91" s="78"/>
      <c r="E91" s="71"/>
      <c r="F91" s="70"/>
      <c r="G91" s="70"/>
      <c r="H91" s="70"/>
      <c r="I91" s="70"/>
      <c r="J91" s="70"/>
      <c r="K91" s="70"/>
      <c r="L91" s="70"/>
      <c r="M91" s="70"/>
      <c r="N91" s="70"/>
      <c r="O91" s="70"/>
      <c r="P91" s="70"/>
      <c r="Q91" s="70"/>
      <c r="R91" s="70"/>
      <c r="S91" s="70"/>
      <c r="T91" s="70"/>
      <c r="U91" s="70"/>
      <c r="V91" s="70"/>
      <c r="W91" s="70"/>
      <c r="X91" s="70"/>
      <c r="Y91" s="70"/>
      <c r="Z91" s="70"/>
    </row>
    <row r="92">
      <c r="A92" s="70"/>
      <c r="B92" s="79"/>
      <c r="C92" s="77"/>
      <c r="D92" s="78"/>
      <c r="E92" s="71"/>
      <c r="F92" s="70"/>
      <c r="G92" s="70"/>
      <c r="H92" s="70"/>
      <c r="I92" s="70"/>
      <c r="J92" s="70"/>
      <c r="K92" s="70"/>
      <c r="L92" s="70"/>
      <c r="M92" s="70"/>
      <c r="N92" s="70"/>
      <c r="O92" s="70"/>
      <c r="P92" s="70"/>
      <c r="Q92" s="70"/>
      <c r="R92" s="70"/>
      <c r="S92" s="70"/>
      <c r="T92" s="70"/>
      <c r="U92" s="70"/>
      <c r="V92" s="70"/>
      <c r="W92" s="70"/>
      <c r="X92" s="70"/>
      <c r="Y92" s="70"/>
      <c r="Z92" s="70"/>
    </row>
    <row r="93">
      <c r="A93" s="70"/>
      <c r="B93" s="79"/>
      <c r="C93" s="77"/>
      <c r="D93" s="78"/>
      <c r="E93" s="71"/>
      <c r="F93" s="70"/>
      <c r="G93" s="70"/>
      <c r="H93" s="70"/>
      <c r="I93" s="70"/>
      <c r="J93" s="70"/>
      <c r="K93" s="70"/>
      <c r="L93" s="70"/>
      <c r="M93" s="70"/>
      <c r="N93" s="70"/>
      <c r="O93" s="70"/>
      <c r="P93" s="70"/>
      <c r="Q93" s="70"/>
      <c r="R93" s="70"/>
      <c r="S93" s="70"/>
      <c r="T93" s="70"/>
      <c r="U93" s="70"/>
      <c r="V93" s="70"/>
      <c r="W93" s="70"/>
      <c r="X93" s="70"/>
      <c r="Y93" s="70"/>
      <c r="Z93" s="70"/>
    </row>
    <row r="94">
      <c r="A94" s="70"/>
      <c r="B94" s="79"/>
      <c r="C94" s="77"/>
      <c r="D94" s="78"/>
      <c r="E94" s="71"/>
      <c r="F94" s="70"/>
      <c r="G94" s="70"/>
      <c r="H94" s="70"/>
      <c r="I94" s="70"/>
      <c r="J94" s="70"/>
      <c r="K94" s="70"/>
      <c r="L94" s="70"/>
      <c r="M94" s="70"/>
      <c r="N94" s="70"/>
      <c r="O94" s="70"/>
      <c r="P94" s="70"/>
      <c r="Q94" s="70"/>
      <c r="R94" s="70"/>
      <c r="S94" s="70"/>
      <c r="T94" s="70"/>
      <c r="U94" s="70"/>
      <c r="V94" s="70"/>
      <c r="W94" s="70"/>
      <c r="X94" s="70"/>
      <c r="Y94" s="70"/>
      <c r="Z94" s="70"/>
    </row>
    <row r="95">
      <c r="A95" s="70"/>
      <c r="B95" s="79"/>
      <c r="C95" s="77"/>
      <c r="D95" s="78"/>
      <c r="E95" s="71"/>
      <c r="F95" s="70"/>
      <c r="G95" s="70"/>
      <c r="H95" s="70"/>
      <c r="I95" s="70"/>
      <c r="J95" s="70"/>
      <c r="K95" s="70"/>
      <c r="L95" s="70"/>
      <c r="M95" s="70"/>
      <c r="N95" s="70"/>
      <c r="O95" s="70"/>
      <c r="P95" s="70"/>
      <c r="Q95" s="70"/>
      <c r="R95" s="70"/>
      <c r="S95" s="70"/>
      <c r="T95" s="70"/>
      <c r="U95" s="70"/>
      <c r="V95" s="70"/>
      <c r="W95" s="70"/>
      <c r="X95" s="70"/>
      <c r="Y95" s="70"/>
      <c r="Z95" s="70"/>
    </row>
    <row r="96">
      <c r="A96" s="70"/>
      <c r="B96" s="79"/>
      <c r="C96" s="77"/>
      <c r="D96" s="78"/>
      <c r="E96" s="71"/>
      <c r="F96" s="70"/>
      <c r="G96" s="70"/>
      <c r="H96" s="70"/>
      <c r="I96" s="70"/>
      <c r="J96" s="70"/>
      <c r="K96" s="70"/>
      <c r="L96" s="70"/>
      <c r="M96" s="70"/>
      <c r="N96" s="70"/>
      <c r="O96" s="70"/>
      <c r="P96" s="70"/>
      <c r="Q96" s="70"/>
      <c r="R96" s="70"/>
      <c r="S96" s="70"/>
      <c r="T96" s="70"/>
      <c r="U96" s="70"/>
      <c r="V96" s="70"/>
      <c r="W96" s="70"/>
      <c r="X96" s="70"/>
      <c r="Y96" s="70"/>
      <c r="Z96" s="70"/>
    </row>
    <row r="97">
      <c r="A97" s="70"/>
      <c r="B97" s="79"/>
      <c r="C97" s="77"/>
      <c r="D97" s="78"/>
      <c r="E97" s="71"/>
      <c r="F97" s="70"/>
      <c r="G97" s="70"/>
      <c r="H97" s="70"/>
      <c r="I97" s="70"/>
      <c r="J97" s="70"/>
      <c r="K97" s="70"/>
      <c r="L97" s="70"/>
      <c r="M97" s="70"/>
      <c r="N97" s="70"/>
      <c r="O97" s="70"/>
      <c r="P97" s="70"/>
      <c r="Q97" s="70"/>
      <c r="R97" s="70"/>
      <c r="S97" s="70"/>
      <c r="T97" s="70"/>
      <c r="U97" s="70"/>
      <c r="V97" s="70"/>
      <c r="W97" s="70"/>
      <c r="X97" s="70"/>
      <c r="Y97" s="70"/>
      <c r="Z97" s="70"/>
    </row>
    <row r="98">
      <c r="A98" s="70"/>
      <c r="B98" s="79"/>
      <c r="C98" s="77"/>
      <c r="D98" s="78"/>
      <c r="E98" s="71"/>
      <c r="F98" s="70"/>
      <c r="G98" s="70"/>
      <c r="H98" s="70"/>
      <c r="I98" s="70"/>
      <c r="J98" s="70"/>
      <c r="K98" s="70"/>
      <c r="L98" s="70"/>
      <c r="M98" s="70"/>
      <c r="N98" s="70"/>
      <c r="O98" s="70"/>
      <c r="P98" s="70"/>
      <c r="Q98" s="70"/>
      <c r="R98" s="70"/>
      <c r="S98" s="70"/>
      <c r="T98" s="70"/>
      <c r="U98" s="70"/>
      <c r="V98" s="70"/>
      <c r="W98" s="70"/>
      <c r="X98" s="70"/>
      <c r="Y98" s="70"/>
      <c r="Z98" s="70"/>
    </row>
    <row r="99">
      <c r="A99" s="70"/>
      <c r="B99" s="79"/>
      <c r="C99" s="77"/>
      <c r="D99" s="78"/>
      <c r="E99" s="71"/>
      <c r="F99" s="70"/>
      <c r="G99" s="70"/>
      <c r="H99" s="70"/>
      <c r="I99" s="70"/>
      <c r="J99" s="70"/>
      <c r="K99" s="70"/>
      <c r="L99" s="70"/>
      <c r="M99" s="70"/>
      <c r="N99" s="70"/>
      <c r="O99" s="70"/>
      <c r="P99" s="70"/>
      <c r="Q99" s="70"/>
      <c r="R99" s="70"/>
      <c r="S99" s="70"/>
      <c r="T99" s="70"/>
      <c r="U99" s="70"/>
      <c r="V99" s="70"/>
      <c r="W99" s="70"/>
      <c r="X99" s="70"/>
      <c r="Y99" s="70"/>
      <c r="Z99" s="70"/>
    </row>
    <row r="100">
      <c r="A100" s="70"/>
      <c r="B100" s="79"/>
      <c r="C100" s="77"/>
      <c r="D100" s="78"/>
      <c r="E100" s="71"/>
      <c r="F100" s="70"/>
      <c r="G100" s="70"/>
      <c r="H100" s="70"/>
      <c r="I100" s="70"/>
      <c r="J100" s="70"/>
      <c r="K100" s="70"/>
      <c r="L100" s="70"/>
      <c r="M100" s="70"/>
      <c r="N100" s="70"/>
      <c r="O100" s="70"/>
      <c r="P100" s="70"/>
      <c r="Q100" s="70"/>
      <c r="R100" s="70"/>
      <c r="S100" s="70"/>
      <c r="T100" s="70"/>
      <c r="U100" s="70"/>
      <c r="V100" s="70"/>
      <c r="W100" s="70"/>
      <c r="X100" s="70"/>
      <c r="Y100" s="70"/>
      <c r="Z100" s="70"/>
    </row>
    <row r="101">
      <c r="A101" s="70"/>
      <c r="B101" s="79"/>
      <c r="C101" s="79"/>
      <c r="D101" s="78"/>
      <c r="E101" s="71"/>
      <c r="F101" s="70"/>
      <c r="G101" s="70"/>
      <c r="H101" s="70"/>
      <c r="I101" s="70"/>
      <c r="J101" s="70"/>
      <c r="K101" s="70"/>
      <c r="L101" s="70"/>
      <c r="M101" s="70"/>
      <c r="N101" s="70"/>
      <c r="O101" s="70"/>
      <c r="P101" s="70"/>
      <c r="Q101" s="70"/>
      <c r="R101" s="70"/>
      <c r="S101" s="70"/>
      <c r="T101" s="70"/>
      <c r="U101" s="70"/>
      <c r="V101" s="70"/>
      <c r="W101" s="70"/>
      <c r="X101" s="70"/>
      <c r="Y101" s="70"/>
      <c r="Z101" s="70"/>
    </row>
    <row r="102">
      <c r="A102" s="70"/>
      <c r="B102" s="79"/>
      <c r="C102" s="79"/>
      <c r="D102" s="78"/>
      <c r="E102" s="71"/>
      <c r="F102" s="70"/>
      <c r="G102" s="70"/>
      <c r="H102" s="70"/>
      <c r="I102" s="70"/>
      <c r="J102" s="70"/>
      <c r="K102" s="70"/>
      <c r="L102" s="70"/>
      <c r="M102" s="70"/>
      <c r="N102" s="70"/>
      <c r="O102" s="70"/>
      <c r="P102" s="70"/>
      <c r="Q102" s="70"/>
      <c r="R102" s="70"/>
      <c r="S102" s="70"/>
      <c r="T102" s="70"/>
      <c r="U102" s="70"/>
      <c r="V102" s="70"/>
      <c r="W102" s="70"/>
      <c r="X102" s="70"/>
      <c r="Y102" s="70"/>
      <c r="Z102" s="70"/>
    </row>
    <row r="103">
      <c r="A103" s="70"/>
      <c r="B103" s="79"/>
      <c r="C103" s="79"/>
      <c r="D103" s="78"/>
      <c r="E103" s="71"/>
      <c r="F103" s="70"/>
      <c r="G103" s="70"/>
      <c r="H103" s="70"/>
      <c r="I103" s="70"/>
      <c r="J103" s="70"/>
      <c r="K103" s="70"/>
      <c r="L103" s="70"/>
      <c r="M103" s="70"/>
      <c r="N103" s="70"/>
      <c r="O103" s="70"/>
      <c r="P103" s="70"/>
      <c r="Q103" s="70"/>
      <c r="R103" s="70"/>
      <c r="S103" s="70"/>
      <c r="T103" s="70"/>
      <c r="U103" s="70"/>
      <c r="V103" s="70"/>
      <c r="W103" s="70"/>
      <c r="X103" s="70"/>
      <c r="Y103" s="70"/>
      <c r="Z103" s="70"/>
    </row>
    <row r="104">
      <c r="A104" s="70"/>
      <c r="B104" s="79"/>
      <c r="C104" s="79"/>
      <c r="D104" s="78"/>
      <c r="E104" s="71"/>
      <c r="F104" s="70"/>
      <c r="G104" s="70"/>
      <c r="H104" s="70"/>
      <c r="I104" s="70"/>
      <c r="J104" s="70"/>
      <c r="K104" s="70"/>
      <c r="L104" s="70"/>
      <c r="M104" s="70"/>
      <c r="N104" s="70"/>
      <c r="O104" s="70"/>
      <c r="P104" s="70"/>
      <c r="Q104" s="70"/>
      <c r="R104" s="70"/>
      <c r="S104" s="70"/>
      <c r="T104" s="70"/>
      <c r="U104" s="70"/>
      <c r="V104" s="70"/>
      <c r="W104" s="70"/>
      <c r="X104" s="70"/>
      <c r="Y104" s="70"/>
      <c r="Z104" s="70"/>
    </row>
    <row r="105">
      <c r="A105" s="70"/>
      <c r="B105" s="79"/>
      <c r="C105" s="79"/>
      <c r="D105" s="78"/>
      <c r="E105" s="71"/>
      <c r="F105" s="70"/>
      <c r="G105" s="70"/>
      <c r="H105" s="70"/>
      <c r="I105" s="70"/>
      <c r="J105" s="70"/>
      <c r="K105" s="70"/>
      <c r="L105" s="70"/>
      <c r="M105" s="70"/>
      <c r="N105" s="70"/>
      <c r="O105" s="70"/>
      <c r="P105" s="70"/>
      <c r="Q105" s="70"/>
      <c r="R105" s="70"/>
      <c r="S105" s="70"/>
      <c r="T105" s="70"/>
      <c r="U105" s="70"/>
      <c r="V105" s="70"/>
      <c r="W105" s="70"/>
      <c r="X105" s="70"/>
      <c r="Y105" s="70"/>
      <c r="Z105" s="70"/>
    </row>
    <row r="106">
      <c r="A106" s="70"/>
      <c r="B106" s="79"/>
      <c r="C106" s="79"/>
      <c r="D106" s="78"/>
      <c r="E106" s="71"/>
      <c r="F106" s="70"/>
      <c r="G106" s="70"/>
      <c r="H106" s="70"/>
      <c r="I106" s="70"/>
      <c r="J106" s="70"/>
      <c r="K106" s="70"/>
      <c r="L106" s="70"/>
      <c r="M106" s="70"/>
      <c r="N106" s="70"/>
      <c r="O106" s="70"/>
      <c r="P106" s="70"/>
      <c r="Q106" s="70"/>
      <c r="R106" s="70"/>
      <c r="S106" s="70"/>
      <c r="T106" s="70"/>
      <c r="U106" s="70"/>
      <c r="V106" s="70"/>
      <c r="W106" s="70"/>
      <c r="X106" s="70"/>
      <c r="Y106" s="70"/>
      <c r="Z106" s="70"/>
    </row>
    <row r="107">
      <c r="A107" s="70"/>
      <c r="B107" s="79"/>
      <c r="C107" s="79"/>
      <c r="D107" s="78"/>
      <c r="E107" s="71"/>
      <c r="F107" s="70"/>
      <c r="G107" s="70"/>
      <c r="H107" s="70"/>
      <c r="I107" s="70"/>
      <c r="J107" s="70"/>
      <c r="K107" s="70"/>
      <c r="L107" s="70"/>
      <c r="M107" s="70"/>
      <c r="N107" s="70"/>
      <c r="O107" s="70"/>
      <c r="P107" s="70"/>
      <c r="Q107" s="70"/>
      <c r="R107" s="70"/>
      <c r="S107" s="70"/>
      <c r="T107" s="70"/>
      <c r="U107" s="70"/>
      <c r="V107" s="70"/>
      <c r="W107" s="70"/>
      <c r="X107" s="70"/>
      <c r="Y107" s="70"/>
      <c r="Z107" s="70"/>
    </row>
    <row r="108">
      <c r="A108" s="70"/>
      <c r="B108" s="79"/>
      <c r="C108" s="79"/>
      <c r="D108" s="78"/>
      <c r="E108" s="71"/>
      <c r="F108" s="70"/>
      <c r="G108" s="70"/>
      <c r="H108" s="70"/>
      <c r="I108" s="70"/>
      <c r="J108" s="70"/>
      <c r="K108" s="70"/>
      <c r="L108" s="70"/>
      <c r="M108" s="70"/>
      <c r="N108" s="70"/>
      <c r="O108" s="70"/>
      <c r="P108" s="70"/>
      <c r="Q108" s="70"/>
      <c r="R108" s="70"/>
      <c r="S108" s="70"/>
      <c r="T108" s="70"/>
      <c r="U108" s="70"/>
      <c r="V108" s="70"/>
      <c r="W108" s="70"/>
      <c r="X108" s="70"/>
      <c r="Y108" s="70"/>
      <c r="Z108" s="70"/>
    </row>
    <row r="109">
      <c r="A109" s="70"/>
      <c r="B109" s="79"/>
      <c r="C109" s="79"/>
      <c r="D109" s="78"/>
      <c r="E109" s="71"/>
      <c r="F109" s="70"/>
      <c r="G109" s="70"/>
      <c r="H109" s="70"/>
      <c r="I109" s="70"/>
      <c r="J109" s="70"/>
      <c r="K109" s="70"/>
      <c r="L109" s="70"/>
      <c r="M109" s="70"/>
      <c r="N109" s="70"/>
      <c r="O109" s="70"/>
      <c r="P109" s="70"/>
      <c r="Q109" s="70"/>
      <c r="R109" s="70"/>
      <c r="S109" s="70"/>
      <c r="T109" s="70"/>
      <c r="U109" s="70"/>
      <c r="V109" s="70"/>
      <c r="W109" s="70"/>
      <c r="X109" s="70"/>
      <c r="Y109" s="70"/>
      <c r="Z109" s="70"/>
    </row>
    <row r="110">
      <c r="A110" s="70"/>
      <c r="B110" s="79"/>
      <c r="C110" s="79"/>
      <c r="D110" s="78"/>
      <c r="E110" s="71"/>
      <c r="F110" s="70"/>
      <c r="G110" s="70"/>
      <c r="H110" s="70"/>
      <c r="I110" s="70"/>
      <c r="J110" s="70"/>
      <c r="K110" s="70"/>
      <c r="L110" s="70"/>
      <c r="M110" s="70"/>
      <c r="N110" s="70"/>
      <c r="O110" s="70"/>
      <c r="P110" s="70"/>
      <c r="Q110" s="70"/>
      <c r="R110" s="70"/>
      <c r="S110" s="70"/>
      <c r="T110" s="70"/>
      <c r="U110" s="70"/>
      <c r="V110" s="70"/>
      <c r="W110" s="70"/>
      <c r="X110" s="70"/>
      <c r="Y110" s="70"/>
      <c r="Z110" s="70"/>
    </row>
    <row r="111">
      <c r="A111" s="70"/>
      <c r="B111" s="79"/>
      <c r="C111" s="79"/>
      <c r="D111" s="78"/>
      <c r="E111" s="71"/>
      <c r="F111" s="70"/>
      <c r="G111" s="70"/>
      <c r="H111" s="70"/>
      <c r="I111" s="70"/>
      <c r="J111" s="70"/>
      <c r="K111" s="70"/>
      <c r="L111" s="70"/>
      <c r="M111" s="70"/>
      <c r="N111" s="70"/>
      <c r="O111" s="70"/>
      <c r="P111" s="70"/>
      <c r="Q111" s="70"/>
      <c r="R111" s="70"/>
      <c r="S111" s="70"/>
      <c r="T111" s="70"/>
      <c r="U111" s="70"/>
      <c r="V111" s="70"/>
      <c r="W111" s="70"/>
      <c r="X111" s="70"/>
      <c r="Y111" s="70"/>
      <c r="Z111" s="70"/>
    </row>
    <row r="112">
      <c r="A112" s="70"/>
      <c r="B112" s="79"/>
      <c r="C112" s="79"/>
      <c r="D112" s="78"/>
      <c r="E112" s="71"/>
      <c r="F112" s="70"/>
      <c r="G112" s="70"/>
      <c r="H112" s="70"/>
      <c r="I112" s="70"/>
      <c r="J112" s="70"/>
      <c r="K112" s="70"/>
      <c r="L112" s="70"/>
      <c r="M112" s="70"/>
      <c r="N112" s="70"/>
      <c r="O112" s="70"/>
      <c r="P112" s="70"/>
      <c r="Q112" s="70"/>
      <c r="R112" s="70"/>
      <c r="S112" s="70"/>
      <c r="T112" s="70"/>
      <c r="U112" s="70"/>
      <c r="V112" s="70"/>
      <c r="W112" s="70"/>
      <c r="X112" s="70"/>
      <c r="Y112" s="70"/>
      <c r="Z112" s="70"/>
    </row>
    <row r="113">
      <c r="A113" s="70"/>
      <c r="B113" s="79"/>
      <c r="C113" s="79"/>
      <c r="D113" s="78"/>
      <c r="E113" s="71"/>
      <c r="F113" s="70"/>
      <c r="G113" s="70"/>
      <c r="H113" s="70"/>
      <c r="I113" s="70"/>
      <c r="J113" s="70"/>
      <c r="K113" s="70"/>
      <c r="L113" s="70"/>
      <c r="M113" s="70"/>
      <c r="N113" s="70"/>
      <c r="O113" s="70"/>
      <c r="P113" s="70"/>
      <c r="Q113" s="70"/>
      <c r="R113" s="70"/>
      <c r="S113" s="70"/>
      <c r="T113" s="70"/>
      <c r="U113" s="70"/>
      <c r="V113" s="70"/>
      <c r="W113" s="70"/>
      <c r="X113" s="70"/>
      <c r="Y113" s="70"/>
      <c r="Z113" s="70"/>
    </row>
    <row r="114">
      <c r="A114" s="70"/>
      <c r="B114" s="79"/>
      <c r="C114" s="79"/>
      <c r="D114" s="78"/>
      <c r="E114" s="71"/>
      <c r="F114" s="70"/>
      <c r="G114" s="70"/>
      <c r="H114" s="70"/>
      <c r="I114" s="70"/>
      <c r="J114" s="70"/>
      <c r="K114" s="70"/>
      <c r="L114" s="70"/>
      <c r="M114" s="70"/>
      <c r="N114" s="70"/>
      <c r="O114" s="70"/>
      <c r="P114" s="70"/>
      <c r="Q114" s="70"/>
      <c r="R114" s="70"/>
      <c r="S114" s="70"/>
      <c r="T114" s="70"/>
      <c r="U114" s="70"/>
      <c r="V114" s="70"/>
      <c r="W114" s="70"/>
      <c r="X114" s="70"/>
      <c r="Y114" s="70"/>
      <c r="Z114" s="70"/>
    </row>
    <row r="115">
      <c r="A115" s="70"/>
      <c r="B115" s="79"/>
      <c r="C115" s="79"/>
      <c r="D115" s="78"/>
      <c r="E115" s="71"/>
      <c r="F115" s="70"/>
      <c r="G115" s="70"/>
      <c r="H115" s="70"/>
      <c r="I115" s="70"/>
      <c r="J115" s="70"/>
      <c r="K115" s="70"/>
      <c r="L115" s="70"/>
      <c r="M115" s="70"/>
      <c r="N115" s="70"/>
      <c r="O115" s="70"/>
      <c r="P115" s="70"/>
      <c r="Q115" s="70"/>
      <c r="R115" s="70"/>
      <c r="S115" s="70"/>
      <c r="T115" s="70"/>
      <c r="U115" s="70"/>
      <c r="V115" s="70"/>
      <c r="W115" s="70"/>
      <c r="X115" s="70"/>
      <c r="Y115" s="70"/>
      <c r="Z115" s="70"/>
    </row>
    <row r="116">
      <c r="A116" s="70"/>
      <c r="B116" s="79"/>
      <c r="C116" s="79"/>
      <c r="D116" s="78"/>
      <c r="E116" s="71"/>
      <c r="F116" s="70"/>
      <c r="G116" s="70"/>
      <c r="H116" s="70"/>
      <c r="I116" s="70"/>
      <c r="J116" s="70"/>
      <c r="K116" s="70"/>
      <c r="L116" s="70"/>
      <c r="M116" s="70"/>
      <c r="N116" s="70"/>
      <c r="O116" s="70"/>
      <c r="P116" s="70"/>
      <c r="Q116" s="70"/>
      <c r="R116" s="70"/>
      <c r="S116" s="70"/>
      <c r="T116" s="70"/>
      <c r="U116" s="70"/>
      <c r="V116" s="70"/>
      <c r="W116" s="70"/>
      <c r="X116" s="70"/>
      <c r="Y116" s="70"/>
      <c r="Z116" s="70"/>
    </row>
    <row r="117">
      <c r="A117" s="70"/>
      <c r="B117" s="79"/>
      <c r="C117" s="79"/>
      <c r="D117" s="78"/>
      <c r="E117" s="71"/>
      <c r="F117" s="70"/>
      <c r="G117" s="70"/>
      <c r="H117" s="70"/>
      <c r="I117" s="70"/>
      <c r="J117" s="70"/>
      <c r="K117" s="70"/>
      <c r="L117" s="70"/>
      <c r="M117" s="70"/>
      <c r="N117" s="70"/>
      <c r="O117" s="70"/>
      <c r="P117" s="70"/>
      <c r="Q117" s="70"/>
      <c r="R117" s="70"/>
      <c r="S117" s="70"/>
      <c r="T117" s="70"/>
      <c r="U117" s="70"/>
      <c r="V117" s="70"/>
      <c r="W117" s="70"/>
      <c r="X117" s="70"/>
      <c r="Y117" s="70"/>
      <c r="Z117" s="70"/>
    </row>
    <row r="118">
      <c r="A118" s="70"/>
      <c r="B118" s="79"/>
      <c r="C118" s="79"/>
      <c r="D118" s="78"/>
      <c r="E118" s="71"/>
      <c r="F118" s="70"/>
      <c r="G118" s="70"/>
      <c r="H118" s="70"/>
      <c r="I118" s="70"/>
      <c r="J118" s="70"/>
      <c r="K118" s="70"/>
      <c r="L118" s="70"/>
      <c r="M118" s="70"/>
      <c r="N118" s="70"/>
      <c r="O118" s="70"/>
      <c r="P118" s="70"/>
      <c r="Q118" s="70"/>
      <c r="R118" s="70"/>
      <c r="S118" s="70"/>
      <c r="T118" s="70"/>
      <c r="U118" s="70"/>
      <c r="V118" s="70"/>
      <c r="W118" s="70"/>
      <c r="X118" s="70"/>
      <c r="Y118" s="70"/>
      <c r="Z118" s="70"/>
    </row>
    <row r="119">
      <c r="A119" s="70"/>
      <c r="B119" s="79"/>
      <c r="C119" s="79"/>
      <c r="D119" s="78"/>
      <c r="E119" s="71"/>
      <c r="F119" s="70"/>
      <c r="G119" s="70"/>
      <c r="H119" s="70"/>
      <c r="I119" s="70"/>
      <c r="J119" s="70"/>
      <c r="K119" s="70"/>
      <c r="L119" s="70"/>
      <c r="M119" s="70"/>
      <c r="N119" s="70"/>
      <c r="O119" s="70"/>
      <c r="P119" s="70"/>
      <c r="Q119" s="70"/>
      <c r="R119" s="70"/>
      <c r="S119" s="70"/>
      <c r="T119" s="70"/>
      <c r="U119" s="70"/>
      <c r="V119" s="70"/>
      <c r="W119" s="70"/>
      <c r="X119" s="70"/>
      <c r="Y119" s="70"/>
      <c r="Z119" s="70"/>
    </row>
    <row r="120">
      <c r="A120" s="70"/>
      <c r="B120" s="79"/>
      <c r="C120" s="79"/>
      <c r="D120" s="78"/>
      <c r="E120" s="71"/>
      <c r="F120" s="70"/>
      <c r="G120" s="70"/>
      <c r="H120" s="70"/>
      <c r="I120" s="70"/>
      <c r="J120" s="70"/>
      <c r="K120" s="70"/>
      <c r="L120" s="70"/>
      <c r="M120" s="70"/>
      <c r="N120" s="70"/>
      <c r="O120" s="70"/>
      <c r="P120" s="70"/>
      <c r="Q120" s="70"/>
      <c r="R120" s="70"/>
      <c r="S120" s="70"/>
      <c r="T120" s="70"/>
      <c r="U120" s="70"/>
      <c r="V120" s="70"/>
      <c r="W120" s="70"/>
      <c r="X120" s="70"/>
      <c r="Y120" s="70"/>
      <c r="Z120" s="70"/>
    </row>
    <row r="121">
      <c r="A121" s="70"/>
      <c r="B121" s="79"/>
      <c r="C121" s="79"/>
      <c r="D121" s="78"/>
      <c r="E121" s="71"/>
      <c r="F121" s="70"/>
      <c r="G121" s="70"/>
      <c r="H121" s="70"/>
      <c r="I121" s="70"/>
      <c r="J121" s="70"/>
      <c r="K121" s="70"/>
      <c r="L121" s="70"/>
      <c r="M121" s="70"/>
      <c r="N121" s="70"/>
      <c r="O121" s="70"/>
      <c r="P121" s="70"/>
      <c r="Q121" s="70"/>
      <c r="R121" s="70"/>
      <c r="S121" s="70"/>
      <c r="T121" s="70"/>
      <c r="U121" s="70"/>
      <c r="V121" s="70"/>
      <c r="W121" s="70"/>
      <c r="X121" s="70"/>
      <c r="Y121" s="70"/>
      <c r="Z121" s="70"/>
    </row>
    <row r="122">
      <c r="A122" s="70"/>
      <c r="B122" s="79"/>
      <c r="C122" s="79"/>
      <c r="D122" s="78"/>
      <c r="E122" s="71"/>
      <c r="F122" s="70"/>
      <c r="G122" s="70"/>
      <c r="H122" s="70"/>
      <c r="I122" s="70"/>
      <c r="J122" s="70"/>
      <c r="K122" s="70"/>
      <c r="L122" s="70"/>
      <c r="M122" s="70"/>
      <c r="N122" s="70"/>
      <c r="O122" s="70"/>
      <c r="P122" s="70"/>
      <c r="Q122" s="70"/>
      <c r="R122" s="70"/>
      <c r="S122" s="70"/>
      <c r="T122" s="70"/>
      <c r="U122" s="70"/>
      <c r="V122" s="70"/>
      <c r="W122" s="70"/>
      <c r="X122" s="70"/>
      <c r="Y122" s="70"/>
      <c r="Z122" s="70"/>
    </row>
    <row r="123">
      <c r="A123" s="70"/>
      <c r="B123" s="79"/>
      <c r="C123" s="79"/>
      <c r="D123" s="78"/>
      <c r="E123" s="71"/>
      <c r="F123" s="70"/>
      <c r="G123" s="70"/>
      <c r="H123" s="70"/>
      <c r="I123" s="70"/>
      <c r="J123" s="70"/>
      <c r="K123" s="70"/>
      <c r="L123" s="70"/>
      <c r="M123" s="70"/>
      <c r="N123" s="70"/>
      <c r="O123" s="70"/>
      <c r="P123" s="70"/>
      <c r="Q123" s="70"/>
      <c r="R123" s="70"/>
      <c r="S123" s="70"/>
      <c r="T123" s="70"/>
      <c r="U123" s="70"/>
      <c r="V123" s="70"/>
      <c r="W123" s="70"/>
      <c r="X123" s="70"/>
      <c r="Y123" s="70"/>
      <c r="Z123" s="70"/>
    </row>
    <row r="124">
      <c r="A124" s="70"/>
      <c r="B124" s="79"/>
      <c r="C124" s="79"/>
      <c r="D124" s="78"/>
      <c r="E124" s="71"/>
      <c r="F124" s="70"/>
      <c r="G124" s="70"/>
      <c r="H124" s="70"/>
      <c r="I124" s="70"/>
      <c r="J124" s="70"/>
      <c r="K124" s="70"/>
      <c r="L124" s="70"/>
      <c r="M124" s="70"/>
      <c r="N124" s="70"/>
      <c r="O124" s="70"/>
      <c r="P124" s="70"/>
      <c r="Q124" s="70"/>
      <c r="R124" s="70"/>
      <c r="S124" s="70"/>
      <c r="T124" s="70"/>
      <c r="U124" s="70"/>
      <c r="V124" s="70"/>
      <c r="W124" s="70"/>
      <c r="X124" s="70"/>
      <c r="Y124" s="70"/>
      <c r="Z124" s="70"/>
    </row>
    <row r="125">
      <c r="A125" s="70"/>
      <c r="B125" s="79"/>
      <c r="C125" s="79"/>
      <c r="D125" s="78"/>
      <c r="E125" s="71"/>
      <c r="F125" s="70"/>
      <c r="G125" s="70"/>
      <c r="H125" s="70"/>
      <c r="I125" s="70"/>
      <c r="J125" s="70"/>
      <c r="K125" s="70"/>
      <c r="L125" s="70"/>
      <c r="M125" s="70"/>
      <c r="N125" s="70"/>
      <c r="O125" s="70"/>
      <c r="P125" s="70"/>
      <c r="Q125" s="70"/>
      <c r="R125" s="70"/>
      <c r="S125" s="70"/>
      <c r="T125" s="70"/>
      <c r="U125" s="70"/>
      <c r="V125" s="70"/>
      <c r="W125" s="70"/>
      <c r="X125" s="70"/>
      <c r="Y125" s="70"/>
      <c r="Z125" s="70"/>
    </row>
    <row r="126">
      <c r="A126" s="70"/>
      <c r="B126" s="79"/>
      <c r="C126" s="79"/>
      <c r="D126" s="78"/>
      <c r="E126" s="71"/>
      <c r="F126" s="70"/>
      <c r="G126" s="70"/>
      <c r="H126" s="70"/>
      <c r="I126" s="70"/>
      <c r="J126" s="70"/>
      <c r="K126" s="70"/>
      <c r="L126" s="70"/>
      <c r="M126" s="70"/>
      <c r="N126" s="70"/>
      <c r="O126" s="70"/>
      <c r="P126" s="70"/>
      <c r="Q126" s="70"/>
      <c r="R126" s="70"/>
      <c r="S126" s="70"/>
      <c r="T126" s="70"/>
      <c r="U126" s="70"/>
      <c r="V126" s="70"/>
      <c r="W126" s="70"/>
      <c r="X126" s="70"/>
      <c r="Y126" s="70"/>
      <c r="Z126" s="70"/>
    </row>
    <row r="127">
      <c r="A127" s="70"/>
      <c r="B127" s="79"/>
      <c r="C127" s="79"/>
      <c r="D127" s="78"/>
      <c r="E127" s="71"/>
      <c r="F127" s="70"/>
      <c r="G127" s="70"/>
      <c r="H127" s="70"/>
      <c r="I127" s="70"/>
      <c r="J127" s="70"/>
      <c r="K127" s="70"/>
      <c r="L127" s="70"/>
      <c r="M127" s="70"/>
      <c r="N127" s="70"/>
      <c r="O127" s="70"/>
      <c r="P127" s="70"/>
      <c r="Q127" s="70"/>
      <c r="R127" s="70"/>
      <c r="S127" s="70"/>
      <c r="T127" s="70"/>
      <c r="U127" s="70"/>
      <c r="V127" s="70"/>
      <c r="W127" s="70"/>
      <c r="X127" s="70"/>
      <c r="Y127" s="70"/>
      <c r="Z127" s="70"/>
    </row>
    <row r="128">
      <c r="A128" s="70"/>
      <c r="B128" s="79"/>
      <c r="C128" s="79"/>
      <c r="D128" s="78"/>
      <c r="E128" s="71"/>
      <c r="F128" s="70"/>
      <c r="G128" s="70"/>
      <c r="H128" s="70"/>
      <c r="I128" s="70"/>
      <c r="J128" s="70"/>
      <c r="K128" s="70"/>
      <c r="L128" s="70"/>
      <c r="M128" s="70"/>
      <c r="N128" s="70"/>
      <c r="O128" s="70"/>
      <c r="P128" s="70"/>
      <c r="Q128" s="70"/>
      <c r="R128" s="70"/>
      <c r="S128" s="70"/>
      <c r="T128" s="70"/>
      <c r="U128" s="70"/>
      <c r="V128" s="70"/>
      <c r="W128" s="70"/>
      <c r="X128" s="70"/>
      <c r="Y128" s="70"/>
      <c r="Z128" s="70"/>
    </row>
    <row r="129">
      <c r="A129" s="70"/>
      <c r="B129" s="79"/>
      <c r="C129" s="79"/>
      <c r="D129" s="78"/>
      <c r="E129" s="71"/>
      <c r="F129" s="70"/>
      <c r="G129" s="70"/>
      <c r="H129" s="70"/>
      <c r="I129" s="70"/>
      <c r="J129" s="70"/>
      <c r="K129" s="70"/>
      <c r="L129" s="70"/>
      <c r="M129" s="70"/>
      <c r="N129" s="70"/>
      <c r="O129" s="70"/>
      <c r="P129" s="70"/>
      <c r="Q129" s="70"/>
      <c r="R129" s="70"/>
      <c r="S129" s="70"/>
      <c r="T129" s="70"/>
      <c r="U129" s="70"/>
      <c r="V129" s="70"/>
      <c r="W129" s="70"/>
      <c r="X129" s="70"/>
      <c r="Y129" s="70"/>
      <c r="Z129" s="70"/>
    </row>
    <row r="130">
      <c r="A130" s="70"/>
      <c r="B130" s="79"/>
      <c r="C130" s="79"/>
      <c r="D130" s="78"/>
      <c r="E130" s="71"/>
      <c r="F130" s="70"/>
      <c r="G130" s="70"/>
      <c r="H130" s="70"/>
      <c r="I130" s="70"/>
      <c r="J130" s="70"/>
      <c r="K130" s="70"/>
      <c r="L130" s="70"/>
      <c r="M130" s="70"/>
      <c r="N130" s="70"/>
      <c r="O130" s="70"/>
      <c r="P130" s="70"/>
      <c r="Q130" s="70"/>
      <c r="R130" s="70"/>
      <c r="S130" s="70"/>
      <c r="T130" s="70"/>
      <c r="U130" s="70"/>
      <c r="V130" s="70"/>
      <c r="W130" s="70"/>
      <c r="X130" s="70"/>
      <c r="Y130" s="70"/>
      <c r="Z130" s="70"/>
    </row>
    <row r="131">
      <c r="A131" s="70"/>
      <c r="B131" s="79"/>
      <c r="C131" s="79"/>
      <c r="D131" s="78"/>
      <c r="E131" s="71"/>
      <c r="F131" s="70"/>
      <c r="G131" s="70"/>
      <c r="H131" s="70"/>
      <c r="I131" s="70"/>
      <c r="J131" s="70"/>
      <c r="K131" s="70"/>
      <c r="L131" s="70"/>
      <c r="M131" s="70"/>
      <c r="N131" s="70"/>
      <c r="O131" s="70"/>
      <c r="P131" s="70"/>
      <c r="Q131" s="70"/>
      <c r="R131" s="70"/>
      <c r="S131" s="70"/>
      <c r="T131" s="70"/>
      <c r="U131" s="70"/>
      <c r="V131" s="70"/>
      <c r="W131" s="70"/>
      <c r="X131" s="70"/>
      <c r="Y131" s="70"/>
      <c r="Z131" s="70"/>
    </row>
    <row r="132">
      <c r="A132" s="70"/>
      <c r="B132" s="79"/>
      <c r="C132" s="79"/>
      <c r="D132" s="78"/>
      <c r="E132" s="71"/>
      <c r="F132" s="70"/>
      <c r="G132" s="70"/>
      <c r="H132" s="70"/>
      <c r="I132" s="70"/>
      <c r="J132" s="70"/>
      <c r="K132" s="70"/>
      <c r="L132" s="70"/>
      <c r="M132" s="70"/>
      <c r="N132" s="70"/>
      <c r="O132" s="70"/>
      <c r="P132" s="70"/>
      <c r="Q132" s="70"/>
      <c r="R132" s="70"/>
      <c r="S132" s="70"/>
      <c r="T132" s="70"/>
      <c r="U132" s="70"/>
      <c r="V132" s="70"/>
      <c r="W132" s="70"/>
      <c r="X132" s="70"/>
      <c r="Y132" s="70"/>
      <c r="Z132" s="70"/>
    </row>
    <row r="133">
      <c r="A133" s="70"/>
      <c r="B133" s="79"/>
      <c r="C133" s="79"/>
      <c r="D133" s="78"/>
      <c r="E133" s="71"/>
      <c r="F133" s="70"/>
      <c r="G133" s="70"/>
      <c r="H133" s="70"/>
      <c r="I133" s="70"/>
      <c r="J133" s="70"/>
      <c r="K133" s="70"/>
      <c r="L133" s="70"/>
      <c r="M133" s="70"/>
      <c r="N133" s="70"/>
      <c r="O133" s="70"/>
      <c r="P133" s="70"/>
      <c r="Q133" s="70"/>
      <c r="R133" s="70"/>
      <c r="S133" s="70"/>
      <c r="T133" s="70"/>
      <c r="U133" s="70"/>
      <c r="V133" s="70"/>
      <c r="W133" s="70"/>
      <c r="X133" s="70"/>
      <c r="Y133" s="70"/>
      <c r="Z133" s="70"/>
    </row>
    <row r="134">
      <c r="A134" s="70"/>
      <c r="B134" s="79"/>
      <c r="C134" s="79"/>
      <c r="D134" s="78"/>
      <c r="E134" s="71"/>
      <c r="F134" s="70"/>
      <c r="G134" s="70"/>
      <c r="H134" s="70"/>
      <c r="I134" s="70"/>
      <c r="J134" s="70"/>
      <c r="K134" s="70"/>
      <c r="L134" s="70"/>
      <c r="M134" s="70"/>
      <c r="N134" s="70"/>
      <c r="O134" s="70"/>
      <c r="P134" s="70"/>
      <c r="Q134" s="70"/>
      <c r="R134" s="70"/>
      <c r="S134" s="70"/>
      <c r="T134" s="70"/>
      <c r="U134" s="70"/>
      <c r="V134" s="70"/>
      <c r="W134" s="70"/>
      <c r="X134" s="70"/>
      <c r="Y134" s="70"/>
      <c r="Z134" s="70"/>
    </row>
    <row r="135">
      <c r="A135" s="70"/>
      <c r="B135" s="79"/>
      <c r="C135" s="79"/>
      <c r="D135" s="78"/>
      <c r="E135" s="71"/>
      <c r="F135" s="70"/>
      <c r="G135" s="70"/>
      <c r="H135" s="70"/>
      <c r="I135" s="70"/>
      <c r="J135" s="70"/>
      <c r="K135" s="70"/>
      <c r="L135" s="70"/>
      <c r="M135" s="70"/>
      <c r="N135" s="70"/>
      <c r="O135" s="70"/>
      <c r="P135" s="70"/>
      <c r="Q135" s="70"/>
      <c r="R135" s="70"/>
      <c r="S135" s="70"/>
      <c r="T135" s="70"/>
      <c r="U135" s="70"/>
      <c r="V135" s="70"/>
      <c r="W135" s="70"/>
      <c r="X135" s="70"/>
      <c r="Y135" s="70"/>
      <c r="Z135" s="70"/>
    </row>
    <row r="136">
      <c r="A136" s="70"/>
      <c r="B136" s="79"/>
      <c r="C136" s="79"/>
      <c r="D136" s="78"/>
      <c r="E136" s="71"/>
      <c r="F136" s="70"/>
      <c r="G136" s="70"/>
      <c r="H136" s="70"/>
      <c r="I136" s="70"/>
      <c r="J136" s="70"/>
      <c r="K136" s="70"/>
      <c r="L136" s="70"/>
      <c r="M136" s="70"/>
      <c r="N136" s="70"/>
      <c r="O136" s="70"/>
      <c r="P136" s="70"/>
      <c r="Q136" s="70"/>
      <c r="R136" s="70"/>
      <c r="S136" s="70"/>
      <c r="T136" s="70"/>
      <c r="U136" s="70"/>
      <c r="V136" s="70"/>
      <c r="W136" s="70"/>
      <c r="X136" s="70"/>
      <c r="Y136" s="70"/>
      <c r="Z136" s="70"/>
    </row>
    <row r="137">
      <c r="A137" s="70"/>
      <c r="B137" s="79"/>
      <c r="C137" s="79"/>
      <c r="D137" s="78"/>
      <c r="E137" s="71"/>
      <c r="F137" s="70"/>
      <c r="G137" s="70"/>
      <c r="H137" s="70"/>
      <c r="I137" s="70"/>
      <c r="J137" s="70"/>
      <c r="K137" s="70"/>
      <c r="L137" s="70"/>
      <c r="M137" s="70"/>
      <c r="N137" s="70"/>
      <c r="O137" s="70"/>
      <c r="P137" s="70"/>
      <c r="Q137" s="70"/>
      <c r="R137" s="70"/>
      <c r="S137" s="70"/>
      <c r="T137" s="70"/>
      <c r="U137" s="70"/>
      <c r="V137" s="70"/>
      <c r="W137" s="70"/>
      <c r="X137" s="70"/>
      <c r="Y137" s="70"/>
      <c r="Z137" s="70"/>
    </row>
    <row r="138">
      <c r="A138" s="70"/>
      <c r="B138" s="79"/>
      <c r="C138" s="79"/>
      <c r="D138" s="78"/>
      <c r="E138" s="71"/>
      <c r="F138" s="70"/>
      <c r="G138" s="70"/>
      <c r="H138" s="70"/>
      <c r="I138" s="70"/>
      <c r="J138" s="70"/>
      <c r="K138" s="70"/>
      <c r="L138" s="70"/>
      <c r="M138" s="70"/>
      <c r="N138" s="70"/>
      <c r="O138" s="70"/>
      <c r="P138" s="70"/>
      <c r="Q138" s="70"/>
      <c r="R138" s="70"/>
      <c r="S138" s="70"/>
      <c r="T138" s="70"/>
      <c r="U138" s="70"/>
      <c r="V138" s="70"/>
      <c r="W138" s="70"/>
      <c r="X138" s="70"/>
      <c r="Y138" s="70"/>
      <c r="Z138" s="70"/>
    </row>
    <row r="139">
      <c r="A139" s="70"/>
      <c r="B139" s="79"/>
      <c r="C139" s="79"/>
      <c r="D139" s="78"/>
      <c r="E139" s="71"/>
      <c r="F139" s="70"/>
      <c r="G139" s="70"/>
      <c r="H139" s="70"/>
      <c r="I139" s="70"/>
      <c r="J139" s="70"/>
      <c r="K139" s="70"/>
      <c r="L139" s="70"/>
      <c r="M139" s="70"/>
      <c r="N139" s="70"/>
      <c r="O139" s="70"/>
      <c r="P139" s="70"/>
      <c r="Q139" s="70"/>
      <c r="R139" s="70"/>
      <c r="S139" s="70"/>
      <c r="T139" s="70"/>
      <c r="U139" s="70"/>
      <c r="V139" s="70"/>
      <c r="W139" s="70"/>
      <c r="X139" s="70"/>
      <c r="Y139" s="70"/>
      <c r="Z139" s="70"/>
    </row>
    <row r="140">
      <c r="A140" s="70"/>
      <c r="B140" s="79"/>
      <c r="C140" s="79"/>
      <c r="D140" s="78"/>
      <c r="E140" s="71"/>
      <c r="F140" s="70"/>
      <c r="G140" s="70"/>
      <c r="H140" s="70"/>
      <c r="I140" s="70"/>
      <c r="J140" s="70"/>
      <c r="K140" s="70"/>
      <c r="L140" s="70"/>
      <c r="M140" s="70"/>
      <c r="N140" s="70"/>
      <c r="O140" s="70"/>
      <c r="P140" s="70"/>
      <c r="Q140" s="70"/>
      <c r="R140" s="70"/>
      <c r="S140" s="70"/>
      <c r="T140" s="70"/>
      <c r="U140" s="70"/>
      <c r="V140" s="70"/>
      <c r="W140" s="70"/>
      <c r="X140" s="70"/>
      <c r="Y140" s="70"/>
      <c r="Z140" s="70"/>
    </row>
    <row r="141">
      <c r="A141" s="70"/>
      <c r="B141" s="79"/>
      <c r="C141" s="79"/>
      <c r="D141" s="78"/>
      <c r="E141" s="71"/>
      <c r="F141" s="70"/>
      <c r="G141" s="70"/>
      <c r="H141" s="70"/>
      <c r="I141" s="70"/>
      <c r="J141" s="70"/>
      <c r="K141" s="70"/>
      <c r="L141" s="70"/>
      <c r="M141" s="70"/>
      <c r="N141" s="70"/>
      <c r="O141" s="70"/>
      <c r="P141" s="70"/>
      <c r="Q141" s="70"/>
      <c r="R141" s="70"/>
      <c r="S141" s="70"/>
      <c r="T141" s="70"/>
      <c r="U141" s="70"/>
      <c r="V141" s="70"/>
      <c r="W141" s="70"/>
      <c r="X141" s="70"/>
      <c r="Y141" s="70"/>
      <c r="Z141" s="70"/>
    </row>
    <row r="142">
      <c r="A142" s="70"/>
      <c r="B142" s="79"/>
      <c r="C142" s="79"/>
      <c r="D142" s="78"/>
      <c r="E142" s="71"/>
      <c r="F142" s="70"/>
      <c r="G142" s="70"/>
      <c r="H142" s="70"/>
      <c r="I142" s="70"/>
      <c r="J142" s="70"/>
      <c r="K142" s="70"/>
      <c r="L142" s="70"/>
      <c r="M142" s="70"/>
      <c r="N142" s="70"/>
      <c r="O142" s="70"/>
      <c r="P142" s="70"/>
      <c r="Q142" s="70"/>
      <c r="R142" s="70"/>
      <c r="S142" s="70"/>
      <c r="T142" s="70"/>
      <c r="U142" s="70"/>
      <c r="V142" s="70"/>
      <c r="W142" s="70"/>
      <c r="X142" s="70"/>
      <c r="Y142" s="70"/>
      <c r="Z142" s="70"/>
    </row>
    <row r="143">
      <c r="A143" s="70"/>
      <c r="B143" s="79"/>
      <c r="C143" s="79"/>
      <c r="D143" s="78"/>
      <c r="E143" s="71"/>
      <c r="F143" s="70"/>
      <c r="G143" s="70"/>
      <c r="H143" s="70"/>
      <c r="I143" s="70"/>
      <c r="J143" s="70"/>
      <c r="K143" s="70"/>
      <c r="L143" s="70"/>
      <c r="M143" s="70"/>
      <c r="N143" s="70"/>
      <c r="O143" s="70"/>
      <c r="P143" s="70"/>
      <c r="Q143" s="70"/>
      <c r="R143" s="70"/>
      <c r="S143" s="70"/>
      <c r="T143" s="70"/>
      <c r="U143" s="70"/>
      <c r="V143" s="70"/>
      <c r="W143" s="70"/>
      <c r="X143" s="70"/>
      <c r="Y143" s="70"/>
      <c r="Z143" s="70"/>
    </row>
    <row r="144">
      <c r="A144" s="70"/>
      <c r="B144" s="79"/>
      <c r="C144" s="79"/>
      <c r="D144" s="78"/>
      <c r="E144" s="71"/>
      <c r="F144" s="70"/>
      <c r="G144" s="70"/>
      <c r="H144" s="70"/>
      <c r="I144" s="70"/>
      <c r="J144" s="70"/>
      <c r="K144" s="70"/>
      <c r="L144" s="70"/>
      <c r="M144" s="70"/>
      <c r="N144" s="70"/>
      <c r="O144" s="70"/>
      <c r="P144" s="70"/>
      <c r="Q144" s="70"/>
      <c r="R144" s="70"/>
      <c r="S144" s="70"/>
      <c r="T144" s="70"/>
      <c r="U144" s="70"/>
      <c r="V144" s="70"/>
      <c r="W144" s="70"/>
      <c r="X144" s="70"/>
      <c r="Y144" s="70"/>
      <c r="Z144" s="70"/>
    </row>
    <row r="145">
      <c r="A145" s="70"/>
      <c r="B145" s="79"/>
      <c r="C145" s="79"/>
      <c r="D145" s="78"/>
      <c r="E145" s="71"/>
      <c r="F145" s="70"/>
      <c r="G145" s="70"/>
      <c r="H145" s="70"/>
      <c r="I145" s="70"/>
      <c r="J145" s="70"/>
      <c r="K145" s="70"/>
      <c r="L145" s="70"/>
      <c r="M145" s="70"/>
      <c r="N145" s="70"/>
      <c r="O145" s="70"/>
      <c r="P145" s="70"/>
      <c r="Q145" s="70"/>
      <c r="R145" s="70"/>
      <c r="S145" s="70"/>
      <c r="T145" s="70"/>
      <c r="U145" s="70"/>
      <c r="V145" s="70"/>
      <c r="W145" s="70"/>
      <c r="X145" s="70"/>
      <c r="Y145" s="70"/>
      <c r="Z145" s="70"/>
    </row>
    <row r="146">
      <c r="A146" s="70"/>
      <c r="B146" s="79"/>
      <c r="C146" s="79"/>
      <c r="D146" s="78"/>
      <c r="E146" s="71"/>
      <c r="F146" s="70"/>
      <c r="G146" s="70"/>
      <c r="H146" s="70"/>
      <c r="I146" s="70"/>
      <c r="J146" s="70"/>
      <c r="K146" s="70"/>
      <c r="L146" s="70"/>
      <c r="M146" s="70"/>
      <c r="N146" s="70"/>
      <c r="O146" s="70"/>
      <c r="P146" s="70"/>
      <c r="Q146" s="70"/>
      <c r="R146" s="70"/>
      <c r="S146" s="70"/>
      <c r="T146" s="70"/>
      <c r="U146" s="70"/>
      <c r="V146" s="70"/>
      <c r="W146" s="70"/>
      <c r="X146" s="70"/>
      <c r="Y146" s="70"/>
      <c r="Z146" s="70"/>
    </row>
    <row r="147">
      <c r="A147" s="70"/>
      <c r="B147" s="79"/>
      <c r="C147" s="79"/>
      <c r="D147" s="78"/>
      <c r="E147" s="71"/>
      <c r="F147" s="70"/>
      <c r="G147" s="70"/>
      <c r="H147" s="70"/>
      <c r="I147" s="70"/>
      <c r="J147" s="70"/>
      <c r="K147" s="70"/>
      <c r="L147" s="70"/>
      <c r="M147" s="70"/>
      <c r="N147" s="70"/>
      <c r="O147" s="70"/>
      <c r="P147" s="70"/>
      <c r="Q147" s="70"/>
      <c r="R147" s="70"/>
      <c r="S147" s="70"/>
      <c r="T147" s="70"/>
      <c r="U147" s="70"/>
      <c r="V147" s="70"/>
      <c r="W147" s="70"/>
      <c r="X147" s="70"/>
      <c r="Y147" s="70"/>
      <c r="Z147" s="70"/>
    </row>
    <row r="148">
      <c r="A148" s="70"/>
      <c r="B148" s="79"/>
      <c r="C148" s="79"/>
      <c r="D148" s="78"/>
      <c r="E148" s="71"/>
      <c r="F148" s="70"/>
      <c r="G148" s="70"/>
      <c r="H148" s="70"/>
      <c r="I148" s="70"/>
      <c r="J148" s="70"/>
      <c r="K148" s="70"/>
      <c r="L148" s="70"/>
      <c r="M148" s="70"/>
      <c r="N148" s="70"/>
      <c r="O148" s="70"/>
      <c r="P148" s="70"/>
      <c r="Q148" s="70"/>
      <c r="R148" s="70"/>
      <c r="S148" s="70"/>
      <c r="T148" s="70"/>
      <c r="U148" s="70"/>
      <c r="V148" s="70"/>
      <c r="W148" s="70"/>
      <c r="X148" s="70"/>
      <c r="Y148" s="70"/>
      <c r="Z148" s="70"/>
    </row>
    <row r="149">
      <c r="A149" s="70"/>
      <c r="B149" s="79"/>
      <c r="C149" s="79"/>
      <c r="D149" s="78"/>
      <c r="E149" s="71"/>
      <c r="F149" s="70"/>
      <c r="G149" s="70"/>
      <c r="H149" s="70"/>
      <c r="I149" s="70"/>
      <c r="J149" s="70"/>
      <c r="K149" s="70"/>
      <c r="L149" s="70"/>
      <c r="M149" s="70"/>
      <c r="N149" s="70"/>
      <c r="O149" s="70"/>
      <c r="P149" s="70"/>
      <c r="Q149" s="70"/>
      <c r="R149" s="70"/>
      <c r="S149" s="70"/>
      <c r="T149" s="70"/>
      <c r="U149" s="70"/>
      <c r="V149" s="70"/>
      <c r="W149" s="70"/>
      <c r="X149" s="70"/>
      <c r="Y149" s="70"/>
      <c r="Z149" s="70"/>
    </row>
    <row r="150">
      <c r="A150" s="70"/>
      <c r="B150" s="79"/>
      <c r="C150" s="79"/>
      <c r="D150" s="78"/>
      <c r="E150" s="71"/>
      <c r="F150" s="70"/>
      <c r="G150" s="70"/>
      <c r="H150" s="70"/>
      <c r="I150" s="70"/>
      <c r="J150" s="70"/>
      <c r="K150" s="70"/>
      <c r="L150" s="70"/>
      <c r="M150" s="70"/>
      <c r="N150" s="70"/>
      <c r="O150" s="70"/>
      <c r="P150" s="70"/>
      <c r="Q150" s="70"/>
      <c r="R150" s="70"/>
      <c r="S150" s="70"/>
      <c r="T150" s="70"/>
      <c r="U150" s="70"/>
      <c r="V150" s="70"/>
      <c r="W150" s="70"/>
      <c r="X150" s="70"/>
      <c r="Y150" s="70"/>
      <c r="Z150" s="70"/>
    </row>
    <row r="151">
      <c r="A151" s="70"/>
      <c r="B151" s="79"/>
      <c r="C151" s="79"/>
      <c r="D151" s="78"/>
      <c r="E151" s="71"/>
      <c r="F151" s="70"/>
      <c r="G151" s="70"/>
      <c r="H151" s="70"/>
      <c r="I151" s="70"/>
      <c r="J151" s="70"/>
      <c r="K151" s="70"/>
      <c r="L151" s="70"/>
      <c r="M151" s="70"/>
      <c r="N151" s="70"/>
      <c r="O151" s="70"/>
      <c r="P151" s="70"/>
      <c r="Q151" s="70"/>
      <c r="R151" s="70"/>
      <c r="S151" s="70"/>
      <c r="T151" s="70"/>
      <c r="U151" s="70"/>
      <c r="V151" s="70"/>
      <c r="W151" s="70"/>
      <c r="X151" s="70"/>
      <c r="Y151" s="70"/>
      <c r="Z151" s="70"/>
    </row>
    <row r="152">
      <c r="A152" s="70"/>
      <c r="B152" s="79"/>
      <c r="C152" s="79"/>
      <c r="D152" s="78"/>
      <c r="E152" s="71"/>
      <c r="F152" s="70"/>
      <c r="G152" s="70"/>
      <c r="H152" s="70"/>
      <c r="I152" s="70"/>
      <c r="J152" s="70"/>
      <c r="K152" s="70"/>
      <c r="L152" s="70"/>
      <c r="M152" s="70"/>
      <c r="N152" s="70"/>
      <c r="O152" s="70"/>
      <c r="P152" s="70"/>
      <c r="Q152" s="70"/>
      <c r="R152" s="70"/>
      <c r="S152" s="70"/>
      <c r="T152" s="70"/>
      <c r="U152" s="70"/>
      <c r="V152" s="70"/>
      <c r="W152" s="70"/>
      <c r="X152" s="70"/>
      <c r="Y152" s="70"/>
      <c r="Z152" s="70"/>
    </row>
    <row r="153">
      <c r="A153" s="70"/>
      <c r="B153" s="79"/>
      <c r="C153" s="79"/>
      <c r="D153" s="78"/>
      <c r="E153" s="71"/>
      <c r="F153" s="70"/>
      <c r="G153" s="70"/>
      <c r="H153" s="70"/>
      <c r="I153" s="70"/>
      <c r="J153" s="70"/>
      <c r="K153" s="70"/>
      <c r="L153" s="70"/>
      <c r="M153" s="70"/>
      <c r="N153" s="70"/>
      <c r="O153" s="70"/>
      <c r="P153" s="70"/>
      <c r="Q153" s="70"/>
      <c r="R153" s="70"/>
      <c r="S153" s="70"/>
      <c r="T153" s="70"/>
      <c r="U153" s="70"/>
      <c r="V153" s="70"/>
      <c r="W153" s="70"/>
      <c r="X153" s="70"/>
      <c r="Y153" s="70"/>
      <c r="Z153" s="70"/>
    </row>
    <row r="154">
      <c r="A154" s="70"/>
      <c r="B154" s="79"/>
      <c r="C154" s="79"/>
      <c r="D154" s="78"/>
      <c r="E154" s="71"/>
      <c r="F154" s="70"/>
      <c r="G154" s="70"/>
      <c r="H154" s="70"/>
      <c r="I154" s="70"/>
      <c r="J154" s="70"/>
      <c r="K154" s="70"/>
      <c r="L154" s="70"/>
      <c r="M154" s="70"/>
      <c r="N154" s="70"/>
      <c r="O154" s="70"/>
      <c r="P154" s="70"/>
      <c r="Q154" s="70"/>
      <c r="R154" s="70"/>
      <c r="S154" s="70"/>
      <c r="T154" s="70"/>
      <c r="U154" s="70"/>
      <c r="V154" s="70"/>
      <c r="W154" s="70"/>
      <c r="X154" s="70"/>
      <c r="Y154" s="70"/>
      <c r="Z154" s="70"/>
    </row>
    <row r="155">
      <c r="A155" s="70"/>
      <c r="B155" s="79"/>
      <c r="C155" s="79"/>
      <c r="D155" s="78"/>
      <c r="E155" s="71"/>
      <c r="F155" s="70"/>
      <c r="G155" s="70"/>
      <c r="H155" s="70"/>
      <c r="I155" s="70"/>
      <c r="J155" s="70"/>
      <c r="K155" s="70"/>
      <c r="L155" s="70"/>
      <c r="M155" s="70"/>
      <c r="N155" s="70"/>
      <c r="O155" s="70"/>
      <c r="P155" s="70"/>
      <c r="Q155" s="70"/>
      <c r="R155" s="70"/>
      <c r="S155" s="70"/>
      <c r="T155" s="70"/>
      <c r="U155" s="70"/>
      <c r="V155" s="70"/>
      <c r="W155" s="70"/>
      <c r="X155" s="70"/>
      <c r="Y155" s="70"/>
      <c r="Z155" s="70"/>
    </row>
    <row r="156">
      <c r="A156" s="70"/>
      <c r="B156" s="79"/>
      <c r="C156" s="79"/>
      <c r="D156" s="78"/>
      <c r="E156" s="71"/>
      <c r="F156" s="70"/>
      <c r="G156" s="70"/>
      <c r="H156" s="70"/>
      <c r="I156" s="70"/>
      <c r="J156" s="70"/>
      <c r="K156" s="70"/>
      <c r="L156" s="70"/>
      <c r="M156" s="70"/>
      <c r="N156" s="70"/>
      <c r="O156" s="70"/>
      <c r="P156" s="70"/>
      <c r="Q156" s="70"/>
      <c r="R156" s="70"/>
      <c r="S156" s="70"/>
      <c r="T156" s="70"/>
      <c r="U156" s="70"/>
      <c r="V156" s="70"/>
      <c r="W156" s="70"/>
      <c r="X156" s="70"/>
      <c r="Y156" s="70"/>
      <c r="Z156" s="70"/>
    </row>
    <row r="157">
      <c r="A157" s="70"/>
      <c r="B157" s="79"/>
      <c r="C157" s="79"/>
      <c r="D157" s="78"/>
      <c r="E157" s="71"/>
      <c r="F157" s="70"/>
      <c r="G157" s="70"/>
      <c r="H157" s="70"/>
      <c r="I157" s="70"/>
      <c r="J157" s="70"/>
      <c r="K157" s="70"/>
      <c r="L157" s="70"/>
      <c r="M157" s="70"/>
      <c r="N157" s="70"/>
      <c r="O157" s="70"/>
      <c r="P157" s="70"/>
      <c r="Q157" s="70"/>
      <c r="R157" s="70"/>
      <c r="S157" s="70"/>
      <c r="T157" s="70"/>
      <c r="U157" s="70"/>
      <c r="V157" s="70"/>
      <c r="W157" s="70"/>
      <c r="X157" s="70"/>
      <c r="Y157" s="70"/>
      <c r="Z157" s="70"/>
    </row>
    <row r="158">
      <c r="A158" s="70"/>
      <c r="B158" s="79"/>
      <c r="C158" s="79"/>
      <c r="D158" s="78"/>
      <c r="E158" s="71"/>
      <c r="F158" s="70"/>
      <c r="G158" s="70"/>
      <c r="H158" s="70"/>
      <c r="I158" s="70"/>
      <c r="J158" s="70"/>
      <c r="K158" s="70"/>
      <c r="L158" s="70"/>
      <c r="M158" s="70"/>
      <c r="N158" s="70"/>
      <c r="O158" s="70"/>
      <c r="P158" s="70"/>
      <c r="Q158" s="70"/>
      <c r="R158" s="70"/>
      <c r="S158" s="70"/>
      <c r="T158" s="70"/>
      <c r="U158" s="70"/>
      <c r="V158" s="70"/>
      <c r="W158" s="70"/>
      <c r="X158" s="70"/>
      <c r="Y158" s="70"/>
      <c r="Z158" s="70"/>
    </row>
    <row r="159">
      <c r="A159" s="70"/>
      <c r="B159" s="79"/>
      <c r="C159" s="79"/>
      <c r="D159" s="78"/>
      <c r="E159" s="71"/>
      <c r="F159" s="70"/>
      <c r="G159" s="70"/>
      <c r="H159" s="70"/>
      <c r="I159" s="70"/>
      <c r="J159" s="70"/>
      <c r="K159" s="70"/>
      <c r="L159" s="70"/>
      <c r="M159" s="70"/>
      <c r="N159" s="70"/>
      <c r="O159" s="70"/>
      <c r="P159" s="70"/>
      <c r="Q159" s="70"/>
      <c r="R159" s="70"/>
      <c r="S159" s="70"/>
      <c r="T159" s="70"/>
      <c r="U159" s="70"/>
      <c r="V159" s="70"/>
      <c r="W159" s="70"/>
      <c r="X159" s="70"/>
      <c r="Y159" s="70"/>
      <c r="Z159" s="70"/>
    </row>
    <row r="160">
      <c r="A160" s="70"/>
      <c r="B160" s="79"/>
      <c r="C160" s="79"/>
      <c r="D160" s="78"/>
      <c r="E160" s="71"/>
      <c r="F160" s="70"/>
      <c r="G160" s="70"/>
      <c r="H160" s="70"/>
      <c r="I160" s="70"/>
      <c r="J160" s="70"/>
      <c r="K160" s="70"/>
      <c r="L160" s="70"/>
      <c r="M160" s="70"/>
      <c r="N160" s="70"/>
      <c r="O160" s="70"/>
      <c r="P160" s="70"/>
      <c r="Q160" s="70"/>
      <c r="R160" s="70"/>
      <c r="S160" s="70"/>
      <c r="T160" s="70"/>
      <c r="U160" s="70"/>
      <c r="V160" s="70"/>
      <c r="W160" s="70"/>
      <c r="X160" s="70"/>
      <c r="Y160" s="70"/>
      <c r="Z160" s="70"/>
    </row>
    <row r="161">
      <c r="A161" s="70"/>
      <c r="B161" s="79"/>
      <c r="C161" s="79"/>
      <c r="D161" s="78"/>
      <c r="E161" s="71"/>
      <c r="F161" s="70"/>
      <c r="G161" s="70"/>
      <c r="H161" s="70"/>
      <c r="I161" s="70"/>
      <c r="J161" s="70"/>
      <c r="K161" s="70"/>
      <c r="L161" s="70"/>
      <c r="M161" s="70"/>
      <c r="N161" s="70"/>
      <c r="O161" s="70"/>
      <c r="P161" s="70"/>
      <c r="Q161" s="70"/>
      <c r="R161" s="70"/>
      <c r="S161" s="70"/>
      <c r="T161" s="70"/>
      <c r="U161" s="70"/>
      <c r="V161" s="70"/>
      <c r="W161" s="70"/>
      <c r="X161" s="70"/>
      <c r="Y161" s="70"/>
      <c r="Z161" s="70"/>
    </row>
    <row r="162">
      <c r="A162" s="70"/>
      <c r="B162" s="79"/>
      <c r="C162" s="79"/>
      <c r="D162" s="78"/>
      <c r="E162" s="71"/>
      <c r="F162" s="70"/>
      <c r="G162" s="70"/>
      <c r="H162" s="70"/>
      <c r="I162" s="70"/>
      <c r="J162" s="70"/>
      <c r="K162" s="70"/>
      <c r="L162" s="70"/>
      <c r="M162" s="70"/>
      <c r="N162" s="70"/>
      <c r="O162" s="70"/>
      <c r="P162" s="70"/>
      <c r="Q162" s="70"/>
      <c r="R162" s="70"/>
      <c r="S162" s="70"/>
      <c r="T162" s="70"/>
      <c r="U162" s="70"/>
      <c r="V162" s="70"/>
      <c r="W162" s="70"/>
      <c r="X162" s="70"/>
      <c r="Y162" s="70"/>
      <c r="Z162" s="70"/>
    </row>
    <row r="163">
      <c r="A163" s="70"/>
      <c r="B163" s="79"/>
      <c r="C163" s="79"/>
      <c r="D163" s="78"/>
      <c r="E163" s="71"/>
      <c r="F163" s="70"/>
      <c r="G163" s="70"/>
      <c r="H163" s="70"/>
      <c r="I163" s="70"/>
      <c r="J163" s="70"/>
      <c r="K163" s="70"/>
      <c r="L163" s="70"/>
      <c r="M163" s="70"/>
      <c r="N163" s="70"/>
      <c r="O163" s="70"/>
      <c r="P163" s="70"/>
      <c r="Q163" s="70"/>
      <c r="R163" s="70"/>
      <c r="S163" s="70"/>
      <c r="T163" s="70"/>
      <c r="U163" s="70"/>
      <c r="V163" s="70"/>
      <c r="W163" s="70"/>
      <c r="X163" s="70"/>
      <c r="Y163" s="70"/>
      <c r="Z163" s="70"/>
    </row>
    <row r="164">
      <c r="A164" s="70"/>
      <c r="B164" s="79"/>
      <c r="C164" s="79"/>
      <c r="D164" s="78"/>
      <c r="E164" s="71"/>
      <c r="F164" s="70"/>
      <c r="G164" s="70"/>
      <c r="H164" s="70"/>
      <c r="I164" s="70"/>
      <c r="J164" s="70"/>
      <c r="K164" s="70"/>
      <c r="L164" s="70"/>
      <c r="M164" s="70"/>
      <c r="N164" s="70"/>
      <c r="O164" s="70"/>
      <c r="P164" s="70"/>
      <c r="Q164" s="70"/>
      <c r="R164" s="70"/>
      <c r="S164" s="70"/>
      <c r="T164" s="70"/>
      <c r="U164" s="70"/>
      <c r="V164" s="70"/>
      <c r="W164" s="70"/>
      <c r="X164" s="70"/>
      <c r="Y164" s="70"/>
      <c r="Z164" s="70"/>
    </row>
    <row r="165">
      <c r="A165" s="70"/>
      <c r="B165" s="79"/>
      <c r="C165" s="79"/>
      <c r="D165" s="78"/>
      <c r="E165" s="71"/>
      <c r="F165" s="70"/>
      <c r="G165" s="70"/>
      <c r="H165" s="70"/>
      <c r="I165" s="70"/>
      <c r="J165" s="70"/>
      <c r="K165" s="70"/>
      <c r="L165" s="70"/>
      <c r="M165" s="70"/>
      <c r="N165" s="70"/>
      <c r="O165" s="70"/>
      <c r="P165" s="70"/>
      <c r="Q165" s="70"/>
      <c r="R165" s="70"/>
      <c r="S165" s="70"/>
      <c r="T165" s="70"/>
      <c r="U165" s="70"/>
      <c r="V165" s="70"/>
      <c r="W165" s="70"/>
      <c r="X165" s="70"/>
      <c r="Y165" s="70"/>
      <c r="Z165" s="70"/>
    </row>
    <row r="166">
      <c r="A166" s="70"/>
      <c r="B166" s="79"/>
      <c r="C166" s="79"/>
      <c r="D166" s="78"/>
      <c r="E166" s="71"/>
      <c r="F166" s="70"/>
      <c r="G166" s="70"/>
      <c r="H166" s="70"/>
      <c r="I166" s="70"/>
      <c r="J166" s="70"/>
      <c r="K166" s="70"/>
      <c r="L166" s="70"/>
      <c r="M166" s="70"/>
      <c r="N166" s="70"/>
      <c r="O166" s="70"/>
      <c r="P166" s="70"/>
      <c r="Q166" s="70"/>
      <c r="R166" s="70"/>
      <c r="S166" s="70"/>
      <c r="T166" s="70"/>
      <c r="U166" s="70"/>
      <c r="V166" s="70"/>
      <c r="W166" s="70"/>
      <c r="X166" s="70"/>
      <c r="Y166" s="70"/>
      <c r="Z166" s="70"/>
    </row>
    <row r="167">
      <c r="A167" s="70"/>
      <c r="B167" s="79"/>
      <c r="C167" s="79"/>
      <c r="D167" s="78"/>
      <c r="E167" s="71"/>
      <c r="F167" s="70"/>
      <c r="G167" s="70"/>
      <c r="H167" s="70"/>
      <c r="I167" s="70"/>
      <c r="J167" s="70"/>
      <c r="K167" s="70"/>
      <c r="L167" s="70"/>
      <c r="M167" s="70"/>
      <c r="N167" s="70"/>
      <c r="O167" s="70"/>
      <c r="P167" s="70"/>
      <c r="Q167" s="70"/>
      <c r="R167" s="70"/>
      <c r="S167" s="70"/>
      <c r="T167" s="70"/>
      <c r="U167" s="70"/>
      <c r="V167" s="70"/>
      <c r="W167" s="70"/>
      <c r="X167" s="70"/>
      <c r="Y167" s="70"/>
      <c r="Z167" s="70"/>
    </row>
    <row r="168">
      <c r="A168" s="70"/>
      <c r="B168" s="79"/>
      <c r="C168" s="79"/>
      <c r="D168" s="78"/>
      <c r="E168" s="71"/>
      <c r="F168" s="70"/>
      <c r="G168" s="70"/>
      <c r="H168" s="70"/>
      <c r="I168" s="70"/>
      <c r="J168" s="70"/>
      <c r="K168" s="70"/>
      <c r="L168" s="70"/>
      <c r="M168" s="70"/>
      <c r="N168" s="70"/>
      <c r="O168" s="70"/>
      <c r="P168" s="70"/>
      <c r="Q168" s="70"/>
      <c r="R168" s="70"/>
      <c r="S168" s="70"/>
      <c r="T168" s="70"/>
      <c r="U168" s="70"/>
      <c r="V168" s="70"/>
      <c r="W168" s="70"/>
      <c r="X168" s="70"/>
      <c r="Y168" s="70"/>
      <c r="Z168" s="70"/>
    </row>
    <row r="169">
      <c r="A169" s="70"/>
      <c r="B169" s="79"/>
      <c r="C169" s="79"/>
      <c r="D169" s="78"/>
      <c r="E169" s="71"/>
      <c r="F169" s="70"/>
      <c r="G169" s="70"/>
      <c r="H169" s="70"/>
      <c r="I169" s="70"/>
      <c r="J169" s="70"/>
      <c r="K169" s="70"/>
      <c r="L169" s="70"/>
      <c r="M169" s="70"/>
      <c r="N169" s="70"/>
      <c r="O169" s="70"/>
      <c r="P169" s="70"/>
      <c r="Q169" s="70"/>
      <c r="R169" s="70"/>
      <c r="S169" s="70"/>
      <c r="T169" s="70"/>
      <c r="U169" s="70"/>
      <c r="V169" s="70"/>
      <c r="W169" s="70"/>
      <c r="X169" s="70"/>
      <c r="Y169" s="70"/>
      <c r="Z169" s="70"/>
    </row>
    <row r="170">
      <c r="A170" s="70"/>
      <c r="B170" s="79"/>
      <c r="C170" s="79"/>
      <c r="D170" s="78"/>
      <c r="E170" s="71"/>
      <c r="F170" s="70"/>
      <c r="G170" s="70"/>
      <c r="H170" s="70"/>
      <c r="I170" s="70"/>
      <c r="J170" s="70"/>
      <c r="K170" s="70"/>
      <c r="L170" s="70"/>
      <c r="M170" s="70"/>
      <c r="N170" s="70"/>
      <c r="O170" s="70"/>
      <c r="P170" s="70"/>
      <c r="Q170" s="70"/>
      <c r="R170" s="70"/>
      <c r="S170" s="70"/>
      <c r="T170" s="70"/>
      <c r="U170" s="70"/>
      <c r="V170" s="70"/>
      <c r="W170" s="70"/>
      <c r="X170" s="70"/>
      <c r="Y170" s="70"/>
      <c r="Z170" s="70"/>
    </row>
    <row r="171">
      <c r="A171" s="70"/>
      <c r="B171" s="79"/>
      <c r="C171" s="79"/>
      <c r="D171" s="78"/>
      <c r="E171" s="71"/>
      <c r="F171" s="70"/>
      <c r="G171" s="70"/>
      <c r="H171" s="70"/>
      <c r="I171" s="70"/>
      <c r="J171" s="70"/>
      <c r="K171" s="70"/>
      <c r="L171" s="70"/>
      <c r="M171" s="70"/>
      <c r="N171" s="70"/>
      <c r="O171" s="70"/>
      <c r="P171" s="70"/>
      <c r="Q171" s="70"/>
      <c r="R171" s="70"/>
      <c r="S171" s="70"/>
      <c r="T171" s="70"/>
      <c r="U171" s="70"/>
      <c r="V171" s="70"/>
      <c r="W171" s="70"/>
      <c r="X171" s="70"/>
      <c r="Y171" s="70"/>
      <c r="Z171" s="70"/>
    </row>
    <row r="172">
      <c r="A172" s="70"/>
      <c r="B172" s="79"/>
      <c r="C172" s="79"/>
      <c r="D172" s="78"/>
      <c r="E172" s="71"/>
      <c r="F172" s="70"/>
      <c r="G172" s="70"/>
      <c r="H172" s="70"/>
      <c r="I172" s="70"/>
      <c r="J172" s="70"/>
      <c r="K172" s="70"/>
      <c r="L172" s="70"/>
      <c r="M172" s="70"/>
      <c r="N172" s="70"/>
      <c r="O172" s="70"/>
      <c r="P172" s="70"/>
      <c r="Q172" s="70"/>
      <c r="R172" s="70"/>
      <c r="S172" s="70"/>
      <c r="T172" s="70"/>
      <c r="U172" s="70"/>
      <c r="V172" s="70"/>
      <c r="W172" s="70"/>
      <c r="X172" s="70"/>
      <c r="Y172" s="70"/>
      <c r="Z172" s="70"/>
    </row>
    <row r="173">
      <c r="A173" s="70"/>
      <c r="B173" s="79"/>
      <c r="C173" s="79"/>
      <c r="D173" s="78"/>
      <c r="E173" s="71"/>
      <c r="F173" s="70"/>
      <c r="G173" s="70"/>
      <c r="H173" s="70"/>
      <c r="I173" s="70"/>
      <c r="J173" s="70"/>
      <c r="K173" s="70"/>
      <c r="L173" s="70"/>
      <c r="M173" s="70"/>
      <c r="N173" s="70"/>
      <c r="O173" s="70"/>
      <c r="P173" s="70"/>
      <c r="Q173" s="70"/>
      <c r="R173" s="70"/>
      <c r="S173" s="70"/>
      <c r="T173" s="70"/>
      <c r="U173" s="70"/>
      <c r="V173" s="70"/>
      <c r="W173" s="70"/>
      <c r="X173" s="70"/>
      <c r="Y173" s="70"/>
      <c r="Z173" s="70"/>
    </row>
    <row r="174">
      <c r="A174" s="70"/>
      <c r="B174" s="79"/>
      <c r="C174" s="79"/>
      <c r="D174" s="78"/>
      <c r="E174" s="71"/>
      <c r="F174" s="70"/>
      <c r="G174" s="70"/>
      <c r="H174" s="70"/>
      <c r="I174" s="70"/>
      <c r="J174" s="70"/>
      <c r="K174" s="70"/>
      <c r="L174" s="70"/>
      <c r="M174" s="70"/>
      <c r="N174" s="70"/>
      <c r="O174" s="70"/>
      <c r="P174" s="70"/>
      <c r="Q174" s="70"/>
      <c r="R174" s="70"/>
      <c r="S174" s="70"/>
      <c r="T174" s="70"/>
      <c r="U174" s="70"/>
      <c r="V174" s="70"/>
      <c r="W174" s="70"/>
      <c r="X174" s="70"/>
      <c r="Y174" s="70"/>
      <c r="Z174" s="70"/>
    </row>
    <row r="175">
      <c r="A175" s="70"/>
      <c r="B175" s="79"/>
      <c r="C175" s="79"/>
      <c r="D175" s="78"/>
      <c r="E175" s="71"/>
      <c r="F175" s="70"/>
      <c r="G175" s="70"/>
      <c r="H175" s="70"/>
      <c r="I175" s="70"/>
      <c r="J175" s="70"/>
      <c r="K175" s="70"/>
      <c r="L175" s="70"/>
      <c r="M175" s="70"/>
      <c r="N175" s="70"/>
      <c r="O175" s="70"/>
      <c r="P175" s="70"/>
      <c r="Q175" s="70"/>
      <c r="R175" s="70"/>
      <c r="S175" s="70"/>
      <c r="T175" s="70"/>
      <c r="U175" s="70"/>
      <c r="V175" s="70"/>
      <c r="W175" s="70"/>
      <c r="X175" s="70"/>
      <c r="Y175" s="70"/>
      <c r="Z175" s="70"/>
    </row>
    <row r="176">
      <c r="A176" s="70"/>
      <c r="B176" s="79"/>
      <c r="C176" s="79"/>
      <c r="D176" s="78"/>
      <c r="E176" s="71"/>
      <c r="F176" s="70"/>
      <c r="G176" s="70"/>
      <c r="H176" s="70"/>
      <c r="I176" s="70"/>
      <c r="J176" s="70"/>
      <c r="K176" s="70"/>
      <c r="L176" s="70"/>
      <c r="M176" s="70"/>
      <c r="N176" s="70"/>
      <c r="O176" s="70"/>
      <c r="P176" s="70"/>
      <c r="Q176" s="70"/>
      <c r="R176" s="70"/>
      <c r="S176" s="70"/>
      <c r="T176" s="70"/>
      <c r="U176" s="70"/>
      <c r="V176" s="70"/>
      <c r="W176" s="70"/>
      <c r="X176" s="70"/>
      <c r="Y176" s="70"/>
      <c r="Z176" s="70"/>
    </row>
    <row r="177">
      <c r="A177" s="70"/>
      <c r="B177" s="79"/>
      <c r="C177" s="79"/>
      <c r="D177" s="78"/>
      <c r="E177" s="71"/>
      <c r="F177" s="70"/>
      <c r="G177" s="70"/>
      <c r="H177" s="70"/>
      <c r="I177" s="70"/>
      <c r="J177" s="70"/>
      <c r="K177" s="70"/>
      <c r="L177" s="70"/>
      <c r="M177" s="70"/>
      <c r="N177" s="70"/>
      <c r="O177" s="70"/>
      <c r="P177" s="70"/>
      <c r="Q177" s="70"/>
      <c r="R177" s="70"/>
      <c r="S177" s="70"/>
      <c r="T177" s="70"/>
      <c r="U177" s="70"/>
      <c r="V177" s="70"/>
      <c r="W177" s="70"/>
      <c r="X177" s="70"/>
      <c r="Y177" s="70"/>
      <c r="Z177" s="70"/>
    </row>
    <row r="178">
      <c r="A178" s="70"/>
      <c r="B178" s="79"/>
      <c r="C178" s="79"/>
      <c r="D178" s="78"/>
      <c r="E178" s="71"/>
      <c r="F178" s="70"/>
      <c r="G178" s="70"/>
      <c r="H178" s="70"/>
      <c r="I178" s="70"/>
      <c r="J178" s="70"/>
      <c r="K178" s="70"/>
      <c r="L178" s="70"/>
      <c r="M178" s="70"/>
      <c r="N178" s="70"/>
      <c r="O178" s="70"/>
      <c r="P178" s="70"/>
      <c r="Q178" s="70"/>
      <c r="R178" s="70"/>
      <c r="S178" s="70"/>
      <c r="T178" s="70"/>
      <c r="U178" s="70"/>
      <c r="V178" s="70"/>
      <c r="W178" s="70"/>
      <c r="X178" s="70"/>
      <c r="Y178" s="70"/>
      <c r="Z178" s="70"/>
    </row>
    <row r="179">
      <c r="A179" s="70"/>
      <c r="B179" s="79"/>
      <c r="C179" s="79"/>
      <c r="D179" s="78"/>
      <c r="E179" s="71"/>
      <c r="F179" s="70"/>
      <c r="G179" s="70"/>
      <c r="H179" s="70"/>
      <c r="I179" s="70"/>
      <c r="J179" s="70"/>
      <c r="K179" s="70"/>
      <c r="L179" s="70"/>
      <c r="M179" s="70"/>
      <c r="N179" s="70"/>
      <c r="O179" s="70"/>
      <c r="P179" s="70"/>
      <c r="Q179" s="70"/>
      <c r="R179" s="70"/>
      <c r="S179" s="70"/>
      <c r="T179" s="70"/>
      <c r="U179" s="70"/>
      <c r="V179" s="70"/>
      <c r="W179" s="70"/>
      <c r="X179" s="70"/>
      <c r="Y179" s="70"/>
      <c r="Z179" s="70"/>
    </row>
    <row r="180">
      <c r="A180" s="70"/>
      <c r="B180" s="79"/>
      <c r="C180" s="79"/>
      <c r="D180" s="78"/>
      <c r="E180" s="71"/>
      <c r="F180" s="70"/>
      <c r="G180" s="70"/>
      <c r="H180" s="70"/>
      <c r="I180" s="70"/>
      <c r="J180" s="70"/>
      <c r="K180" s="70"/>
      <c r="L180" s="70"/>
      <c r="M180" s="70"/>
      <c r="N180" s="70"/>
      <c r="O180" s="70"/>
      <c r="P180" s="70"/>
      <c r="Q180" s="70"/>
      <c r="R180" s="70"/>
      <c r="S180" s="70"/>
      <c r="T180" s="70"/>
      <c r="U180" s="70"/>
      <c r="V180" s="70"/>
      <c r="W180" s="70"/>
      <c r="X180" s="70"/>
      <c r="Y180" s="70"/>
      <c r="Z180" s="70"/>
    </row>
    <row r="181">
      <c r="A181" s="70"/>
      <c r="B181" s="79"/>
      <c r="C181" s="79"/>
      <c r="D181" s="78"/>
      <c r="E181" s="71"/>
      <c r="F181" s="70"/>
      <c r="G181" s="70"/>
      <c r="H181" s="70"/>
      <c r="I181" s="70"/>
      <c r="J181" s="70"/>
      <c r="K181" s="70"/>
      <c r="L181" s="70"/>
      <c r="M181" s="70"/>
      <c r="N181" s="70"/>
      <c r="O181" s="70"/>
      <c r="P181" s="70"/>
      <c r="Q181" s="70"/>
      <c r="R181" s="70"/>
      <c r="S181" s="70"/>
      <c r="T181" s="70"/>
      <c r="U181" s="70"/>
      <c r="V181" s="70"/>
      <c r="W181" s="70"/>
      <c r="X181" s="70"/>
      <c r="Y181" s="70"/>
      <c r="Z181" s="70"/>
    </row>
    <row r="182">
      <c r="A182" s="70"/>
      <c r="B182" s="79"/>
      <c r="C182" s="79"/>
      <c r="D182" s="78"/>
      <c r="E182" s="71"/>
      <c r="F182" s="70"/>
      <c r="G182" s="70"/>
      <c r="H182" s="70"/>
      <c r="I182" s="70"/>
      <c r="J182" s="70"/>
      <c r="K182" s="70"/>
      <c r="L182" s="70"/>
      <c r="M182" s="70"/>
      <c r="N182" s="70"/>
      <c r="O182" s="70"/>
      <c r="P182" s="70"/>
      <c r="Q182" s="70"/>
      <c r="R182" s="70"/>
      <c r="S182" s="70"/>
      <c r="T182" s="70"/>
      <c r="U182" s="70"/>
      <c r="V182" s="70"/>
      <c r="W182" s="70"/>
      <c r="X182" s="70"/>
      <c r="Y182" s="70"/>
      <c r="Z182" s="70"/>
    </row>
    <row r="183">
      <c r="A183" s="70"/>
      <c r="B183" s="79"/>
      <c r="C183" s="79"/>
      <c r="D183" s="78"/>
      <c r="E183" s="71"/>
      <c r="F183" s="70"/>
      <c r="G183" s="70"/>
      <c r="H183" s="70"/>
      <c r="I183" s="70"/>
      <c r="J183" s="70"/>
      <c r="K183" s="70"/>
      <c r="L183" s="70"/>
      <c r="M183" s="70"/>
      <c r="N183" s="70"/>
      <c r="O183" s="70"/>
      <c r="P183" s="70"/>
      <c r="Q183" s="70"/>
      <c r="R183" s="70"/>
      <c r="S183" s="70"/>
      <c r="T183" s="70"/>
      <c r="U183" s="70"/>
      <c r="V183" s="70"/>
      <c r="W183" s="70"/>
      <c r="X183" s="70"/>
      <c r="Y183" s="70"/>
      <c r="Z183" s="70"/>
    </row>
    <row r="184">
      <c r="A184" s="70"/>
      <c r="B184" s="79"/>
      <c r="C184" s="79"/>
      <c r="D184" s="78"/>
      <c r="E184" s="71"/>
      <c r="F184" s="70"/>
      <c r="G184" s="70"/>
      <c r="H184" s="70"/>
      <c r="I184" s="70"/>
      <c r="J184" s="70"/>
      <c r="K184" s="70"/>
      <c r="L184" s="70"/>
      <c r="M184" s="70"/>
      <c r="N184" s="70"/>
      <c r="O184" s="70"/>
      <c r="P184" s="70"/>
      <c r="Q184" s="70"/>
      <c r="R184" s="70"/>
      <c r="S184" s="70"/>
      <c r="T184" s="70"/>
      <c r="U184" s="70"/>
      <c r="V184" s="70"/>
      <c r="W184" s="70"/>
      <c r="X184" s="70"/>
      <c r="Y184" s="70"/>
      <c r="Z184" s="70"/>
    </row>
    <row r="185">
      <c r="A185" s="70"/>
      <c r="B185" s="79"/>
      <c r="C185" s="79"/>
      <c r="D185" s="78"/>
      <c r="E185" s="71"/>
      <c r="F185" s="70"/>
      <c r="G185" s="70"/>
      <c r="H185" s="70"/>
      <c r="I185" s="70"/>
      <c r="J185" s="70"/>
      <c r="K185" s="70"/>
      <c r="L185" s="70"/>
      <c r="M185" s="70"/>
      <c r="N185" s="70"/>
      <c r="O185" s="70"/>
      <c r="P185" s="70"/>
      <c r="Q185" s="70"/>
      <c r="R185" s="70"/>
      <c r="S185" s="70"/>
      <c r="T185" s="70"/>
      <c r="U185" s="70"/>
      <c r="V185" s="70"/>
      <c r="W185" s="70"/>
      <c r="X185" s="70"/>
      <c r="Y185" s="70"/>
      <c r="Z185" s="70"/>
    </row>
    <row r="186">
      <c r="A186" s="70"/>
      <c r="B186" s="79"/>
      <c r="C186" s="79"/>
      <c r="D186" s="78"/>
      <c r="E186" s="71"/>
      <c r="F186" s="70"/>
      <c r="G186" s="70"/>
      <c r="H186" s="70"/>
      <c r="I186" s="70"/>
      <c r="J186" s="70"/>
      <c r="K186" s="70"/>
      <c r="L186" s="70"/>
      <c r="M186" s="70"/>
      <c r="N186" s="70"/>
      <c r="O186" s="70"/>
      <c r="P186" s="70"/>
      <c r="Q186" s="70"/>
      <c r="R186" s="70"/>
      <c r="S186" s="70"/>
      <c r="T186" s="70"/>
      <c r="U186" s="70"/>
      <c r="V186" s="70"/>
      <c r="W186" s="70"/>
      <c r="X186" s="70"/>
      <c r="Y186" s="70"/>
      <c r="Z186" s="70"/>
    </row>
    <row r="187">
      <c r="A187" s="70"/>
      <c r="B187" s="79"/>
      <c r="C187" s="79"/>
      <c r="D187" s="78"/>
      <c r="E187" s="71"/>
      <c r="F187" s="70"/>
      <c r="G187" s="70"/>
      <c r="H187" s="70"/>
      <c r="I187" s="70"/>
      <c r="J187" s="70"/>
      <c r="K187" s="70"/>
      <c r="L187" s="70"/>
      <c r="M187" s="70"/>
      <c r="N187" s="70"/>
      <c r="O187" s="70"/>
      <c r="P187" s="70"/>
      <c r="Q187" s="70"/>
      <c r="R187" s="70"/>
      <c r="S187" s="70"/>
      <c r="T187" s="70"/>
      <c r="U187" s="70"/>
      <c r="V187" s="70"/>
      <c r="W187" s="70"/>
      <c r="X187" s="70"/>
      <c r="Y187" s="70"/>
      <c r="Z187" s="70"/>
    </row>
    <row r="188">
      <c r="A188" s="70"/>
      <c r="B188" s="79"/>
      <c r="C188" s="79"/>
      <c r="D188" s="78"/>
      <c r="E188" s="71"/>
      <c r="F188" s="70"/>
      <c r="G188" s="70"/>
      <c r="H188" s="70"/>
      <c r="I188" s="70"/>
      <c r="J188" s="70"/>
      <c r="K188" s="70"/>
      <c r="L188" s="70"/>
      <c r="M188" s="70"/>
      <c r="N188" s="70"/>
      <c r="O188" s="70"/>
      <c r="P188" s="70"/>
      <c r="Q188" s="70"/>
      <c r="R188" s="70"/>
      <c r="S188" s="70"/>
      <c r="T188" s="70"/>
      <c r="U188" s="70"/>
      <c r="V188" s="70"/>
      <c r="W188" s="70"/>
      <c r="X188" s="70"/>
      <c r="Y188" s="70"/>
      <c r="Z188" s="70"/>
    </row>
    <row r="189">
      <c r="A189" s="70"/>
      <c r="B189" s="79"/>
      <c r="C189" s="79"/>
      <c r="D189" s="78"/>
      <c r="E189" s="71"/>
      <c r="F189" s="70"/>
      <c r="G189" s="70"/>
      <c r="H189" s="70"/>
      <c r="I189" s="70"/>
      <c r="J189" s="70"/>
      <c r="K189" s="70"/>
      <c r="L189" s="70"/>
      <c r="M189" s="70"/>
      <c r="N189" s="70"/>
      <c r="O189" s="70"/>
      <c r="P189" s="70"/>
      <c r="Q189" s="70"/>
      <c r="R189" s="70"/>
      <c r="S189" s="70"/>
      <c r="T189" s="70"/>
      <c r="U189" s="70"/>
      <c r="V189" s="70"/>
      <c r="W189" s="70"/>
      <c r="X189" s="70"/>
      <c r="Y189" s="70"/>
      <c r="Z189" s="70"/>
    </row>
    <row r="190">
      <c r="A190" s="70"/>
      <c r="B190" s="79"/>
      <c r="C190" s="79"/>
      <c r="D190" s="78"/>
      <c r="E190" s="71"/>
      <c r="F190" s="70"/>
      <c r="G190" s="70"/>
      <c r="H190" s="70"/>
      <c r="I190" s="70"/>
      <c r="J190" s="70"/>
      <c r="K190" s="70"/>
      <c r="L190" s="70"/>
      <c r="M190" s="70"/>
      <c r="N190" s="70"/>
      <c r="O190" s="70"/>
      <c r="P190" s="70"/>
      <c r="Q190" s="70"/>
      <c r="R190" s="70"/>
      <c r="S190" s="70"/>
      <c r="T190" s="70"/>
      <c r="U190" s="70"/>
      <c r="V190" s="70"/>
      <c r="W190" s="70"/>
      <c r="X190" s="70"/>
      <c r="Y190" s="70"/>
      <c r="Z190" s="70"/>
    </row>
    <row r="191">
      <c r="A191" s="70"/>
      <c r="B191" s="79"/>
      <c r="C191" s="79"/>
      <c r="D191" s="78"/>
      <c r="E191" s="71"/>
      <c r="F191" s="70"/>
      <c r="G191" s="70"/>
      <c r="H191" s="70"/>
      <c r="I191" s="70"/>
      <c r="J191" s="70"/>
      <c r="K191" s="70"/>
      <c r="L191" s="70"/>
      <c r="M191" s="70"/>
      <c r="N191" s="70"/>
      <c r="O191" s="70"/>
      <c r="P191" s="70"/>
      <c r="Q191" s="70"/>
      <c r="R191" s="70"/>
      <c r="S191" s="70"/>
      <c r="T191" s="70"/>
      <c r="U191" s="70"/>
      <c r="V191" s="70"/>
      <c r="W191" s="70"/>
      <c r="X191" s="70"/>
      <c r="Y191" s="70"/>
      <c r="Z191" s="70"/>
    </row>
    <row r="192">
      <c r="A192" s="70"/>
      <c r="B192" s="79"/>
      <c r="C192" s="79"/>
      <c r="D192" s="78"/>
      <c r="E192" s="71"/>
      <c r="F192" s="70"/>
      <c r="G192" s="70"/>
      <c r="H192" s="70"/>
      <c r="I192" s="70"/>
      <c r="J192" s="70"/>
      <c r="K192" s="70"/>
      <c r="L192" s="70"/>
      <c r="M192" s="70"/>
      <c r="N192" s="70"/>
      <c r="O192" s="70"/>
      <c r="P192" s="70"/>
      <c r="Q192" s="70"/>
      <c r="R192" s="70"/>
      <c r="S192" s="70"/>
      <c r="T192" s="70"/>
      <c r="U192" s="70"/>
      <c r="V192" s="70"/>
      <c r="W192" s="70"/>
      <c r="X192" s="70"/>
      <c r="Y192" s="70"/>
      <c r="Z192" s="70"/>
    </row>
    <row r="193">
      <c r="A193" s="70"/>
      <c r="B193" s="79"/>
      <c r="C193" s="79"/>
      <c r="D193" s="78"/>
      <c r="E193" s="71"/>
      <c r="F193" s="70"/>
      <c r="G193" s="70"/>
      <c r="H193" s="70"/>
      <c r="I193" s="70"/>
      <c r="J193" s="70"/>
      <c r="K193" s="70"/>
      <c r="L193" s="70"/>
      <c r="M193" s="70"/>
      <c r="N193" s="70"/>
      <c r="O193" s="70"/>
      <c r="P193" s="70"/>
      <c r="Q193" s="70"/>
      <c r="R193" s="70"/>
      <c r="S193" s="70"/>
      <c r="T193" s="70"/>
      <c r="U193" s="70"/>
      <c r="V193" s="70"/>
      <c r="W193" s="70"/>
      <c r="X193" s="70"/>
      <c r="Y193" s="70"/>
      <c r="Z193" s="70"/>
    </row>
    <row r="194">
      <c r="A194" s="70"/>
      <c r="B194" s="79"/>
      <c r="C194" s="79"/>
      <c r="D194" s="78"/>
      <c r="E194" s="71"/>
      <c r="F194" s="70"/>
      <c r="G194" s="70"/>
      <c r="H194" s="70"/>
      <c r="I194" s="70"/>
      <c r="J194" s="70"/>
      <c r="K194" s="70"/>
      <c r="L194" s="70"/>
      <c r="M194" s="70"/>
      <c r="N194" s="70"/>
      <c r="O194" s="70"/>
      <c r="P194" s="70"/>
      <c r="Q194" s="70"/>
      <c r="R194" s="70"/>
      <c r="S194" s="70"/>
      <c r="T194" s="70"/>
      <c r="U194" s="70"/>
      <c r="V194" s="70"/>
      <c r="W194" s="70"/>
      <c r="X194" s="70"/>
      <c r="Y194" s="70"/>
      <c r="Z194" s="70"/>
    </row>
    <row r="195">
      <c r="A195" s="70"/>
      <c r="B195" s="79"/>
      <c r="C195" s="79"/>
      <c r="D195" s="78"/>
      <c r="E195" s="71"/>
      <c r="F195" s="70"/>
      <c r="G195" s="70"/>
      <c r="H195" s="70"/>
      <c r="I195" s="70"/>
      <c r="J195" s="70"/>
      <c r="K195" s="70"/>
      <c r="L195" s="70"/>
      <c r="M195" s="70"/>
      <c r="N195" s="70"/>
      <c r="O195" s="70"/>
      <c r="P195" s="70"/>
      <c r="Q195" s="70"/>
      <c r="R195" s="70"/>
      <c r="S195" s="70"/>
      <c r="T195" s="70"/>
      <c r="U195" s="70"/>
      <c r="V195" s="70"/>
      <c r="W195" s="70"/>
      <c r="X195" s="70"/>
      <c r="Y195" s="70"/>
      <c r="Z195" s="70"/>
    </row>
    <row r="196">
      <c r="A196" s="70"/>
      <c r="B196" s="79"/>
      <c r="C196" s="79"/>
      <c r="D196" s="78"/>
      <c r="E196" s="71"/>
      <c r="F196" s="70"/>
      <c r="G196" s="70"/>
      <c r="H196" s="70"/>
      <c r="I196" s="70"/>
      <c r="J196" s="70"/>
      <c r="K196" s="70"/>
      <c r="L196" s="70"/>
      <c r="M196" s="70"/>
      <c r="N196" s="70"/>
      <c r="O196" s="70"/>
      <c r="P196" s="70"/>
      <c r="Q196" s="70"/>
      <c r="R196" s="70"/>
      <c r="S196" s="70"/>
      <c r="T196" s="70"/>
      <c r="U196" s="70"/>
      <c r="V196" s="70"/>
      <c r="W196" s="70"/>
      <c r="X196" s="70"/>
      <c r="Y196" s="70"/>
      <c r="Z196" s="70"/>
    </row>
    <row r="197">
      <c r="A197" s="70"/>
      <c r="B197" s="79"/>
      <c r="C197" s="79"/>
      <c r="D197" s="78"/>
      <c r="E197" s="71"/>
      <c r="F197" s="70"/>
      <c r="G197" s="70"/>
      <c r="H197" s="70"/>
      <c r="I197" s="70"/>
      <c r="J197" s="70"/>
      <c r="K197" s="70"/>
      <c r="L197" s="70"/>
      <c r="M197" s="70"/>
      <c r="N197" s="70"/>
      <c r="O197" s="70"/>
      <c r="P197" s="70"/>
      <c r="Q197" s="70"/>
      <c r="R197" s="70"/>
      <c r="S197" s="70"/>
      <c r="T197" s="70"/>
      <c r="U197" s="70"/>
      <c r="V197" s="70"/>
      <c r="W197" s="70"/>
      <c r="X197" s="70"/>
      <c r="Y197" s="70"/>
      <c r="Z197" s="70"/>
    </row>
    <row r="198">
      <c r="A198" s="70"/>
      <c r="B198" s="79"/>
      <c r="C198" s="79"/>
      <c r="D198" s="78"/>
      <c r="E198" s="71"/>
      <c r="F198" s="70"/>
      <c r="G198" s="70"/>
      <c r="H198" s="70"/>
      <c r="I198" s="70"/>
      <c r="J198" s="70"/>
      <c r="K198" s="70"/>
      <c r="L198" s="70"/>
      <c r="M198" s="70"/>
      <c r="N198" s="70"/>
      <c r="O198" s="70"/>
      <c r="P198" s="70"/>
      <c r="Q198" s="70"/>
      <c r="R198" s="70"/>
      <c r="S198" s="70"/>
      <c r="T198" s="70"/>
      <c r="U198" s="70"/>
      <c r="V198" s="70"/>
      <c r="W198" s="70"/>
      <c r="X198" s="70"/>
      <c r="Y198" s="70"/>
      <c r="Z198" s="70"/>
    </row>
    <row r="199">
      <c r="A199" s="70"/>
      <c r="B199" s="79"/>
      <c r="C199" s="79"/>
      <c r="D199" s="78"/>
      <c r="E199" s="71"/>
      <c r="F199" s="70"/>
      <c r="G199" s="70"/>
      <c r="H199" s="70"/>
      <c r="I199" s="70"/>
      <c r="J199" s="70"/>
      <c r="K199" s="70"/>
      <c r="L199" s="70"/>
      <c r="M199" s="70"/>
      <c r="N199" s="70"/>
      <c r="O199" s="70"/>
      <c r="P199" s="70"/>
      <c r="Q199" s="70"/>
      <c r="R199" s="70"/>
      <c r="S199" s="70"/>
      <c r="T199" s="70"/>
      <c r="U199" s="70"/>
      <c r="V199" s="70"/>
      <c r="W199" s="70"/>
      <c r="X199" s="70"/>
      <c r="Y199" s="70"/>
      <c r="Z199" s="70"/>
    </row>
    <row r="200">
      <c r="A200" s="70"/>
      <c r="B200" s="79"/>
      <c r="C200" s="79"/>
      <c r="D200" s="78"/>
      <c r="E200" s="71"/>
      <c r="F200" s="70"/>
      <c r="G200" s="70"/>
      <c r="H200" s="70"/>
      <c r="I200" s="70"/>
      <c r="J200" s="70"/>
      <c r="K200" s="70"/>
      <c r="L200" s="70"/>
      <c r="M200" s="70"/>
      <c r="N200" s="70"/>
      <c r="O200" s="70"/>
      <c r="P200" s="70"/>
      <c r="Q200" s="70"/>
      <c r="R200" s="70"/>
      <c r="S200" s="70"/>
      <c r="T200" s="70"/>
      <c r="U200" s="70"/>
      <c r="V200" s="70"/>
      <c r="W200" s="70"/>
      <c r="X200" s="70"/>
      <c r="Y200" s="70"/>
      <c r="Z200" s="70"/>
    </row>
    <row r="201">
      <c r="A201" s="70"/>
      <c r="B201" s="79"/>
      <c r="C201" s="79"/>
      <c r="D201" s="78"/>
      <c r="E201" s="71"/>
      <c r="F201" s="70"/>
      <c r="G201" s="70"/>
      <c r="H201" s="70"/>
      <c r="I201" s="70"/>
      <c r="J201" s="70"/>
      <c r="K201" s="70"/>
      <c r="L201" s="70"/>
      <c r="M201" s="70"/>
      <c r="N201" s="70"/>
      <c r="O201" s="70"/>
      <c r="P201" s="70"/>
      <c r="Q201" s="70"/>
      <c r="R201" s="70"/>
      <c r="S201" s="70"/>
      <c r="T201" s="70"/>
      <c r="U201" s="70"/>
      <c r="V201" s="70"/>
      <c r="W201" s="70"/>
      <c r="X201" s="70"/>
      <c r="Y201" s="70"/>
      <c r="Z201" s="70"/>
    </row>
    <row r="202">
      <c r="A202" s="70"/>
      <c r="B202" s="79"/>
      <c r="C202" s="79"/>
      <c r="D202" s="78"/>
      <c r="E202" s="71"/>
      <c r="F202" s="70"/>
      <c r="G202" s="70"/>
      <c r="H202" s="70"/>
      <c r="I202" s="70"/>
      <c r="J202" s="70"/>
      <c r="K202" s="70"/>
      <c r="L202" s="70"/>
      <c r="M202" s="70"/>
      <c r="N202" s="70"/>
      <c r="O202" s="70"/>
      <c r="P202" s="70"/>
      <c r="Q202" s="70"/>
      <c r="R202" s="70"/>
      <c r="S202" s="70"/>
      <c r="T202" s="70"/>
      <c r="U202" s="70"/>
      <c r="V202" s="70"/>
      <c r="W202" s="70"/>
      <c r="X202" s="70"/>
      <c r="Y202" s="70"/>
      <c r="Z202" s="70"/>
    </row>
    <row r="203">
      <c r="A203" s="70"/>
      <c r="B203" s="79"/>
      <c r="C203" s="79"/>
      <c r="D203" s="78"/>
      <c r="E203" s="71"/>
      <c r="F203" s="70"/>
      <c r="G203" s="70"/>
      <c r="H203" s="70"/>
      <c r="I203" s="70"/>
      <c r="J203" s="70"/>
      <c r="K203" s="70"/>
      <c r="L203" s="70"/>
      <c r="M203" s="70"/>
      <c r="N203" s="70"/>
      <c r="O203" s="70"/>
      <c r="P203" s="70"/>
      <c r="Q203" s="70"/>
      <c r="R203" s="70"/>
      <c r="S203" s="70"/>
      <c r="T203" s="70"/>
      <c r="U203" s="70"/>
      <c r="V203" s="70"/>
      <c r="W203" s="70"/>
      <c r="X203" s="70"/>
      <c r="Y203" s="70"/>
      <c r="Z203" s="70"/>
    </row>
    <row r="204">
      <c r="A204" s="70"/>
      <c r="B204" s="79"/>
      <c r="C204" s="79"/>
      <c r="D204" s="78"/>
      <c r="E204" s="71"/>
      <c r="F204" s="70"/>
      <c r="G204" s="70"/>
      <c r="H204" s="70"/>
      <c r="I204" s="70"/>
      <c r="J204" s="70"/>
      <c r="K204" s="70"/>
      <c r="L204" s="70"/>
      <c r="M204" s="70"/>
      <c r="N204" s="70"/>
      <c r="O204" s="70"/>
      <c r="P204" s="70"/>
      <c r="Q204" s="70"/>
      <c r="R204" s="70"/>
      <c r="S204" s="70"/>
      <c r="T204" s="70"/>
      <c r="U204" s="70"/>
      <c r="V204" s="70"/>
      <c r="W204" s="70"/>
      <c r="X204" s="70"/>
      <c r="Y204" s="70"/>
      <c r="Z204" s="70"/>
    </row>
    <row r="205">
      <c r="A205" s="70"/>
      <c r="B205" s="79"/>
      <c r="C205" s="79"/>
      <c r="D205" s="78"/>
      <c r="E205" s="71"/>
      <c r="F205" s="70"/>
      <c r="G205" s="70"/>
      <c r="H205" s="70"/>
      <c r="I205" s="70"/>
      <c r="J205" s="70"/>
      <c r="K205" s="70"/>
      <c r="L205" s="70"/>
      <c r="M205" s="70"/>
      <c r="N205" s="70"/>
      <c r="O205" s="70"/>
      <c r="P205" s="70"/>
      <c r="Q205" s="70"/>
      <c r="R205" s="70"/>
      <c r="S205" s="70"/>
      <c r="T205" s="70"/>
      <c r="U205" s="70"/>
      <c r="V205" s="70"/>
      <c r="W205" s="70"/>
      <c r="X205" s="70"/>
      <c r="Y205" s="70"/>
      <c r="Z205" s="70"/>
    </row>
    <row r="206">
      <c r="A206" s="70"/>
      <c r="B206" s="79"/>
      <c r="C206" s="79"/>
      <c r="D206" s="78"/>
      <c r="E206" s="71"/>
      <c r="F206" s="70"/>
      <c r="G206" s="70"/>
      <c r="H206" s="70"/>
      <c r="I206" s="70"/>
      <c r="J206" s="70"/>
      <c r="K206" s="70"/>
      <c r="L206" s="70"/>
      <c r="M206" s="70"/>
      <c r="N206" s="70"/>
      <c r="O206" s="70"/>
      <c r="P206" s="70"/>
      <c r="Q206" s="70"/>
      <c r="R206" s="70"/>
      <c r="S206" s="70"/>
      <c r="T206" s="70"/>
      <c r="U206" s="70"/>
      <c r="V206" s="70"/>
      <c r="W206" s="70"/>
      <c r="X206" s="70"/>
      <c r="Y206" s="70"/>
      <c r="Z206" s="70"/>
    </row>
    <row r="207">
      <c r="A207" s="70"/>
      <c r="B207" s="79"/>
      <c r="C207" s="79"/>
      <c r="D207" s="78"/>
      <c r="E207" s="71"/>
      <c r="F207" s="70"/>
      <c r="G207" s="70"/>
      <c r="H207" s="70"/>
      <c r="I207" s="70"/>
      <c r="J207" s="70"/>
      <c r="K207" s="70"/>
      <c r="L207" s="70"/>
      <c r="M207" s="70"/>
      <c r="N207" s="70"/>
      <c r="O207" s="70"/>
      <c r="P207" s="70"/>
      <c r="Q207" s="70"/>
      <c r="R207" s="70"/>
      <c r="S207" s="70"/>
      <c r="T207" s="70"/>
      <c r="U207" s="70"/>
      <c r="V207" s="70"/>
      <c r="W207" s="70"/>
      <c r="X207" s="70"/>
      <c r="Y207" s="70"/>
      <c r="Z207" s="70"/>
    </row>
    <row r="208">
      <c r="A208" s="70"/>
      <c r="B208" s="79"/>
      <c r="C208" s="79"/>
      <c r="D208" s="78"/>
      <c r="E208" s="71"/>
      <c r="F208" s="70"/>
      <c r="G208" s="70"/>
      <c r="H208" s="70"/>
      <c r="I208" s="70"/>
      <c r="J208" s="70"/>
      <c r="K208" s="70"/>
      <c r="L208" s="70"/>
      <c r="M208" s="70"/>
      <c r="N208" s="70"/>
      <c r="O208" s="70"/>
      <c r="P208" s="70"/>
      <c r="Q208" s="70"/>
      <c r="R208" s="70"/>
      <c r="S208" s="70"/>
      <c r="T208" s="70"/>
      <c r="U208" s="70"/>
      <c r="V208" s="70"/>
      <c r="W208" s="70"/>
      <c r="X208" s="70"/>
      <c r="Y208" s="70"/>
      <c r="Z208" s="70"/>
    </row>
    <row r="209">
      <c r="A209" s="70"/>
      <c r="B209" s="79"/>
      <c r="C209" s="79"/>
      <c r="D209" s="78"/>
      <c r="E209" s="71"/>
      <c r="F209" s="70"/>
      <c r="G209" s="70"/>
      <c r="H209" s="70"/>
      <c r="I209" s="70"/>
      <c r="J209" s="70"/>
      <c r="K209" s="70"/>
      <c r="L209" s="70"/>
      <c r="M209" s="70"/>
      <c r="N209" s="70"/>
      <c r="O209" s="70"/>
      <c r="P209" s="70"/>
      <c r="Q209" s="70"/>
      <c r="R209" s="70"/>
      <c r="S209" s="70"/>
      <c r="T209" s="70"/>
      <c r="U209" s="70"/>
      <c r="V209" s="70"/>
      <c r="W209" s="70"/>
      <c r="X209" s="70"/>
      <c r="Y209" s="70"/>
      <c r="Z209" s="70"/>
    </row>
    <row r="210">
      <c r="A210" s="70"/>
      <c r="B210" s="79"/>
      <c r="C210" s="79"/>
      <c r="D210" s="78"/>
      <c r="E210" s="71"/>
      <c r="F210" s="70"/>
      <c r="G210" s="70"/>
      <c r="H210" s="70"/>
      <c r="I210" s="70"/>
      <c r="J210" s="70"/>
      <c r="K210" s="70"/>
      <c r="L210" s="70"/>
      <c r="M210" s="70"/>
      <c r="N210" s="70"/>
      <c r="O210" s="70"/>
      <c r="P210" s="70"/>
      <c r="Q210" s="70"/>
      <c r="R210" s="70"/>
      <c r="S210" s="70"/>
      <c r="T210" s="70"/>
      <c r="U210" s="70"/>
      <c r="V210" s="70"/>
      <c r="W210" s="70"/>
      <c r="X210" s="70"/>
      <c r="Y210" s="70"/>
      <c r="Z210" s="70"/>
    </row>
    <row r="211">
      <c r="A211" s="70"/>
      <c r="B211" s="79"/>
      <c r="C211" s="79"/>
      <c r="D211" s="78"/>
      <c r="E211" s="71"/>
      <c r="F211" s="70"/>
      <c r="G211" s="70"/>
      <c r="H211" s="70"/>
      <c r="I211" s="70"/>
      <c r="J211" s="70"/>
      <c r="K211" s="70"/>
      <c r="L211" s="70"/>
      <c r="M211" s="70"/>
      <c r="N211" s="70"/>
      <c r="O211" s="70"/>
      <c r="P211" s="70"/>
      <c r="Q211" s="70"/>
      <c r="R211" s="70"/>
      <c r="S211" s="70"/>
      <c r="T211" s="70"/>
      <c r="U211" s="70"/>
      <c r="V211" s="70"/>
      <c r="W211" s="70"/>
      <c r="X211" s="70"/>
      <c r="Y211" s="70"/>
      <c r="Z211" s="70"/>
    </row>
    <row r="212">
      <c r="A212" s="70"/>
      <c r="B212" s="79"/>
      <c r="C212" s="79"/>
      <c r="D212" s="78"/>
      <c r="E212" s="71"/>
      <c r="F212" s="70"/>
      <c r="G212" s="70"/>
      <c r="H212" s="70"/>
      <c r="I212" s="70"/>
      <c r="J212" s="70"/>
      <c r="K212" s="70"/>
      <c r="L212" s="70"/>
      <c r="M212" s="70"/>
      <c r="N212" s="70"/>
      <c r="O212" s="70"/>
      <c r="P212" s="70"/>
      <c r="Q212" s="70"/>
      <c r="R212" s="70"/>
      <c r="S212" s="70"/>
      <c r="T212" s="70"/>
      <c r="U212" s="70"/>
      <c r="V212" s="70"/>
      <c r="W212" s="70"/>
      <c r="X212" s="70"/>
      <c r="Y212" s="70"/>
      <c r="Z212" s="70"/>
    </row>
    <row r="213">
      <c r="A213" s="70"/>
      <c r="B213" s="79"/>
      <c r="C213" s="79"/>
      <c r="D213" s="78"/>
      <c r="E213" s="71"/>
      <c r="F213" s="70"/>
      <c r="G213" s="70"/>
      <c r="H213" s="70"/>
      <c r="I213" s="70"/>
      <c r="J213" s="70"/>
      <c r="K213" s="70"/>
      <c r="L213" s="70"/>
      <c r="M213" s="70"/>
      <c r="N213" s="70"/>
      <c r="O213" s="70"/>
      <c r="P213" s="70"/>
      <c r="Q213" s="70"/>
      <c r="R213" s="70"/>
      <c r="S213" s="70"/>
      <c r="T213" s="70"/>
      <c r="U213" s="70"/>
      <c r="V213" s="70"/>
      <c r="W213" s="70"/>
      <c r="X213" s="70"/>
      <c r="Y213" s="70"/>
      <c r="Z213" s="70"/>
    </row>
    <row r="214">
      <c r="A214" s="70"/>
      <c r="B214" s="79"/>
      <c r="C214" s="79"/>
      <c r="D214" s="78"/>
      <c r="E214" s="71"/>
      <c r="F214" s="70"/>
      <c r="G214" s="70"/>
      <c r="H214" s="70"/>
      <c r="I214" s="70"/>
      <c r="J214" s="70"/>
      <c r="K214" s="70"/>
      <c r="L214" s="70"/>
      <c r="M214" s="70"/>
      <c r="N214" s="70"/>
      <c r="O214" s="70"/>
      <c r="P214" s="70"/>
      <c r="Q214" s="70"/>
      <c r="R214" s="70"/>
      <c r="S214" s="70"/>
      <c r="T214" s="70"/>
      <c r="U214" s="70"/>
      <c r="V214" s="70"/>
      <c r="W214" s="70"/>
      <c r="X214" s="70"/>
      <c r="Y214" s="70"/>
      <c r="Z214" s="70"/>
    </row>
    <row r="215">
      <c r="A215" s="70"/>
      <c r="B215" s="79"/>
      <c r="C215" s="79"/>
      <c r="D215" s="78"/>
      <c r="E215" s="71"/>
      <c r="F215" s="70"/>
      <c r="G215" s="70"/>
      <c r="H215" s="70"/>
      <c r="I215" s="70"/>
      <c r="J215" s="70"/>
      <c r="K215" s="70"/>
      <c r="L215" s="70"/>
      <c r="M215" s="70"/>
      <c r="N215" s="70"/>
      <c r="O215" s="70"/>
      <c r="P215" s="70"/>
      <c r="Q215" s="70"/>
      <c r="R215" s="70"/>
      <c r="S215" s="70"/>
      <c r="T215" s="70"/>
      <c r="U215" s="70"/>
      <c r="V215" s="70"/>
      <c r="W215" s="70"/>
      <c r="X215" s="70"/>
      <c r="Y215" s="70"/>
      <c r="Z215" s="70"/>
    </row>
    <row r="216">
      <c r="A216" s="70"/>
      <c r="B216" s="79"/>
      <c r="C216" s="79"/>
      <c r="D216" s="78"/>
      <c r="E216" s="71"/>
      <c r="F216" s="70"/>
      <c r="G216" s="70"/>
      <c r="H216" s="70"/>
      <c r="I216" s="70"/>
      <c r="J216" s="70"/>
      <c r="K216" s="70"/>
      <c r="L216" s="70"/>
      <c r="M216" s="70"/>
      <c r="N216" s="70"/>
      <c r="O216" s="70"/>
      <c r="P216" s="70"/>
      <c r="Q216" s="70"/>
      <c r="R216" s="70"/>
      <c r="S216" s="70"/>
      <c r="T216" s="70"/>
      <c r="U216" s="70"/>
      <c r="V216" s="70"/>
      <c r="W216" s="70"/>
      <c r="X216" s="70"/>
      <c r="Y216" s="70"/>
      <c r="Z216" s="70"/>
    </row>
    <row r="217">
      <c r="A217" s="70"/>
      <c r="B217" s="79"/>
      <c r="C217" s="79"/>
      <c r="D217" s="78"/>
      <c r="E217" s="71"/>
      <c r="F217" s="70"/>
      <c r="G217" s="70"/>
      <c r="H217" s="70"/>
      <c r="I217" s="70"/>
      <c r="J217" s="70"/>
      <c r="K217" s="70"/>
      <c r="L217" s="70"/>
      <c r="M217" s="70"/>
      <c r="N217" s="70"/>
      <c r="O217" s="70"/>
      <c r="P217" s="70"/>
      <c r="Q217" s="70"/>
      <c r="R217" s="70"/>
      <c r="S217" s="70"/>
      <c r="T217" s="70"/>
      <c r="U217" s="70"/>
      <c r="V217" s="70"/>
      <c r="W217" s="70"/>
      <c r="X217" s="70"/>
      <c r="Y217" s="70"/>
      <c r="Z217" s="70"/>
    </row>
    <row r="218">
      <c r="A218" s="70"/>
      <c r="B218" s="79"/>
      <c r="C218" s="79"/>
      <c r="D218" s="78"/>
      <c r="E218" s="71"/>
      <c r="F218" s="70"/>
      <c r="G218" s="70"/>
      <c r="H218" s="70"/>
      <c r="I218" s="70"/>
      <c r="J218" s="70"/>
      <c r="K218" s="70"/>
      <c r="L218" s="70"/>
      <c r="M218" s="70"/>
      <c r="N218" s="70"/>
      <c r="O218" s="70"/>
      <c r="P218" s="70"/>
      <c r="Q218" s="70"/>
      <c r="R218" s="70"/>
      <c r="S218" s="70"/>
      <c r="T218" s="70"/>
      <c r="U218" s="70"/>
      <c r="V218" s="70"/>
      <c r="W218" s="70"/>
      <c r="X218" s="70"/>
      <c r="Y218" s="70"/>
      <c r="Z218" s="70"/>
    </row>
    <row r="219">
      <c r="A219" s="70"/>
      <c r="B219" s="79"/>
      <c r="C219" s="79"/>
      <c r="D219" s="78"/>
      <c r="E219" s="71"/>
      <c r="F219" s="70"/>
      <c r="G219" s="70"/>
      <c r="H219" s="70"/>
      <c r="I219" s="70"/>
      <c r="J219" s="70"/>
      <c r="K219" s="70"/>
      <c r="L219" s="70"/>
      <c r="M219" s="70"/>
      <c r="N219" s="70"/>
      <c r="O219" s="70"/>
      <c r="P219" s="70"/>
      <c r="Q219" s="70"/>
      <c r="R219" s="70"/>
      <c r="S219" s="70"/>
      <c r="T219" s="70"/>
      <c r="U219" s="70"/>
      <c r="V219" s="70"/>
      <c r="W219" s="70"/>
      <c r="X219" s="70"/>
      <c r="Y219" s="70"/>
      <c r="Z219" s="70"/>
    </row>
    <row r="220">
      <c r="A220" s="70"/>
      <c r="B220" s="79"/>
      <c r="C220" s="79"/>
      <c r="D220" s="78"/>
      <c r="E220" s="71"/>
      <c r="F220" s="70"/>
      <c r="G220" s="70"/>
      <c r="H220" s="70"/>
      <c r="I220" s="70"/>
      <c r="J220" s="70"/>
      <c r="K220" s="70"/>
      <c r="L220" s="70"/>
      <c r="M220" s="70"/>
      <c r="N220" s="70"/>
      <c r="O220" s="70"/>
      <c r="P220" s="70"/>
      <c r="Q220" s="70"/>
      <c r="R220" s="70"/>
      <c r="S220" s="70"/>
      <c r="T220" s="70"/>
      <c r="U220" s="70"/>
      <c r="V220" s="70"/>
      <c r="W220" s="70"/>
      <c r="X220" s="70"/>
      <c r="Y220" s="70"/>
      <c r="Z220" s="70"/>
    </row>
    <row r="221">
      <c r="A221" s="70"/>
      <c r="B221" s="79"/>
      <c r="C221" s="79"/>
      <c r="D221" s="78"/>
      <c r="E221" s="71"/>
      <c r="F221" s="70"/>
      <c r="G221" s="70"/>
      <c r="H221" s="70"/>
      <c r="I221" s="70"/>
      <c r="J221" s="70"/>
      <c r="K221" s="70"/>
      <c r="L221" s="70"/>
      <c r="M221" s="70"/>
      <c r="N221" s="70"/>
      <c r="O221" s="70"/>
      <c r="P221" s="70"/>
      <c r="Q221" s="70"/>
      <c r="R221" s="70"/>
      <c r="S221" s="70"/>
      <c r="T221" s="70"/>
      <c r="U221" s="70"/>
      <c r="V221" s="70"/>
      <c r="W221" s="70"/>
      <c r="X221" s="70"/>
      <c r="Y221" s="70"/>
      <c r="Z221" s="70"/>
    </row>
    <row r="222">
      <c r="A222" s="70"/>
      <c r="B222" s="79"/>
      <c r="C222" s="79"/>
      <c r="D222" s="78"/>
      <c r="E222" s="71"/>
      <c r="F222" s="70"/>
      <c r="G222" s="70"/>
      <c r="H222" s="70"/>
      <c r="I222" s="70"/>
      <c r="J222" s="70"/>
      <c r="K222" s="70"/>
      <c r="L222" s="70"/>
      <c r="M222" s="70"/>
      <c r="N222" s="70"/>
      <c r="O222" s="70"/>
      <c r="P222" s="70"/>
      <c r="Q222" s="70"/>
      <c r="R222" s="70"/>
      <c r="S222" s="70"/>
      <c r="T222" s="70"/>
      <c r="U222" s="70"/>
      <c r="V222" s="70"/>
      <c r="W222" s="70"/>
      <c r="X222" s="70"/>
      <c r="Y222" s="70"/>
      <c r="Z222" s="70"/>
    </row>
    <row r="223">
      <c r="A223" s="70"/>
      <c r="B223" s="79"/>
      <c r="C223" s="79"/>
      <c r="D223" s="78"/>
      <c r="E223" s="71"/>
      <c r="F223" s="70"/>
      <c r="G223" s="70"/>
      <c r="H223" s="70"/>
      <c r="I223" s="70"/>
      <c r="J223" s="70"/>
      <c r="K223" s="70"/>
      <c r="L223" s="70"/>
      <c r="M223" s="70"/>
      <c r="N223" s="70"/>
      <c r="O223" s="70"/>
      <c r="P223" s="70"/>
      <c r="Q223" s="70"/>
      <c r="R223" s="70"/>
      <c r="S223" s="70"/>
      <c r="T223" s="70"/>
      <c r="U223" s="70"/>
      <c r="V223" s="70"/>
      <c r="W223" s="70"/>
      <c r="X223" s="70"/>
      <c r="Y223" s="70"/>
      <c r="Z223" s="70"/>
    </row>
    <row r="224">
      <c r="A224" s="70"/>
      <c r="B224" s="79"/>
      <c r="C224" s="79"/>
      <c r="D224" s="78"/>
      <c r="E224" s="71"/>
      <c r="F224" s="70"/>
      <c r="G224" s="70"/>
      <c r="H224" s="70"/>
      <c r="I224" s="70"/>
      <c r="J224" s="70"/>
      <c r="K224" s="70"/>
      <c r="L224" s="70"/>
      <c r="M224" s="70"/>
      <c r="N224" s="70"/>
      <c r="O224" s="70"/>
      <c r="P224" s="70"/>
      <c r="Q224" s="70"/>
      <c r="R224" s="70"/>
      <c r="S224" s="70"/>
      <c r="T224" s="70"/>
      <c r="U224" s="70"/>
      <c r="V224" s="70"/>
      <c r="W224" s="70"/>
      <c r="X224" s="70"/>
      <c r="Y224" s="70"/>
      <c r="Z224" s="70"/>
    </row>
    <row r="225">
      <c r="A225" s="70"/>
      <c r="B225" s="79"/>
      <c r="C225" s="79"/>
      <c r="D225" s="78"/>
      <c r="E225" s="71"/>
      <c r="F225" s="70"/>
      <c r="G225" s="70"/>
      <c r="H225" s="70"/>
      <c r="I225" s="70"/>
      <c r="J225" s="70"/>
      <c r="K225" s="70"/>
      <c r="L225" s="70"/>
      <c r="M225" s="70"/>
      <c r="N225" s="70"/>
      <c r="O225" s="70"/>
      <c r="P225" s="70"/>
      <c r="Q225" s="70"/>
      <c r="R225" s="70"/>
      <c r="S225" s="70"/>
      <c r="T225" s="70"/>
      <c r="U225" s="70"/>
      <c r="V225" s="70"/>
      <c r="W225" s="70"/>
      <c r="X225" s="70"/>
      <c r="Y225" s="70"/>
      <c r="Z225" s="70"/>
    </row>
    <row r="226">
      <c r="A226" s="70"/>
      <c r="B226" s="79"/>
      <c r="C226" s="79"/>
      <c r="D226" s="78"/>
      <c r="E226" s="71"/>
      <c r="F226" s="70"/>
      <c r="G226" s="70"/>
      <c r="H226" s="70"/>
      <c r="I226" s="70"/>
      <c r="J226" s="70"/>
      <c r="K226" s="70"/>
      <c r="L226" s="70"/>
      <c r="M226" s="70"/>
      <c r="N226" s="70"/>
      <c r="O226" s="70"/>
      <c r="P226" s="70"/>
      <c r="Q226" s="70"/>
      <c r="R226" s="70"/>
      <c r="S226" s="70"/>
      <c r="T226" s="70"/>
      <c r="U226" s="70"/>
      <c r="V226" s="70"/>
      <c r="W226" s="70"/>
      <c r="X226" s="70"/>
      <c r="Y226" s="70"/>
      <c r="Z226" s="70"/>
    </row>
    <row r="227">
      <c r="A227" s="70"/>
      <c r="B227" s="79"/>
      <c r="C227" s="79"/>
      <c r="D227" s="78"/>
      <c r="E227" s="71"/>
      <c r="F227" s="70"/>
      <c r="G227" s="70"/>
      <c r="H227" s="70"/>
      <c r="I227" s="70"/>
      <c r="J227" s="70"/>
      <c r="K227" s="70"/>
      <c r="L227" s="70"/>
      <c r="M227" s="70"/>
      <c r="N227" s="70"/>
      <c r="O227" s="70"/>
      <c r="P227" s="70"/>
      <c r="Q227" s="70"/>
      <c r="R227" s="70"/>
      <c r="S227" s="70"/>
      <c r="T227" s="70"/>
      <c r="U227" s="70"/>
      <c r="V227" s="70"/>
      <c r="W227" s="70"/>
      <c r="X227" s="70"/>
      <c r="Y227" s="70"/>
      <c r="Z227" s="70"/>
    </row>
    <row r="228">
      <c r="A228" s="70"/>
      <c r="B228" s="79"/>
      <c r="C228" s="79"/>
      <c r="D228" s="78"/>
      <c r="E228" s="71"/>
      <c r="F228" s="70"/>
      <c r="G228" s="70"/>
      <c r="H228" s="70"/>
      <c r="I228" s="70"/>
      <c r="J228" s="70"/>
      <c r="K228" s="70"/>
      <c r="L228" s="70"/>
      <c r="M228" s="70"/>
      <c r="N228" s="70"/>
      <c r="O228" s="70"/>
      <c r="P228" s="70"/>
      <c r="Q228" s="70"/>
      <c r="R228" s="70"/>
      <c r="S228" s="70"/>
      <c r="T228" s="70"/>
      <c r="U228" s="70"/>
      <c r="V228" s="70"/>
      <c r="W228" s="70"/>
      <c r="X228" s="70"/>
      <c r="Y228" s="70"/>
      <c r="Z228" s="70"/>
    </row>
    <row r="229">
      <c r="A229" s="70"/>
      <c r="B229" s="79"/>
      <c r="C229" s="79"/>
      <c r="D229" s="78"/>
      <c r="E229" s="71"/>
      <c r="F229" s="70"/>
      <c r="G229" s="70"/>
      <c r="H229" s="70"/>
      <c r="I229" s="70"/>
      <c r="J229" s="70"/>
      <c r="K229" s="70"/>
      <c r="L229" s="70"/>
      <c r="M229" s="70"/>
      <c r="N229" s="70"/>
      <c r="O229" s="70"/>
      <c r="P229" s="70"/>
      <c r="Q229" s="70"/>
      <c r="R229" s="70"/>
      <c r="S229" s="70"/>
      <c r="T229" s="70"/>
      <c r="U229" s="70"/>
      <c r="V229" s="70"/>
      <c r="W229" s="70"/>
      <c r="X229" s="70"/>
      <c r="Y229" s="70"/>
      <c r="Z229" s="70"/>
    </row>
    <row r="230">
      <c r="A230" s="70"/>
      <c r="B230" s="79"/>
      <c r="C230" s="79"/>
      <c r="D230" s="78"/>
      <c r="E230" s="71"/>
      <c r="F230" s="70"/>
      <c r="G230" s="70"/>
      <c r="H230" s="70"/>
      <c r="I230" s="70"/>
      <c r="J230" s="70"/>
      <c r="K230" s="70"/>
      <c r="L230" s="70"/>
      <c r="M230" s="70"/>
      <c r="N230" s="70"/>
      <c r="O230" s="70"/>
      <c r="P230" s="70"/>
      <c r="Q230" s="70"/>
      <c r="R230" s="70"/>
      <c r="S230" s="70"/>
      <c r="T230" s="70"/>
      <c r="U230" s="70"/>
      <c r="V230" s="70"/>
      <c r="W230" s="70"/>
      <c r="X230" s="70"/>
      <c r="Y230" s="70"/>
      <c r="Z230" s="70"/>
    </row>
    <row r="231">
      <c r="A231" s="70"/>
      <c r="B231" s="79"/>
      <c r="C231" s="79"/>
      <c r="D231" s="78"/>
      <c r="E231" s="71"/>
      <c r="F231" s="70"/>
      <c r="G231" s="70"/>
      <c r="H231" s="70"/>
      <c r="I231" s="70"/>
      <c r="J231" s="70"/>
      <c r="K231" s="70"/>
      <c r="L231" s="70"/>
      <c r="M231" s="70"/>
      <c r="N231" s="70"/>
      <c r="O231" s="70"/>
      <c r="P231" s="70"/>
      <c r="Q231" s="70"/>
      <c r="R231" s="70"/>
      <c r="S231" s="70"/>
      <c r="T231" s="70"/>
      <c r="U231" s="70"/>
      <c r="V231" s="70"/>
      <c r="W231" s="70"/>
      <c r="X231" s="70"/>
      <c r="Y231" s="70"/>
      <c r="Z231" s="70"/>
    </row>
    <row r="232">
      <c r="A232" s="70"/>
      <c r="B232" s="79"/>
      <c r="C232" s="79"/>
      <c r="D232" s="78"/>
      <c r="E232" s="71"/>
      <c r="F232" s="70"/>
      <c r="G232" s="70"/>
      <c r="H232" s="70"/>
      <c r="I232" s="70"/>
      <c r="J232" s="70"/>
      <c r="K232" s="70"/>
      <c r="L232" s="70"/>
      <c r="M232" s="70"/>
      <c r="N232" s="70"/>
      <c r="O232" s="70"/>
      <c r="P232" s="70"/>
      <c r="Q232" s="70"/>
      <c r="R232" s="70"/>
      <c r="S232" s="70"/>
      <c r="T232" s="70"/>
      <c r="U232" s="70"/>
      <c r="V232" s="70"/>
      <c r="W232" s="70"/>
      <c r="X232" s="70"/>
      <c r="Y232" s="70"/>
      <c r="Z232" s="70"/>
    </row>
    <row r="233">
      <c r="A233" s="70"/>
      <c r="B233" s="79"/>
      <c r="C233" s="79"/>
      <c r="D233" s="78"/>
      <c r="E233" s="71"/>
      <c r="F233" s="70"/>
      <c r="G233" s="70"/>
      <c r="H233" s="70"/>
      <c r="I233" s="70"/>
      <c r="J233" s="70"/>
      <c r="K233" s="70"/>
      <c r="L233" s="70"/>
      <c r="M233" s="70"/>
      <c r="N233" s="70"/>
      <c r="O233" s="70"/>
      <c r="P233" s="70"/>
      <c r="Q233" s="70"/>
      <c r="R233" s="70"/>
      <c r="S233" s="70"/>
      <c r="T233" s="70"/>
      <c r="U233" s="70"/>
      <c r="V233" s="70"/>
      <c r="W233" s="70"/>
      <c r="X233" s="70"/>
      <c r="Y233" s="70"/>
      <c r="Z233" s="70"/>
    </row>
    <row r="234">
      <c r="A234" s="70"/>
      <c r="B234" s="79"/>
      <c r="C234" s="79"/>
      <c r="D234" s="78"/>
      <c r="E234" s="71"/>
      <c r="F234" s="70"/>
      <c r="G234" s="70"/>
      <c r="H234" s="70"/>
      <c r="I234" s="70"/>
      <c r="J234" s="70"/>
      <c r="K234" s="70"/>
      <c r="L234" s="70"/>
      <c r="M234" s="70"/>
      <c r="N234" s="70"/>
      <c r="O234" s="70"/>
      <c r="P234" s="70"/>
      <c r="Q234" s="70"/>
      <c r="R234" s="70"/>
      <c r="S234" s="70"/>
      <c r="T234" s="70"/>
      <c r="U234" s="70"/>
      <c r="V234" s="70"/>
      <c r="W234" s="70"/>
      <c r="X234" s="70"/>
      <c r="Y234" s="70"/>
      <c r="Z234" s="70"/>
    </row>
    <row r="235">
      <c r="A235" s="70"/>
      <c r="B235" s="79"/>
      <c r="C235" s="79"/>
      <c r="D235" s="78"/>
      <c r="E235" s="71"/>
      <c r="F235" s="70"/>
      <c r="G235" s="70"/>
      <c r="H235" s="70"/>
      <c r="I235" s="70"/>
      <c r="J235" s="70"/>
      <c r="K235" s="70"/>
      <c r="L235" s="70"/>
      <c r="M235" s="70"/>
      <c r="N235" s="70"/>
      <c r="O235" s="70"/>
      <c r="P235" s="70"/>
      <c r="Q235" s="70"/>
      <c r="R235" s="70"/>
      <c r="S235" s="70"/>
      <c r="T235" s="70"/>
      <c r="U235" s="70"/>
      <c r="V235" s="70"/>
      <c r="W235" s="70"/>
      <c r="X235" s="70"/>
      <c r="Y235" s="70"/>
      <c r="Z235" s="70"/>
    </row>
    <row r="236">
      <c r="A236" s="70"/>
      <c r="B236" s="79"/>
      <c r="C236" s="79"/>
      <c r="D236" s="78"/>
      <c r="E236" s="71"/>
      <c r="F236" s="70"/>
      <c r="G236" s="70"/>
      <c r="H236" s="70"/>
      <c r="I236" s="70"/>
      <c r="J236" s="70"/>
      <c r="K236" s="70"/>
      <c r="L236" s="70"/>
      <c r="M236" s="70"/>
      <c r="N236" s="70"/>
      <c r="O236" s="70"/>
      <c r="P236" s="70"/>
      <c r="Q236" s="70"/>
      <c r="R236" s="70"/>
      <c r="S236" s="70"/>
      <c r="T236" s="70"/>
      <c r="U236" s="70"/>
      <c r="V236" s="70"/>
      <c r="W236" s="70"/>
      <c r="X236" s="70"/>
      <c r="Y236" s="70"/>
      <c r="Z236" s="70"/>
    </row>
    <row r="237">
      <c r="A237" s="70"/>
      <c r="B237" s="79"/>
      <c r="C237" s="79"/>
      <c r="D237" s="78"/>
      <c r="E237" s="71"/>
      <c r="F237" s="70"/>
      <c r="G237" s="70"/>
      <c r="H237" s="70"/>
      <c r="I237" s="70"/>
      <c r="J237" s="70"/>
      <c r="K237" s="70"/>
      <c r="L237" s="70"/>
      <c r="M237" s="70"/>
      <c r="N237" s="70"/>
      <c r="O237" s="70"/>
      <c r="P237" s="70"/>
      <c r="Q237" s="70"/>
      <c r="R237" s="70"/>
      <c r="S237" s="70"/>
      <c r="T237" s="70"/>
      <c r="U237" s="70"/>
      <c r="V237" s="70"/>
      <c r="W237" s="70"/>
      <c r="X237" s="70"/>
      <c r="Y237" s="70"/>
      <c r="Z237" s="70"/>
    </row>
    <row r="238">
      <c r="A238" s="70"/>
      <c r="B238" s="79"/>
      <c r="C238" s="79"/>
      <c r="D238" s="78"/>
      <c r="E238" s="71"/>
      <c r="F238" s="70"/>
      <c r="G238" s="70"/>
      <c r="H238" s="70"/>
      <c r="I238" s="70"/>
      <c r="J238" s="70"/>
      <c r="K238" s="70"/>
      <c r="L238" s="70"/>
      <c r="M238" s="70"/>
      <c r="N238" s="70"/>
      <c r="O238" s="70"/>
      <c r="P238" s="70"/>
      <c r="Q238" s="70"/>
      <c r="R238" s="70"/>
      <c r="S238" s="70"/>
      <c r="T238" s="70"/>
      <c r="U238" s="70"/>
      <c r="V238" s="70"/>
      <c r="W238" s="70"/>
      <c r="X238" s="70"/>
      <c r="Y238" s="70"/>
      <c r="Z238" s="70"/>
    </row>
    <row r="239">
      <c r="A239" s="70"/>
      <c r="B239" s="79"/>
      <c r="C239" s="79"/>
      <c r="D239" s="78"/>
      <c r="E239" s="71"/>
      <c r="F239" s="70"/>
      <c r="G239" s="70"/>
      <c r="H239" s="70"/>
      <c r="I239" s="70"/>
      <c r="J239" s="70"/>
      <c r="K239" s="70"/>
      <c r="L239" s="70"/>
      <c r="M239" s="70"/>
      <c r="N239" s="70"/>
      <c r="O239" s="70"/>
      <c r="P239" s="70"/>
      <c r="Q239" s="70"/>
      <c r="R239" s="70"/>
      <c r="S239" s="70"/>
      <c r="T239" s="70"/>
      <c r="U239" s="70"/>
      <c r="V239" s="70"/>
      <c r="W239" s="70"/>
      <c r="X239" s="70"/>
      <c r="Y239" s="70"/>
      <c r="Z239" s="70"/>
    </row>
    <row r="240">
      <c r="A240" s="70"/>
      <c r="B240" s="79"/>
      <c r="C240" s="79"/>
      <c r="D240" s="78"/>
      <c r="E240" s="71"/>
      <c r="F240" s="70"/>
      <c r="G240" s="70"/>
      <c r="H240" s="70"/>
      <c r="I240" s="70"/>
      <c r="J240" s="70"/>
      <c r="K240" s="70"/>
      <c r="L240" s="70"/>
      <c r="M240" s="70"/>
      <c r="N240" s="70"/>
      <c r="O240" s="70"/>
      <c r="P240" s="70"/>
      <c r="Q240" s="70"/>
      <c r="R240" s="70"/>
      <c r="S240" s="70"/>
      <c r="T240" s="70"/>
      <c r="U240" s="70"/>
      <c r="V240" s="70"/>
      <c r="W240" s="70"/>
      <c r="X240" s="70"/>
      <c r="Y240" s="70"/>
      <c r="Z240" s="70"/>
    </row>
    <row r="241">
      <c r="A241" s="70"/>
      <c r="B241" s="79"/>
      <c r="C241" s="79"/>
      <c r="D241" s="78"/>
      <c r="E241" s="71"/>
      <c r="F241" s="70"/>
      <c r="G241" s="70"/>
      <c r="H241" s="70"/>
      <c r="I241" s="70"/>
      <c r="J241" s="70"/>
      <c r="K241" s="70"/>
      <c r="L241" s="70"/>
      <c r="M241" s="70"/>
      <c r="N241" s="70"/>
      <c r="O241" s="70"/>
      <c r="P241" s="70"/>
      <c r="Q241" s="70"/>
      <c r="R241" s="70"/>
      <c r="S241" s="70"/>
      <c r="T241" s="70"/>
      <c r="U241" s="70"/>
      <c r="V241" s="70"/>
      <c r="W241" s="70"/>
      <c r="X241" s="70"/>
      <c r="Y241" s="70"/>
      <c r="Z241" s="70"/>
    </row>
    <row r="242">
      <c r="A242" s="70"/>
      <c r="B242" s="79"/>
      <c r="C242" s="79"/>
      <c r="D242" s="78"/>
      <c r="E242" s="71"/>
      <c r="F242" s="70"/>
      <c r="G242" s="70"/>
      <c r="H242" s="70"/>
      <c r="I242" s="70"/>
      <c r="J242" s="70"/>
      <c r="K242" s="70"/>
      <c r="L242" s="70"/>
      <c r="M242" s="70"/>
      <c r="N242" s="70"/>
      <c r="O242" s="70"/>
      <c r="P242" s="70"/>
      <c r="Q242" s="70"/>
      <c r="R242" s="70"/>
      <c r="S242" s="70"/>
      <c r="T242" s="70"/>
      <c r="U242" s="70"/>
      <c r="V242" s="70"/>
      <c r="W242" s="70"/>
      <c r="X242" s="70"/>
      <c r="Y242" s="70"/>
      <c r="Z242" s="70"/>
    </row>
    <row r="243">
      <c r="A243" s="70"/>
      <c r="B243" s="79"/>
      <c r="C243" s="79"/>
      <c r="D243" s="78"/>
      <c r="E243" s="71"/>
      <c r="F243" s="70"/>
      <c r="G243" s="70"/>
      <c r="H243" s="70"/>
      <c r="I243" s="70"/>
      <c r="J243" s="70"/>
      <c r="K243" s="70"/>
      <c r="L243" s="70"/>
      <c r="M243" s="70"/>
      <c r="N243" s="70"/>
      <c r="O243" s="70"/>
      <c r="P243" s="70"/>
      <c r="Q243" s="70"/>
      <c r="R243" s="70"/>
      <c r="S243" s="70"/>
      <c r="T243" s="70"/>
      <c r="U243" s="70"/>
      <c r="V243" s="70"/>
      <c r="W243" s="70"/>
      <c r="X243" s="70"/>
      <c r="Y243" s="70"/>
      <c r="Z243" s="70"/>
    </row>
    <row r="244">
      <c r="A244" s="70"/>
      <c r="B244" s="79"/>
      <c r="C244" s="79"/>
      <c r="D244" s="78"/>
      <c r="E244" s="71"/>
      <c r="F244" s="70"/>
      <c r="G244" s="70"/>
      <c r="H244" s="70"/>
      <c r="I244" s="70"/>
      <c r="J244" s="70"/>
      <c r="K244" s="70"/>
      <c r="L244" s="70"/>
      <c r="M244" s="70"/>
      <c r="N244" s="70"/>
      <c r="O244" s="70"/>
      <c r="P244" s="70"/>
      <c r="Q244" s="70"/>
      <c r="R244" s="70"/>
      <c r="S244" s="70"/>
      <c r="T244" s="70"/>
      <c r="U244" s="70"/>
      <c r="V244" s="70"/>
      <c r="W244" s="70"/>
      <c r="X244" s="70"/>
      <c r="Y244" s="70"/>
      <c r="Z244" s="70"/>
    </row>
    <row r="245">
      <c r="A245" s="70"/>
      <c r="B245" s="79"/>
      <c r="C245" s="79"/>
      <c r="D245" s="78"/>
      <c r="E245" s="71"/>
      <c r="F245" s="70"/>
      <c r="G245" s="70"/>
      <c r="H245" s="70"/>
      <c r="I245" s="70"/>
      <c r="J245" s="70"/>
      <c r="K245" s="70"/>
      <c r="L245" s="70"/>
      <c r="M245" s="70"/>
      <c r="N245" s="70"/>
      <c r="O245" s="70"/>
      <c r="P245" s="70"/>
      <c r="Q245" s="70"/>
      <c r="R245" s="70"/>
      <c r="S245" s="70"/>
      <c r="T245" s="70"/>
      <c r="U245" s="70"/>
      <c r="V245" s="70"/>
      <c r="W245" s="70"/>
      <c r="X245" s="70"/>
      <c r="Y245" s="70"/>
      <c r="Z245" s="70"/>
    </row>
    <row r="246">
      <c r="A246" s="70"/>
      <c r="B246" s="79"/>
      <c r="C246" s="79"/>
      <c r="D246" s="78"/>
      <c r="E246" s="71"/>
      <c r="F246" s="70"/>
      <c r="G246" s="70"/>
      <c r="H246" s="70"/>
      <c r="I246" s="70"/>
      <c r="J246" s="70"/>
      <c r="K246" s="70"/>
      <c r="L246" s="70"/>
      <c r="M246" s="70"/>
      <c r="N246" s="70"/>
      <c r="O246" s="70"/>
      <c r="P246" s="70"/>
      <c r="Q246" s="70"/>
      <c r="R246" s="70"/>
      <c r="S246" s="70"/>
      <c r="T246" s="70"/>
      <c r="U246" s="70"/>
      <c r="V246" s="70"/>
      <c r="W246" s="70"/>
      <c r="X246" s="70"/>
      <c r="Y246" s="70"/>
      <c r="Z246" s="70"/>
    </row>
    <row r="247">
      <c r="A247" s="70"/>
      <c r="B247" s="79"/>
      <c r="C247" s="79"/>
      <c r="D247" s="78"/>
      <c r="E247" s="71"/>
      <c r="F247" s="70"/>
      <c r="G247" s="70"/>
      <c r="H247" s="70"/>
      <c r="I247" s="70"/>
      <c r="J247" s="70"/>
      <c r="K247" s="70"/>
      <c r="L247" s="70"/>
      <c r="M247" s="70"/>
      <c r="N247" s="70"/>
      <c r="O247" s="70"/>
      <c r="P247" s="70"/>
      <c r="Q247" s="70"/>
      <c r="R247" s="70"/>
      <c r="S247" s="70"/>
      <c r="T247" s="70"/>
      <c r="U247" s="70"/>
      <c r="V247" s="70"/>
      <c r="W247" s="70"/>
      <c r="X247" s="70"/>
      <c r="Y247" s="70"/>
      <c r="Z247" s="70"/>
    </row>
    <row r="248">
      <c r="A248" s="70"/>
      <c r="B248" s="79"/>
      <c r="C248" s="79"/>
      <c r="D248" s="78"/>
      <c r="E248" s="71"/>
      <c r="F248" s="70"/>
      <c r="G248" s="70"/>
      <c r="H248" s="70"/>
      <c r="I248" s="70"/>
      <c r="J248" s="70"/>
      <c r="K248" s="70"/>
      <c r="L248" s="70"/>
      <c r="M248" s="70"/>
      <c r="N248" s="70"/>
      <c r="O248" s="70"/>
      <c r="P248" s="70"/>
      <c r="Q248" s="70"/>
      <c r="R248" s="70"/>
      <c r="S248" s="70"/>
      <c r="T248" s="70"/>
      <c r="U248" s="70"/>
      <c r="V248" s="70"/>
      <c r="W248" s="70"/>
      <c r="X248" s="70"/>
      <c r="Y248" s="70"/>
      <c r="Z248" s="70"/>
    </row>
    <row r="249">
      <c r="A249" s="70"/>
      <c r="B249" s="79"/>
      <c r="C249" s="79"/>
      <c r="D249" s="78"/>
      <c r="E249" s="71"/>
      <c r="F249" s="70"/>
      <c r="G249" s="70"/>
      <c r="H249" s="70"/>
      <c r="I249" s="70"/>
      <c r="J249" s="70"/>
      <c r="K249" s="70"/>
      <c r="L249" s="70"/>
      <c r="M249" s="70"/>
      <c r="N249" s="70"/>
      <c r="O249" s="70"/>
      <c r="P249" s="70"/>
      <c r="Q249" s="70"/>
      <c r="R249" s="70"/>
      <c r="S249" s="70"/>
      <c r="T249" s="70"/>
      <c r="U249" s="70"/>
      <c r="V249" s="70"/>
      <c r="W249" s="70"/>
      <c r="X249" s="70"/>
      <c r="Y249" s="70"/>
      <c r="Z249" s="70"/>
    </row>
    <row r="250">
      <c r="A250" s="70"/>
      <c r="B250" s="79"/>
      <c r="C250" s="79"/>
      <c r="D250" s="78"/>
      <c r="E250" s="71"/>
      <c r="F250" s="70"/>
      <c r="G250" s="70"/>
      <c r="H250" s="70"/>
      <c r="I250" s="70"/>
      <c r="J250" s="70"/>
      <c r="K250" s="70"/>
      <c r="L250" s="70"/>
      <c r="M250" s="70"/>
      <c r="N250" s="70"/>
      <c r="O250" s="70"/>
      <c r="P250" s="70"/>
      <c r="Q250" s="70"/>
      <c r="R250" s="70"/>
      <c r="S250" s="70"/>
      <c r="T250" s="70"/>
      <c r="U250" s="70"/>
      <c r="V250" s="70"/>
      <c r="W250" s="70"/>
      <c r="X250" s="70"/>
      <c r="Y250" s="70"/>
      <c r="Z250" s="70"/>
    </row>
    <row r="251">
      <c r="A251" s="70"/>
      <c r="B251" s="79"/>
      <c r="C251" s="79"/>
      <c r="D251" s="78"/>
      <c r="E251" s="71"/>
      <c r="F251" s="70"/>
      <c r="G251" s="70"/>
      <c r="H251" s="70"/>
      <c r="I251" s="70"/>
      <c r="J251" s="70"/>
      <c r="K251" s="70"/>
      <c r="L251" s="70"/>
      <c r="M251" s="70"/>
      <c r="N251" s="70"/>
      <c r="O251" s="70"/>
      <c r="P251" s="70"/>
      <c r="Q251" s="70"/>
      <c r="R251" s="70"/>
      <c r="S251" s="70"/>
      <c r="T251" s="70"/>
      <c r="U251" s="70"/>
      <c r="V251" s="70"/>
      <c r="W251" s="70"/>
      <c r="X251" s="70"/>
      <c r="Y251" s="70"/>
      <c r="Z251" s="70"/>
    </row>
    <row r="252">
      <c r="A252" s="70"/>
      <c r="B252" s="79"/>
      <c r="C252" s="79"/>
      <c r="D252" s="78"/>
      <c r="E252" s="71"/>
      <c r="F252" s="70"/>
      <c r="G252" s="70"/>
      <c r="H252" s="70"/>
      <c r="I252" s="70"/>
      <c r="J252" s="70"/>
      <c r="K252" s="70"/>
      <c r="L252" s="70"/>
      <c r="M252" s="70"/>
      <c r="N252" s="70"/>
      <c r="O252" s="70"/>
      <c r="P252" s="70"/>
      <c r="Q252" s="70"/>
      <c r="R252" s="70"/>
      <c r="S252" s="70"/>
      <c r="T252" s="70"/>
      <c r="U252" s="70"/>
      <c r="V252" s="70"/>
      <c r="W252" s="70"/>
      <c r="X252" s="70"/>
      <c r="Y252" s="70"/>
      <c r="Z252" s="70"/>
    </row>
    <row r="253">
      <c r="A253" s="70"/>
      <c r="B253" s="79"/>
      <c r="C253" s="79"/>
      <c r="D253" s="78"/>
      <c r="E253" s="71"/>
      <c r="F253" s="70"/>
      <c r="G253" s="70"/>
      <c r="H253" s="70"/>
      <c r="I253" s="70"/>
      <c r="J253" s="70"/>
      <c r="K253" s="70"/>
      <c r="L253" s="70"/>
      <c r="M253" s="70"/>
      <c r="N253" s="70"/>
      <c r="O253" s="70"/>
      <c r="P253" s="70"/>
      <c r="Q253" s="70"/>
      <c r="R253" s="70"/>
      <c r="S253" s="70"/>
      <c r="T253" s="70"/>
      <c r="U253" s="70"/>
      <c r="V253" s="70"/>
      <c r="W253" s="70"/>
      <c r="X253" s="70"/>
      <c r="Y253" s="70"/>
      <c r="Z253" s="70"/>
    </row>
    <row r="254">
      <c r="A254" s="70"/>
      <c r="B254" s="79"/>
      <c r="C254" s="79"/>
      <c r="D254" s="78"/>
      <c r="E254" s="71"/>
      <c r="F254" s="70"/>
      <c r="G254" s="70"/>
      <c r="H254" s="70"/>
      <c r="I254" s="70"/>
      <c r="J254" s="70"/>
      <c r="K254" s="70"/>
      <c r="L254" s="70"/>
      <c r="M254" s="70"/>
      <c r="N254" s="70"/>
      <c r="O254" s="70"/>
      <c r="P254" s="70"/>
      <c r="Q254" s="70"/>
      <c r="R254" s="70"/>
      <c r="S254" s="70"/>
      <c r="T254" s="70"/>
      <c r="U254" s="70"/>
      <c r="V254" s="70"/>
      <c r="W254" s="70"/>
      <c r="X254" s="70"/>
      <c r="Y254" s="70"/>
      <c r="Z254" s="70"/>
    </row>
    <row r="255">
      <c r="A255" s="70"/>
      <c r="B255" s="79"/>
      <c r="C255" s="79"/>
      <c r="D255" s="78"/>
      <c r="E255" s="71"/>
      <c r="F255" s="70"/>
      <c r="G255" s="70"/>
      <c r="H255" s="70"/>
      <c r="I255" s="70"/>
      <c r="J255" s="70"/>
      <c r="K255" s="70"/>
      <c r="L255" s="70"/>
      <c r="M255" s="70"/>
      <c r="N255" s="70"/>
      <c r="O255" s="70"/>
      <c r="P255" s="70"/>
      <c r="Q255" s="70"/>
      <c r="R255" s="70"/>
      <c r="S255" s="70"/>
      <c r="T255" s="70"/>
      <c r="U255" s="70"/>
      <c r="V255" s="70"/>
      <c r="W255" s="70"/>
      <c r="X255" s="70"/>
      <c r="Y255" s="70"/>
      <c r="Z255" s="70"/>
    </row>
    <row r="256">
      <c r="A256" s="70"/>
      <c r="B256" s="79"/>
      <c r="C256" s="79"/>
      <c r="D256" s="78"/>
      <c r="E256" s="71"/>
      <c r="F256" s="70"/>
      <c r="G256" s="70"/>
      <c r="H256" s="70"/>
      <c r="I256" s="70"/>
      <c r="J256" s="70"/>
      <c r="K256" s="70"/>
      <c r="L256" s="70"/>
      <c r="M256" s="70"/>
      <c r="N256" s="70"/>
      <c r="O256" s="70"/>
      <c r="P256" s="70"/>
      <c r="Q256" s="70"/>
      <c r="R256" s="70"/>
      <c r="S256" s="70"/>
      <c r="T256" s="70"/>
      <c r="U256" s="70"/>
      <c r="V256" s="70"/>
      <c r="W256" s="70"/>
      <c r="X256" s="70"/>
      <c r="Y256" s="70"/>
      <c r="Z256" s="70"/>
    </row>
    <row r="257">
      <c r="A257" s="70"/>
      <c r="B257" s="79"/>
      <c r="C257" s="79"/>
      <c r="D257" s="78"/>
      <c r="E257" s="71"/>
      <c r="F257" s="70"/>
      <c r="G257" s="70"/>
      <c r="H257" s="70"/>
      <c r="I257" s="70"/>
      <c r="J257" s="70"/>
      <c r="K257" s="70"/>
      <c r="L257" s="70"/>
      <c r="M257" s="70"/>
      <c r="N257" s="70"/>
      <c r="O257" s="70"/>
      <c r="P257" s="70"/>
      <c r="Q257" s="70"/>
      <c r="R257" s="70"/>
      <c r="S257" s="70"/>
      <c r="T257" s="70"/>
      <c r="U257" s="70"/>
      <c r="V257" s="70"/>
      <c r="W257" s="70"/>
      <c r="X257" s="70"/>
      <c r="Y257" s="70"/>
      <c r="Z257" s="70"/>
    </row>
    <row r="258">
      <c r="A258" s="70"/>
      <c r="B258" s="79"/>
      <c r="C258" s="79"/>
      <c r="D258" s="78"/>
      <c r="E258" s="71"/>
      <c r="F258" s="70"/>
      <c r="G258" s="70"/>
      <c r="H258" s="70"/>
      <c r="I258" s="70"/>
      <c r="J258" s="70"/>
      <c r="K258" s="70"/>
      <c r="L258" s="70"/>
      <c r="M258" s="70"/>
      <c r="N258" s="70"/>
      <c r="O258" s="70"/>
      <c r="P258" s="70"/>
      <c r="Q258" s="70"/>
      <c r="R258" s="70"/>
      <c r="S258" s="70"/>
      <c r="T258" s="70"/>
      <c r="U258" s="70"/>
      <c r="V258" s="70"/>
      <c r="W258" s="70"/>
      <c r="X258" s="70"/>
      <c r="Y258" s="70"/>
      <c r="Z258" s="70"/>
    </row>
    <row r="259">
      <c r="A259" s="70"/>
      <c r="B259" s="79"/>
      <c r="C259" s="79"/>
      <c r="D259" s="78"/>
      <c r="E259" s="71"/>
      <c r="F259" s="70"/>
      <c r="G259" s="70"/>
      <c r="H259" s="70"/>
      <c r="I259" s="70"/>
      <c r="J259" s="70"/>
      <c r="K259" s="70"/>
      <c r="L259" s="70"/>
      <c r="M259" s="70"/>
      <c r="N259" s="70"/>
      <c r="O259" s="70"/>
      <c r="P259" s="70"/>
      <c r="Q259" s="70"/>
      <c r="R259" s="70"/>
      <c r="S259" s="70"/>
      <c r="T259" s="70"/>
      <c r="U259" s="70"/>
      <c r="V259" s="70"/>
      <c r="W259" s="70"/>
      <c r="X259" s="70"/>
      <c r="Y259" s="70"/>
      <c r="Z259" s="70"/>
    </row>
    <row r="260">
      <c r="A260" s="70"/>
      <c r="B260" s="79"/>
      <c r="C260" s="79"/>
      <c r="D260" s="78"/>
      <c r="E260" s="71"/>
      <c r="F260" s="70"/>
      <c r="G260" s="70"/>
      <c r="H260" s="70"/>
      <c r="I260" s="70"/>
      <c r="J260" s="70"/>
      <c r="K260" s="70"/>
      <c r="L260" s="70"/>
      <c r="M260" s="70"/>
      <c r="N260" s="70"/>
      <c r="O260" s="70"/>
      <c r="P260" s="70"/>
      <c r="Q260" s="70"/>
      <c r="R260" s="70"/>
      <c r="S260" s="70"/>
      <c r="T260" s="70"/>
      <c r="U260" s="70"/>
      <c r="V260" s="70"/>
      <c r="W260" s="70"/>
      <c r="X260" s="70"/>
      <c r="Y260" s="70"/>
      <c r="Z260" s="70"/>
    </row>
    <row r="261">
      <c r="A261" s="70"/>
      <c r="B261" s="79"/>
      <c r="C261" s="79"/>
      <c r="D261" s="78"/>
      <c r="E261" s="71"/>
      <c r="F261" s="70"/>
      <c r="G261" s="70"/>
      <c r="H261" s="70"/>
      <c r="I261" s="70"/>
      <c r="J261" s="70"/>
      <c r="K261" s="70"/>
      <c r="L261" s="70"/>
      <c r="M261" s="70"/>
      <c r="N261" s="70"/>
      <c r="O261" s="70"/>
      <c r="P261" s="70"/>
      <c r="Q261" s="70"/>
      <c r="R261" s="70"/>
      <c r="S261" s="70"/>
      <c r="T261" s="70"/>
      <c r="U261" s="70"/>
      <c r="V261" s="70"/>
      <c r="W261" s="70"/>
      <c r="X261" s="70"/>
      <c r="Y261" s="70"/>
      <c r="Z261" s="70"/>
    </row>
    <row r="262">
      <c r="A262" s="70"/>
      <c r="B262" s="79"/>
      <c r="C262" s="79"/>
      <c r="D262" s="78"/>
      <c r="E262" s="71"/>
      <c r="F262" s="70"/>
      <c r="G262" s="70"/>
      <c r="H262" s="70"/>
      <c r="I262" s="70"/>
      <c r="J262" s="70"/>
      <c r="K262" s="70"/>
      <c r="L262" s="70"/>
      <c r="M262" s="70"/>
      <c r="N262" s="70"/>
      <c r="O262" s="70"/>
      <c r="P262" s="70"/>
      <c r="Q262" s="70"/>
      <c r="R262" s="70"/>
      <c r="S262" s="70"/>
      <c r="T262" s="70"/>
      <c r="U262" s="70"/>
      <c r="V262" s="70"/>
      <c r="W262" s="70"/>
      <c r="X262" s="70"/>
      <c r="Y262" s="70"/>
      <c r="Z262" s="70"/>
    </row>
    <row r="263">
      <c r="A263" s="70"/>
      <c r="B263" s="79"/>
      <c r="C263" s="79"/>
      <c r="D263" s="78"/>
      <c r="E263" s="71"/>
      <c r="F263" s="70"/>
      <c r="G263" s="70"/>
      <c r="H263" s="70"/>
      <c r="I263" s="70"/>
      <c r="J263" s="70"/>
      <c r="K263" s="70"/>
      <c r="L263" s="70"/>
      <c r="M263" s="70"/>
      <c r="N263" s="70"/>
      <c r="O263" s="70"/>
      <c r="P263" s="70"/>
      <c r="Q263" s="70"/>
      <c r="R263" s="70"/>
      <c r="S263" s="70"/>
      <c r="T263" s="70"/>
      <c r="U263" s="70"/>
      <c r="V263" s="70"/>
      <c r="W263" s="70"/>
      <c r="X263" s="70"/>
      <c r="Y263" s="70"/>
      <c r="Z263" s="70"/>
    </row>
    <row r="264">
      <c r="A264" s="70"/>
      <c r="B264" s="79"/>
      <c r="C264" s="79"/>
      <c r="D264" s="78"/>
      <c r="E264" s="71"/>
      <c r="F264" s="70"/>
      <c r="G264" s="70"/>
      <c r="H264" s="70"/>
      <c r="I264" s="70"/>
      <c r="J264" s="70"/>
      <c r="K264" s="70"/>
      <c r="L264" s="70"/>
      <c r="M264" s="70"/>
      <c r="N264" s="70"/>
      <c r="O264" s="70"/>
      <c r="P264" s="70"/>
      <c r="Q264" s="70"/>
      <c r="R264" s="70"/>
      <c r="S264" s="70"/>
      <c r="T264" s="70"/>
      <c r="U264" s="70"/>
      <c r="V264" s="70"/>
      <c r="W264" s="70"/>
      <c r="X264" s="70"/>
      <c r="Y264" s="70"/>
      <c r="Z264" s="70"/>
    </row>
    <row r="265">
      <c r="A265" s="70"/>
      <c r="B265" s="79"/>
      <c r="C265" s="79"/>
      <c r="D265" s="78"/>
      <c r="E265" s="71"/>
      <c r="F265" s="70"/>
      <c r="G265" s="70"/>
      <c r="H265" s="70"/>
      <c r="I265" s="70"/>
      <c r="J265" s="70"/>
      <c r="K265" s="70"/>
      <c r="L265" s="70"/>
      <c r="M265" s="70"/>
      <c r="N265" s="70"/>
      <c r="O265" s="70"/>
      <c r="P265" s="70"/>
      <c r="Q265" s="70"/>
      <c r="R265" s="70"/>
      <c r="S265" s="70"/>
      <c r="T265" s="70"/>
      <c r="U265" s="70"/>
      <c r="V265" s="70"/>
      <c r="W265" s="70"/>
      <c r="X265" s="70"/>
      <c r="Y265" s="70"/>
      <c r="Z265" s="70"/>
    </row>
    <row r="266">
      <c r="A266" s="70"/>
      <c r="B266" s="79"/>
      <c r="C266" s="79"/>
      <c r="D266" s="78"/>
      <c r="E266" s="71"/>
      <c r="F266" s="70"/>
      <c r="G266" s="70"/>
      <c r="H266" s="70"/>
      <c r="I266" s="70"/>
      <c r="J266" s="70"/>
      <c r="K266" s="70"/>
      <c r="L266" s="70"/>
      <c r="M266" s="70"/>
      <c r="N266" s="70"/>
      <c r="O266" s="70"/>
      <c r="P266" s="70"/>
      <c r="Q266" s="70"/>
      <c r="R266" s="70"/>
      <c r="S266" s="70"/>
      <c r="T266" s="70"/>
      <c r="U266" s="70"/>
      <c r="V266" s="70"/>
      <c r="W266" s="70"/>
      <c r="X266" s="70"/>
      <c r="Y266" s="70"/>
      <c r="Z266" s="70"/>
    </row>
    <row r="267">
      <c r="A267" s="70"/>
      <c r="B267" s="79"/>
      <c r="C267" s="79"/>
      <c r="D267" s="78"/>
      <c r="E267" s="71"/>
      <c r="F267" s="70"/>
      <c r="G267" s="70"/>
      <c r="H267" s="70"/>
      <c r="I267" s="70"/>
      <c r="J267" s="70"/>
      <c r="K267" s="70"/>
      <c r="L267" s="70"/>
      <c r="M267" s="70"/>
      <c r="N267" s="70"/>
      <c r="O267" s="70"/>
      <c r="P267" s="70"/>
      <c r="Q267" s="70"/>
      <c r="R267" s="70"/>
      <c r="S267" s="70"/>
      <c r="T267" s="70"/>
      <c r="U267" s="70"/>
      <c r="V267" s="70"/>
      <c r="W267" s="70"/>
      <c r="X267" s="70"/>
      <c r="Y267" s="70"/>
      <c r="Z267" s="70"/>
    </row>
    <row r="268">
      <c r="A268" s="70"/>
      <c r="B268" s="79"/>
      <c r="C268" s="79"/>
      <c r="D268" s="78"/>
      <c r="E268" s="71"/>
      <c r="F268" s="70"/>
      <c r="G268" s="70"/>
      <c r="H268" s="70"/>
      <c r="I268" s="70"/>
      <c r="J268" s="70"/>
      <c r="K268" s="70"/>
      <c r="L268" s="70"/>
      <c r="M268" s="70"/>
      <c r="N268" s="70"/>
      <c r="O268" s="70"/>
      <c r="P268" s="70"/>
      <c r="Q268" s="70"/>
      <c r="R268" s="70"/>
      <c r="S268" s="70"/>
      <c r="T268" s="70"/>
      <c r="U268" s="70"/>
      <c r="V268" s="70"/>
      <c r="W268" s="70"/>
      <c r="X268" s="70"/>
      <c r="Y268" s="70"/>
      <c r="Z268" s="70"/>
    </row>
    <row r="269">
      <c r="A269" s="70"/>
      <c r="B269" s="79"/>
      <c r="C269" s="79"/>
      <c r="D269" s="78"/>
      <c r="E269" s="71"/>
      <c r="F269" s="70"/>
      <c r="G269" s="70"/>
      <c r="H269" s="70"/>
      <c r="I269" s="70"/>
      <c r="J269" s="70"/>
      <c r="K269" s="70"/>
      <c r="L269" s="70"/>
      <c r="M269" s="70"/>
      <c r="N269" s="70"/>
      <c r="O269" s="70"/>
      <c r="P269" s="70"/>
      <c r="Q269" s="70"/>
      <c r="R269" s="70"/>
      <c r="S269" s="70"/>
      <c r="T269" s="70"/>
      <c r="U269" s="70"/>
      <c r="V269" s="70"/>
      <c r="W269" s="70"/>
      <c r="X269" s="70"/>
      <c r="Y269" s="70"/>
      <c r="Z269" s="70"/>
    </row>
    <row r="270">
      <c r="A270" s="70"/>
      <c r="B270" s="79"/>
      <c r="C270" s="79"/>
      <c r="D270" s="78"/>
      <c r="E270" s="71"/>
      <c r="F270" s="70"/>
      <c r="G270" s="70"/>
      <c r="H270" s="70"/>
      <c r="I270" s="70"/>
      <c r="J270" s="70"/>
      <c r="K270" s="70"/>
      <c r="L270" s="70"/>
      <c r="M270" s="70"/>
      <c r="N270" s="70"/>
      <c r="O270" s="70"/>
      <c r="P270" s="70"/>
      <c r="Q270" s="70"/>
      <c r="R270" s="70"/>
      <c r="S270" s="70"/>
      <c r="T270" s="70"/>
      <c r="U270" s="70"/>
      <c r="V270" s="70"/>
      <c r="W270" s="70"/>
      <c r="X270" s="70"/>
      <c r="Y270" s="70"/>
      <c r="Z270" s="70"/>
    </row>
    <row r="271">
      <c r="A271" s="70"/>
      <c r="B271" s="79"/>
      <c r="C271" s="79"/>
      <c r="D271" s="78"/>
      <c r="E271" s="71"/>
      <c r="F271" s="70"/>
      <c r="G271" s="70"/>
      <c r="H271" s="70"/>
      <c r="I271" s="70"/>
      <c r="J271" s="70"/>
      <c r="K271" s="70"/>
      <c r="L271" s="70"/>
      <c r="M271" s="70"/>
      <c r="N271" s="70"/>
      <c r="O271" s="70"/>
      <c r="P271" s="70"/>
      <c r="Q271" s="70"/>
      <c r="R271" s="70"/>
      <c r="S271" s="70"/>
      <c r="T271" s="70"/>
      <c r="U271" s="70"/>
      <c r="V271" s="70"/>
      <c r="W271" s="70"/>
      <c r="X271" s="70"/>
      <c r="Y271" s="70"/>
      <c r="Z271" s="70"/>
    </row>
    <row r="272">
      <c r="A272" s="70"/>
      <c r="B272" s="79"/>
      <c r="C272" s="79"/>
      <c r="D272" s="78"/>
      <c r="E272" s="71"/>
      <c r="F272" s="70"/>
      <c r="G272" s="70"/>
      <c r="H272" s="70"/>
      <c r="I272" s="70"/>
      <c r="J272" s="70"/>
      <c r="K272" s="70"/>
      <c r="L272" s="70"/>
      <c r="M272" s="70"/>
      <c r="N272" s="70"/>
      <c r="O272" s="70"/>
      <c r="P272" s="70"/>
      <c r="Q272" s="70"/>
      <c r="R272" s="70"/>
      <c r="S272" s="70"/>
      <c r="T272" s="70"/>
      <c r="U272" s="70"/>
      <c r="V272" s="70"/>
      <c r="W272" s="70"/>
      <c r="X272" s="70"/>
      <c r="Y272" s="70"/>
      <c r="Z272" s="70"/>
    </row>
    <row r="273">
      <c r="A273" s="70"/>
      <c r="B273" s="79"/>
      <c r="C273" s="79"/>
      <c r="D273" s="78"/>
      <c r="E273" s="71"/>
      <c r="F273" s="70"/>
      <c r="G273" s="70"/>
      <c r="H273" s="70"/>
      <c r="I273" s="70"/>
      <c r="J273" s="70"/>
      <c r="K273" s="70"/>
      <c r="L273" s="70"/>
      <c r="M273" s="70"/>
      <c r="N273" s="70"/>
      <c r="O273" s="70"/>
      <c r="P273" s="70"/>
      <c r="Q273" s="70"/>
      <c r="R273" s="70"/>
      <c r="S273" s="70"/>
      <c r="T273" s="70"/>
      <c r="U273" s="70"/>
      <c r="V273" s="70"/>
      <c r="W273" s="70"/>
      <c r="X273" s="70"/>
      <c r="Y273" s="70"/>
      <c r="Z273" s="70"/>
    </row>
    <row r="274">
      <c r="A274" s="70"/>
      <c r="B274" s="79"/>
      <c r="C274" s="79"/>
      <c r="D274" s="78"/>
      <c r="E274" s="71"/>
      <c r="F274" s="70"/>
      <c r="G274" s="70"/>
      <c r="H274" s="70"/>
      <c r="I274" s="70"/>
      <c r="J274" s="70"/>
      <c r="K274" s="70"/>
      <c r="L274" s="70"/>
      <c r="M274" s="70"/>
      <c r="N274" s="70"/>
      <c r="O274" s="70"/>
      <c r="P274" s="70"/>
      <c r="Q274" s="70"/>
      <c r="R274" s="70"/>
      <c r="S274" s="70"/>
      <c r="T274" s="70"/>
      <c r="U274" s="70"/>
      <c r="V274" s="70"/>
      <c r="W274" s="70"/>
      <c r="X274" s="70"/>
      <c r="Y274" s="70"/>
      <c r="Z274" s="70"/>
    </row>
    <row r="275">
      <c r="A275" s="70"/>
      <c r="B275" s="79"/>
      <c r="C275" s="79"/>
      <c r="D275" s="78"/>
      <c r="E275" s="71"/>
      <c r="F275" s="70"/>
      <c r="G275" s="70"/>
      <c r="H275" s="70"/>
      <c r="I275" s="70"/>
      <c r="J275" s="70"/>
      <c r="K275" s="70"/>
      <c r="L275" s="70"/>
      <c r="M275" s="70"/>
      <c r="N275" s="70"/>
      <c r="O275" s="70"/>
      <c r="P275" s="70"/>
      <c r="Q275" s="70"/>
      <c r="R275" s="70"/>
      <c r="S275" s="70"/>
      <c r="T275" s="70"/>
      <c r="U275" s="70"/>
      <c r="V275" s="70"/>
      <c r="W275" s="70"/>
      <c r="X275" s="70"/>
      <c r="Y275" s="70"/>
      <c r="Z275" s="70"/>
    </row>
    <row r="276">
      <c r="A276" s="70"/>
      <c r="B276" s="79"/>
      <c r="C276" s="79"/>
      <c r="D276" s="78"/>
      <c r="E276" s="71"/>
      <c r="F276" s="70"/>
      <c r="G276" s="70"/>
      <c r="H276" s="70"/>
      <c r="I276" s="70"/>
      <c r="J276" s="70"/>
      <c r="K276" s="70"/>
      <c r="L276" s="70"/>
      <c r="M276" s="70"/>
      <c r="N276" s="70"/>
      <c r="O276" s="70"/>
      <c r="P276" s="70"/>
      <c r="Q276" s="70"/>
      <c r="R276" s="70"/>
      <c r="S276" s="70"/>
      <c r="T276" s="70"/>
      <c r="U276" s="70"/>
      <c r="V276" s="70"/>
      <c r="W276" s="70"/>
      <c r="X276" s="70"/>
      <c r="Y276" s="70"/>
      <c r="Z276" s="70"/>
    </row>
    <row r="277">
      <c r="A277" s="70"/>
      <c r="B277" s="79"/>
      <c r="C277" s="79"/>
      <c r="D277" s="78"/>
      <c r="E277" s="71"/>
      <c r="F277" s="70"/>
      <c r="G277" s="70"/>
      <c r="H277" s="70"/>
      <c r="I277" s="70"/>
      <c r="J277" s="70"/>
      <c r="K277" s="70"/>
      <c r="L277" s="70"/>
      <c r="M277" s="70"/>
      <c r="N277" s="70"/>
      <c r="O277" s="70"/>
      <c r="P277" s="70"/>
      <c r="Q277" s="70"/>
      <c r="R277" s="70"/>
      <c r="S277" s="70"/>
      <c r="T277" s="70"/>
      <c r="U277" s="70"/>
      <c r="V277" s="70"/>
      <c r="W277" s="70"/>
      <c r="X277" s="70"/>
      <c r="Y277" s="70"/>
      <c r="Z277" s="70"/>
    </row>
    <row r="278">
      <c r="A278" s="70"/>
      <c r="B278" s="79"/>
      <c r="C278" s="79"/>
      <c r="D278" s="78"/>
      <c r="E278" s="71"/>
      <c r="F278" s="70"/>
      <c r="G278" s="70"/>
      <c r="H278" s="70"/>
      <c r="I278" s="70"/>
      <c r="J278" s="70"/>
      <c r="K278" s="70"/>
      <c r="L278" s="70"/>
      <c r="M278" s="70"/>
      <c r="N278" s="70"/>
      <c r="O278" s="70"/>
      <c r="P278" s="70"/>
      <c r="Q278" s="70"/>
      <c r="R278" s="70"/>
      <c r="S278" s="70"/>
      <c r="T278" s="70"/>
      <c r="U278" s="70"/>
      <c r="V278" s="70"/>
      <c r="W278" s="70"/>
      <c r="X278" s="70"/>
      <c r="Y278" s="70"/>
      <c r="Z278" s="70"/>
    </row>
    <row r="279">
      <c r="A279" s="70"/>
      <c r="B279" s="79"/>
      <c r="C279" s="79"/>
      <c r="D279" s="78"/>
      <c r="E279" s="71"/>
      <c r="F279" s="70"/>
      <c r="G279" s="70"/>
      <c r="H279" s="70"/>
      <c r="I279" s="70"/>
      <c r="J279" s="70"/>
      <c r="K279" s="70"/>
      <c r="L279" s="70"/>
      <c r="M279" s="70"/>
      <c r="N279" s="70"/>
      <c r="O279" s="70"/>
      <c r="P279" s="70"/>
      <c r="Q279" s="70"/>
      <c r="R279" s="70"/>
      <c r="S279" s="70"/>
      <c r="T279" s="70"/>
      <c r="U279" s="70"/>
      <c r="V279" s="70"/>
      <c r="W279" s="70"/>
      <c r="X279" s="70"/>
      <c r="Y279" s="70"/>
      <c r="Z279" s="70"/>
    </row>
    <row r="280">
      <c r="A280" s="70"/>
      <c r="B280" s="79"/>
      <c r="C280" s="79"/>
      <c r="D280" s="78"/>
      <c r="E280" s="71"/>
      <c r="F280" s="70"/>
      <c r="G280" s="70"/>
      <c r="H280" s="70"/>
      <c r="I280" s="70"/>
      <c r="J280" s="70"/>
      <c r="K280" s="70"/>
      <c r="L280" s="70"/>
      <c r="M280" s="70"/>
      <c r="N280" s="70"/>
      <c r="O280" s="70"/>
      <c r="P280" s="70"/>
      <c r="Q280" s="70"/>
      <c r="R280" s="70"/>
      <c r="S280" s="70"/>
      <c r="T280" s="70"/>
      <c r="U280" s="70"/>
      <c r="V280" s="70"/>
      <c r="W280" s="70"/>
      <c r="X280" s="70"/>
      <c r="Y280" s="70"/>
      <c r="Z280" s="70"/>
    </row>
    <row r="281">
      <c r="A281" s="70"/>
      <c r="B281" s="79"/>
      <c r="C281" s="79"/>
      <c r="D281" s="78"/>
      <c r="E281" s="71"/>
      <c r="F281" s="70"/>
      <c r="G281" s="70"/>
      <c r="H281" s="70"/>
      <c r="I281" s="70"/>
      <c r="J281" s="70"/>
      <c r="K281" s="70"/>
      <c r="L281" s="70"/>
      <c r="M281" s="70"/>
      <c r="N281" s="70"/>
      <c r="O281" s="70"/>
      <c r="P281" s="70"/>
      <c r="Q281" s="70"/>
      <c r="R281" s="70"/>
      <c r="S281" s="70"/>
      <c r="T281" s="70"/>
      <c r="U281" s="70"/>
      <c r="V281" s="70"/>
      <c r="W281" s="70"/>
      <c r="X281" s="70"/>
      <c r="Y281" s="70"/>
      <c r="Z281" s="70"/>
    </row>
    <row r="282">
      <c r="A282" s="70"/>
      <c r="B282" s="79"/>
      <c r="C282" s="79"/>
      <c r="D282" s="78"/>
      <c r="E282" s="71"/>
      <c r="F282" s="70"/>
      <c r="G282" s="70"/>
      <c r="H282" s="70"/>
      <c r="I282" s="70"/>
      <c r="J282" s="70"/>
      <c r="K282" s="70"/>
      <c r="L282" s="70"/>
      <c r="M282" s="70"/>
      <c r="N282" s="70"/>
      <c r="O282" s="70"/>
      <c r="P282" s="70"/>
      <c r="Q282" s="70"/>
      <c r="R282" s="70"/>
      <c r="S282" s="70"/>
      <c r="T282" s="70"/>
      <c r="U282" s="70"/>
      <c r="V282" s="70"/>
      <c r="W282" s="70"/>
      <c r="X282" s="70"/>
      <c r="Y282" s="70"/>
      <c r="Z282" s="70"/>
    </row>
    <row r="283">
      <c r="A283" s="70"/>
      <c r="B283" s="79"/>
      <c r="C283" s="79"/>
      <c r="D283" s="78"/>
      <c r="E283" s="71"/>
      <c r="F283" s="70"/>
      <c r="G283" s="70"/>
      <c r="H283" s="70"/>
      <c r="I283" s="70"/>
      <c r="J283" s="70"/>
      <c r="K283" s="70"/>
      <c r="L283" s="70"/>
      <c r="M283" s="70"/>
      <c r="N283" s="70"/>
      <c r="O283" s="70"/>
      <c r="P283" s="70"/>
      <c r="Q283" s="70"/>
      <c r="R283" s="70"/>
      <c r="S283" s="70"/>
      <c r="T283" s="70"/>
      <c r="U283" s="70"/>
      <c r="V283" s="70"/>
      <c r="W283" s="70"/>
      <c r="X283" s="70"/>
      <c r="Y283" s="70"/>
      <c r="Z283" s="70"/>
    </row>
    <row r="284">
      <c r="A284" s="70"/>
      <c r="B284" s="79"/>
      <c r="C284" s="79"/>
      <c r="D284" s="78"/>
      <c r="E284" s="71"/>
      <c r="F284" s="70"/>
      <c r="G284" s="70"/>
      <c r="H284" s="70"/>
      <c r="I284" s="70"/>
      <c r="J284" s="70"/>
      <c r="K284" s="70"/>
      <c r="L284" s="70"/>
      <c r="M284" s="70"/>
      <c r="N284" s="70"/>
      <c r="O284" s="70"/>
      <c r="P284" s="70"/>
      <c r="Q284" s="70"/>
      <c r="R284" s="70"/>
      <c r="S284" s="70"/>
      <c r="T284" s="70"/>
      <c r="U284" s="70"/>
      <c r="V284" s="70"/>
      <c r="W284" s="70"/>
      <c r="X284" s="70"/>
      <c r="Y284" s="70"/>
      <c r="Z284" s="70"/>
    </row>
    <row r="285">
      <c r="A285" s="70"/>
      <c r="B285" s="79"/>
      <c r="C285" s="79"/>
      <c r="D285" s="78"/>
      <c r="E285" s="71"/>
      <c r="F285" s="70"/>
      <c r="G285" s="70"/>
      <c r="H285" s="70"/>
      <c r="I285" s="70"/>
      <c r="J285" s="70"/>
      <c r="K285" s="70"/>
      <c r="L285" s="70"/>
      <c r="M285" s="70"/>
      <c r="N285" s="70"/>
      <c r="O285" s="70"/>
      <c r="P285" s="70"/>
      <c r="Q285" s="70"/>
      <c r="R285" s="70"/>
      <c r="S285" s="70"/>
      <c r="T285" s="70"/>
      <c r="U285" s="70"/>
      <c r="V285" s="70"/>
      <c r="W285" s="70"/>
      <c r="X285" s="70"/>
      <c r="Y285" s="70"/>
      <c r="Z285" s="70"/>
    </row>
    <row r="286">
      <c r="A286" s="70"/>
      <c r="B286" s="79"/>
      <c r="C286" s="79"/>
      <c r="D286" s="78"/>
      <c r="E286" s="71"/>
      <c r="F286" s="70"/>
      <c r="G286" s="70"/>
      <c r="H286" s="70"/>
      <c r="I286" s="70"/>
      <c r="J286" s="70"/>
      <c r="K286" s="70"/>
      <c r="L286" s="70"/>
      <c r="M286" s="70"/>
      <c r="N286" s="70"/>
      <c r="O286" s="70"/>
      <c r="P286" s="70"/>
      <c r="Q286" s="70"/>
      <c r="R286" s="70"/>
      <c r="S286" s="70"/>
      <c r="T286" s="70"/>
      <c r="U286" s="70"/>
      <c r="V286" s="70"/>
      <c r="W286" s="70"/>
      <c r="X286" s="70"/>
      <c r="Y286" s="70"/>
      <c r="Z286" s="70"/>
    </row>
    <row r="287">
      <c r="A287" s="70"/>
      <c r="B287" s="79"/>
      <c r="C287" s="79"/>
      <c r="D287" s="78"/>
      <c r="E287" s="71"/>
      <c r="F287" s="70"/>
      <c r="G287" s="70"/>
      <c r="H287" s="70"/>
      <c r="I287" s="70"/>
      <c r="J287" s="70"/>
      <c r="K287" s="70"/>
      <c r="L287" s="70"/>
      <c r="M287" s="70"/>
      <c r="N287" s="70"/>
      <c r="O287" s="70"/>
      <c r="P287" s="70"/>
      <c r="Q287" s="70"/>
      <c r="R287" s="70"/>
      <c r="S287" s="70"/>
      <c r="T287" s="70"/>
      <c r="U287" s="70"/>
      <c r="V287" s="70"/>
      <c r="W287" s="70"/>
      <c r="X287" s="70"/>
      <c r="Y287" s="70"/>
      <c r="Z287" s="70"/>
    </row>
    <row r="288">
      <c r="A288" s="70"/>
      <c r="B288" s="79"/>
      <c r="C288" s="79"/>
      <c r="D288" s="78"/>
      <c r="E288" s="71"/>
      <c r="F288" s="70"/>
      <c r="G288" s="70"/>
      <c r="H288" s="70"/>
      <c r="I288" s="70"/>
      <c r="J288" s="70"/>
      <c r="K288" s="70"/>
      <c r="L288" s="70"/>
      <c r="M288" s="70"/>
      <c r="N288" s="70"/>
      <c r="O288" s="70"/>
      <c r="P288" s="70"/>
      <c r="Q288" s="70"/>
      <c r="R288" s="70"/>
      <c r="S288" s="70"/>
      <c r="T288" s="70"/>
      <c r="U288" s="70"/>
      <c r="V288" s="70"/>
      <c r="W288" s="70"/>
      <c r="X288" s="70"/>
      <c r="Y288" s="70"/>
      <c r="Z288" s="70"/>
    </row>
    <row r="289">
      <c r="A289" s="70"/>
      <c r="B289" s="79"/>
      <c r="C289" s="79"/>
      <c r="D289" s="78"/>
      <c r="E289" s="71"/>
      <c r="F289" s="70"/>
      <c r="G289" s="70"/>
      <c r="H289" s="70"/>
      <c r="I289" s="70"/>
      <c r="J289" s="70"/>
      <c r="K289" s="70"/>
      <c r="L289" s="70"/>
      <c r="M289" s="70"/>
      <c r="N289" s="70"/>
      <c r="O289" s="70"/>
      <c r="P289" s="70"/>
      <c r="Q289" s="70"/>
      <c r="R289" s="70"/>
      <c r="S289" s="70"/>
      <c r="T289" s="70"/>
      <c r="U289" s="70"/>
      <c r="V289" s="70"/>
      <c r="W289" s="70"/>
      <c r="X289" s="70"/>
      <c r="Y289" s="70"/>
      <c r="Z289" s="70"/>
    </row>
    <row r="290">
      <c r="A290" s="70"/>
      <c r="B290" s="79"/>
      <c r="C290" s="79"/>
      <c r="D290" s="78"/>
      <c r="E290" s="71"/>
      <c r="F290" s="70"/>
      <c r="G290" s="70"/>
      <c r="H290" s="70"/>
      <c r="I290" s="70"/>
      <c r="J290" s="70"/>
      <c r="K290" s="70"/>
      <c r="L290" s="70"/>
      <c r="M290" s="70"/>
      <c r="N290" s="70"/>
      <c r="O290" s="70"/>
      <c r="P290" s="70"/>
      <c r="Q290" s="70"/>
      <c r="R290" s="70"/>
      <c r="S290" s="70"/>
      <c r="T290" s="70"/>
      <c r="U290" s="70"/>
      <c r="V290" s="70"/>
      <c r="W290" s="70"/>
      <c r="X290" s="70"/>
      <c r="Y290" s="70"/>
      <c r="Z290" s="70"/>
    </row>
    <row r="291">
      <c r="A291" s="70"/>
      <c r="B291" s="79"/>
      <c r="C291" s="79"/>
      <c r="D291" s="78"/>
      <c r="E291" s="71"/>
      <c r="F291" s="70"/>
      <c r="G291" s="70"/>
      <c r="H291" s="70"/>
      <c r="I291" s="70"/>
      <c r="J291" s="70"/>
      <c r="K291" s="70"/>
      <c r="L291" s="70"/>
      <c r="M291" s="70"/>
      <c r="N291" s="70"/>
      <c r="O291" s="70"/>
      <c r="P291" s="70"/>
      <c r="Q291" s="70"/>
      <c r="R291" s="70"/>
      <c r="S291" s="70"/>
      <c r="T291" s="70"/>
      <c r="U291" s="70"/>
      <c r="V291" s="70"/>
      <c r="W291" s="70"/>
      <c r="X291" s="70"/>
      <c r="Y291" s="70"/>
      <c r="Z291" s="70"/>
    </row>
    <row r="292">
      <c r="A292" s="70"/>
      <c r="B292" s="79"/>
      <c r="C292" s="79"/>
      <c r="D292" s="78"/>
      <c r="E292" s="71"/>
      <c r="F292" s="70"/>
      <c r="G292" s="70"/>
      <c r="H292" s="70"/>
      <c r="I292" s="70"/>
      <c r="J292" s="70"/>
      <c r="K292" s="70"/>
      <c r="L292" s="70"/>
      <c r="M292" s="70"/>
      <c r="N292" s="70"/>
      <c r="O292" s="70"/>
      <c r="P292" s="70"/>
      <c r="Q292" s="70"/>
      <c r="R292" s="70"/>
      <c r="S292" s="70"/>
      <c r="T292" s="70"/>
      <c r="U292" s="70"/>
      <c r="V292" s="70"/>
      <c r="W292" s="70"/>
      <c r="X292" s="70"/>
      <c r="Y292" s="70"/>
      <c r="Z292" s="70"/>
    </row>
    <row r="293">
      <c r="A293" s="70"/>
      <c r="B293" s="79"/>
      <c r="C293" s="79"/>
      <c r="D293" s="78"/>
      <c r="E293" s="71"/>
      <c r="F293" s="70"/>
      <c r="G293" s="70"/>
      <c r="H293" s="70"/>
      <c r="I293" s="70"/>
      <c r="J293" s="70"/>
      <c r="K293" s="70"/>
      <c r="L293" s="70"/>
      <c r="M293" s="70"/>
      <c r="N293" s="70"/>
      <c r="O293" s="70"/>
      <c r="P293" s="70"/>
      <c r="Q293" s="70"/>
      <c r="R293" s="70"/>
      <c r="S293" s="70"/>
      <c r="T293" s="70"/>
      <c r="U293" s="70"/>
      <c r="V293" s="70"/>
      <c r="W293" s="70"/>
      <c r="X293" s="70"/>
      <c r="Y293" s="70"/>
      <c r="Z293" s="70"/>
    </row>
    <row r="294">
      <c r="A294" s="70"/>
      <c r="B294" s="79"/>
      <c r="C294" s="79"/>
      <c r="D294" s="78"/>
      <c r="E294" s="71"/>
      <c r="F294" s="70"/>
      <c r="G294" s="70"/>
      <c r="H294" s="70"/>
      <c r="I294" s="70"/>
      <c r="J294" s="70"/>
      <c r="K294" s="70"/>
      <c r="L294" s="70"/>
      <c r="M294" s="70"/>
      <c r="N294" s="70"/>
      <c r="O294" s="70"/>
      <c r="P294" s="70"/>
      <c r="Q294" s="70"/>
      <c r="R294" s="70"/>
      <c r="S294" s="70"/>
      <c r="T294" s="70"/>
      <c r="U294" s="70"/>
      <c r="V294" s="70"/>
      <c r="W294" s="70"/>
      <c r="X294" s="70"/>
      <c r="Y294" s="70"/>
      <c r="Z294" s="70"/>
    </row>
    <row r="295">
      <c r="A295" s="70"/>
      <c r="B295" s="79"/>
      <c r="C295" s="79"/>
      <c r="D295" s="78"/>
      <c r="E295" s="71"/>
      <c r="F295" s="70"/>
      <c r="G295" s="70"/>
      <c r="H295" s="70"/>
      <c r="I295" s="70"/>
      <c r="J295" s="70"/>
      <c r="K295" s="70"/>
      <c r="L295" s="70"/>
      <c r="M295" s="70"/>
      <c r="N295" s="70"/>
      <c r="O295" s="70"/>
      <c r="P295" s="70"/>
      <c r="Q295" s="70"/>
      <c r="R295" s="70"/>
      <c r="S295" s="70"/>
      <c r="T295" s="70"/>
      <c r="U295" s="70"/>
      <c r="V295" s="70"/>
      <c r="W295" s="70"/>
      <c r="X295" s="70"/>
      <c r="Y295" s="70"/>
      <c r="Z295" s="70"/>
    </row>
    <row r="296">
      <c r="A296" s="70"/>
      <c r="B296" s="79"/>
      <c r="C296" s="79"/>
      <c r="D296" s="78"/>
      <c r="E296" s="71"/>
      <c r="F296" s="70"/>
      <c r="G296" s="70"/>
      <c r="H296" s="70"/>
      <c r="I296" s="70"/>
      <c r="J296" s="70"/>
      <c r="K296" s="70"/>
      <c r="L296" s="70"/>
      <c r="M296" s="70"/>
      <c r="N296" s="70"/>
      <c r="O296" s="70"/>
      <c r="P296" s="70"/>
      <c r="Q296" s="70"/>
      <c r="R296" s="70"/>
      <c r="S296" s="70"/>
      <c r="T296" s="70"/>
      <c r="U296" s="70"/>
      <c r="V296" s="70"/>
      <c r="W296" s="70"/>
      <c r="X296" s="70"/>
      <c r="Y296" s="70"/>
      <c r="Z296" s="70"/>
    </row>
    <row r="297">
      <c r="A297" s="70"/>
      <c r="B297" s="79"/>
      <c r="C297" s="79"/>
      <c r="D297" s="78"/>
      <c r="E297" s="71"/>
      <c r="F297" s="70"/>
      <c r="G297" s="70"/>
      <c r="H297" s="70"/>
      <c r="I297" s="70"/>
      <c r="J297" s="70"/>
      <c r="K297" s="70"/>
      <c r="L297" s="70"/>
      <c r="M297" s="70"/>
      <c r="N297" s="70"/>
      <c r="O297" s="70"/>
      <c r="P297" s="70"/>
      <c r="Q297" s="70"/>
      <c r="R297" s="70"/>
      <c r="S297" s="70"/>
      <c r="T297" s="70"/>
      <c r="U297" s="70"/>
      <c r="V297" s="70"/>
      <c r="W297" s="70"/>
      <c r="X297" s="70"/>
      <c r="Y297" s="70"/>
      <c r="Z297" s="70"/>
    </row>
    <row r="298">
      <c r="A298" s="70"/>
      <c r="B298" s="79"/>
      <c r="C298" s="79"/>
      <c r="D298" s="78"/>
      <c r="E298" s="71"/>
      <c r="F298" s="70"/>
      <c r="G298" s="70"/>
      <c r="H298" s="70"/>
      <c r="I298" s="70"/>
      <c r="J298" s="70"/>
      <c r="K298" s="70"/>
      <c r="L298" s="70"/>
      <c r="M298" s="70"/>
      <c r="N298" s="70"/>
      <c r="O298" s="70"/>
      <c r="P298" s="70"/>
      <c r="Q298" s="70"/>
      <c r="R298" s="70"/>
      <c r="S298" s="70"/>
      <c r="T298" s="70"/>
      <c r="U298" s="70"/>
      <c r="V298" s="70"/>
      <c r="W298" s="70"/>
      <c r="X298" s="70"/>
      <c r="Y298" s="70"/>
      <c r="Z298" s="70"/>
    </row>
    <row r="299">
      <c r="A299" s="70"/>
      <c r="B299" s="79"/>
      <c r="C299" s="79"/>
      <c r="D299" s="78"/>
      <c r="E299" s="71"/>
      <c r="F299" s="70"/>
      <c r="G299" s="70"/>
      <c r="H299" s="70"/>
      <c r="I299" s="70"/>
      <c r="J299" s="70"/>
      <c r="K299" s="70"/>
      <c r="L299" s="70"/>
      <c r="M299" s="70"/>
      <c r="N299" s="70"/>
      <c r="O299" s="70"/>
      <c r="P299" s="70"/>
      <c r="Q299" s="70"/>
      <c r="R299" s="70"/>
      <c r="S299" s="70"/>
      <c r="T299" s="70"/>
      <c r="U299" s="70"/>
      <c r="V299" s="70"/>
      <c r="W299" s="70"/>
      <c r="X299" s="70"/>
      <c r="Y299" s="70"/>
      <c r="Z299" s="70"/>
    </row>
    <row r="300">
      <c r="A300" s="70"/>
      <c r="B300" s="79"/>
      <c r="C300" s="79"/>
      <c r="D300" s="78"/>
      <c r="E300" s="71"/>
      <c r="F300" s="70"/>
      <c r="G300" s="70"/>
      <c r="H300" s="70"/>
      <c r="I300" s="70"/>
      <c r="J300" s="70"/>
      <c r="K300" s="70"/>
      <c r="L300" s="70"/>
      <c r="M300" s="70"/>
      <c r="N300" s="70"/>
      <c r="O300" s="70"/>
      <c r="P300" s="70"/>
      <c r="Q300" s="70"/>
      <c r="R300" s="70"/>
      <c r="S300" s="70"/>
      <c r="T300" s="70"/>
      <c r="U300" s="70"/>
      <c r="V300" s="70"/>
      <c r="W300" s="70"/>
      <c r="X300" s="70"/>
      <c r="Y300" s="70"/>
      <c r="Z300" s="70"/>
    </row>
    <row r="301">
      <c r="A301" s="70"/>
      <c r="B301" s="79"/>
      <c r="C301" s="79"/>
      <c r="D301" s="78"/>
      <c r="E301" s="71"/>
      <c r="F301" s="70"/>
      <c r="G301" s="70"/>
      <c r="H301" s="70"/>
      <c r="I301" s="70"/>
      <c r="J301" s="70"/>
      <c r="K301" s="70"/>
      <c r="L301" s="70"/>
      <c r="M301" s="70"/>
      <c r="N301" s="70"/>
      <c r="O301" s="70"/>
      <c r="P301" s="70"/>
      <c r="Q301" s="70"/>
      <c r="R301" s="70"/>
      <c r="S301" s="70"/>
      <c r="T301" s="70"/>
      <c r="U301" s="70"/>
      <c r="V301" s="70"/>
      <c r="W301" s="70"/>
      <c r="X301" s="70"/>
      <c r="Y301" s="70"/>
      <c r="Z301" s="70"/>
    </row>
    <row r="302">
      <c r="A302" s="70"/>
      <c r="B302" s="79"/>
      <c r="C302" s="79"/>
      <c r="D302" s="78"/>
      <c r="E302" s="71"/>
      <c r="F302" s="70"/>
      <c r="G302" s="70"/>
      <c r="H302" s="70"/>
      <c r="I302" s="70"/>
      <c r="J302" s="70"/>
      <c r="K302" s="70"/>
      <c r="L302" s="70"/>
      <c r="M302" s="70"/>
      <c r="N302" s="70"/>
      <c r="O302" s="70"/>
      <c r="P302" s="70"/>
      <c r="Q302" s="70"/>
      <c r="R302" s="70"/>
      <c r="S302" s="70"/>
      <c r="T302" s="70"/>
      <c r="U302" s="70"/>
      <c r="V302" s="70"/>
      <c r="W302" s="70"/>
      <c r="X302" s="70"/>
      <c r="Y302" s="70"/>
      <c r="Z302" s="70"/>
    </row>
    <row r="303">
      <c r="A303" s="70"/>
      <c r="B303" s="79"/>
      <c r="C303" s="79"/>
      <c r="D303" s="78"/>
      <c r="E303" s="71"/>
      <c r="F303" s="70"/>
      <c r="G303" s="70"/>
      <c r="H303" s="70"/>
      <c r="I303" s="70"/>
      <c r="J303" s="70"/>
      <c r="K303" s="70"/>
      <c r="L303" s="70"/>
      <c r="M303" s="70"/>
      <c r="N303" s="70"/>
      <c r="O303" s="70"/>
      <c r="P303" s="70"/>
      <c r="Q303" s="70"/>
      <c r="R303" s="70"/>
      <c r="S303" s="70"/>
      <c r="T303" s="70"/>
      <c r="U303" s="70"/>
      <c r="V303" s="70"/>
      <c r="W303" s="70"/>
      <c r="X303" s="70"/>
      <c r="Y303" s="70"/>
      <c r="Z303" s="70"/>
    </row>
    <row r="304">
      <c r="A304" s="70"/>
      <c r="B304" s="79"/>
      <c r="C304" s="79"/>
      <c r="D304" s="78"/>
      <c r="E304" s="71"/>
      <c r="F304" s="70"/>
      <c r="G304" s="70"/>
      <c r="H304" s="70"/>
      <c r="I304" s="70"/>
      <c r="J304" s="70"/>
      <c r="K304" s="70"/>
      <c r="L304" s="70"/>
      <c r="M304" s="70"/>
      <c r="N304" s="70"/>
      <c r="O304" s="70"/>
      <c r="P304" s="70"/>
      <c r="Q304" s="70"/>
      <c r="R304" s="70"/>
      <c r="S304" s="70"/>
      <c r="T304" s="70"/>
      <c r="U304" s="70"/>
      <c r="V304" s="70"/>
      <c r="W304" s="70"/>
      <c r="X304" s="70"/>
      <c r="Y304" s="70"/>
      <c r="Z304" s="70"/>
    </row>
    <row r="305">
      <c r="A305" s="70"/>
      <c r="B305" s="79"/>
      <c r="C305" s="79"/>
      <c r="D305" s="78"/>
      <c r="E305" s="71"/>
      <c r="F305" s="70"/>
      <c r="G305" s="70"/>
      <c r="H305" s="70"/>
      <c r="I305" s="70"/>
      <c r="J305" s="70"/>
      <c r="K305" s="70"/>
      <c r="L305" s="70"/>
      <c r="M305" s="70"/>
      <c r="N305" s="70"/>
      <c r="O305" s="70"/>
      <c r="P305" s="70"/>
      <c r="Q305" s="70"/>
      <c r="R305" s="70"/>
      <c r="S305" s="70"/>
      <c r="T305" s="70"/>
      <c r="U305" s="70"/>
      <c r="V305" s="70"/>
      <c r="W305" s="70"/>
      <c r="X305" s="70"/>
      <c r="Y305" s="70"/>
      <c r="Z305" s="70"/>
    </row>
    <row r="306">
      <c r="A306" s="70"/>
      <c r="B306" s="79"/>
      <c r="C306" s="79"/>
      <c r="D306" s="78"/>
      <c r="E306" s="71"/>
      <c r="F306" s="70"/>
      <c r="G306" s="70"/>
      <c r="H306" s="70"/>
      <c r="I306" s="70"/>
      <c r="J306" s="70"/>
      <c r="K306" s="70"/>
      <c r="L306" s="70"/>
      <c r="M306" s="70"/>
      <c r="N306" s="70"/>
      <c r="O306" s="70"/>
      <c r="P306" s="70"/>
      <c r="Q306" s="70"/>
      <c r="R306" s="70"/>
      <c r="S306" s="70"/>
      <c r="T306" s="70"/>
      <c r="U306" s="70"/>
      <c r="V306" s="70"/>
      <c r="W306" s="70"/>
      <c r="X306" s="70"/>
      <c r="Y306" s="70"/>
      <c r="Z306" s="70"/>
    </row>
    <row r="307">
      <c r="A307" s="70"/>
      <c r="B307" s="79"/>
      <c r="C307" s="79"/>
      <c r="D307" s="78"/>
      <c r="E307" s="71"/>
      <c r="F307" s="70"/>
      <c r="G307" s="70"/>
      <c r="H307" s="70"/>
      <c r="I307" s="70"/>
      <c r="J307" s="70"/>
      <c r="K307" s="70"/>
      <c r="L307" s="70"/>
      <c r="M307" s="70"/>
      <c r="N307" s="70"/>
      <c r="O307" s="70"/>
      <c r="P307" s="70"/>
      <c r="Q307" s="70"/>
      <c r="R307" s="70"/>
      <c r="S307" s="70"/>
      <c r="T307" s="70"/>
      <c r="U307" s="70"/>
      <c r="V307" s="70"/>
      <c r="W307" s="70"/>
      <c r="X307" s="70"/>
      <c r="Y307" s="70"/>
      <c r="Z307" s="70"/>
    </row>
    <row r="308">
      <c r="A308" s="70"/>
      <c r="B308" s="79"/>
      <c r="C308" s="79"/>
      <c r="D308" s="78"/>
      <c r="E308" s="71"/>
      <c r="F308" s="70"/>
      <c r="G308" s="70"/>
      <c r="H308" s="70"/>
      <c r="I308" s="70"/>
      <c r="J308" s="70"/>
      <c r="K308" s="70"/>
      <c r="L308" s="70"/>
      <c r="M308" s="70"/>
      <c r="N308" s="70"/>
      <c r="O308" s="70"/>
      <c r="P308" s="70"/>
      <c r="Q308" s="70"/>
      <c r="R308" s="70"/>
      <c r="S308" s="70"/>
      <c r="T308" s="70"/>
      <c r="U308" s="70"/>
      <c r="V308" s="70"/>
      <c r="W308" s="70"/>
      <c r="X308" s="70"/>
      <c r="Y308" s="70"/>
      <c r="Z308" s="70"/>
    </row>
    <row r="309">
      <c r="A309" s="70"/>
      <c r="B309" s="79"/>
      <c r="C309" s="79"/>
      <c r="D309" s="78"/>
      <c r="E309" s="71"/>
      <c r="F309" s="70"/>
      <c r="G309" s="70"/>
      <c r="H309" s="70"/>
      <c r="I309" s="70"/>
      <c r="J309" s="70"/>
      <c r="K309" s="70"/>
      <c r="L309" s="70"/>
      <c r="M309" s="70"/>
      <c r="N309" s="70"/>
      <c r="O309" s="70"/>
      <c r="P309" s="70"/>
      <c r="Q309" s="70"/>
      <c r="R309" s="70"/>
      <c r="S309" s="70"/>
      <c r="T309" s="70"/>
      <c r="U309" s="70"/>
      <c r="V309" s="70"/>
      <c r="W309" s="70"/>
      <c r="X309" s="70"/>
      <c r="Y309" s="70"/>
      <c r="Z309" s="70"/>
    </row>
    <row r="310">
      <c r="A310" s="70"/>
      <c r="B310" s="79"/>
      <c r="C310" s="79"/>
      <c r="D310" s="78"/>
      <c r="E310" s="71"/>
      <c r="F310" s="70"/>
      <c r="G310" s="70"/>
      <c r="H310" s="70"/>
      <c r="I310" s="70"/>
      <c r="J310" s="70"/>
      <c r="K310" s="70"/>
      <c r="L310" s="70"/>
      <c r="M310" s="70"/>
      <c r="N310" s="70"/>
      <c r="O310" s="70"/>
      <c r="P310" s="70"/>
      <c r="Q310" s="70"/>
      <c r="R310" s="70"/>
      <c r="S310" s="70"/>
      <c r="T310" s="70"/>
      <c r="U310" s="70"/>
      <c r="V310" s="70"/>
      <c r="W310" s="70"/>
      <c r="X310" s="70"/>
      <c r="Y310" s="70"/>
      <c r="Z310" s="70"/>
    </row>
    <row r="311">
      <c r="A311" s="70"/>
      <c r="B311" s="79"/>
      <c r="C311" s="79"/>
      <c r="D311" s="78"/>
      <c r="E311" s="71"/>
      <c r="F311" s="70"/>
      <c r="G311" s="70"/>
      <c r="H311" s="70"/>
      <c r="I311" s="70"/>
      <c r="J311" s="70"/>
      <c r="K311" s="70"/>
      <c r="L311" s="70"/>
      <c r="M311" s="70"/>
      <c r="N311" s="70"/>
      <c r="O311" s="70"/>
      <c r="P311" s="70"/>
      <c r="Q311" s="70"/>
      <c r="R311" s="70"/>
      <c r="S311" s="70"/>
      <c r="T311" s="70"/>
      <c r="U311" s="70"/>
      <c r="V311" s="70"/>
      <c r="W311" s="70"/>
      <c r="X311" s="70"/>
      <c r="Y311" s="70"/>
      <c r="Z311" s="70"/>
    </row>
    <row r="312">
      <c r="A312" s="70"/>
      <c r="B312" s="79"/>
      <c r="C312" s="79"/>
      <c r="D312" s="78"/>
      <c r="E312" s="71"/>
      <c r="F312" s="70"/>
      <c r="G312" s="70"/>
      <c r="H312" s="70"/>
      <c r="I312" s="70"/>
      <c r="J312" s="70"/>
      <c r="K312" s="70"/>
      <c r="L312" s="70"/>
      <c r="M312" s="70"/>
      <c r="N312" s="70"/>
      <c r="O312" s="70"/>
      <c r="P312" s="70"/>
      <c r="Q312" s="70"/>
      <c r="R312" s="70"/>
      <c r="S312" s="70"/>
      <c r="T312" s="70"/>
      <c r="U312" s="70"/>
      <c r="V312" s="70"/>
      <c r="W312" s="70"/>
      <c r="X312" s="70"/>
      <c r="Y312" s="70"/>
      <c r="Z312" s="70"/>
    </row>
    <row r="313">
      <c r="A313" s="70"/>
      <c r="B313" s="79"/>
      <c r="C313" s="79"/>
      <c r="D313" s="78"/>
      <c r="E313" s="71"/>
      <c r="F313" s="70"/>
      <c r="G313" s="70"/>
      <c r="H313" s="70"/>
      <c r="I313" s="70"/>
      <c r="J313" s="70"/>
      <c r="K313" s="70"/>
      <c r="L313" s="70"/>
      <c r="M313" s="70"/>
      <c r="N313" s="70"/>
      <c r="O313" s="70"/>
      <c r="P313" s="70"/>
      <c r="Q313" s="70"/>
      <c r="R313" s="70"/>
      <c r="S313" s="70"/>
      <c r="T313" s="70"/>
      <c r="U313" s="70"/>
      <c r="V313" s="70"/>
      <c r="W313" s="70"/>
      <c r="X313" s="70"/>
      <c r="Y313" s="70"/>
      <c r="Z313" s="70"/>
    </row>
    <row r="314">
      <c r="A314" s="70"/>
      <c r="B314" s="79"/>
      <c r="C314" s="79"/>
      <c r="D314" s="78"/>
      <c r="E314" s="71"/>
      <c r="F314" s="70"/>
      <c r="G314" s="70"/>
      <c r="H314" s="70"/>
      <c r="I314" s="70"/>
      <c r="J314" s="70"/>
      <c r="K314" s="70"/>
      <c r="L314" s="70"/>
      <c r="M314" s="70"/>
      <c r="N314" s="70"/>
      <c r="O314" s="70"/>
      <c r="P314" s="70"/>
      <c r="Q314" s="70"/>
      <c r="R314" s="70"/>
      <c r="S314" s="70"/>
      <c r="T314" s="70"/>
      <c r="U314" s="70"/>
      <c r="V314" s="70"/>
      <c r="W314" s="70"/>
      <c r="X314" s="70"/>
      <c r="Y314" s="70"/>
      <c r="Z314" s="70"/>
    </row>
    <row r="315">
      <c r="A315" s="70"/>
      <c r="B315" s="79"/>
      <c r="C315" s="79"/>
      <c r="D315" s="78"/>
      <c r="E315" s="71"/>
      <c r="F315" s="70"/>
      <c r="G315" s="70"/>
      <c r="H315" s="70"/>
      <c r="I315" s="70"/>
      <c r="J315" s="70"/>
      <c r="K315" s="70"/>
      <c r="L315" s="70"/>
      <c r="M315" s="70"/>
      <c r="N315" s="70"/>
      <c r="O315" s="70"/>
      <c r="P315" s="70"/>
      <c r="Q315" s="70"/>
      <c r="R315" s="70"/>
      <c r="S315" s="70"/>
      <c r="T315" s="70"/>
      <c r="U315" s="70"/>
      <c r="V315" s="70"/>
      <c r="W315" s="70"/>
      <c r="X315" s="70"/>
      <c r="Y315" s="70"/>
      <c r="Z315" s="70"/>
    </row>
    <row r="316">
      <c r="A316" s="70"/>
      <c r="B316" s="79"/>
      <c r="C316" s="79"/>
      <c r="D316" s="78"/>
      <c r="E316" s="71"/>
      <c r="F316" s="70"/>
      <c r="G316" s="70"/>
      <c r="H316" s="70"/>
      <c r="I316" s="70"/>
      <c r="J316" s="70"/>
      <c r="K316" s="70"/>
      <c r="L316" s="70"/>
      <c r="M316" s="70"/>
      <c r="N316" s="70"/>
      <c r="O316" s="70"/>
      <c r="P316" s="70"/>
      <c r="Q316" s="70"/>
      <c r="R316" s="70"/>
      <c r="S316" s="70"/>
      <c r="T316" s="70"/>
      <c r="U316" s="70"/>
      <c r="V316" s="70"/>
      <c r="W316" s="70"/>
      <c r="X316" s="70"/>
      <c r="Y316" s="70"/>
      <c r="Z316" s="70"/>
    </row>
    <row r="317">
      <c r="A317" s="70"/>
      <c r="B317" s="79"/>
      <c r="C317" s="79"/>
      <c r="D317" s="78"/>
      <c r="E317" s="71"/>
      <c r="F317" s="70"/>
      <c r="G317" s="70"/>
      <c r="H317" s="70"/>
      <c r="I317" s="70"/>
      <c r="J317" s="70"/>
      <c r="K317" s="70"/>
      <c r="L317" s="70"/>
      <c r="M317" s="70"/>
      <c r="N317" s="70"/>
      <c r="O317" s="70"/>
      <c r="P317" s="70"/>
      <c r="Q317" s="70"/>
      <c r="R317" s="70"/>
      <c r="S317" s="70"/>
      <c r="T317" s="70"/>
      <c r="U317" s="70"/>
      <c r="V317" s="70"/>
      <c r="W317" s="70"/>
      <c r="X317" s="70"/>
      <c r="Y317" s="70"/>
      <c r="Z317" s="70"/>
    </row>
    <row r="318">
      <c r="A318" s="70"/>
      <c r="B318" s="79"/>
      <c r="C318" s="79"/>
      <c r="D318" s="78"/>
      <c r="E318" s="71"/>
      <c r="F318" s="70"/>
      <c r="G318" s="70"/>
      <c r="H318" s="70"/>
      <c r="I318" s="70"/>
      <c r="J318" s="70"/>
      <c r="K318" s="70"/>
      <c r="L318" s="70"/>
      <c r="M318" s="70"/>
      <c r="N318" s="70"/>
      <c r="O318" s="70"/>
      <c r="P318" s="70"/>
      <c r="Q318" s="70"/>
      <c r="R318" s="70"/>
      <c r="S318" s="70"/>
      <c r="T318" s="70"/>
      <c r="U318" s="70"/>
      <c r="V318" s="70"/>
      <c r="W318" s="70"/>
      <c r="X318" s="70"/>
      <c r="Y318" s="70"/>
      <c r="Z318" s="70"/>
    </row>
    <row r="319">
      <c r="A319" s="70"/>
      <c r="B319" s="79"/>
      <c r="C319" s="79"/>
      <c r="D319" s="78"/>
      <c r="E319" s="71"/>
      <c r="F319" s="70"/>
      <c r="G319" s="70"/>
      <c r="H319" s="70"/>
      <c r="I319" s="70"/>
      <c r="J319" s="70"/>
      <c r="K319" s="70"/>
      <c r="L319" s="70"/>
      <c r="M319" s="70"/>
      <c r="N319" s="70"/>
      <c r="O319" s="70"/>
      <c r="P319" s="70"/>
      <c r="Q319" s="70"/>
      <c r="R319" s="70"/>
      <c r="S319" s="70"/>
      <c r="T319" s="70"/>
      <c r="U319" s="70"/>
      <c r="V319" s="70"/>
      <c r="W319" s="70"/>
      <c r="X319" s="70"/>
      <c r="Y319" s="70"/>
      <c r="Z319" s="70"/>
    </row>
    <row r="320">
      <c r="A320" s="70"/>
      <c r="B320" s="79"/>
      <c r="C320" s="79"/>
      <c r="D320" s="78"/>
      <c r="E320" s="71"/>
      <c r="F320" s="70"/>
      <c r="G320" s="70"/>
      <c r="H320" s="70"/>
      <c r="I320" s="70"/>
      <c r="J320" s="70"/>
      <c r="K320" s="70"/>
      <c r="L320" s="70"/>
      <c r="M320" s="70"/>
      <c r="N320" s="70"/>
      <c r="O320" s="70"/>
      <c r="P320" s="70"/>
      <c r="Q320" s="70"/>
      <c r="R320" s="70"/>
      <c r="S320" s="70"/>
      <c r="T320" s="70"/>
      <c r="U320" s="70"/>
      <c r="V320" s="70"/>
      <c r="W320" s="70"/>
      <c r="X320" s="70"/>
      <c r="Y320" s="70"/>
      <c r="Z320" s="70"/>
    </row>
    <row r="321">
      <c r="A321" s="70"/>
      <c r="B321" s="79"/>
      <c r="C321" s="79"/>
      <c r="D321" s="78"/>
      <c r="E321" s="71"/>
      <c r="F321" s="70"/>
      <c r="G321" s="70"/>
      <c r="H321" s="70"/>
      <c r="I321" s="70"/>
      <c r="J321" s="70"/>
      <c r="K321" s="70"/>
      <c r="L321" s="70"/>
      <c r="M321" s="70"/>
      <c r="N321" s="70"/>
      <c r="O321" s="70"/>
      <c r="P321" s="70"/>
      <c r="Q321" s="70"/>
      <c r="R321" s="70"/>
      <c r="S321" s="70"/>
      <c r="T321" s="70"/>
      <c r="U321" s="70"/>
      <c r="V321" s="70"/>
      <c r="W321" s="70"/>
      <c r="X321" s="70"/>
      <c r="Y321" s="70"/>
      <c r="Z321" s="70"/>
    </row>
    <row r="322">
      <c r="A322" s="70"/>
      <c r="B322" s="79"/>
      <c r="C322" s="79"/>
      <c r="D322" s="78"/>
      <c r="E322" s="71"/>
      <c r="F322" s="70"/>
      <c r="G322" s="70"/>
      <c r="H322" s="70"/>
      <c r="I322" s="70"/>
      <c r="J322" s="70"/>
      <c r="K322" s="70"/>
      <c r="L322" s="70"/>
      <c r="M322" s="70"/>
      <c r="N322" s="70"/>
      <c r="O322" s="70"/>
      <c r="P322" s="70"/>
      <c r="Q322" s="70"/>
      <c r="R322" s="70"/>
      <c r="S322" s="70"/>
      <c r="T322" s="70"/>
      <c r="U322" s="70"/>
      <c r="V322" s="70"/>
      <c r="W322" s="70"/>
      <c r="X322" s="70"/>
      <c r="Y322" s="70"/>
      <c r="Z322" s="70"/>
    </row>
    <row r="323">
      <c r="A323" s="70"/>
      <c r="B323" s="79"/>
      <c r="C323" s="79"/>
      <c r="D323" s="78"/>
      <c r="E323" s="71"/>
      <c r="F323" s="70"/>
      <c r="G323" s="70"/>
      <c r="H323" s="70"/>
      <c r="I323" s="70"/>
      <c r="J323" s="70"/>
      <c r="K323" s="70"/>
      <c r="L323" s="70"/>
      <c r="M323" s="70"/>
      <c r="N323" s="70"/>
      <c r="O323" s="70"/>
      <c r="P323" s="70"/>
      <c r="Q323" s="70"/>
      <c r="R323" s="70"/>
      <c r="S323" s="70"/>
      <c r="T323" s="70"/>
      <c r="U323" s="70"/>
      <c r="V323" s="70"/>
      <c r="W323" s="70"/>
      <c r="X323" s="70"/>
      <c r="Y323" s="70"/>
      <c r="Z323" s="70"/>
    </row>
    <row r="324">
      <c r="A324" s="70"/>
      <c r="B324" s="79"/>
      <c r="C324" s="79"/>
      <c r="D324" s="78"/>
      <c r="E324" s="71"/>
      <c r="F324" s="70"/>
      <c r="G324" s="70"/>
      <c r="H324" s="70"/>
      <c r="I324" s="70"/>
      <c r="J324" s="70"/>
      <c r="K324" s="70"/>
      <c r="L324" s="70"/>
      <c r="M324" s="70"/>
      <c r="N324" s="70"/>
      <c r="O324" s="70"/>
      <c r="P324" s="70"/>
      <c r="Q324" s="70"/>
      <c r="R324" s="70"/>
      <c r="S324" s="70"/>
      <c r="T324" s="70"/>
      <c r="U324" s="70"/>
      <c r="V324" s="70"/>
      <c r="W324" s="70"/>
      <c r="X324" s="70"/>
      <c r="Y324" s="70"/>
      <c r="Z324" s="70"/>
    </row>
    <row r="325">
      <c r="A325" s="70"/>
      <c r="B325" s="79"/>
      <c r="C325" s="79"/>
      <c r="D325" s="78"/>
      <c r="E325" s="71"/>
      <c r="F325" s="70"/>
      <c r="G325" s="70"/>
      <c r="H325" s="70"/>
      <c r="I325" s="70"/>
      <c r="J325" s="70"/>
      <c r="K325" s="70"/>
      <c r="L325" s="70"/>
      <c r="M325" s="70"/>
      <c r="N325" s="70"/>
      <c r="O325" s="70"/>
      <c r="P325" s="70"/>
      <c r="Q325" s="70"/>
      <c r="R325" s="70"/>
      <c r="S325" s="70"/>
      <c r="T325" s="70"/>
      <c r="U325" s="70"/>
      <c r="V325" s="70"/>
      <c r="W325" s="70"/>
      <c r="X325" s="70"/>
      <c r="Y325" s="70"/>
      <c r="Z325" s="70"/>
    </row>
    <row r="326">
      <c r="A326" s="70"/>
      <c r="B326" s="79"/>
      <c r="C326" s="79"/>
      <c r="D326" s="78"/>
      <c r="E326" s="71"/>
      <c r="F326" s="70"/>
      <c r="G326" s="70"/>
      <c r="H326" s="70"/>
      <c r="I326" s="70"/>
      <c r="J326" s="70"/>
      <c r="K326" s="70"/>
      <c r="L326" s="70"/>
      <c r="M326" s="70"/>
      <c r="N326" s="70"/>
      <c r="O326" s="70"/>
      <c r="P326" s="70"/>
      <c r="Q326" s="70"/>
      <c r="R326" s="70"/>
      <c r="S326" s="70"/>
      <c r="T326" s="70"/>
      <c r="U326" s="70"/>
      <c r="V326" s="70"/>
      <c r="W326" s="70"/>
      <c r="X326" s="70"/>
      <c r="Y326" s="70"/>
      <c r="Z326" s="70"/>
    </row>
    <row r="327">
      <c r="A327" s="70"/>
      <c r="B327" s="79"/>
      <c r="C327" s="79"/>
      <c r="D327" s="78"/>
      <c r="E327" s="71"/>
      <c r="F327" s="70"/>
      <c r="G327" s="70"/>
      <c r="H327" s="70"/>
      <c r="I327" s="70"/>
      <c r="J327" s="70"/>
      <c r="K327" s="70"/>
      <c r="L327" s="70"/>
      <c r="M327" s="70"/>
      <c r="N327" s="70"/>
      <c r="O327" s="70"/>
      <c r="P327" s="70"/>
      <c r="Q327" s="70"/>
      <c r="R327" s="70"/>
      <c r="S327" s="70"/>
      <c r="T327" s="70"/>
      <c r="U327" s="70"/>
      <c r="V327" s="70"/>
      <c r="W327" s="70"/>
      <c r="X327" s="70"/>
      <c r="Y327" s="70"/>
      <c r="Z327" s="70"/>
    </row>
    <row r="328">
      <c r="A328" s="70"/>
      <c r="B328" s="79"/>
      <c r="C328" s="79"/>
      <c r="D328" s="78"/>
      <c r="E328" s="71"/>
      <c r="F328" s="70"/>
      <c r="G328" s="70"/>
      <c r="H328" s="70"/>
      <c r="I328" s="70"/>
      <c r="J328" s="70"/>
      <c r="K328" s="70"/>
      <c r="L328" s="70"/>
      <c r="M328" s="70"/>
      <c r="N328" s="70"/>
      <c r="O328" s="70"/>
      <c r="P328" s="70"/>
      <c r="Q328" s="70"/>
      <c r="R328" s="70"/>
      <c r="S328" s="70"/>
      <c r="T328" s="70"/>
      <c r="U328" s="70"/>
      <c r="V328" s="70"/>
      <c r="W328" s="70"/>
      <c r="X328" s="70"/>
      <c r="Y328" s="70"/>
      <c r="Z328" s="70"/>
    </row>
    <row r="329">
      <c r="A329" s="70"/>
      <c r="B329" s="79"/>
      <c r="C329" s="79"/>
      <c r="D329" s="78"/>
      <c r="E329" s="71"/>
      <c r="F329" s="70"/>
      <c r="G329" s="70"/>
      <c r="H329" s="70"/>
      <c r="I329" s="70"/>
      <c r="J329" s="70"/>
      <c r="K329" s="70"/>
      <c r="L329" s="70"/>
      <c r="M329" s="70"/>
      <c r="N329" s="70"/>
      <c r="O329" s="70"/>
      <c r="P329" s="70"/>
      <c r="Q329" s="70"/>
      <c r="R329" s="70"/>
      <c r="S329" s="70"/>
      <c r="T329" s="70"/>
      <c r="U329" s="70"/>
      <c r="V329" s="70"/>
      <c r="W329" s="70"/>
      <c r="X329" s="70"/>
      <c r="Y329" s="70"/>
      <c r="Z329" s="70"/>
    </row>
    <row r="330">
      <c r="A330" s="70"/>
      <c r="B330" s="79"/>
      <c r="C330" s="79"/>
      <c r="D330" s="78"/>
      <c r="E330" s="71"/>
      <c r="F330" s="70"/>
      <c r="G330" s="70"/>
      <c r="H330" s="70"/>
      <c r="I330" s="70"/>
      <c r="J330" s="70"/>
      <c r="K330" s="70"/>
      <c r="L330" s="70"/>
      <c r="M330" s="70"/>
      <c r="N330" s="70"/>
      <c r="O330" s="70"/>
      <c r="P330" s="70"/>
      <c r="Q330" s="70"/>
      <c r="R330" s="70"/>
      <c r="S330" s="70"/>
      <c r="T330" s="70"/>
      <c r="U330" s="70"/>
      <c r="V330" s="70"/>
      <c r="W330" s="70"/>
      <c r="X330" s="70"/>
      <c r="Y330" s="70"/>
      <c r="Z330" s="70"/>
    </row>
    <row r="331">
      <c r="A331" s="70"/>
      <c r="B331" s="79"/>
      <c r="C331" s="79"/>
      <c r="D331" s="78"/>
      <c r="E331" s="71"/>
      <c r="F331" s="70"/>
      <c r="G331" s="70"/>
      <c r="H331" s="70"/>
      <c r="I331" s="70"/>
      <c r="J331" s="70"/>
      <c r="K331" s="70"/>
      <c r="L331" s="70"/>
      <c r="M331" s="70"/>
      <c r="N331" s="70"/>
      <c r="O331" s="70"/>
      <c r="P331" s="70"/>
      <c r="Q331" s="70"/>
      <c r="R331" s="70"/>
      <c r="S331" s="70"/>
      <c r="T331" s="70"/>
      <c r="U331" s="70"/>
      <c r="V331" s="70"/>
      <c r="W331" s="70"/>
      <c r="X331" s="70"/>
      <c r="Y331" s="70"/>
      <c r="Z331" s="70"/>
    </row>
    <row r="332">
      <c r="A332" s="70"/>
      <c r="B332" s="79"/>
      <c r="C332" s="79"/>
      <c r="D332" s="78"/>
      <c r="E332" s="71"/>
      <c r="F332" s="70"/>
      <c r="G332" s="70"/>
      <c r="H332" s="70"/>
      <c r="I332" s="70"/>
      <c r="J332" s="70"/>
      <c r="K332" s="70"/>
      <c r="L332" s="70"/>
      <c r="M332" s="70"/>
      <c r="N332" s="70"/>
      <c r="O332" s="70"/>
      <c r="P332" s="70"/>
      <c r="Q332" s="70"/>
      <c r="R332" s="70"/>
      <c r="S332" s="70"/>
      <c r="T332" s="70"/>
      <c r="U332" s="70"/>
      <c r="V332" s="70"/>
      <c r="W332" s="70"/>
      <c r="X332" s="70"/>
      <c r="Y332" s="70"/>
      <c r="Z332" s="70"/>
    </row>
    <row r="333">
      <c r="A333" s="70"/>
      <c r="B333" s="79"/>
      <c r="C333" s="79"/>
      <c r="D333" s="78"/>
      <c r="E333" s="71"/>
      <c r="F333" s="70"/>
      <c r="G333" s="70"/>
      <c r="H333" s="70"/>
      <c r="I333" s="70"/>
      <c r="J333" s="70"/>
      <c r="K333" s="70"/>
      <c r="L333" s="70"/>
      <c r="M333" s="70"/>
      <c r="N333" s="70"/>
      <c r="O333" s="70"/>
      <c r="P333" s="70"/>
      <c r="Q333" s="70"/>
      <c r="R333" s="70"/>
      <c r="S333" s="70"/>
      <c r="T333" s="70"/>
      <c r="U333" s="70"/>
      <c r="V333" s="70"/>
      <c r="W333" s="70"/>
      <c r="X333" s="70"/>
      <c r="Y333" s="70"/>
      <c r="Z333" s="70"/>
    </row>
    <row r="334">
      <c r="A334" s="70"/>
      <c r="B334" s="79"/>
      <c r="C334" s="79"/>
      <c r="D334" s="78"/>
      <c r="E334" s="71"/>
      <c r="F334" s="70"/>
      <c r="G334" s="70"/>
      <c r="H334" s="70"/>
      <c r="I334" s="70"/>
      <c r="J334" s="70"/>
      <c r="K334" s="70"/>
      <c r="L334" s="70"/>
      <c r="M334" s="70"/>
      <c r="N334" s="70"/>
      <c r="O334" s="70"/>
      <c r="P334" s="70"/>
      <c r="Q334" s="70"/>
      <c r="R334" s="70"/>
      <c r="S334" s="70"/>
      <c r="T334" s="70"/>
      <c r="U334" s="70"/>
      <c r="V334" s="70"/>
      <c r="W334" s="70"/>
      <c r="X334" s="70"/>
      <c r="Y334" s="70"/>
      <c r="Z334" s="70"/>
    </row>
    <row r="335">
      <c r="A335" s="70"/>
      <c r="B335" s="79"/>
      <c r="C335" s="79"/>
      <c r="D335" s="78"/>
      <c r="E335" s="71"/>
      <c r="F335" s="70"/>
      <c r="G335" s="70"/>
      <c r="H335" s="70"/>
      <c r="I335" s="70"/>
      <c r="J335" s="70"/>
      <c r="K335" s="70"/>
      <c r="L335" s="70"/>
      <c r="M335" s="70"/>
      <c r="N335" s="70"/>
      <c r="O335" s="70"/>
      <c r="P335" s="70"/>
      <c r="Q335" s="70"/>
      <c r="R335" s="70"/>
      <c r="S335" s="70"/>
      <c r="T335" s="70"/>
      <c r="U335" s="70"/>
      <c r="V335" s="70"/>
      <c r="W335" s="70"/>
      <c r="X335" s="70"/>
      <c r="Y335" s="70"/>
      <c r="Z335" s="70"/>
    </row>
    <row r="336">
      <c r="A336" s="70"/>
      <c r="B336" s="79"/>
      <c r="C336" s="79"/>
      <c r="D336" s="78"/>
      <c r="E336" s="71"/>
      <c r="F336" s="70"/>
      <c r="G336" s="70"/>
      <c r="H336" s="70"/>
      <c r="I336" s="70"/>
      <c r="J336" s="70"/>
      <c r="K336" s="70"/>
      <c r="L336" s="70"/>
      <c r="M336" s="70"/>
      <c r="N336" s="70"/>
      <c r="O336" s="70"/>
      <c r="P336" s="70"/>
      <c r="Q336" s="70"/>
      <c r="R336" s="70"/>
      <c r="S336" s="70"/>
      <c r="T336" s="70"/>
      <c r="U336" s="70"/>
      <c r="V336" s="70"/>
      <c r="W336" s="70"/>
      <c r="X336" s="70"/>
      <c r="Y336" s="70"/>
      <c r="Z336" s="70"/>
    </row>
    <row r="337">
      <c r="A337" s="70"/>
      <c r="B337" s="79"/>
      <c r="C337" s="79"/>
      <c r="D337" s="78"/>
      <c r="E337" s="71"/>
      <c r="F337" s="70"/>
      <c r="G337" s="70"/>
      <c r="H337" s="70"/>
      <c r="I337" s="70"/>
      <c r="J337" s="70"/>
      <c r="K337" s="70"/>
      <c r="L337" s="70"/>
      <c r="M337" s="70"/>
      <c r="N337" s="70"/>
      <c r="O337" s="70"/>
      <c r="P337" s="70"/>
      <c r="Q337" s="70"/>
      <c r="R337" s="70"/>
      <c r="S337" s="70"/>
      <c r="T337" s="70"/>
      <c r="U337" s="70"/>
      <c r="V337" s="70"/>
      <c r="W337" s="70"/>
      <c r="X337" s="70"/>
      <c r="Y337" s="70"/>
      <c r="Z337" s="70"/>
    </row>
    <row r="338">
      <c r="A338" s="70"/>
      <c r="B338" s="79"/>
      <c r="C338" s="79"/>
      <c r="D338" s="78"/>
      <c r="E338" s="71"/>
      <c r="F338" s="70"/>
      <c r="G338" s="70"/>
      <c r="H338" s="70"/>
      <c r="I338" s="70"/>
      <c r="J338" s="70"/>
      <c r="K338" s="70"/>
      <c r="L338" s="70"/>
      <c r="M338" s="70"/>
      <c r="N338" s="70"/>
      <c r="O338" s="70"/>
      <c r="P338" s="70"/>
      <c r="Q338" s="70"/>
      <c r="R338" s="70"/>
      <c r="S338" s="70"/>
      <c r="T338" s="70"/>
      <c r="U338" s="70"/>
      <c r="V338" s="70"/>
      <c r="W338" s="70"/>
      <c r="X338" s="70"/>
      <c r="Y338" s="70"/>
      <c r="Z338" s="70"/>
    </row>
    <row r="339">
      <c r="A339" s="70"/>
      <c r="B339" s="79"/>
      <c r="C339" s="79"/>
      <c r="D339" s="78"/>
      <c r="E339" s="71"/>
      <c r="F339" s="70"/>
      <c r="G339" s="70"/>
      <c r="H339" s="70"/>
      <c r="I339" s="70"/>
      <c r="J339" s="70"/>
      <c r="K339" s="70"/>
      <c r="L339" s="70"/>
      <c r="M339" s="70"/>
      <c r="N339" s="70"/>
      <c r="O339" s="70"/>
      <c r="P339" s="70"/>
      <c r="Q339" s="70"/>
      <c r="R339" s="70"/>
      <c r="S339" s="70"/>
      <c r="T339" s="70"/>
      <c r="U339" s="70"/>
      <c r="V339" s="70"/>
      <c r="W339" s="70"/>
      <c r="X339" s="70"/>
      <c r="Y339" s="70"/>
      <c r="Z339" s="70"/>
    </row>
    <row r="340">
      <c r="A340" s="70"/>
      <c r="B340" s="79"/>
      <c r="C340" s="79"/>
      <c r="D340" s="78"/>
      <c r="E340" s="71"/>
      <c r="F340" s="70"/>
      <c r="G340" s="70"/>
      <c r="H340" s="70"/>
      <c r="I340" s="70"/>
      <c r="J340" s="70"/>
      <c r="K340" s="70"/>
      <c r="L340" s="70"/>
      <c r="M340" s="70"/>
      <c r="N340" s="70"/>
      <c r="O340" s="70"/>
      <c r="P340" s="70"/>
      <c r="Q340" s="70"/>
      <c r="R340" s="70"/>
      <c r="S340" s="70"/>
      <c r="T340" s="70"/>
      <c r="U340" s="70"/>
      <c r="V340" s="70"/>
      <c r="W340" s="70"/>
      <c r="X340" s="70"/>
      <c r="Y340" s="70"/>
      <c r="Z340" s="70"/>
    </row>
    <row r="341">
      <c r="A341" s="70"/>
      <c r="B341" s="79"/>
      <c r="C341" s="79"/>
      <c r="D341" s="78"/>
      <c r="E341" s="71"/>
      <c r="F341" s="70"/>
      <c r="G341" s="70"/>
      <c r="H341" s="70"/>
      <c r="I341" s="70"/>
      <c r="J341" s="70"/>
      <c r="K341" s="70"/>
      <c r="L341" s="70"/>
      <c r="M341" s="70"/>
      <c r="N341" s="70"/>
      <c r="O341" s="70"/>
      <c r="P341" s="70"/>
      <c r="Q341" s="70"/>
      <c r="R341" s="70"/>
      <c r="S341" s="70"/>
      <c r="T341" s="70"/>
      <c r="U341" s="70"/>
      <c r="V341" s="70"/>
      <c r="W341" s="70"/>
      <c r="X341" s="70"/>
      <c r="Y341" s="70"/>
      <c r="Z341" s="70"/>
    </row>
    <row r="342">
      <c r="A342" s="70"/>
      <c r="B342" s="79"/>
      <c r="C342" s="79"/>
      <c r="D342" s="78"/>
      <c r="E342" s="71"/>
      <c r="F342" s="70"/>
      <c r="G342" s="70"/>
      <c r="H342" s="70"/>
      <c r="I342" s="70"/>
      <c r="J342" s="70"/>
      <c r="K342" s="70"/>
      <c r="L342" s="70"/>
      <c r="M342" s="70"/>
      <c r="N342" s="70"/>
      <c r="O342" s="70"/>
      <c r="P342" s="70"/>
      <c r="Q342" s="70"/>
      <c r="R342" s="70"/>
      <c r="S342" s="70"/>
      <c r="T342" s="70"/>
      <c r="U342" s="70"/>
      <c r="V342" s="70"/>
      <c r="W342" s="70"/>
      <c r="X342" s="70"/>
      <c r="Y342" s="70"/>
      <c r="Z342" s="70"/>
    </row>
    <row r="343">
      <c r="A343" s="70"/>
      <c r="B343" s="79"/>
      <c r="C343" s="79"/>
      <c r="D343" s="78"/>
      <c r="E343" s="71"/>
      <c r="F343" s="70"/>
      <c r="G343" s="70"/>
      <c r="H343" s="70"/>
      <c r="I343" s="70"/>
      <c r="J343" s="70"/>
      <c r="K343" s="70"/>
      <c r="L343" s="70"/>
      <c r="M343" s="70"/>
      <c r="N343" s="70"/>
      <c r="O343" s="70"/>
      <c r="P343" s="70"/>
      <c r="Q343" s="70"/>
      <c r="R343" s="70"/>
      <c r="S343" s="70"/>
      <c r="T343" s="70"/>
      <c r="U343" s="70"/>
      <c r="V343" s="70"/>
      <c r="W343" s="70"/>
      <c r="X343" s="70"/>
      <c r="Y343" s="70"/>
      <c r="Z343" s="70"/>
    </row>
    <row r="344">
      <c r="A344" s="70"/>
      <c r="B344" s="79"/>
      <c r="C344" s="79"/>
      <c r="D344" s="78"/>
      <c r="E344" s="71"/>
      <c r="F344" s="70"/>
      <c r="G344" s="70"/>
      <c r="H344" s="70"/>
      <c r="I344" s="70"/>
      <c r="J344" s="70"/>
      <c r="K344" s="70"/>
      <c r="L344" s="70"/>
      <c r="M344" s="70"/>
      <c r="N344" s="70"/>
      <c r="O344" s="70"/>
      <c r="P344" s="70"/>
      <c r="Q344" s="70"/>
      <c r="R344" s="70"/>
      <c r="S344" s="70"/>
      <c r="T344" s="70"/>
      <c r="U344" s="70"/>
      <c r="V344" s="70"/>
      <c r="W344" s="70"/>
      <c r="X344" s="70"/>
      <c r="Y344" s="70"/>
      <c r="Z344" s="70"/>
    </row>
    <row r="345">
      <c r="A345" s="70"/>
      <c r="B345" s="79"/>
      <c r="C345" s="79"/>
      <c r="D345" s="78"/>
      <c r="E345" s="71"/>
      <c r="F345" s="70"/>
      <c r="G345" s="70"/>
      <c r="H345" s="70"/>
      <c r="I345" s="70"/>
      <c r="J345" s="70"/>
      <c r="K345" s="70"/>
      <c r="L345" s="70"/>
      <c r="M345" s="70"/>
      <c r="N345" s="70"/>
      <c r="O345" s="70"/>
      <c r="P345" s="70"/>
      <c r="Q345" s="70"/>
      <c r="R345" s="70"/>
      <c r="S345" s="70"/>
      <c r="T345" s="70"/>
      <c r="U345" s="70"/>
      <c r="V345" s="70"/>
      <c r="W345" s="70"/>
      <c r="X345" s="70"/>
      <c r="Y345" s="70"/>
      <c r="Z345" s="70"/>
    </row>
    <row r="346">
      <c r="A346" s="70"/>
      <c r="B346" s="79"/>
      <c r="C346" s="79"/>
      <c r="D346" s="78"/>
      <c r="E346" s="71"/>
      <c r="F346" s="70"/>
      <c r="G346" s="70"/>
      <c r="H346" s="70"/>
      <c r="I346" s="70"/>
      <c r="J346" s="70"/>
      <c r="K346" s="70"/>
      <c r="L346" s="70"/>
      <c r="M346" s="70"/>
      <c r="N346" s="70"/>
      <c r="O346" s="70"/>
      <c r="P346" s="70"/>
      <c r="Q346" s="70"/>
      <c r="R346" s="70"/>
      <c r="S346" s="70"/>
      <c r="T346" s="70"/>
      <c r="U346" s="70"/>
      <c r="V346" s="70"/>
      <c r="W346" s="70"/>
      <c r="X346" s="70"/>
      <c r="Y346" s="70"/>
      <c r="Z346" s="70"/>
    </row>
    <row r="347">
      <c r="A347" s="70"/>
      <c r="B347" s="79"/>
      <c r="C347" s="79"/>
      <c r="D347" s="78"/>
      <c r="E347" s="71"/>
      <c r="F347" s="70"/>
      <c r="G347" s="70"/>
      <c r="H347" s="70"/>
      <c r="I347" s="70"/>
      <c r="J347" s="70"/>
      <c r="K347" s="70"/>
      <c r="L347" s="70"/>
      <c r="M347" s="70"/>
      <c r="N347" s="70"/>
      <c r="O347" s="70"/>
      <c r="P347" s="70"/>
      <c r="Q347" s="70"/>
      <c r="R347" s="70"/>
      <c r="S347" s="70"/>
      <c r="T347" s="70"/>
      <c r="U347" s="70"/>
      <c r="V347" s="70"/>
      <c r="W347" s="70"/>
      <c r="X347" s="70"/>
      <c r="Y347" s="70"/>
      <c r="Z347" s="70"/>
    </row>
    <row r="348">
      <c r="A348" s="70"/>
      <c r="B348" s="79"/>
      <c r="C348" s="79"/>
      <c r="D348" s="78"/>
      <c r="E348" s="71"/>
      <c r="F348" s="70"/>
      <c r="G348" s="70"/>
      <c r="H348" s="70"/>
      <c r="I348" s="70"/>
      <c r="J348" s="70"/>
      <c r="K348" s="70"/>
      <c r="L348" s="70"/>
      <c r="M348" s="70"/>
      <c r="N348" s="70"/>
      <c r="O348" s="70"/>
      <c r="P348" s="70"/>
      <c r="Q348" s="70"/>
      <c r="R348" s="70"/>
      <c r="S348" s="70"/>
      <c r="T348" s="70"/>
      <c r="U348" s="70"/>
      <c r="V348" s="70"/>
      <c r="W348" s="70"/>
      <c r="X348" s="70"/>
      <c r="Y348" s="70"/>
      <c r="Z348" s="70"/>
    </row>
    <row r="349">
      <c r="A349" s="70"/>
      <c r="B349" s="79"/>
      <c r="C349" s="79"/>
      <c r="D349" s="78"/>
      <c r="E349" s="71"/>
      <c r="F349" s="70"/>
      <c r="G349" s="70"/>
      <c r="H349" s="70"/>
      <c r="I349" s="70"/>
      <c r="J349" s="70"/>
      <c r="K349" s="70"/>
      <c r="L349" s="70"/>
      <c r="M349" s="70"/>
      <c r="N349" s="70"/>
      <c r="O349" s="70"/>
      <c r="P349" s="70"/>
      <c r="Q349" s="70"/>
      <c r="R349" s="70"/>
      <c r="S349" s="70"/>
      <c r="T349" s="70"/>
      <c r="U349" s="70"/>
      <c r="V349" s="70"/>
      <c r="W349" s="70"/>
      <c r="X349" s="70"/>
      <c r="Y349" s="70"/>
      <c r="Z349" s="70"/>
    </row>
    <row r="350">
      <c r="A350" s="70"/>
      <c r="B350" s="79"/>
      <c r="C350" s="79"/>
      <c r="D350" s="78"/>
      <c r="E350" s="71"/>
      <c r="F350" s="70"/>
      <c r="G350" s="70"/>
      <c r="H350" s="70"/>
      <c r="I350" s="70"/>
      <c r="J350" s="70"/>
      <c r="K350" s="70"/>
      <c r="L350" s="70"/>
      <c r="M350" s="70"/>
      <c r="N350" s="70"/>
      <c r="O350" s="70"/>
      <c r="P350" s="70"/>
      <c r="Q350" s="70"/>
      <c r="R350" s="70"/>
      <c r="S350" s="70"/>
      <c r="T350" s="70"/>
      <c r="U350" s="70"/>
      <c r="V350" s="70"/>
      <c r="W350" s="70"/>
      <c r="X350" s="70"/>
      <c r="Y350" s="70"/>
      <c r="Z350" s="70"/>
    </row>
    <row r="351">
      <c r="A351" s="70"/>
      <c r="B351" s="79"/>
      <c r="C351" s="79"/>
      <c r="D351" s="78"/>
      <c r="E351" s="71"/>
      <c r="F351" s="70"/>
      <c r="G351" s="70"/>
      <c r="H351" s="70"/>
      <c r="I351" s="70"/>
      <c r="J351" s="70"/>
      <c r="K351" s="70"/>
      <c r="L351" s="70"/>
      <c r="M351" s="70"/>
      <c r="N351" s="70"/>
      <c r="O351" s="70"/>
      <c r="P351" s="70"/>
      <c r="Q351" s="70"/>
      <c r="R351" s="70"/>
      <c r="S351" s="70"/>
      <c r="T351" s="70"/>
      <c r="U351" s="70"/>
      <c r="V351" s="70"/>
      <c r="W351" s="70"/>
      <c r="X351" s="70"/>
      <c r="Y351" s="70"/>
      <c r="Z351" s="70"/>
    </row>
    <row r="352">
      <c r="A352" s="70"/>
      <c r="B352" s="79"/>
      <c r="C352" s="79"/>
      <c r="D352" s="78"/>
      <c r="E352" s="71"/>
      <c r="F352" s="70"/>
      <c r="G352" s="70"/>
      <c r="H352" s="70"/>
      <c r="I352" s="70"/>
      <c r="J352" s="70"/>
      <c r="K352" s="70"/>
      <c r="L352" s="70"/>
      <c r="M352" s="70"/>
      <c r="N352" s="70"/>
      <c r="O352" s="70"/>
      <c r="P352" s="70"/>
      <c r="Q352" s="70"/>
      <c r="R352" s="70"/>
      <c r="S352" s="70"/>
      <c r="T352" s="70"/>
      <c r="U352" s="70"/>
      <c r="V352" s="70"/>
      <c r="W352" s="70"/>
      <c r="X352" s="70"/>
      <c r="Y352" s="70"/>
      <c r="Z352" s="70"/>
    </row>
    <row r="353">
      <c r="A353" s="70"/>
      <c r="B353" s="79"/>
      <c r="C353" s="79"/>
      <c r="D353" s="78"/>
      <c r="E353" s="71"/>
      <c r="F353" s="70"/>
      <c r="G353" s="70"/>
      <c r="H353" s="70"/>
      <c r="I353" s="70"/>
      <c r="J353" s="70"/>
      <c r="K353" s="70"/>
      <c r="L353" s="70"/>
      <c r="M353" s="70"/>
      <c r="N353" s="70"/>
      <c r="O353" s="70"/>
      <c r="P353" s="70"/>
      <c r="Q353" s="70"/>
      <c r="R353" s="70"/>
      <c r="S353" s="70"/>
      <c r="T353" s="70"/>
      <c r="U353" s="70"/>
      <c r="V353" s="70"/>
      <c r="W353" s="70"/>
      <c r="X353" s="70"/>
      <c r="Y353" s="70"/>
      <c r="Z353" s="70"/>
    </row>
    <row r="354">
      <c r="A354" s="70"/>
      <c r="B354" s="79"/>
      <c r="C354" s="79"/>
      <c r="D354" s="78"/>
      <c r="E354" s="71"/>
      <c r="F354" s="70"/>
      <c r="G354" s="70"/>
      <c r="H354" s="70"/>
      <c r="I354" s="70"/>
      <c r="J354" s="70"/>
      <c r="K354" s="70"/>
      <c r="L354" s="70"/>
      <c r="M354" s="70"/>
      <c r="N354" s="70"/>
      <c r="O354" s="70"/>
      <c r="P354" s="70"/>
      <c r="Q354" s="70"/>
      <c r="R354" s="70"/>
      <c r="S354" s="70"/>
      <c r="T354" s="70"/>
      <c r="U354" s="70"/>
      <c r="V354" s="70"/>
      <c r="W354" s="70"/>
      <c r="X354" s="70"/>
      <c r="Y354" s="70"/>
      <c r="Z354" s="70"/>
    </row>
    <row r="355">
      <c r="A355" s="70"/>
      <c r="B355" s="79"/>
      <c r="C355" s="79"/>
      <c r="D355" s="78"/>
      <c r="E355" s="71"/>
      <c r="F355" s="70"/>
      <c r="G355" s="70"/>
      <c r="H355" s="70"/>
      <c r="I355" s="70"/>
      <c r="J355" s="70"/>
      <c r="K355" s="70"/>
      <c r="L355" s="70"/>
      <c r="M355" s="70"/>
      <c r="N355" s="70"/>
      <c r="O355" s="70"/>
      <c r="P355" s="70"/>
      <c r="Q355" s="70"/>
      <c r="R355" s="70"/>
      <c r="S355" s="70"/>
      <c r="T355" s="70"/>
      <c r="U355" s="70"/>
      <c r="V355" s="70"/>
      <c r="W355" s="70"/>
      <c r="X355" s="70"/>
      <c r="Y355" s="70"/>
      <c r="Z355" s="70"/>
    </row>
    <row r="356">
      <c r="A356" s="70"/>
      <c r="B356" s="79"/>
      <c r="C356" s="79"/>
      <c r="D356" s="78"/>
      <c r="E356" s="71"/>
      <c r="F356" s="70"/>
      <c r="G356" s="70"/>
      <c r="H356" s="70"/>
      <c r="I356" s="70"/>
      <c r="J356" s="70"/>
      <c r="K356" s="70"/>
      <c r="L356" s="70"/>
      <c r="M356" s="70"/>
      <c r="N356" s="70"/>
      <c r="O356" s="70"/>
      <c r="P356" s="70"/>
      <c r="Q356" s="70"/>
      <c r="R356" s="70"/>
      <c r="S356" s="70"/>
      <c r="T356" s="70"/>
      <c r="U356" s="70"/>
      <c r="V356" s="70"/>
      <c r="W356" s="70"/>
      <c r="X356" s="70"/>
      <c r="Y356" s="70"/>
      <c r="Z356" s="70"/>
    </row>
    <row r="357">
      <c r="A357" s="70"/>
      <c r="B357" s="79"/>
      <c r="C357" s="79"/>
      <c r="D357" s="78"/>
      <c r="E357" s="71"/>
      <c r="F357" s="70"/>
      <c r="G357" s="70"/>
      <c r="H357" s="70"/>
      <c r="I357" s="70"/>
      <c r="J357" s="70"/>
      <c r="K357" s="70"/>
      <c r="L357" s="70"/>
      <c r="M357" s="70"/>
      <c r="N357" s="70"/>
      <c r="O357" s="70"/>
      <c r="P357" s="70"/>
      <c r="Q357" s="70"/>
      <c r="R357" s="70"/>
      <c r="S357" s="70"/>
      <c r="T357" s="70"/>
      <c r="U357" s="70"/>
      <c r="V357" s="70"/>
      <c r="W357" s="70"/>
      <c r="X357" s="70"/>
      <c r="Y357" s="70"/>
      <c r="Z357" s="70"/>
    </row>
    <row r="358">
      <c r="A358" s="70"/>
      <c r="B358" s="79"/>
      <c r="C358" s="79"/>
      <c r="D358" s="78"/>
      <c r="E358" s="71"/>
      <c r="F358" s="70"/>
      <c r="G358" s="70"/>
      <c r="H358" s="70"/>
      <c r="I358" s="70"/>
      <c r="J358" s="70"/>
      <c r="K358" s="70"/>
      <c r="L358" s="70"/>
      <c r="M358" s="70"/>
      <c r="N358" s="70"/>
      <c r="O358" s="70"/>
      <c r="P358" s="70"/>
      <c r="Q358" s="70"/>
      <c r="R358" s="70"/>
      <c r="S358" s="70"/>
      <c r="T358" s="70"/>
      <c r="U358" s="70"/>
      <c r="V358" s="70"/>
      <c r="W358" s="70"/>
      <c r="X358" s="70"/>
      <c r="Y358" s="70"/>
      <c r="Z358" s="70"/>
    </row>
    <row r="359">
      <c r="A359" s="70"/>
      <c r="B359" s="79"/>
      <c r="C359" s="79"/>
      <c r="D359" s="78"/>
      <c r="E359" s="71"/>
      <c r="F359" s="70"/>
      <c r="G359" s="70"/>
      <c r="H359" s="70"/>
      <c r="I359" s="70"/>
      <c r="J359" s="70"/>
      <c r="K359" s="70"/>
      <c r="L359" s="70"/>
      <c r="M359" s="70"/>
      <c r="N359" s="70"/>
      <c r="O359" s="70"/>
      <c r="P359" s="70"/>
      <c r="Q359" s="70"/>
      <c r="R359" s="70"/>
      <c r="S359" s="70"/>
      <c r="T359" s="70"/>
      <c r="U359" s="70"/>
      <c r="V359" s="70"/>
      <c r="W359" s="70"/>
      <c r="X359" s="70"/>
      <c r="Y359" s="70"/>
      <c r="Z359" s="70"/>
    </row>
    <row r="360">
      <c r="A360" s="70"/>
      <c r="B360" s="79"/>
      <c r="C360" s="79"/>
      <c r="D360" s="78"/>
      <c r="E360" s="71"/>
      <c r="F360" s="70"/>
      <c r="G360" s="70"/>
      <c r="H360" s="70"/>
      <c r="I360" s="70"/>
      <c r="J360" s="70"/>
      <c r="K360" s="70"/>
      <c r="L360" s="70"/>
      <c r="M360" s="70"/>
      <c r="N360" s="70"/>
      <c r="O360" s="70"/>
      <c r="P360" s="70"/>
      <c r="Q360" s="70"/>
      <c r="R360" s="70"/>
      <c r="S360" s="70"/>
      <c r="T360" s="70"/>
      <c r="U360" s="70"/>
      <c r="V360" s="70"/>
      <c r="W360" s="70"/>
      <c r="X360" s="70"/>
      <c r="Y360" s="70"/>
      <c r="Z360" s="70"/>
    </row>
    <row r="361">
      <c r="A361" s="70"/>
      <c r="B361" s="79"/>
      <c r="C361" s="79"/>
      <c r="D361" s="78"/>
      <c r="E361" s="71"/>
      <c r="F361" s="70"/>
      <c r="G361" s="70"/>
      <c r="H361" s="70"/>
      <c r="I361" s="70"/>
      <c r="J361" s="70"/>
      <c r="K361" s="70"/>
      <c r="L361" s="70"/>
      <c r="M361" s="70"/>
      <c r="N361" s="70"/>
      <c r="O361" s="70"/>
      <c r="P361" s="70"/>
      <c r="Q361" s="70"/>
      <c r="R361" s="70"/>
      <c r="S361" s="70"/>
      <c r="T361" s="70"/>
      <c r="U361" s="70"/>
      <c r="V361" s="70"/>
      <c r="W361" s="70"/>
      <c r="X361" s="70"/>
      <c r="Y361" s="70"/>
      <c r="Z361" s="70"/>
    </row>
    <row r="362">
      <c r="A362" s="70"/>
      <c r="B362" s="79"/>
      <c r="C362" s="79"/>
      <c r="D362" s="78"/>
      <c r="E362" s="71"/>
      <c r="F362" s="70"/>
      <c r="G362" s="70"/>
      <c r="H362" s="70"/>
      <c r="I362" s="70"/>
      <c r="J362" s="70"/>
      <c r="K362" s="70"/>
      <c r="L362" s="70"/>
      <c r="M362" s="70"/>
      <c r="N362" s="70"/>
      <c r="O362" s="70"/>
      <c r="P362" s="70"/>
      <c r="Q362" s="70"/>
      <c r="R362" s="70"/>
      <c r="S362" s="70"/>
      <c r="T362" s="70"/>
      <c r="U362" s="70"/>
      <c r="V362" s="70"/>
      <c r="W362" s="70"/>
      <c r="X362" s="70"/>
      <c r="Y362" s="70"/>
      <c r="Z362" s="70"/>
    </row>
    <row r="363">
      <c r="A363" s="70"/>
      <c r="B363" s="79"/>
      <c r="C363" s="79"/>
      <c r="D363" s="78"/>
      <c r="E363" s="71"/>
      <c r="F363" s="70"/>
      <c r="G363" s="70"/>
      <c r="H363" s="70"/>
      <c r="I363" s="70"/>
      <c r="J363" s="70"/>
      <c r="K363" s="70"/>
      <c r="L363" s="70"/>
      <c r="M363" s="70"/>
      <c r="N363" s="70"/>
      <c r="O363" s="70"/>
      <c r="P363" s="70"/>
      <c r="Q363" s="70"/>
      <c r="R363" s="70"/>
      <c r="S363" s="70"/>
      <c r="T363" s="70"/>
      <c r="U363" s="70"/>
      <c r="V363" s="70"/>
      <c r="W363" s="70"/>
      <c r="X363" s="70"/>
      <c r="Y363" s="70"/>
      <c r="Z363" s="70"/>
    </row>
    <row r="364">
      <c r="A364" s="70"/>
      <c r="B364" s="79"/>
      <c r="C364" s="79"/>
      <c r="D364" s="78"/>
      <c r="E364" s="71"/>
      <c r="F364" s="70"/>
      <c r="G364" s="70"/>
      <c r="H364" s="70"/>
      <c r="I364" s="70"/>
      <c r="J364" s="70"/>
      <c r="K364" s="70"/>
      <c r="L364" s="70"/>
      <c r="M364" s="70"/>
      <c r="N364" s="70"/>
      <c r="O364" s="70"/>
      <c r="P364" s="70"/>
      <c r="Q364" s="70"/>
      <c r="R364" s="70"/>
      <c r="S364" s="70"/>
      <c r="T364" s="70"/>
      <c r="U364" s="70"/>
      <c r="V364" s="70"/>
      <c r="W364" s="70"/>
      <c r="X364" s="70"/>
      <c r="Y364" s="70"/>
      <c r="Z364" s="70"/>
    </row>
    <row r="365">
      <c r="A365" s="70"/>
      <c r="B365" s="79"/>
      <c r="C365" s="79"/>
      <c r="D365" s="78"/>
      <c r="E365" s="71"/>
      <c r="F365" s="70"/>
      <c r="G365" s="70"/>
      <c r="H365" s="70"/>
      <c r="I365" s="70"/>
      <c r="J365" s="70"/>
      <c r="K365" s="70"/>
      <c r="L365" s="70"/>
      <c r="M365" s="70"/>
      <c r="N365" s="70"/>
      <c r="O365" s="70"/>
      <c r="P365" s="70"/>
      <c r="Q365" s="70"/>
      <c r="R365" s="70"/>
      <c r="S365" s="70"/>
      <c r="T365" s="70"/>
      <c r="U365" s="70"/>
      <c r="V365" s="70"/>
      <c r="W365" s="70"/>
      <c r="X365" s="70"/>
      <c r="Y365" s="70"/>
      <c r="Z365" s="70"/>
    </row>
    <row r="366">
      <c r="A366" s="70"/>
      <c r="B366" s="79"/>
      <c r="C366" s="79"/>
      <c r="D366" s="78"/>
      <c r="E366" s="71"/>
      <c r="F366" s="70"/>
      <c r="G366" s="70"/>
      <c r="H366" s="70"/>
      <c r="I366" s="70"/>
      <c r="J366" s="70"/>
      <c r="K366" s="70"/>
      <c r="L366" s="70"/>
      <c r="M366" s="70"/>
      <c r="N366" s="70"/>
      <c r="O366" s="70"/>
      <c r="P366" s="70"/>
      <c r="Q366" s="70"/>
      <c r="R366" s="70"/>
      <c r="S366" s="70"/>
      <c r="T366" s="70"/>
      <c r="U366" s="70"/>
      <c r="V366" s="70"/>
      <c r="W366" s="70"/>
      <c r="X366" s="70"/>
      <c r="Y366" s="70"/>
      <c r="Z366" s="70"/>
    </row>
    <row r="367">
      <c r="A367" s="70"/>
      <c r="B367" s="79"/>
      <c r="C367" s="79"/>
      <c r="D367" s="78"/>
      <c r="E367" s="71"/>
      <c r="F367" s="70"/>
      <c r="G367" s="70"/>
      <c r="H367" s="70"/>
      <c r="I367" s="70"/>
      <c r="J367" s="70"/>
      <c r="K367" s="70"/>
      <c r="L367" s="70"/>
      <c r="M367" s="70"/>
      <c r="N367" s="70"/>
      <c r="O367" s="70"/>
      <c r="P367" s="70"/>
      <c r="Q367" s="70"/>
      <c r="R367" s="70"/>
      <c r="S367" s="70"/>
      <c r="T367" s="70"/>
      <c r="U367" s="70"/>
      <c r="V367" s="70"/>
      <c r="W367" s="70"/>
      <c r="X367" s="70"/>
      <c r="Y367" s="70"/>
      <c r="Z367" s="70"/>
    </row>
    <row r="368">
      <c r="A368" s="70"/>
      <c r="B368" s="79"/>
      <c r="C368" s="79"/>
      <c r="D368" s="78"/>
      <c r="E368" s="71"/>
      <c r="F368" s="70"/>
      <c r="G368" s="70"/>
      <c r="H368" s="70"/>
      <c r="I368" s="70"/>
      <c r="J368" s="70"/>
      <c r="K368" s="70"/>
      <c r="L368" s="70"/>
      <c r="M368" s="70"/>
      <c r="N368" s="70"/>
      <c r="O368" s="70"/>
      <c r="P368" s="70"/>
      <c r="Q368" s="70"/>
      <c r="R368" s="70"/>
      <c r="S368" s="70"/>
      <c r="T368" s="70"/>
      <c r="U368" s="70"/>
      <c r="V368" s="70"/>
      <c r="W368" s="70"/>
      <c r="X368" s="70"/>
      <c r="Y368" s="70"/>
      <c r="Z368" s="70"/>
    </row>
    <row r="369">
      <c r="A369" s="70"/>
      <c r="B369" s="79"/>
      <c r="C369" s="79"/>
      <c r="D369" s="78"/>
      <c r="E369" s="71"/>
      <c r="F369" s="70"/>
      <c r="G369" s="70"/>
      <c r="H369" s="70"/>
      <c r="I369" s="70"/>
      <c r="J369" s="70"/>
      <c r="K369" s="70"/>
      <c r="L369" s="70"/>
      <c r="M369" s="70"/>
      <c r="N369" s="70"/>
      <c r="O369" s="70"/>
      <c r="P369" s="70"/>
      <c r="Q369" s="70"/>
      <c r="R369" s="70"/>
      <c r="S369" s="70"/>
      <c r="T369" s="70"/>
      <c r="U369" s="70"/>
      <c r="V369" s="70"/>
      <c r="W369" s="70"/>
      <c r="X369" s="70"/>
      <c r="Y369" s="70"/>
      <c r="Z369" s="70"/>
    </row>
    <row r="370">
      <c r="A370" s="70"/>
      <c r="B370" s="79"/>
      <c r="C370" s="79"/>
      <c r="D370" s="78"/>
      <c r="E370" s="71"/>
      <c r="F370" s="70"/>
      <c r="G370" s="70"/>
      <c r="H370" s="70"/>
      <c r="I370" s="70"/>
      <c r="J370" s="70"/>
      <c r="K370" s="70"/>
      <c r="L370" s="70"/>
      <c r="M370" s="70"/>
      <c r="N370" s="70"/>
      <c r="O370" s="70"/>
      <c r="P370" s="70"/>
      <c r="Q370" s="70"/>
      <c r="R370" s="70"/>
      <c r="S370" s="70"/>
      <c r="T370" s="70"/>
      <c r="U370" s="70"/>
      <c r="V370" s="70"/>
      <c r="W370" s="70"/>
      <c r="X370" s="70"/>
      <c r="Y370" s="70"/>
      <c r="Z370" s="70"/>
    </row>
    <row r="371">
      <c r="A371" s="70"/>
      <c r="B371" s="79"/>
      <c r="C371" s="79"/>
      <c r="D371" s="78"/>
      <c r="E371" s="71"/>
      <c r="F371" s="70"/>
      <c r="G371" s="70"/>
      <c r="H371" s="70"/>
      <c r="I371" s="70"/>
      <c r="J371" s="70"/>
      <c r="K371" s="70"/>
      <c r="L371" s="70"/>
      <c r="M371" s="70"/>
      <c r="N371" s="70"/>
      <c r="O371" s="70"/>
      <c r="P371" s="70"/>
      <c r="Q371" s="70"/>
      <c r="R371" s="70"/>
      <c r="S371" s="70"/>
      <c r="T371" s="70"/>
      <c r="U371" s="70"/>
      <c r="V371" s="70"/>
      <c r="W371" s="70"/>
      <c r="X371" s="70"/>
      <c r="Y371" s="70"/>
      <c r="Z371" s="70"/>
    </row>
    <row r="372">
      <c r="A372" s="70"/>
      <c r="B372" s="79"/>
      <c r="C372" s="79"/>
      <c r="D372" s="78"/>
      <c r="E372" s="71"/>
      <c r="F372" s="70"/>
      <c r="G372" s="70"/>
      <c r="H372" s="70"/>
      <c r="I372" s="70"/>
      <c r="J372" s="70"/>
      <c r="K372" s="70"/>
      <c r="L372" s="70"/>
      <c r="M372" s="70"/>
      <c r="N372" s="70"/>
      <c r="O372" s="70"/>
      <c r="P372" s="70"/>
      <c r="Q372" s="70"/>
      <c r="R372" s="70"/>
      <c r="S372" s="70"/>
      <c r="T372" s="70"/>
      <c r="U372" s="70"/>
      <c r="V372" s="70"/>
      <c r="W372" s="70"/>
      <c r="X372" s="70"/>
      <c r="Y372" s="70"/>
      <c r="Z372" s="70"/>
    </row>
    <row r="373">
      <c r="A373" s="70"/>
      <c r="B373" s="79"/>
      <c r="C373" s="79"/>
      <c r="D373" s="78"/>
      <c r="E373" s="71"/>
      <c r="F373" s="70"/>
      <c r="G373" s="70"/>
      <c r="H373" s="70"/>
      <c r="I373" s="70"/>
      <c r="J373" s="70"/>
      <c r="K373" s="70"/>
      <c r="L373" s="70"/>
      <c r="M373" s="70"/>
      <c r="N373" s="70"/>
      <c r="O373" s="70"/>
      <c r="P373" s="70"/>
      <c r="Q373" s="70"/>
      <c r="R373" s="70"/>
      <c r="S373" s="70"/>
      <c r="T373" s="70"/>
      <c r="U373" s="70"/>
      <c r="V373" s="70"/>
      <c r="W373" s="70"/>
      <c r="X373" s="70"/>
      <c r="Y373" s="70"/>
      <c r="Z373" s="70"/>
    </row>
    <row r="374">
      <c r="A374" s="70"/>
      <c r="B374" s="79"/>
      <c r="C374" s="79"/>
      <c r="D374" s="78"/>
      <c r="E374" s="71"/>
      <c r="F374" s="70"/>
      <c r="G374" s="70"/>
      <c r="H374" s="70"/>
      <c r="I374" s="70"/>
      <c r="J374" s="70"/>
      <c r="K374" s="70"/>
      <c r="L374" s="70"/>
      <c r="M374" s="70"/>
      <c r="N374" s="70"/>
      <c r="O374" s="70"/>
      <c r="P374" s="70"/>
      <c r="Q374" s="70"/>
      <c r="R374" s="70"/>
      <c r="S374" s="70"/>
      <c r="T374" s="70"/>
      <c r="U374" s="70"/>
      <c r="V374" s="70"/>
      <c r="W374" s="70"/>
      <c r="X374" s="70"/>
      <c r="Y374" s="70"/>
      <c r="Z374" s="70"/>
    </row>
    <row r="375">
      <c r="A375" s="70"/>
      <c r="B375" s="79"/>
      <c r="C375" s="79"/>
      <c r="D375" s="78"/>
      <c r="E375" s="71"/>
      <c r="F375" s="70"/>
      <c r="G375" s="70"/>
      <c r="H375" s="70"/>
      <c r="I375" s="70"/>
      <c r="J375" s="70"/>
      <c r="K375" s="70"/>
      <c r="L375" s="70"/>
      <c r="M375" s="70"/>
      <c r="N375" s="70"/>
      <c r="O375" s="70"/>
      <c r="P375" s="70"/>
      <c r="Q375" s="70"/>
      <c r="R375" s="70"/>
      <c r="S375" s="70"/>
      <c r="T375" s="70"/>
      <c r="U375" s="70"/>
      <c r="V375" s="70"/>
      <c r="W375" s="70"/>
      <c r="X375" s="70"/>
      <c r="Y375" s="70"/>
      <c r="Z375" s="70"/>
    </row>
    <row r="376">
      <c r="A376" s="70"/>
      <c r="B376" s="79"/>
      <c r="C376" s="79"/>
      <c r="D376" s="78"/>
      <c r="E376" s="71"/>
      <c r="F376" s="70"/>
      <c r="G376" s="70"/>
      <c r="H376" s="70"/>
      <c r="I376" s="70"/>
      <c r="J376" s="70"/>
      <c r="K376" s="70"/>
      <c r="L376" s="70"/>
      <c r="M376" s="70"/>
      <c r="N376" s="70"/>
      <c r="O376" s="70"/>
      <c r="P376" s="70"/>
      <c r="Q376" s="70"/>
      <c r="R376" s="70"/>
      <c r="S376" s="70"/>
      <c r="T376" s="70"/>
      <c r="U376" s="70"/>
      <c r="V376" s="70"/>
      <c r="W376" s="70"/>
      <c r="X376" s="70"/>
      <c r="Y376" s="70"/>
      <c r="Z376" s="70"/>
    </row>
    <row r="377">
      <c r="A377" s="70"/>
      <c r="B377" s="79"/>
      <c r="C377" s="79"/>
      <c r="D377" s="78"/>
      <c r="E377" s="71"/>
      <c r="F377" s="70"/>
      <c r="G377" s="70"/>
      <c r="H377" s="70"/>
      <c r="I377" s="70"/>
      <c r="J377" s="70"/>
      <c r="K377" s="70"/>
      <c r="L377" s="70"/>
      <c r="M377" s="70"/>
      <c r="N377" s="70"/>
      <c r="O377" s="70"/>
      <c r="P377" s="70"/>
      <c r="Q377" s="70"/>
      <c r="R377" s="70"/>
      <c r="S377" s="70"/>
      <c r="T377" s="70"/>
      <c r="U377" s="70"/>
      <c r="V377" s="70"/>
      <c r="W377" s="70"/>
      <c r="X377" s="70"/>
      <c r="Y377" s="70"/>
      <c r="Z377" s="70"/>
    </row>
    <row r="378">
      <c r="A378" s="70"/>
      <c r="B378" s="79"/>
      <c r="C378" s="79"/>
      <c r="D378" s="78"/>
      <c r="E378" s="71"/>
      <c r="F378" s="70"/>
      <c r="G378" s="70"/>
      <c r="H378" s="70"/>
      <c r="I378" s="70"/>
      <c r="J378" s="70"/>
      <c r="K378" s="70"/>
      <c r="L378" s="70"/>
      <c r="M378" s="70"/>
      <c r="N378" s="70"/>
      <c r="O378" s="70"/>
      <c r="P378" s="70"/>
      <c r="Q378" s="70"/>
      <c r="R378" s="70"/>
      <c r="S378" s="70"/>
      <c r="T378" s="70"/>
      <c r="U378" s="70"/>
      <c r="V378" s="70"/>
      <c r="W378" s="70"/>
      <c r="X378" s="70"/>
      <c r="Y378" s="70"/>
      <c r="Z378" s="70"/>
    </row>
    <row r="379">
      <c r="A379" s="70"/>
      <c r="B379" s="79"/>
      <c r="C379" s="79"/>
      <c r="D379" s="78"/>
      <c r="E379" s="71"/>
      <c r="F379" s="70"/>
      <c r="G379" s="70"/>
      <c r="H379" s="70"/>
      <c r="I379" s="70"/>
      <c r="J379" s="70"/>
      <c r="K379" s="70"/>
      <c r="L379" s="70"/>
      <c r="M379" s="70"/>
      <c r="N379" s="70"/>
      <c r="O379" s="70"/>
      <c r="P379" s="70"/>
      <c r="Q379" s="70"/>
      <c r="R379" s="70"/>
      <c r="S379" s="70"/>
      <c r="T379" s="70"/>
      <c r="U379" s="70"/>
      <c r="V379" s="70"/>
      <c r="W379" s="70"/>
      <c r="X379" s="70"/>
      <c r="Y379" s="70"/>
      <c r="Z379" s="70"/>
    </row>
    <row r="380">
      <c r="A380" s="70"/>
      <c r="B380" s="79"/>
      <c r="C380" s="79"/>
      <c r="D380" s="78"/>
      <c r="E380" s="71"/>
      <c r="F380" s="70"/>
      <c r="G380" s="70"/>
      <c r="H380" s="70"/>
      <c r="I380" s="70"/>
      <c r="J380" s="70"/>
      <c r="K380" s="70"/>
      <c r="L380" s="70"/>
      <c r="M380" s="70"/>
      <c r="N380" s="70"/>
      <c r="O380" s="70"/>
      <c r="P380" s="70"/>
      <c r="Q380" s="70"/>
      <c r="R380" s="70"/>
      <c r="S380" s="70"/>
      <c r="T380" s="70"/>
      <c r="U380" s="70"/>
      <c r="V380" s="70"/>
      <c r="W380" s="70"/>
      <c r="X380" s="70"/>
      <c r="Y380" s="70"/>
      <c r="Z380" s="70"/>
    </row>
    <row r="381">
      <c r="A381" s="70"/>
      <c r="B381" s="79"/>
      <c r="C381" s="79"/>
      <c r="D381" s="78"/>
      <c r="E381" s="71"/>
      <c r="F381" s="70"/>
      <c r="G381" s="70"/>
      <c r="H381" s="70"/>
      <c r="I381" s="70"/>
      <c r="J381" s="70"/>
      <c r="K381" s="70"/>
      <c r="L381" s="70"/>
      <c r="M381" s="70"/>
      <c r="N381" s="70"/>
      <c r="O381" s="70"/>
      <c r="P381" s="70"/>
      <c r="Q381" s="70"/>
      <c r="R381" s="70"/>
      <c r="S381" s="70"/>
      <c r="T381" s="70"/>
      <c r="U381" s="70"/>
      <c r="V381" s="70"/>
      <c r="W381" s="70"/>
      <c r="X381" s="70"/>
      <c r="Y381" s="70"/>
      <c r="Z381" s="70"/>
    </row>
    <row r="382">
      <c r="A382" s="70"/>
      <c r="B382" s="79"/>
      <c r="C382" s="79"/>
      <c r="D382" s="78"/>
      <c r="E382" s="71"/>
      <c r="F382" s="70"/>
      <c r="G382" s="70"/>
      <c r="H382" s="70"/>
      <c r="I382" s="70"/>
      <c r="J382" s="70"/>
      <c r="K382" s="70"/>
      <c r="L382" s="70"/>
      <c r="M382" s="70"/>
      <c r="N382" s="70"/>
      <c r="O382" s="70"/>
      <c r="P382" s="70"/>
      <c r="Q382" s="70"/>
      <c r="R382" s="70"/>
      <c r="S382" s="70"/>
      <c r="T382" s="70"/>
      <c r="U382" s="70"/>
      <c r="V382" s="70"/>
      <c r="W382" s="70"/>
      <c r="X382" s="70"/>
      <c r="Y382" s="70"/>
      <c r="Z382" s="70"/>
    </row>
    <row r="383">
      <c r="A383" s="70"/>
      <c r="B383" s="79"/>
      <c r="C383" s="79"/>
      <c r="D383" s="78"/>
      <c r="E383" s="71"/>
      <c r="F383" s="70"/>
      <c r="G383" s="70"/>
      <c r="H383" s="70"/>
      <c r="I383" s="70"/>
      <c r="J383" s="70"/>
      <c r="K383" s="70"/>
      <c r="L383" s="70"/>
      <c r="M383" s="70"/>
      <c r="N383" s="70"/>
      <c r="O383" s="70"/>
      <c r="P383" s="70"/>
      <c r="Q383" s="70"/>
      <c r="R383" s="70"/>
      <c r="S383" s="70"/>
      <c r="T383" s="70"/>
      <c r="U383" s="70"/>
      <c r="V383" s="70"/>
      <c r="W383" s="70"/>
      <c r="X383" s="70"/>
      <c r="Y383" s="70"/>
      <c r="Z383" s="70"/>
    </row>
    <row r="384">
      <c r="A384" s="70"/>
      <c r="B384" s="79"/>
      <c r="C384" s="79"/>
      <c r="D384" s="78"/>
      <c r="E384" s="71"/>
      <c r="F384" s="70"/>
      <c r="G384" s="70"/>
      <c r="H384" s="70"/>
      <c r="I384" s="70"/>
      <c r="J384" s="70"/>
      <c r="K384" s="70"/>
      <c r="L384" s="70"/>
      <c r="M384" s="70"/>
      <c r="N384" s="70"/>
      <c r="O384" s="70"/>
      <c r="P384" s="70"/>
      <c r="Q384" s="70"/>
      <c r="R384" s="70"/>
      <c r="S384" s="70"/>
      <c r="T384" s="70"/>
      <c r="U384" s="70"/>
      <c r="V384" s="70"/>
      <c r="W384" s="70"/>
      <c r="X384" s="70"/>
      <c r="Y384" s="70"/>
      <c r="Z384" s="70"/>
    </row>
    <row r="385">
      <c r="A385" s="70"/>
      <c r="B385" s="79"/>
      <c r="C385" s="79"/>
      <c r="D385" s="78"/>
      <c r="E385" s="71"/>
      <c r="F385" s="70"/>
      <c r="G385" s="70"/>
      <c r="H385" s="70"/>
      <c r="I385" s="70"/>
      <c r="J385" s="70"/>
      <c r="K385" s="70"/>
      <c r="L385" s="70"/>
      <c r="M385" s="70"/>
      <c r="N385" s="70"/>
      <c r="O385" s="70"/>
      <c r="P385" s="70"/>
      <c r="Q385" s="70"/>
      <c r="R385" s="70"/>
      <c r="S385" s="70"/>
      <c r="T385" s="70"/>
      <c r="U385" s="70"/>
      <c r="V385" s="70"/>
      <c r="W385" s="70"/>
      <c r="X385" s="70"/>
      <c r="Y385" s="70"/>
      <c r="Z385" s="70"/>
    </row>
    <row r="386">
      <c r="A386" s="70"/>
      <c r="B386" s="79"/>
      <c r="C386" s="79"/>
      <c r="D386" s="78"/>
      <c r="E386" s="71"/>
      <c r="F386" s="70"/>
      <c r="G386" s="70"/>
      <c r="H386" s="70"/>
      <c r="I386" s="70"/>
      <c r="J386" s="70"/>
      <c r="K386" s="70"/>
      <c r="L386" s="70"/>
      <c r="M386" s="70"/>
      <c r="N386" s="70"/>
      <c r="O386" s="70"/>
      <c r="P386" s="70"/>
      <c r="Q386" s="70"/>
      <c r="R386" s="70"/>
      <c r="S386" s="70"/>
      <c r="T386" s="70"/>
      <c r="U386" s="70"/>
      <c r="V386" s="70"/>
      <c r="W386" s="70"/>
      <c r="X386" s="70"/>
      <c r="Y386" s="70"/>
      <c r="Z386" s="70"/>
    </row>
    <row r="387">
      <c r="A387" s="70"/>
      <c r="B387" s="79"/>
      <c r="C387" s="79"/>
      <c r="D387" s="78"/>
      <c r="E387" s="71"/>
      <c r="F387" s="70"/>
      <c r="G387" s="70"/>
      <c r="H387" s="70"/>
      <c r="I387" s="70"/>
      <c r="J387" s="70"/>
      <c r="K387" s="70"/>
      <c r="L387" s="70"/>
      <c r="M387" s="70"/>
      <c r="N387" s="70"/>
      <c r="O387" s="70"/>
      <c r="P387" s="70"/>
      <c r="Q387" s="70"/>
      <c r="R387" s="70"/>
      <c r="S387" s="70"/>
      <c r="T387" s="70"/>
      <c r="U387" s="70"/>
      <c r="V387" s="70"/>
      <c r="W387" s="70"/>
      <c r="X387" s="70"/>
      <c r="Y387" s="70"/>
      <c r="Z387" s="70"/>
    </row>
    <row r="388">
      <c r="A388" s="70"/>
      <c r="B388" s="79"/>
      <c r="C388" s="79"/>
      <c r="D388" s="78"/>
      <c r="E388" s="71"/>
      <c r="F388" s="70"/>
      <c r="G388" s="70"/>
      <c r="H388" s="70"/>
      <c r="I388" s="70"/>
      <c r="J388" s="70"/>
      <c r="K388" s="70"/>
      <c r="L388" s="70"/>
      <c r="M388" s="70"/>
      <c r="N388" s="70"/>
      <c r="O388" s="70"/>
      <c r="P388" s="70"/>
      <c r="Q388" s="70"/>
      <c r="R388" s="70"/>
      <c r="S388" s="70"/>
      <c r="T388" s="70"/>
      <c r="U388" s="70"/>
      <c r="V388" s="70"/>
      <c r="W388" s="70"/>
      <c r="X388" s="70"/>
      <c r="Y388" s="70"/>
      <c r="Z388" s="70"/>
    </row>
    <row r="389">
      <c r="A389" s="70"/>
      <c r="B389" s="79"/>
      <c r="C389" s="79"/>
      <c r="D389" s="78"/>
      <c r="E389" s="71"/>
      <c r="F389" s="70"/>
      <c r="G389" s="70"/>
      <c r="H389" s="70"/>
      <c r="I389" s="70"/>
      <c r="J389" s="70"/>
      <c r="K389" s="70"/>
      <c r="L389" s="70"/>
      <c r="M389" s="70"/>
      <c r="N389" s="70"/>
      <c r="O389" s="70"/>
      <c r="P389" s="70"/>
      <c r="Q389" s="70"/>
      <c r="R389" s="70"/>
      <c r="S389" s="70"/>
      <c r="T389" s="70"/>
      <c r="U389" s="70"/>
      <c r="V389" s="70"/>
      <c r="W389" s="70"/>
      <c r="X389" s="70"/>
      <c r="Y389" s="70"/>
      <c r="Z389" s="70"/>
    </row>
    <row r="390">
      <c r="A390" s="70"/>
      <c r="B390" s="79"/>
      <c r="C390" s="79"/>
      <c r="D390" s="78"/>
      <c r="E390" s="71"/>
      <c r="F390" s="70"/>
      <c r="G390" s="70"/>
      <c r="H390" s="70"/>
      <c r="I390" s="70"/>
      <c r="J390" s="70"/>
      <c r="K390" s="70"/>
      <c r="L390" s="70"/>
      <c r="M390" s="70"/>
      <c r="N390" s="70"/>
      <c r="O390" s="70"/>
      <c r="P390" s="70"/>
      <c r="Q390" s="70"/>
      <c r="R390" s="70"/>
      <c r="S390" s="70"/>
      <c r="T390" s="70"/>
      <c r="U390" s="70"/>
      <c r="V390" s="70"/>
      <c r="W390" s="70"/>
      <c r="X390" s="70"/>
      <c r="Y390" s="70"/>
      <c r="Z390" s="70"/>
    </row>
    <row r="391">
      <c r="A391" s="70"/>
      <c r="B391" s="79"/>
      <c r="C391" s="79"/>
      <c r="D391" s="78"/>
      <c r="E391" s="71"/>
      <c r="F391" s="70"/>
      <c r="G391" s="70"/>
      <c r="H391" s="70"/>
      <c r="I391" s="70"/>
      <c r="J391" s="70"/>
      <c r="K391" s="70"/>
      <c r="L391" s="70"/>
      <c r="M391" s="70"/>
      <c r="N391" s="70"/>
      <c r="O391" s="70"/>
      <c r="P391" s="70"/>
      <c r="Q391" s="70"/>
      <c r="R391" s="70"/>
      <c r="S391" s="70"/>
      <c r="T391" s="70"/>
      <c r="U391" s="70"/>
      <c r="V391" s="70"/>
      <c r="W391" s="70"/>
      <c r="X391" s="70"/>
      <c r="Y391" s="70"/>
      <c r="Z391" s="70"/>
    </row>
    <row r="392">
      <c r="A392" s="70"/>
      <c r="B392" s="79"/>
      <c r="C392" s="79"/>
      <c r="D392" s="78"/>
      <c r="E392" s="71"/>
      <c r="F392" s="70"/>
      <c r="G392" s="70"/>
      <c r="H392" s="70"/>
      <c r="I392" s="70"/>
      <c r="J392" s="70"/>
      <c r="K392" s="70"/>
      <c r="L392" s="70"/>
      <c r="M392" s="70"/>
      <c r="N392" s="70"/>
      <c r="O392" s="70"/>
      <c r="P392" s="70"/>
      <c r="Q392" s="70"/>
      <c r="R392" s="70"/>
      <c r="S392" s="70"/>
      <c r="T392" s="70"/>
      <c r="U392" s="70"/>
      <c r="V392" s="70"/>
      <c r="W392" s="70"/>
      <c r="X392" s="70"/>
      <c r="Y392" s="70"/>
      <c r="Z392" s="70"/>
    </row>
    <row r="393">
      <c r="A393" s="70"/>
      <c r="B393" s="79"/>
      <c r="C393" s="79"/>
      <c r="D393" s="78"/>
      <c r="E393" s="71"/>
      <c r="F393" s="70"/>
      <c r="G393" s="70"/>
      <c r="H393" s="70"/>
      <c r="I393" s="70"/>
      <c r="J393" s="70"/>
      <c r="K393" s="70"/>
      <c r="L393" s="70"/>
      <c r="M393" s="70"/>
      <c r="N393" s="70"/>
      <c r="O393" s="70"/>
      <c r="P393" s="70"/>
      <c r="Q393" s="70"/>
      <c r="R393" s="70"/>
      <c r="S393" s="70"/>
      <c r="T393" s="70"/>
      <c r="U393" s="70"/>
      <c r="V393" s="70"/>
      <c r="W393" s="70"/>
      <c r="X393" s="70"/>
      <c r="Y393" s="70"/>
      <c r="Z393" s="70"/>
    </row>
    <row r="394">
      <c r="A394" s="70"/>
      <c r="B394" s="79"/>
      <c r="C394" s="79"/>
      <c r="D394" s="78"/>
      <c r="E394" s="71"/>
      <c r="F394" s="70"/>
      <c r="G394" s="70"/>
      <c r="H394" s="70"/>
      <c r="I394" s="70"/>
      <c r="J394" s="70"/>
      <c r="K394" s="70"/>
      <c r="L394" s="70"/>
      <c r="M394" s="70"/>
      <c r="N394" s="70"/>
      <c r="O394" s="70"/>
      <c r="P394" s="70"/>
      <c r="Q394" s="70"/>
      <c r="R394" s="70"/>
      <c r="S394" s="70"/>
      <c r="T394" s="70"/>
      <c r="U394" s="70"/>
      <c r="V394" s="70"/>
      <c r="W394" s="70"/>
      <c r="X394" s="70"/>
      <c r="Y394" s="70"/>
      <c r="Z394" s="70"/>
    </row>
    <row r="395">
      <c r="A395" s="70"/>
      <c r="B395" s="79"/>
      <c r="C395" s="79"/>
      <c r="D395" s="78"/>
      <c r="E395" s="71"/>
      <c r="F395" s="70"/>
      <c r="G395" s="70"/>
      <c r="H395" s="70"/>
      <c r="I395" s="70"/>
      <c r="J395" s="70"/>
      <c r="K395" s="70"/>
      <c r="L395" s="70"/>
      <c r="M395" s="70"/>
      <c r="N395" s="70"/>
      <c r="O395" s="70"/>
      <c r="P395" s="70"/>
      <c r="Q395" s="70"/>
      <c r="R395" s="70"/>
      <c r="S395" s="70"/>
      <c r="T395" s="70"/>
      <c r="U395" s="70"/>
      <c r="V395" s="70"/>
      <c r="W395" s="70"/>
      <c r="X395" s="70"/>
      <c r="Y395" s="70"/>
      <c r="Z395" s="70"/>
    </row>
    <row r="396">
      <c r="A396" s="70"/>
      <c r="B396" s="79"/>
      <c r="C396" s="79"/>
      <c r="D396" s="78"/>
      <c r="E396" s="71"/>
      <c r="F396" s="70"/>
      <c r="G396" s="70"/>
      <c r="H396" s="70"/>
      <c r="I396" s="70"/>
      <c r="J396" s="70"/>
      <c r="K396" s="70"/>
      <c r="L396" s="70"/>
      <c r="M396" s="70"/>
      <c r="N396" s="70"/>
      <c r="O396" s="70"/>
      <c r="P396" s="70"/>
      <c r="Q396" s="70"/>
      <c r="R396" s="70"/>
      <c r="S396" s="70"/>
      <c r="T396" s="70"/>
      <c r="U396" s="70"/>
      <c r="V396" s="70"/>
      <c r="W396" s="70"/>
      <c r="X396" s="70"/>
      <c r="Y396" s="70"/>
      <c r="Z396" s="70"/>
    </row>
    <row r="397">
      <c r="A397" s="70"/>
      <c r="B397" s="79"/>
      <c r="C397" s="79"/>
      <c r="D397" s="78"/>
      <c r="E397" s="71"/>
      <c r="F397" s="70"/>
      <c r="G397" s="70"/>
      <c r="H397" s="70"/>
      <c r="I397" s="70"/>
      <c r="J397" s="70"/>
      <c r="K397" s="70"/>
      <c r="L397" s="70"/>
      <c r="M397" s="70"/>
      <c r="N397" s="70"/>
      <c r="O397" s="70"/>
      <c r="P397" s="70"/>
      <c r="Q397" s="70"/>
      <c r="R397" s="70"/>
      <c r="S397" s="70"/>
      <c r="T397" s="70"/>
      <c r="U397" s="70"/>
      <c r="V397" s="70"/>
      <c r="W397" s="70"/>
      <c r="X397" s="70"/>
      <c r="Y397" s="70"/>
      <c r="Z397" s="70"/>
    </row>
    <row r="398">
      <c r="A398" s="70"/>
      <c r="B398" s="79"/>
      <c r="C398" s="79"/>
      <c r="D398" s="78"/>
      <c r="E398" s="71"/>
      <c r="F398" s="70"/>
      <c r="G398" s="70"/>
      <c r="H398" s="70"/>
      <c r="I398" s="70"/>
      <c r="J398" s="70"/>
      <c r="K398" s="70"/>
      <c r="L398" s="70"/>
      <c r="M398" s="70"/>
      <c r="N398" s="70"/>
      <c r="O398" s="70"/>
      <c r="P398" s="70"/>
      <c r="Q398" s="70"/>
      <c r="R398" s="70"/>
      <c r="S398" s="70"/>
      <c r="T398" s="70"/>
      <c r="U398" s="70"/>
      <c r="V398" s="70"/>
      <c r="W398" s="70"/>
      <c r="X398" s="70"/>
      <c r="Y398" s="70"/>
      <c r="Z398" s="70"/>
    </row>
    <row r="399">
      <c r="A399" s="70"/>
      <c r="B399" s="79"/>
      <c r="C399" s="79"/>
      <c r="D399" s="78"/>
      <c r="E399" s="71"/>
      <c r="F399" s="70"/>
      <c r="G399" s="70"/>
      <c r="H399" s="70"/>
      <c r="I399" s="70"/>
      <c r="J399" s="70"/>
      <c r="K399" s="70"/>
      <c r="L399" s="70"/>
      <c r="M399" s="70"/>
      <c r="N399" s="70"/>
      <c r="O399" s="70"/>
      <c r="P399" s="70"/>
      <c r="Q399" s="70"/>
      <c r="R399" s="70"/>
      <c r="S399" s="70"/>
      <c r="T399" s="70"/>
      <c r="U399" s="70"/>
      <c r="V399" s="70"/>
      <c r="W399" s="70"/>
      <c r="X399" s="70"/>
      <c r="Y399" s="70"/>
      <c r="Z399" s="70"/>
    </row>
    <row r="400">
      <c r="A400" s="70"/>
      <c r="B400" s="79"/>
      <c r="C400" s="79"/>
      <c r="D400" s="78"/>
      <c r="E400" s="71"/>
      <c r="F400" s="70"/>
      <c r="G400" s="70"/>
      <c r="H400" s="70"/>
      <c r="I400" s="70"/>
      <c r="J400" s="70"/>
      <c r="K400" s="70"/>
      <c r="L400" s="70"/>
      <c r="M400" s="70"/>
      <c r="N400" s="70"/>
      <c r="O400" s="70"/>
      <c r="P400" s="70"/>
      <c r="Q400" s="70"/>
      <c r="R400" s="70"/>
      <c r="S400" s="70"/>
      <c r="T400" s="70"/>
      <c r="U400" s="70"/>
      <c r="V400" s="70"/>
      <c r="W400" s="70"/>
      <c r="X400" s="70"/>
      <c r="Y400" s="70"/>
      <c r="Z400" s="70"/>
    </row>
    <row r="401">
      <c r="A401" s="70"/>
      <c r="B401" s="79"/>
      <c r="C401" s="79"/>
      <c r="D401" s="78"/>
      <c r="E401" s="71"/>
      <c r="F401" s="70"/>
      <c r="G401" s="70"/>
      <c r="H401" s="70"/>
      <c r="I401" s="70"/>
      <c r="J401" s="70"/>
      <c r="K401" s="70"/>
      <c r="L401" s="70"/>
      <c r="M401" s="70"/>
      <c r="N401" s="70"/>
      <c r="O401" s="70"/>
      <c r="P401" s="70"/>
      <c r="Q401" s="70"/>
      <c r="R401" s="70"/>
      <c r="S401" s="70"/>
      <c r="T401" s="70"/>
      <c r="U401" s="70"/>
      <c r="V401" s="70"/>
      <c r="W401" s="70"/>
      <c r="X401" s="70"/>
      <c r="Y401" s="70"/>
      <c r="Z401" s="70"/>
    </row>
    <row r="402">
      <c r="A402" s="70"/>
      <c r="B402" s="79"/>
      <c r="C402" s="79"/>
      <c r="D402" s="78"/>
      <c r="E402" s="71"/>
      <c r="F402" s="70"/>
      <c r="G402" s="70"/>
      <c r="H402" s="70"/>
      <c r="I402" s="70"/>
      <c r="J402" s="70"/>
      <c r="K402" s="70"/>
      <c r="L402" s="70"/>
      <c r="M402" s="70"/>
      <c r="N402" s="70"/>
      <c r="O402" s="70"/>
      <c r="P402" s="70"/>
      <c r="Q402" s="70"/>
      <c r="R402" s="70"/>
      <c r="S402" s="70"/>
      <c r="T402" s="70"/>
      <c r="U402" s="70"/>
      <c r="V402" s="70"/>
      <c r="W402" s="70"/>
      <c r="X402" s="70"/>
      <c r="Y402" s="70"/>
      <c r="Z402" s="70"/>
    </row>
    <row r="403">
      <c r="A403" s="70"/>
      <c r="B403" s="79"/>
      <c r="C403" s="79"/>
      <c r="D403" s="78"/>
      <c r="E403" s="71"/>
      <c r="F403" s="70"/>
      <c r="G403" s="70"/>
      <c r="H403" s="70"/>
      <c r="I403" s="70"/>
      <c r="J403" s="70"/>
      <c r="K403" s="70"/>
      <c r="L403" s="70"/>
      <c r="M403" s="70"/>
      <c r="N403" s="70"/>
      <c r="O403" s="70"/>
      <c r="P403" s="70"/>
      <c r="Q403" s="70"/>
      <c r="R403" s="70"/>
      <c r="S403" s="70"/>
      <c r="T403" s="70"/>
      <c r="U403" s="70"/>
      <c r="V403" s="70"/>
      <c r="W403" s="70"/>
      <c r="X403" s="70"/>
      <c r="Y403" s="70"/>
      <c r="Z403" s="70"/>
    </row>
    <row r="404">
      <c r="A404" s="70"/>
      <c r="B404" s="79"/>
      <c r="C404" s="79"/>
      <c r="D404" s="78"/>
      <c r="E404" s="71"/>
      <c r="F404" s="70"/>
      <c r="G404" s="70"/>
      <c r="H404" s="70"/>
      <c r="I404" s="70"/>
      <c r="J404" s="70"/>
      <c r="K404" s="70"/>
      <c r="L404" s="70"/>
      <c r="M404" s="70"/>
      <c r="N404" s="70"/>
      <c r="O404" s="70"/>
      <c r="P404" s="70"/>
      <c r="Q404" s="70"/>
      <c r="R404" s="70"/>
      <c r="S404" s="70"/>
      <c r="T404" s="70"/>
      <c r="U404" s="70"/>
      <c r="V404" s="70"/>
      <c r="W404" s="70"/>
      <c r="X404" s="70"/>
      <c r="Y404" s="70"/>
      <c r="Z404" s="70"/>
    </row>
    <row r="405">
      <c r="A405" s="70"/>
      <c r="B405" s="79"/>
      <c r="C405" s="79"/>
      <c r="D405" s="78"/>
      <c r="E405" s="71"/>
      <c r="F405" s="70"/>
      <c r="G405" s="70"/>
      <c r="H405" s="70"/>
      <c r="I405" s="70"/>
      <c r="J405" s="70"/>
      <c r="K405" s="70"/>
      <c r="L405" s="70"/>
      <c r="M405" s="70"/>
      <c r="N405" s="70"/>
      <c r="O405" s="70"/>
      <c r="P405" s="70"/>
      <c r="Q405" s="70"/>
      <c r="R405" s="70"/>
      <c r="S405" s="70"/>
      <c r="T405" s="70"/>
      <c r="U405" s="70"/>
      <c r="V405" s="70"/>
      <c r="W405" s="70"/>
      <c r="X405" s="70"/>
      <c r="Y405" s="70"/>
      <c r="Z405" s="70"/>
    </row>
    <row r="406">
      <c r="A406" s="70"/>
      <c r="B406" s="79"/>
      <c r="C406" s="79"/>
      <c r="D406" s="78"/>
      <c r="E406" s="71"/>
      <c r="F406" s="70"/>
      <c r="G406" s="70"/>
      <c r="H406" s="70"/>
      <c r="I406" s="70"/>
      <c r="J406" s="70"/>
      <c r="K406" s="70"/>
      <c r="L406" s="70"/>
      <c r="M406" s="70"/>
      <c r="N406" s="70"/>
      <c r="O406" s="70"/>
      <c r="P406" s="70"/>
      <c r="Q406" s="70"/>
      <c r="R406" s="70"/>
      <c r="S406" s="70"/>
      <c r="T406" s="70"/>
      <c r="U406" s="70"/>
      <c r="V406" s="70"/>
      <c r="W406" s="70"/>
      <c r="X406" s="70"/>
      <c r="Y406" s="70"/>
      <c r="Z406" s="70"/>
    </row>
    <row r="407">
      <c r="A407" s="70"/>
      <c r="B407" s="79"/>
      <c r="C407" s="79"/>
      <c r="D407" s="78"/>
      <c r="E407" s="71"/>
      <c r="F407" s="70"/>
      <c r="G407" s="70"/>
      <c r="H407" s="70"/>
      <c r="I407" s="70"/>
      <c r="J407" s="70"/>
      <c r="K407" s="70"/>
      <c r="L407" s="70"/>
      <c r="M407" s="70"/>
      <c r="N407" s="70"/>
      <c r="O407" s="70"/>
      <c r="P407" s="70"/>
      <c r="Q407" s="70"/>
      <c r="R407" s="70"/>
      <c r="S407" s="70"/>
      <c r="T407" s="70"/>
      <c r="U407" s="70"/>
      <c r="V407" s="70"/>
      <c r="W407" s="70"/>
      <c r="X407" s="70"/>
      <c r="Y407" s="70"/>
      <c r="Z407" s="70"/>
    </row>
    <row r="408">
      <c r="A408" s="70"/>
      <c r="B408" s="79"/>
      <c r="C408" s="79"/>
      <c r="D408" s="78"/>
      <c r="E408" s="71"/>
      <c r="F408" s="70"/>
      <c r="G408" s="70"/>
      <c r="H408" s="70"/>
      <c r="I408" s="70"/>
      <c r="J408" s="70"/>
      <c r="K408" s="70"/>
      <c r="L408" s="70"/>
      <c r="M408" s="70"/>
      <c r="N408" s="70"/>
      <c r="O408" s="70"/>
      <c r="P408" s="70"/>
      <c r="Q408" s="70"/>
      <c r="R408" s="70"/>
      <c r="S408" s="70"/>
      <c r="T408" s="70"/>
      <c r="U408" s="70"/>
      <c r="V408" s="70"/>
      <c r="W408" s="70"/>
      <c r="X408" s="70"/>
      <c r="Y408" s="70"/>
      <c r="Z408" s="70"/>
    </row>
    <row r="409">
      <c r="A409" s="70"/>
      <c r="B409" s="79"/>
      <c r="C409" s="79"/>
      <c r="D409" s="78"/>
      <c r="E409" s="71"/>
      <c r="F409" s="70"/>
      <c r="G409" s="70"/>
      <c r="H409" s="70"/>
      <c r="I409" s="70"/>
      <c r="J409" s="70"/>
      <c r="K409" s="70"/>
      <c r="L409" s="70"/>
      <c r="M409" s="70"/>
      <c r="N409" s="70"/>
      <c r="O409" s="70"/>
      <c r="P409" s="70"/>
      <c r="Q409" s="70"/>
      <c r="R409" s="70"/>
      <c r="S409" s="70"/>
      <c r="T409" s="70"/>
      <c r="U409" s="70"/>
      <c r="V409" s="70"/>
      <c r="W409" s="70"/>
      <c r="X409" s="70"/>
      <c r="Y409" s="70"/>
      <c r="Z409" s="70"/>
    </row>
    <row r="410">
      <c r="A410" s="70"/>
      <c r="B410" s="79"/>
      <c r="C410" s="79"/>
      <c r="D410" s="78"/>
      <c r="E410" s="71"/>
      <c r="F410" s="70"/>
      <c r="G410" s="70"/>
      <c r="H410" s="70"/>
      <c r="I410" s="70"/>
      <c r="J410" s="70"/>
      <c r="K410" s="70"/>
      <c r="L410" s="70"/>
      <c r="M410" s="70"/>
      <c r="N410" s="70"/>
      <c r="O410" s="70"/>
      <c r="P410" s="70"/>
      <c r="Q410" s="70"/>
      <c r="R410" s="70"/>
      <c r="S410" s="70"/>
      <c r="T410" s="70"/>
      <c r="U410" s="70"/>
      <c r="V410" s="70"/>
      <c r="W410" s="70"/>
      <c r="X410" s="70"/>
      <c r="Y410" s="70"/>
      <c r="Z410" s="70"/>
    </row>
    <row r="411">
      <c r="A411" s="70"/>
      <c r="B411" s="79"/>
      <c r="C411" s="79"/>
      <c r="D411" s="78"/>
      <c r="E411" s="71"/>
      <c r="F411" s="70"/>
      <c r="G411" s="70"/>
      <c r="H411" s="70"/>
      <c r="I411" s="70"/>
      <c r="J411" s="70"/>
      <c r="K411" s="70"/>
      <c r="L411" s="70"/>
      <c r="M411" s="70"/>
      <c r="N411" s="70"/>
      <c r="O411" s="70"/>
      <c r="P411" s="70"/>
      <c r="Q411" s="70"/>
      <c r="R411" s="70"/>
      <c r="S411" s="70"/>
      <c r="T411" s="70"/>
      <c r="U411" s="70"/>
      <c r="V411" s="70"/>
      <c r="W411" s="70"/>
      <c r="X411" s="70"/>
      <c r="Y411" s="70"/>
      <c r="Z411" s="70"/>
    </row>
    <row r="412">
      <c r="A412" s="70"/>
      <c r="B412" s="79"/>
      <c r="C412" s="79"/>
      <c r="D412" s="78"/>
      <c r="E412" s="71"/>
      <c r="F412" s="70"/>
      <c r="G412" s="70"/>
      <c r="H412" s="70"/>
      <c r="I412" s="70"/>
      <c r="J412" s="70"/>
      <c r="K412" s="70"/>
      <c r="L412" s="70"/>
      <c r="M412" s="70"/>
      <c r="N412" s="70"/>
      <c r="O412" s="70"/>
      <c r="P412" s="70"/>
      <c r="Q412" s="70"/>
      <c r="R412" s="70"/>
      <c r="S412" s="70"/>
      <c r="T412" s="70"/>
      <c r="U412" s="70"/>
      <c r="V412" s="70"/>
      <c r="W412" s="70"/>
      <c r="X412" s="70"/>
      <c r="Y412" s="70"/>
      <c r="Z412" s="70"/>
    </row>
    <row r="413">
      <c r="A413" s="70"/>
      <c r="B413" s="79"/>
      <c r="C413" s="79"/>
      <c r="D413" s="78"/>
      <c r="E413" s="71"/>
      <c r="F413" s="70"/>
      <c r="G413" s="70"/>
      <c r="H413" s="70"/>
      <c r="I413" s="70"/>
      <c r="J413" s="70"/>
      <c r="K413" s="70"/>
      <c r="L413" s="70"/>
      <c r="M413" s="70"/>
      <c r="N413" s="70"/>
      <c r="O413" s="70"/>
      <c r="P413" s="70"/>
      <c r="Q413" s="70"/>
      <c r="R413" s="70"/>
      <c r="S413" s="70"/>
      <c r="T413" s="70"/>
      <c r="U413" s="70"/>
      <c r="V413" s="70"/>
      <c r="W413" s="70"/>
      <c r="X413" s="70"/>
      <c r="Y413" s="70"/>
      <c r="Z413" s="70"/>
    </row>
    <row r="414">
      <c r="A414" s="70"/>
      <c r="B414" s="79"/>
      <c r="C414" s="79"/>
      <c r="D414" s="78"/>
      <c r="E414" s="71"/>
      <c r="F414" s="70"/>
      <c r="G414" s="70"/>
      <c r="H414" s="70"/>
      <c r="I414" s="70"/>
      <c r="J414" s="70"/>
      <c r="K414" s="70"/>
      <c r="L414" s="70"/>
      <c r="M414" s="70"/>
      <c r="N414" s="70"/>
      <c r="O414" s="70"/>
      <c r="P414" s="70"/>
      <c r="Q414" s="70"/>
      <c r="R414" s="70"/>
      <c r="S414" s="70"/>
      <c r="T414" s="70"/>
      <c r="U414" s="70"/>
      <c r="V414" s="70"/>
      <c r="W414" s="70"/>
      <c r="X414" s="70"/>
      <c r="Y414" s="70"/>
      <c r="Z414" s="70"/>
    </row>
    <row r="415">
      <c r="A415" s="70"/>
      <c r="B415" s="79"/>
      <c r="C415" s="79"/>
      <c r="D415" s="78"/>
      <c r="E415" s="71"/>
      <c r="F415" s="70"/>
      <c r="G415" s="70"/>
      <c r="H415" s="70"/>
      <c r="I415" s="70"/>
      <c r="J415" s="70"/>
      <c r="K415" s="70"/>
      <c r="L415" s="70"/>
      <c r="M415" s="70"/>
      <c r="N415" s="70"/>
      <c r="O415" s="70"/>
      <c r="P415" s="70"/>
      <c r="Q415" s="70"/>
      <c r="R415" s="70"/>
      <c r="S415" s="70"/>
      <c r="T415" s="70"/>
      <c r="U415" s="70"/>
      <c r="V415" s="70"/>
      <c r="W415" s="70"/>
      <c r="X415" s="70"/>
      <c r="Y415" s="70"/>
      <c r="Z415" s="70"/>
    </row>
    <row r="416">
      <c r="A416" s="70"/>
      <c r="B416" s="79"/>
      <c r="C416" s="79"/>
      <c r="D416" s="78"/>
      <c r="E416" s="71"/>
      <c r="F416" s="70"/>
      <c r="G416" s="70"/>
      <c r="H416" s="70"/>
      <c r="I416" s="70"/>
      <c r="J416" s="70"/>
      <c r="K416" s="70"/>
      <c r="L416" s="70"/>
      <c r="M416" s="70"/>
      <c r="N416" s="70"/>
      <c r="O416" s="70"/>
      <c r="P416" s="70"/>
      <c r="Q416" s="70"/>
      <c r="R416" s="70"/>
      <c r="S416" s="70"/>
      <c r="T416" s="70"/>
      <c r="U416" s="70"/>
      <c r="V416" s="70"/>
      <c r="W416" s="70"/>
      <c r="X416" s="70"/>
      <c r="Y416" s="70"/>
      <c r="Z416" s="70"/>
    </row>
    <row r="417">
      <c r="A417" s="70"/>
      <c r="B417" s="79"/>
      <c r="C417" s="79"/>
      <c r="D417" s="78"/>
      <c r="E417" s="71"/>
      <c r="F417" s="70"/>
      <c r="G417" s="70"/>
      <c r="H417" s="70"/>
      <c r="I417" s="70"/>
      <c r="J417" s="70"/>
      <c r="K417" s="70"/>
      <c r="L417" s="70"/>
      <c r="M417" s="70"/>
      <c r="N417" s="70"/>
      <c r="O417" s="70"/>
      <c r="P417" s="70"/>
      <c r="Q417" s="70"/>
      <c r="R417" s="70"/>
      <c r="S417" s="70"/>
      <c r="T417" s="70"/>
      <c r="U417" s="70"/>
      <c r="V417" s="70"/>
      <c r="W417" s="70"/>
      <c r="X417" s="70"/>
      <c r="Y417" s="70"/>
      <c r="Z417" s="70"/>
    </row>
    <row r="418">
      <c r="A418" s="70"/>
      <c r="B418" s="79"/>
      <c r="C418" s="79"/>
      <c r="D418" s="78"/>
      <c r="E418" s="71"/>
      <c r="F418" s="70"/>
      <c r="G418" s="70"/>
      <c r="H418" s="70"/>
      <c r="I418" s="70"/>
      <c r="J418" s="70"/>
      <c r="K418" s="70"/>
      <c r="L418" s="70"/>
      <c r="M418" s="70"/>
      <c r="N418" s="70"/>
      <c r="O418" s="70"/>
      <c r="P418" s="70"/>
      <c r="Q418" s="70"/>
      <c r="R418" s="70"/>
      <c r="S418" s="70"/>
      <c r="T418" s="70"/>
      <c r="U418" s="70"/>
      <c r="V418" s="70"/>
      <c r="W418" s="70"/>
      <c r="X418" s="70"/>
      <c r="Y418" s="70"/>
      <c r="Z418" s="70"/>
    </row>
    <row r="419">
      <c r="A419" s="70"/>
      <c r="B419" s="79"/>
      <c r="C419" s="79"/>
      <c r="D419" s="78"/>
      <c r="E419" s="71"/>
      <c r="F419" s="70"/>
      <c r="G419" s="70"/>
      <c r="H419" s="70"/>
      <c r="I419" s="70"/>
      <c r="J419" s="70"/>
      <c r="K419" s="70"/>
      <c r="L419" s="70"/>
      <c r="M419" s="70"/>
      <c r="N419" s="70"/>
      <c r="O419" s="70"/>
      <c r="P419" s="70"/>
      <c r="Q419" s="70"/>
      <c r="R419" s="70"/>
      <c r="S419" s="70"/>
      <c r="T419" s="70"/>
      <c r="U419" s="70"/>
      <c r="V419" s="70"/>
      <c r="W419" s="70"/>
      <c r="X419" s="70"/>
      <c r="Y419" s="70"/>
      <c r="Z419" s="70"/>
    </row>
    <row r="420">
      <c r="A420" s="70"/>
      <c r="B420" s="79"/>
      <c r="C420" s="79"/>
      <c r="D420" s="78"/>
      <c r="E420" s="71"/>
      <c r="F420" s="70"/>
      <c r="G420" s="70"/>
      <c r="H420" s="70"/>
      <c r="I420" s="70"/>
      <c r="J420" s="70"/>
      <c r="K420" s="70"/>
      <c r="L420" s="70"/>
      <c r="M420" s="70"/>
      <c r="N420" s="70"/>
      <c r="O420" s="70"/>
      <c r="P420" s="70"/>
      <c r="Q420" s="70"/>
      <c r="R420" s="70"/>
      <c r="S420" s="70"/>
      <c r="T420" s="70"/>
      <c r="U420" s="70"/>
      <c r="V420" s="70"/>
      <c r="W420" s="70"/>
      <c r="X420" s="70"/>
      <c r="Y420" s="70"/>
      <c r="Z420" s="70"/>
    </row>
    <row r="421">
      <c r="A421" s="70"/>
      <c r="B421" s="79"/>
      <c r="C421" s="79"/>
      <c r="D421" s="78"/>
      <c r="E421" s="71"/>
      <c r="F421" s="70"/>
      <c r="G421" s="70"/>
      <c r="H421" s="70"/>
      <c r="I421" s="70"/>
      <c r="J421" s="70"/>
      <c r="K421" s="70"/>
      <c r="L421" s="70"/>
      <c r="M421" s="70"/>
      <c r="N421" s="70"/>
      <c r="O421" s="70"/>
      <c r="P421" s="70"/>
      <c r="Q421" s="70"/>
      <c r="R421" s="70"/>
      <c r="S421" s="70"/>
      <c r="T421" s="70"/>
      <c r="U421" s="70"/>
      <c r="V421" s="70"/>
      <c r="W421" s="70"/>
      <c r="X421" s="70"/>
      <c r="Y421" s="70"/>
      <c r="Z421" s="70"/>
    </row>
    <row r="422">
      <c r="A422" s="70"/>
      <c r="B422" s="79"/>
      <c r="C422" s="79"/>
      <c r="D422" s="78"/>
      <c r="E422" s="71"/>
      <c r="F422" s="70"/>
      <c r="G422" s="70"/>
      <c r="H422" s="70"/>
      <c r="I422" s="70"/>
      <c r="J422" s="70"/>
      <c r="K422" s="70"/>
      <c r="L422" s="70"/>
      <c r="M422" s="70"/>
      <c r="N422" s="70"/>
      <c r="O422" s="70"/>
      <c r="P422" s="70"/>
      <c r="Q422" s="70"/>
      <c r="R422" s="70"/>
      <c r="S422" s="70"/>
      <c r="T422" s="70"/>
      <c r="U422" s="70"/>
      <c r="V422" s="70"/>
      <c r="W422" s="70"/>
      <c r="X422" s="70"/>
      <c r="Y422" s="70"/>
      <c r="Z422" s="70"/>
    </row>
    <row r="423">
      <c r="A423" s="70"/>
      <c r="B423" s="79"/>
      <c r="C423" s="79"/>
      <c r="D423" s="78"/>
      <c r="E423" s="71"/>
      <c r="F423" s="70"/>
      <c r="G423" s="70"/>
      <c r="H423" s="70"/>
      <c r="I423" s="70"/>
      <c r="J423" s="70"/>
      <c r="K423" s="70"/>
      <c r="L423" s="70"/>
      <c r="M423" s="70"/>
      <c r="N423" s="70"/>
      <c r="O423" s="70"/>
      <c r="P423" s="70"/>
      <c r="Q423" s="70"/>
      <c r="R423" s="70"/>
      <c r="S423" s="70"/>
      <c r="T423" s="70"/>
      <c r="U423" s="70"/>
      <c r="V423" s="70"/>
      <c r="W423" s="70"/>
      <c r="X423" s="70"/>
      <c r="Y423" s="70"/>
      <c r="Z423" s="70"/>
    </row>
    <row r="424">
      <c r="A424" s="70"/>
      <c r="B424" s="79"/>
      <c r="C424" s="79"/>
      <c r="D424" s="78"/>
      <c r="E424" s="71"/>
      <c r="F424" s="70"/>
      <c r="G424" s="70"/>
      <c r="H424" s="70"/>
      <c r="I424" s="70"/>
      <c r="J424" s="70"/>
      <c r="K424" s="70"/>
      <c r="L424" s="70"/>
      <c r="M424" s="70"/>
      <c r="N424" s="70"/>
      <c r="O424" s="70"/>
      <c r="P424" s="70"/>
      <c r="Q424" s="70"/>
      <c r="R424" s="70"/>
      <c r="S424" s="70"/>
      <c r="T424" s="70"/>
      <c r="U424" s="70"/>
      <c r="V424" s="70"/>
      <c r="W424" s="70"/>
      <c r="X424" s="70"/>
      <c r="Y424" s="70"/>
      <c r="Z424" s="70"/>
    </row>
    <row r="425">
      <c r="A425" s="70"/>
      <c r="B425" s="79"/>
      <c r="C425" s="79"/>
      <c r="D425" s="78"/>
      <c r="E425" s="71"/>
      <c r="F425" s="70"/>
      <c r="G425" s="70"/>
      <c r="H425" s="70"/>
      <c r="I425" s="70"/>
      <c r="J425" s="70"/>
      <c r="K425" s="70"/>
      <c r="L425" s="70"/>
      <c r="M425" s="70"/>
      <c r="N425" s="70"/>
      <c r="O425" s="70"/>
      <c r="P425" s="70"/>
      <c r="Q425" s="70"/>
      <c r="R425" s="70"/>
      <c r="S425" s="70"/>
      <c r="T425" s="70"/>
      <c r="U425" s="70"/>
      <c r="V425" s="70"/>
      <c r="W425" s="70"/>
      <c r="X425" s="70"/>
      <c r="Y425" s="70"/>
      <c r="Z425" s="70"/>
    </row>
    <row r="426">
      <c r="A426" s="70"/>
      <c r="B426" s="79"/>
      <c r="C426" s="79"/>
      <c r="D426" s="78"/>
      <c r="E426" s="71"/>
      <c r="F426" s="70"/>
      <c r="G426" s="70"/>
      <c r="H426" s="70"/>
      <c r="I426" s="70"/>
      <c r="J426" s="70"/>
      <c r="K426" s="70"/>
      <c r="L426" s="70"/>
      <c r="M426" s="70"/>
      <c r="N426" s="70"/>
      <c r="O426" s="70"/>
      <c r="P426" s="70"/>
      <c r="Q426" s="70"/>
      <c r="R426" s="70"/>
      <c r="S426" s="70"/>
      <c r="T426" s="70"/>
      <c r="U426" s="70"/>
      <c r="V426" s="70"/>
      <c r="W426" s="70"/>
      <c r="X426" s="70"/>
      <c r="Y426" s="70"/>
      <c r="Z426" s="70"/>
    </row>
    <row r="427">
      <c r="A427" s="70"/>
      <c r="B427" s="79"/>
      <c r="C427" s="79"/>
      <c r="D427" s="78"/>
      <c r="E427" s="71"/>
      <c r="F427" s="70"/>
      <c r="G427" s="70"/>
      <c r="H427" s="70"/>
      <c r="I427" s="70"/>
      <c r="J427" s="70"/>
      <c r="K427" s="70"/>
      <c r="L427" s="70"/>
      <c r="M427" s="70"/>
      <c r="N427" s="70"/>
      <c r="O427" s="70"/>
      <c r="P427" s="70"/>
      <c r="Q427" s="70"/>
      <c r="R427" s="70"/>
      <c r="S427" s="70"/>
      <c r="T427" s="70"/>
      <c r="U427" s="70"/>
      <c r="V427" s="70"/>
      <c r="W427" s="70"/>
      <c r="X427" s="70"/>
      <c r="Y427" s="70"/>
      <c r="Z427" s="70"/>
    </row>
    <row r="428">
      <c r="A428" s="70"/>
      <c r="B428" s="79"/>
      <c r="C428" s="79"/>
      <c r="D428" s="78"/>
      <c r="E428" s="71"/>
      <c r="F428" s="70"/>
      <c r="G428" s="70"/>
      <c r="H428" s="70"/>
      <c r="I428" s="70"/>
      <c r="J428" s="70"/>
      <c r="K428" s="70"/>
      <c r="L428" s="70"/>
      <c r="M428" s="70"/>
      <c r="N428" s="70"/>
      <c r="O428" s="70"/>
      <c r="P428" s="70"/>
      <c r="Q428" s="70"/>
      <c r="R428" s="70"/>
      <c r="S428" s="70"/>
      <c r="T428" s="70"/>
      <c r="U428" s="70"/>
      <c r="V428" s="70"/>
      <c r="W428" s="70"/>
      <c r="X428" s="70"/>
      <c r="Y428" s="70"/>
      <c r="Z428" s="70"/>
    </row>
    <row r="429">
      <c r="A429" s="70"/>
      <c r="B429" s="79"/>
      <c r="C429" s="79"/>
      <c r="D429" s="78"/>
      <c r="E429" s="71"/>
      <c r="F429" s="70"/>
      <c r="G429" s="70"/>
      <c r="H429" s="70"/>
      <c r="I429" s="70"/>
      <c r="J429" s="70"/>
      <c r="K429" s="70"/>
      <c r="L429" s="70"/>
      <c r="M429" s="70"/>
      <c r="N429" s="70"/>
      <c r="O429" s="70"/>
      <c r="P429" s="70"/>
      <c r="Q429" s="70"/>
      <c r="R429" s="70"/>
      <c r="S429" s="70"/>
      <c r="T429" s="70"/>
      <c r="U429" s="70"/>
      <c r="V429" s="70"/>
      <c r="W429" s="70"/>
      <c r="X429" s="70"/>
      <c r="Y429" s="70"/>
      <c r="Z429" s="70"/>
    </row>
    <row r="430">
      <c r="A430" s="70"/>
      <c r="B430" s="79"/>
      <c r="C430" s="79"/>
      <c r="D430" s="78"/>
      <c r="E430" s="71"/>
      <c r="F430" s="70"/>
      <c r="G430" s="70"/>
      <c r="H430" s="70"/>
      <c r="I430" s="70"/>
      <c r="J430" s="70"/>
      <c r="K430" s="70"/>
      <c r="L430" s="70"/>
      <c r="M430" s="70"/>
      <c r="N430" s="70"/>
      <c r="O430" s="70"/>
      <c r="P430" s="70"/>
      <c r="Q430" s="70"/>
      <c r="R430" s="70"/>
      <c r="S430" s="70"/>
      <c r="T430" s="70"/>
      <c r="U430" s="70"/>
      <c r="V430" s="70"/>
      <c r="W430" s="70"/>
      <c r="X430" s="70"/>
      <c r="Y430" s="70"/>
      <c r="Z430" s="70"/>
    </row>
    <row r="431">
      <c r="A431" s="70"/>
      <c r="B431" s="79"/>
      <c r="C431" s="79"/>
      <c r="D431" s="78"/>
      <c r="E431" s="71"/>
      <c r="F431" s="70"/>
      <c r="G431" s="70"/>
      <c r="H431" s="70"/>
      <c r="I431" s="70"/>
      <c r="J431" s="70"/>
      <c r="K431" s="70"/>
      <c r="L431" s="70"/>
      <c r="M431" s="70"/>
      <c r="N431" s="70"/>
      <c r="O431" s="70"/>
      <c r="P431" s="70"/>
      <c r="Q431" s="70"/>
      <c r="R431" s="70"/>
      <c r="S431" s="70"/>
      <c r="T431" s="70"/>
      <c r="U431" s="70"/>
      <c r="V431" s="70"/>
      <c r="W431" s="70"/>
      <c r="X431" s="70"/>
      <c r="Y431" s="70"/>
      <c r="Z431" s="70"/>
    </row>
    <row r="432">
      <c r="A432" s="70"/>
      <c r="B432" s="79"/>
      <c r="C432" s="79"/>
      <c r="D432" s="78"/>
      <c r="E432" s="71"/>
      <c r="F432" s="70"/>
      <c r="G432" s="70"/>
      <c r="H432" s="70"/>
      <c r="I432" s="70"/>
      <c r="J432" s="70"/>
      <c r="K432" s="70"/>
      <c r="L432" s="70"/>
      <c r="M432" s="70"/>
      <c r="N432" s="70"/>
      <c r="O432" s="70"/>
      <c r="P432" s="70"/>
      <c r="Q432" s="70"/>
      <c r="R432" s="70"/>
      <c r="S432" s="70"/>
      <c r="T432" s="70"/>
      <c r="U432" s="70"/>
      <c r="V432" s="70"/>
      <c r="W432" s="70"/>
      <c r="X432" s="70"/>
      <c r="Y432" s="70"/>
      <c r="Z432" s="70"/>
    </row>
    <row r="433">
      <c r="A433" s="70"/>
      <c r="B433" s="79"/>
      <c r="C433" s="79"/>
      <c r="D433" s="78"/>
      <c r="E433" s="71"/>
      <c r="F433" s="70"/>
      <c r="G433" s="70"/>
      <c r="H433" s="70"/>
      <c r="I433" s="70"/>
      <c r="J433" s="70"/>
      <c r="K433" s="70"/>
      <c r="L433" s="70"/>
      <c r="M433" s="70"/>
      <c r="N433" s="70"/>
      <c r="O433" s="70"/>
      <c r="P433" s="70"/>
      <c r="Q433" s="70"/>
      <c r="R433" s="70"/>
      <c r="S433" s="70"/>
      <c r="T433" s="70"/>
      <c r="U433" s="70"/>
      <c r="V433" s="70"/>
      <c r="W433" s="70"/>
      <c r="X433" s="70"/>
      <c r="Y433" s="70"/>
      <c r="Z433" s="70"/>
    </row>
    <row r="434">
      <c r="A434" s="70"/>
      <c r="B434" s="79"/>
      <c r="C434" s="79"/>
      <c r="D434" s="78"/>
      <c r="E434" s="71"/>
      <c r="F434" s="70"/>
      <c r="G434" s="70"/>
      <c r="H434" s="70"/>
      <c r="I434" s="70"/>
      <c r="J434" s="70"/>
      <c r="K434" s="70"/>
      <c r="L434" s="70"/>
      <c r="M434" s="70"/>
      <c r="N434" s="70"/>
      <c r="O434" s="70"/>
      <c r="P434" s="70"/>
      <c r="Q434" s="70"/>
      <c r="R434" s="70"/>
      <c r="S434" s="70"/>
      <c r="T434" s="70"/>
      <c r="U434" s="70"/>
      <c r="V434" s="70"/>
      <c r="W434" s="70"/>
      <c r="X434" s="70"/>
      <c r="Y434" s="70"/>
      <c r="Z434" s="70"/>
    </row>
    <row r="435">
      <c r="A435" s="70"/>
      <c r="B435" s="79"/>
      <c r="C435" s="79"/>
      <c r="D435" s="78"/>
      <c r="E435" s="71"/>
      <c r="F435" s="70"/>
      <c r="G435" s="70"/>
      <c r="H435" s="70"/>
      <c r="I435" s="70"/>
      <c r="J435" s="70"/>
      <c r="K435" s="70"/>
      <c r="L435" s="70"/>
      <c r="M435" s="70"/>
      <c r="N435" s="70"/>
      <c r="O435" s="70"/>
      <c r="P435" s="70"/>
      <c r="Q435" s="70"/>
      <c r="R435" s="70"/>
      <c r="S435" s="70"/>
      <c r="T435" s="70"/>
      <c r="U435" s="70"/>
      <c r="V435" s="70"/>
      <c r="W435" s="70"/>
      <c r="X435" s="70"/>
      <c r="Y435" s="70"/>
      <c r="Z435" s="70"/>
    </row>
    <row r="436">
      <c r="A436" s="70"/>
      <c r="B436" s="79"/>
      <c r="C436" s="79"/>
      <c r="D436" s="78"/>
      <c r="E436" s="71"/>
      <c r="F436" s="70"/>
      <c r="G436" s="70"/>
      <c r="H436" s="70"/>
      <c r="I436" s="70"/>
      <c r="J436" s="70"/>
      <c r="K436" s="70"/>
      <c r="L436" s="70"/>
      <c r="M436" s="70"/>
      <c r="N436" s="70"/>
      <c r="O436" s="70"/>
      <c r="P436" s="70"/>
      <c r="Q436" s="70"/>
      <c r="R436" s="70"/>
      <c r="S436" s="70"/>
      <c r="T436" s="70"/>
      <c r="U436" s="70"/>
      <c r="V436" s="70"/>
      <c r="W436" s="70"/>
      <c r="X436" s="70"/>
      <c r="Y436" s="70"/>
      <c r="Z436" s="70"/>
    </row>
    <row r="437">
      <c r="A437" s="70"/>
      <c r="B437" s="79"/>
      <c r="C437" s="79"/>
      <c r="D437" s="78"/>
      <c r="E437" s="71"/>
      <c r="F437" s="70"/>
      <c r="G437" s="70"/>
      <c r="H437" s="70"/>
      <c r="I437" s="70"/>
      <c r="J437" s="70"/>
      <c r="K437" s="70"/>
      <c r="L437" s="70"/>
      <c r="M437" s="70"/>
      <c r="N437" s="70"/>
      <c r="O437" s="70"/>
      <c r="P437" s="70"/>
      <c r="Q437" s="70"/>
      <c r="R437" s="70"/>
      <c r="S437" s="70"/>
      <c r="T437" s="70"/>
      <c r="U437" s="70"/>
      <c r="V437" s="70"/>
      <c r="W437" s="70"/>
      <c r="X437" s="70"/>
      <c r="Y437" s="70"/>
      <c r="Z437" s="70"/>
    </row>
    <row r="438">
      <c r="A438" s="70"/>
      <c r="B438" s="79"/>
      <c r="C438" s="79"/>
      <c r="D438" s="78"/>
      <c r="E438" s="71"/>
      <c r="F438" s="70"/>
      <c r="G438" s="70"/>
      <c r="H438" s="70"/>
      <c r="I438" s="70"/>
      <c r="J438" s="70"/>
      <c r="K438" s="70"/>
      <c r="L438" s="70"/>
      <c r="M438" s="70"/>
      <c r="N438" s="70"/>
      <c r="O438" s="70"/>
      <c r="P438" s="70"/>
      <c r="Q438" s="70"/>
      <c r="R438" s="70"/>
      <c r="S438" s="70"/>
      <c r="T438" s="70"/>
      <c r="U438" s="70"/>
      <c r="V438" s="70"/>
      <c r="W438" s="70"/>
      <c r="X438" s="70"/>
      <c r="Y438" s="70"/>
      <c r="Z438" s="70"/>
    </row>
    <row r="439">
      <c r="A439" s="70"/>
      <c r="B439" s="79"/>
      <c r="C439" s="79"/>
      <c r="D439" s="78"/>
      <c r="E439" s="71"/>
      <c r="F439" s="70"/>
      <c r="G439" s="70"/>
      <c r="H439" s="70"/>
      <c r="I439" s="70"/>
      <c r="J439" s="70"/>
      <c r="K439" s="70"/>
      <c r="L439" s="70"/>
      <c r="M439" s="70"/>
      <c r="N439" s="70"/>
      <c r="O439" s="70"/>
      <c r="P439" s="70"/>
      <c r="Q439" s="70"/>
      <c r="R439" s="70"/>
      <c r="S439" s="70"/>
      <c r="T439" s="70"/>
      <c r="U439" s="70"/>
      <c r="V439" s="70"/>
      <c r="W439" s="70"/>
      <c r="X439" s="70"/>
      <c r="Y439" s="70"/>
      <c r="Z439" s="70"/>
    </row>
    <row r="440">
      <c r="A440" s="70"/>
      <c r="B440" s="79"/>
      <c r="C440" s="79"/>
      <c r="D440" s="78"/>
      <c r="E440" s="71"/>
      <c r="F440" s="70"/>
      <c r="G440" s="70"/>
      <c r="H440" s="70"/>
      <c r="I440" s="70"/>
      <c r="J440" s="70"/>
      <c r="K440" s="70"/>
      <c r="L440" s="70"/>
      <c r="M440" s="70"/>
      <c r="N440" s="70"/>
      <c r="O440" s="70"/>
      <c r="P440" s="70"/>
      <c r="Q440" s="70"/>
      <c r="R440" s="70"/>
      <c r="S440" s="70"/>
      <c r="T440" s="70"/>
      <c r="U440" s="70"/>
      <c r="V440" s="70"/>
      <c r="W440" s="70"/>
      <c r="X440" s="70"/>
      <c r="Y440" s="70"/>
      <c r="Z440" s="70"/>
    </row>
    <row r="441">
      <c r="A441" s="70"/>
      <c r="B441" s="79"/>
      <c r="C441" s="79"/>
      <c r="D441" s="78"/>
      <c r="E441" s="71"/>
      <c r="F441" s="70"/>
      <c r="G441" s="70"/>
      <c r="H441" s="70"/>
      <c r="I441" s="70"/>
      <c r="J441" s="70"/>
      <c r="K441" s="70"/>
      <c r="L441" s="70"/>
      <c r="M441" s="70"/>
      <c r="N441" s="70"/>
      <c r="O441" s="70"/>
      <c r="P441" s="70"/>
      <c r="Q441" s="70"/>
      <c r="R441" s="70"/>
      <c r="S441" s="70"/>
      <c r="T441" s="70"/>
      <c r="U441" s="70"/>
      <c r="V441" s="70"/>
      <c r="W441" s="70"/>
      <c r="X441" s="70"/>
      <c r="Y441" s="70"/>
      <c r="Z441" s="70"/>
    </row>
    <row r="442">
      <c r="A442" s="70"/>
      <c r="B442" s="79"/>
      <c r="C442" s="79"/>
      <c r="D442" s="78"/>
      <c r="E442" s="71"/>
      <c r="F442" s="70"/>
      <c r="G442" s="70"/>
      <c r="H442" s="70"/>
      <c r="I442" s="70"/>
      <c r="J442" s="70"/>
      <c r="K442" s="70"/>
      <c r="L442" s="70"/>
      <c r="M442" s="70"/>
      <c r="N442" s="70"/>
      <c r="O442" s="70"/>
      <c r="P442" s="70"/>
      <c r="Q442" s="70"/>
      <c r="R442" s="70"/>
      <c r="S442" s="70"/>
      <c r="T442" s="70"/>
      <c r="U442" s="70"/>
      <c r="V442" s="70"/>
      <c r="W442" s="70"/>
      <c r="X442" s="70"/>
      <c r="Y442" s="70"/>
      <c r="Z442" s="70"/>
    </row>
    <row r="443">
      <c r="A443" s="70"/>
      <c r="B443" s="79"/>
      <c r="C443" s="79"/>
      <c r="D443" s="78"/>
      <c r="E443" s="71"/>
      <c r="F443" s="70"/>
      <c r="G443" s="70"/>
      <c r="H443" s="70"/>
      <c r="I443" s="70"/>
      <c r="J443" s="70"/>
      <c r="K443" s="70"/>
      <c r="L443" s="70"/>
      <c r="M443" s="70"/>
      <c r="N443" s="70"/>
      <c r="O443" s="70"/>
      <c r="P443" s="70"/>
      <c r="Q443" s="70"/>
      <c r="R443" s="70"/>
      <c r="S443" s="70"/>
      <c r="T443" s="70"/>
      <c r="U443" s="70"/>
      <c r="V443" s="70"/>
      <c r="W443" s="70"/>
      <c r="X443" s="70"/>
      <c r="Y443" s="70"/>
      <c r="Z443" s="70"/>
    </row>
    <row r="444">
      <c r="A444" s="70"/>
      <c r="B444" s="79"/>
      <c r="C444" s="79"/>
      <c r="D444" s="78"/>
      <c r="E444" s="71"/>
      <c r="F444" s="70"/>
      <c r="G444" s="70"/>
      <c r="H444" s="70"/>
      <c r="I444" s="70"/>
      <c r="J444" s="70"/>
      <c r="K444" s="70"/>
      <c r="L444" s="70"/>
      <c r="M444" s="70"/>
      <c r="N444" s="70"/>
      <c r="O444" s="70"/>
      <c r="P444" s="70"/>
      <c r="Q444" s="70"/>
      <c r="R444" s="70"/>
      <c r="S444" s="70"/>
      <c r="T444" s="70"/>
      <c r="U444" s="70"/>
      <c r="V444" s="70"/>
      <c r="W444" s="70"/>
      <c r="X444" s="70"/>
      <c r="Y444" s="70"/>
      <c r="Z444" s="70"/>
    </row>
    <row r="445">
      <c r="A445" s="70"/>
      <c r="B445" s="79"/>
      <c r="C445" s="79"/>
      <c r="D445" s="78"/>
      <c r="E445" s="71"/>
      <c r="F445" s="70"/>
      <c r="G445" s="70"/>
      <c r="H445" s="70"/>
      <c r="I445" s="70"/>
      <c r="J445" s="70"/>
      <c r="K445" s="70"/>
      <c r="L445" s="70"/>
      <c r="M445" s="70"/>
      <c r="N445" s="70"/>
      <c r="O445" s="70"/>
      <c r="P445" s="70"/>
      <c r="Q445" s="70"/>
      <c r="R445" s="70"/>
      <c r="S445" s="70"/>
      <c r="T445" s="70"/>
      <c r="U445" s="70"/>
      <c r="V445" s="70"/>
      <c r="W445" s="70"/>
      <c r="X445" s="70"/>
      <c r="Y445" s="70"/>
      <c r="Z445" s="70"/>
    </row>
    <row r="446">
      <c r="A446" s="70"/>
      <c r="B446" s="79"/>
      <c r="C446" s="79"/>
      <c r="D446" s="78"/>
      <c r="E446" s="71"/>
      <c r="F446" s="70"/>
      <c r="G446" s="70"/>
      <c r="H446" s="70"/>
      <c r="I446" s="70"/>
      <c r="J446" s="70"/>
      <c r="K446" s="70"/>
      <c r="L446" s="70"/>
      <c r="M446" s="70"/>
      <c r="N446" s="70"/>
      <c r="O446" s="70"/>
      <c r="P446" s="70"/>
      <c r="Q446" s="70"/>
      <c r="R446" s="70"/>
      <c r="S446" s="70"/>
      <c r="T446" s="70"/>
      <c r="U446" s="70"/>
      <c r="V446" s="70"/>
      <c r="W446" s="70"/>
      <c r="X446" s="70"/>
      <c r="Y446" s="70"/>
      <c r="Z446" s="70"/>
    </row>
    <row r="447">
      <c r="A447" s="70"/>
      <c r="B447" s="79"/>
      <c r="C447" s="79"/>
      <c r="D447" s="78"/>
      <c r="E447" s="71"/>
      <c r="F447" s="70"/>
      <c r="G447" s="70"/>
      <c r="H447" s="70"/>
      <c r="I447" s="70"/>
      <c r="J447" s="70"/>
      <c r="K447" s="70"/>
      <c r="L447" s="70"/>
      <c r="M447" s="70"/>
      <c r="N447" s="70"/>
      <c r="O447" s="70"/>
      <c r="P447" s="70"/>
      <c r="Q447" s="70"/>
      <c r="R447" s="70"/>
      <c r="S447" s="70"/>
      <c r="T447" s="70"/>
      <c r="U447" s="70"/>
      <c r="V447" s="70"/>
      <c r="W447" s="70"/>
      <c r="X447" s="70"/>
      <c r="Y447" s="70"/>
      <c r="Z447" s="70"/>
    </row>
    <row r="448">
      <c r="A448" s="70"/>
      <c r="B448" s="79"/>
      <c r="C448" s="79"/>
      <c r="D448" s="78"/>
      <c r="E448" s="71"/>
      <c r="F448" s="70"/>
      <c r="G448" s="70"/>
      <c r="H448" s="70"/>
      <c r="I448" s="70"/>
      <c r="J448" s="70"/>
      <c r="K448" s="70"/>
      <c r="L448" s="70"/>
      <c r="M448" s="70"/>
      <c r="N448" s="70"/>
      <c r="O448" s="70"/>
      <c r="P448" s="70"/>
      <c r="Q448" s="70"/>
      <c r="R448" s="70"/>
      <c r="S448" s="70"/>
      <c r="T448" s="70"/>
      <c r="U448" s="70"/>
      <c r="V448" s="70"/>
      <c r="W448" s="70"/>
      <c r="X448" s="70"/>
      <c r="Y448" s="70"/>
      <c r="Z448" s="70"/>
    </row>
    <row r="449">
      <c r="A449" s="70"/>
      <c r="B449" s="79"/>
      <c r="C449" s="79"/>
      <c r="D449" s="78"/>
      <c r="E449" s="71"/>
      <c r="F449" s="70"/>
      <c r="G449" s="70"/>
      <c r="H449" s="70"/>
      <c r="I449" s="70"/>
      <c r="J449" s="70"/>
      <c r="K449" s="70"/>
      <c r="L449" s="70"/>
      <c r="M449" s="70"/>
      <c r="N449" s="70"/>
      <c r="O449" s="70"/>
      <c r="P449" s="70"/>
      <c r="Q449" s="70"/>
      <c r="R449" s="70"/>
      <c r="S449" s="70"/>
      <c r="T449" s="70"/>
      <c r="U449" s="70"/>
      <c r="V449" s="70"/>
      <c r="W449" s="70"/>
      <c r="X449" s="70"/>
      <c r="Y449" s="70"/>
      <c r="Z449" s="70"/>
    </row>
    <row r="450">
      <c r="A450" s="70"/>
      <c r="B450" s="79"/>
      <c r="C450" s="79"/>
      <c r="D450" s="78"/>
      <c r="E450" s="71"/>
      <c r="F450" s="70"/>
      <c r="G450" s="70"/>
      <c r="H450" s="70"/>
      <c r="I450" s="70"/>
      <c r="J450" s="70"/>
      <c r="K450" s="70"/>
      <c r="L450" s="70"/>
      <c r="M450" s="70"/>
      <c r="N450" s="70"/>
      <c r="O450" s="70"/>
      <c r="P450" s="70"/>
      <c r="Q450" s="70"/>
      <c r="R450" s="70"/>
      <c r="S450" s="70"/>
      <c r="T450" s="70"/>
      <c r="U450" s="70"/>
      <c r="V450" s="70"/>
      <c r="W450" s="70"/>
      <c r="X450" s="70"/>
      <c r="Y450" s="70"/>
      <c r="Z450" s="70"/>
    </row>
    <row r="451">
      <c r="A451" s="70"/>
      <c r="B451" s="79"/>
      <c r="C451" s="79"/>
      <c r="D451" s="78"/>
      <c r="E451" s="71"/>
      <c r="F451" s="70"/>
      <c r="G451" s="70"/>
      <c r="H451" s="70"/>
      <c r="I451" s="70"/>
      <c r="J451" s="70"/>
      <c r="K451" s="70"/>
      <c r="L451" s="70"/>
      <c r="M451" s="70"/>
      <c r="N451" s="70"/>
      <c r="O451" s="70"/>
      <c r="P451" s="70"/>
      <c r="Q451" s="70"/>
      <c r="R451" s="70"/>
      <c r="S451" s="70"/>
      <c r="T451" s="70"/>
      <c r="U451" s="70"/>
      <c r="V451" s="70"/>
      <c r="W451" s="70"/>
      <c r="X451" s="70"/>
      <c r="Y451" s="70"/>
      <c r="Z451" s="70"/>
    </row>
    <row r="452">
      <c r="A452" s="70"/>
      <c r="B452" s="79"/>
      <c r="C452" s="79"/>
      <c r="D452" s="78"/>
      <c r="E452" s="71"/>
      <c r="F452" s="70"/>
      <c r="G452" s="70"/>
      <c r="H452" s="70"/>
      <c r="I452" s="70"/>
      <c r="J452" s="70"/>
      <c r="K452" s="70"/>
      <c r="L452" s="70"/>
      <c r="M452" s="70"/>
      <c r="N452" s="70"/>
      <c r="O452" s="70"/>
      <c r="P452" s="70"/>
      <c r="Q452" s="70"/>
      <c r="R452" s="70"/>
      <c r="S452" s="70"/>
      <c r="T452" s="70"/>
      <c r="U452" s="70"/>
      <c r="V452" s="70"/>
      <c r="W452" s="70"/>
      <c r="X452" s="70"/>
      <c r="Y452" s="70"/>
      <c r="Z452" s="70"/>
    </row>
    <row r="453">
      <c r="A453" s="70"/>
      <c r="B453" s="79"/>
      <c r="C453" s="79"/>
      <c r="D453" s="78"/>
      <c r="E453" s="71"/>
      <c r="F453" s="70"/>
      <c r="G453" s="70"/>
      <c r="H453" s="70"/>
      <c r="I453" s="70"/>
      <c r="J453" s="70"/>
      <c r="K453" s="70"/>
      <c r="L453" s="70"/>
      <c r="M453" s="70"/>
      <c r="N453" s="70"/>
      <c r="O453" s="70"/>
      <c r="P453" s="70"/>
      <c r="Q453" s="70"/>
      <c r="R453" s="70"/>
      <c r="S453" s="70"/>
      <c r="T453" s="70"/>
      <c r="U453" s="70"/>
      <c r="V453" s="70"/>
      <c r="W453" s="70"/>
      <c r="X453" s="70"/>
      <c r="Y453" s="70"/>
      <c r="Z453" s="70"/>
    </row>
    <row r="454">
      <c r="A454" s="70"/>
      <c r="B454" s="79"/>
      <c r="C454" s="79"/>
      <c r="D454" s="78"/>
      <c r="E454" s="71"/>
      <c r="F454" s="70"/>
      <c r="G454" s="70"/>
      <c r="H454" s="70"/>
      <c r="I454" s="70"/>
      <c r="J454" s="70"/>
      <c r="K454" s="70"/>
      <c r="L454" s="70"/>
      <c r="M454" s="70"/>
      <c r="N454" s="70"/>
      <c r="O454" s="70"/>
      <c r="P454" s="70"/>
      <c r="Q454" s="70"/>
      <c r="R454" s="70"/>
      <c r="S454" s="70"/>
      <c r="T454" s="70"/>
      <c r="U454" s="70"/>
      <c r="V454" s="70"/>
      <c r="W454" s="70"/>
      <c r="X454" s="70"/>
      <c r="Y454" s="70"/>
      <c r="Z454" s="70"/>
    </row>
    <row r="455">
      <c r="A455" s="70"/>
      <c r="B455" s="79"/>
      <c r="C455" s="79"/>
      <c r="D455" s="78"/>
      <c r="E455" s="71"/>
      <c r="F455" s="70"/>
      <c r="G455" s="70"/>
      <c r="H455" s="70"/>
      <c r="I455" s="70"/>
      <c r="J455" s="70"/>
      <c r="K455" s="70"/>
      <c r="L455" s="70"/>
      <c r="M455" s="70"/>
      <c r="N455" s="70"/>
      <c r="O455" s="70"/>
      <c r="P455" s="70"/>
      <c r="Q455" s="70"/>
      <c r="R455" s="70"/>
      <c r="S455" s="70"/>
      <c r="T455" s="70"/>
      <c r="U455" s="70"/>
      <c r="V455" s="70"/>
      <c r="W455" s="70"/>
      <c r="X455" s="70"/>
      <c r="Y455" s="70"/>
      <c r="Z455" s="70"/>
    </row>
    <row r="456">
      <c r="A456" s="70"/>
      <c r="B456" s="79"/>
      <c r="C456" s="79"/>
      <c r="D456" s="78"/>
      <c r="E456" s="71"/>
      <c r="F456" s="70"/>
      <c r="G456" s="70"/>
      <c r="H456" s="70"/>
      <c r="I456" s="70"/>
      <c r="J456" s="70"/>
      <c r="K456" s="70"/>
      <c r="L456" s="70"/>
      <c r="M456" s="70"/>
      <c r="N456" s="70"/>
      <c r="O456" s="70"/>
      <c r="P456" s="70"/>
      <c r="Q456" s="70"/>
      <c r="R456" s="70"/>
      <c r="S456" s="70"/>
      <c r="T456" s="70"/>
      <c r="U456" s="70"/>
      <c r="V456" s="70"/>
      <c r="W456" s="70"/>
      <c r="X456" s="70"/>
      <c r="Y456" s="70"/>
      <c r="Z456" s="70"/>
    </row>
    <row r="457">
      <c r="A457" s="70"/>
      <c r="B457" s="79"/>
      <c r="C457" s="79"/>
      <c r="D457" s="78"/>
      <c r="E457" s="71"/>
      <c r="F457" s="70"/>
      <c r="G457" s="70"/>
      <c r="H457" s="70"/>
      <c r="I457" s="70"/>
      <c r="J457" s="70"/>
      <c r="K457" s="70"/>
      <c r="L457" s="70"/>
      <c r="M457" s="70"/>
      <c r="N457" s="70"/>
      <c r="O457" s="70"/>
      <c r="P457" s="70"/>
      <c r="Q457" s="70"/>
      <c r="R457" s="70"/>
      <c r="S457" s="70"/>
      <c r="T457" s="70"/>
      <c r="U457" s="70"/>
      <c r="V457" s="70"/>
      <c r="W457" s="70"/>
      <c r="X457" s="70"/>
      <c r="Y457" s="70"/>
      <c r="Z457" s="70"/>
    </row>
    <row r="458">
      <c r="A458" s="70"/>
      <c r="B458" s="79"/>
      <c r="C458" s="79"/>
      <c r="D458" s="78"/>
      <c r="E458" s="71"/>
      <c r="F458" s="70"/>
      <c r="G458" s="70"/>
      <c r="H458" s="70"/>
      <c r="I458" s="70"/>
      <c r="J458" s="70"/>
      <c r="K458" s="70"/>
      <c r="L458" s="70"/>
      <c r="M458" s="70"/>
      <c r="N458" s="70"/>
      <c r="O458" s="70"/>
      <c r="P458" s="70"/>
      <c r="Q458" s="70"/>
      <c r="R458" s="70"/>
      <c r="S458" s="70"/>
      <c r="T458" s="70"/>
      <c r="U458" s="70"/>
      <c r="V458" s="70"/>
      <c r="W458" s="70"/>
      <c r="X458" s="70"/>
      <c r="Y458" s="70"/>
      <c r="Z458" s="70"/>
    </row>
    <row r="459">
      <c r="A459" s="70"/>
      <c r="B459" s="79"/>
      <c r="C459" s="79"/>
      <c r="D459" s="78"/>
      <c r="E459" s="71"/>
      <c r="F459" s="70"/>
      <c r="G459" s="70"/>
      <c r="H459" s="70"/>
      <c r="I459" s="70"/>
      <c r="J459" s="70"/>
      <c r="K459" s="70"/>
      <c r="L459" s="70"/>
      <c r="M459" s="70"/>
      <c r="N459" s="70"/>
      <c r="O459" s="70"/>
      <c r="P459" s="70"/>
      <c r="Q459" s="70"/>
      <c r="R459" s="70"/>
      <c r="S459" s="70"/>
      <c r="T459" s="70"/>
      <c r="U459" s="70"/>
      <c r="V459" s="70"/>
      <c r="W459" s="70"/>
      <c r="X459" s="70"/>
      <c r="Y459" s="70"/>
      <c r="Z459" s="70"/>
    </row>
    <row r="460">
      <c r="A460" s="70"/>
      <c r="B460" s="79"/>
      <c r="C460" s="79"/>
      <c r="D460" s="78"/>
      <c r="E460" s="71"/>
      <c r="F460" s="70"/>
      <c r="G460" s="70"/>
      <c r="H460" s="70"/>
      <c r="I460" s="70"/>
      <c r="J460" s="70"/>
      <c r="K460" s="70"/>
      <c r="L460" s="70"/>
      <c r="M460" s="70"/>
      <c r="N460" s="70"/>
      <c r="O460" s="70"/>
      <c r="P460" s="70"/>
      <c r="Q460" s="70"/>
      <c r="R460" s="70"/>
      <c r="S460" s="70"/>
      <c r="T460" s="70"/>
      <c r="U460" s="70"/>
      <c r="V460" s="70"/>
      <c r="W460" s="70"/>
      <c r="X460" s="70"/>
      <c r="Y460" s="70"/>
      <c r="Z460" s="70"/>
    </row>
    <row r="461">
      <c r="A461" s="70"/>
      <c r="B461" s="79"/>
      <c r="C461" s="79"/>
      <c r="D461" s="78"/>
      <c r="E461" s="71"/>
      <c r="F461" s="70"/>
      <c r="G461" s="70"/>
      <c r="H461" s="70"/>
      <c r="I461" s="70"/>
      <c r="J461" s="70"/>
      <c r="K461" s="70"/>
      <c r="L461" s="70"/>
      <c r="M461" s="70"/>
      <c r="N461" s="70"/>
      <c r="O461" s="70"/>
      <c r="P461" s="70"/>
      <c r="Q461" s="70"/>
      <c r="R461" s="70"/>
      <c r="S461" s="70"/>
      <c r="T461" s="70"/>
      <c r="U461" s="70"/>
      <c r="V461" s="70"/>
      <c r="W461" s="70"/>
      <c r="X461" s="70"/>
      <c r="Y461" s="70"/>
      <c r="Z461" s="70"/>
    </row>
    <row r="462">
      <c r="A462" s="70"/>
      <c r="B462" s="79"/>
      <c r="C462" s="79"/>
      <c r="D462" s="78"/>
      <c r="E462" s="71"/>
      <c r="F462" s="70"/>
      <c r="G462" s="70"/>
      <c r="H462" s="70"/>
      <c r="I462" s="70"/>
      <c r="J462" s="70"/>
      <c r="K462" s="70"/>
      <c r="L462" s="70"/>
      <c r="M462" s="70"/>
      <c r="N462" s="70"/>
      <c r="O462" s="70"/>
      <c r="P462" s="70"/>
      <c r="Q462" s="70"/>
      <c r="R462" s="70"/>
      <c r="S462" s="70"/>
      <c r="T462" s="70"/>
      <c r="U462" s="70"/>
      <c r="V462" s="70"/>
      <c r="W462" s="70"/>
      <c r="X462" s="70"/>
      <c r="Y462" s="70"/>
      <c r="Z462" s="70"/>
    </row>
    <row r="463">
      <c r="A463" s="70"/>
      <c r="B463" s="79"/>
      <c r="C463" s="79"/>
      <c r="D463" s="78"/>
      <c r="E463" s="71"/>
      <c r="F463" s="70"/>
      <c r="G463" s="70"/>
      <c r="H463" s="70"/>
      <c r="I463" s="70"/>
      <c r="J463" s="70"/>
      <c r="K463" s="70"/>
      <c r="L463" s="70"/>
      <c r="M463" s="70"/>
      <c r="N463" s="70"/>
      <c r="O463" s="70"/>
      <c r="P463" s="70"/>
      <c r="Q463" s="70"/>
      <c r="R463" s="70"/>
      <c r="S463" s="70"/>
      <c r="T463" s="70"/>
      <c r="U463" s="70"/>
      <c r="V463" s="70"/>
      <c r="W463" s="70"/>
      <c r="X463" s="70"/>
      <c r="Y463" s="70"/>
      <c r="Z463" s="70"/>
    </row>
    <row r="464">
      <c r="A464" s="70"/>
      <c r="B464" s="79"/>
      <c r="C464" s="79"/>
      <c r="D464" s="78"/>
      <c r="E464" s="71"/>
      <c r="F464" s="70"/>
      <c r="G464" s="70"/>
      <c r="H464" s="70"/>
      <c r="I464" s="70"/>
      <c r="J464" s="70"/>
      <c r="K464" s="70"/>
      <c r="L464" s="70"/>
      <c r="M464" s="70"/>
      <c r="N464" s="70"/>
      <c r="O464" s="70"/>
      <c r="P464" s="70"/>
      <c r="Q464" s="70"/>
      <c r="R464" s="70"/>
      <c r="S464" s="70"/>
      <c r="T464" s="70"/>
      <c r="U464" s="70"/>
      <c r="V464" s="70"/>
      <c r="W464" s="70"/>
      <c r="X464" s="70"/>
      <c r="Y464" s="70"/>
      <c r="Z464" s="70"/>
    </row>
    <row r="465">
      <c r="A465" s="70"/>
      <c r="B465" s="79"/>
      <c r="C465" s="79"/>
      <c r="D465" s="78"/>
      <c r="E465" s="71"/>
      <c r="F465" s="70"/>
      <c r="G465" s="70"/>
      <c r="H465" s="70"/>
      <c r="I465" s="70"/>
      <c r="J465" s="70"/>
      <c r="K465" s="70"/>
      <c r="L465" s="70"/>
      <c r="M465" s="70"/>
      <c r="N465" s="70"/>
      <c r="O465" s="70"/>
      <c r="P465" s="70"/>
      <c r="Q465" s="70"/>
      <c r="R465" s="70"/>
      <c r="S465" s="70"/>
      <c r="T465" s="70"/>
      <c r="U465" s="70"/>
      <c r="V465" s="70"/>
      <c r="W465" s="70"/>
      <c r="X465" s="70"/>
      <c r="Y465" s="70"/>
      <c r="Z465" s="70"/>
    </row>
    <row r="466">
      <c r="A466" s="70"/>
      <c r="B466" s="79"/>
      <c r="C466" s="79"/>
      <c r="D466" s="78"/>
      <c r="E466" s="71"/>
      <c r="F466" s="70"/>
      <c r="G466" s="70"/>
      <c r="H466" s="70"/>
      <c r="I466" s="70"/>
      <c r="J466" s="70"/>
      <c r="K466" s="70"/>
      <c r="L466" s="70"/>
      <c r="M466" s="70"/>
      <c r="N466" s="70"/>
      <c r="O466" s="70"/>
      <c r="P466" s="70"/>
      <c r="Q466" s="70"/>
      <c r="R466" s="70"/>
      <c r="S466" s="70"/>
      <c r="T466" s="70"/>
      <c r="U466" s="70"/>
      <c r="V466" s="70"/>
      <c r="W466" s="70"/>
      <c r="X466" s="70"/>
      <c r="Y466" s="70"/>
      <c r="Z466" s="70"/>
    </row>
    <row r="467">
      <c r="A467" s="70"/>
      <c r="B467" s="79"/>
      <c r="C467" s="79"/>
      <c r="D467" s="78"/>
      <c r="E467" s="71"/>
      <c r="F467" s="70"/>
      <c r="G467" s="70"/>
      <c r="H467" s="70"/>
      <c r="I467" s="70"/>
      <c r="J467" s="70"/>
      <c r="K467" s="70"/>
      <c r="L467" s="70"/>
      <c r="M467" s="70"/>
      <c r="N467" s="70"/>
      <c r="O467" s="70"/>
      <c r="P467" s="70"/>
      <c r="Q467" s="70"/>
      <c r="R467" s="70"/>
      <c r="S467" s="70"/>
      <c r="T467" s="70"/>
      <c r="U467" s="70"/>
      <c r="V467" s="70"/>
      <c r="W467" s="70"/>
      <c r="X467" s="70"/>
      <c r="Y467" s="70"/>
      <c r="Z467" s="70"/>
    </row>
    <row r="468">
      <c r="A468" s="70"/>
      <c r="B468" s="79"/>
      <c r="C468" s="79"/>
      <c r="D468" s="78"/>
      <c r="E468" s="71"/>
      <c r="F468" s="70"/>
      <c r="G468" s="70"/>
      <c r="H468" s="70"/>
      <c r="I468" s="70"/>
      <c r="J468" s="70"/>
      <c r="K468" s="70"/>
      <c r="L468" s="70"/>
      <c r="M468" s="70"/>
      <c r="N468" s="70"/>
      <c r="O468" s="70"/>
      <c r="P468" s="70"/>
      <c r="Q468" s="70"/>
      <c r="R468" s="70"/>
      <c r="S468" s="70"/>
      <c r="T468" s="70"/>
      <c r="U468" s="70"/>
      <c r="V468" s="70"/>
      <c r="W468" s="70"/>
      <c r="X468" s="70"/>
      <c r="Y468" s="70"/>
      <c r="Z468" s="70"/>
    </row>
    <row r="469">
      <c r="A469" s="70"/>
      <c r="B469" s="79"/>
      <c r="C469" s="79"/>
      <c r="D469" s="78"/>
      <c r="E469" s="71"/>
      <c r="F469" s="70"/>
      <c r="G469" s="70"/>
      <c r="H469" s="70"/>
      <c r="I469" s="70"/>
      <c r="J469" s="70"/>
      <c r="K469" s="70"/>
      <c r="L469" s="70"/>
      <c r="M469" s="70"/>
      <c r="N469" s="70"/>
      <c r="O469" s="70"/>
      <c r="P469" s="70"/>
      <c r="Q469" s="70"/>
      <c r="R469" s="70"/>
      <c r="S469" s="70"/>
      <c r="T469" s="70"/>
      <c r="U469" s="70"/>
      <c r="V469" s="70"/>
      <c r="W469" s="70"/>
      <c r="X469" s="70"/>
      <c r="Y469" s="70"/>
      <c r="Z469" s="70"/>
    </row>
    <row r="470">
      <c r="A470" s="70"/>
      <c r="B470" s="79"/>
      <c r="C470" s="79"/>
      <c r="D470" s="78"/>
      <c r="E470" s="71"/>
      <c r="F470" s="70"/>
      <c r="G470" s="70"/>
      <c r="H470" s="70"/>
      <c r="I470" s="70"/>
      <c r="J470" s="70"/>
      <c r="K470" s="70"/>
      <c r="L470" s="70"/>
      <c r="M470" s="70"/>
      <c r="N470" s="70"/>
      <c r="O470" s="70"/>
      <c r="P470" s="70"/>
      <c r="Q470" s="70"/>
      <c r="R470" s="70"/>
      <c r="S470" s="70"/>
      <c r="T470" s="70"/>
      <c r="U470" s="70"/>
      <c r="V470" s="70"/>
      <c r="W470" s="70"/>
      <c r="X470" s="70"/>
      <c r="Y470" s="70"/>
      <c r="Z470" s="70"/>
    </row>
    <row r="471">
      <c r="A471" s="70"/>
      <c r="B471" s="79"/>
      <c r="C471" s="79"/>
      <c r="D471" s="78"/>
      <c r="E471" s="71"/>
      <c r="F471" s="70"/>
      <c r="G471" s="70"/>
      <c r="H471" s="70"/>
      <c r="I471" s="70"/>
      <c r="J471" s="70"/>
      <c r="K471" s="70"/>
      <c r="L471" s="70"/>
      <c r="M471" s="70"/>
      <c r="N471" s="70"/>
      <c r="O471" s="70"/>
      <c r="P471" s="70"/>
      <c r="Q471" s="70"/>
      <c r="R471" s="70"/>
      <c r="S471" s="70"/>
      <c r="T471" s="70"/>
      <c r="U471" s="70"/>
      <c r="V471" s="70"/>
      <c r="W471" s="70"/>
      <c r="X471" s="70"/>
      <c r="Y471" s="70"/>
      <c r="Z471" s="70"/>
    </row>
    <row r="472">
      <c r="A472" s="70"/>
      <c r="B472" s="79"/>
      <c r="C472" s="79"/>
      <c r="D472" s="78"/>
      <c r="E472" s="71"/>
      <c r="F472" s="70"/>
      <c r="G472" s="70"/>
      <c r="H472" s="70"/>
      <c r="I472" s="70"/>
      <c r="J472" s="70"/>
      <c r="K472" s="70"/>
      <c r="L472" s="70"/>
      <c r="M472" s="70"/>
      <c r="N472" s="70"/>
      <c r="O472" s="70"/>
      <c r="P472" s="70"/>
      <c r="Q472" s="70"/>
      <c r="R472" s="70"/>
      <c r="S472" s="70"/>
      <c r="T472" s="70"/>
      <c r="U472" s="70"/>
      <c r="V472" s="70"/>
      <c r="W472" s="70"/>
      <c r="X472" s="70"/>
      <c r="Y472" s="70"/>
      <c r="Z472" s="70"/>
    </row>
    <row r="473">
      <c r="A473" s="70"/>
      <c r="B473" s="79"/>
      <c r="C473" s="79"/>
      <c r="D473" s="78"/>
      <c r="E473" s="71"/>
      <c r="F473" s="70"/>
      <c r="G473" s="70"/>
      <c r="H473" s="70"/>
      <c r="I473" s="70"/>
      <c r="J473" s="70"/>
      <c r="K473" s="70"/>
      <c r="L473" s="70"/>
      <c r="M473" s="70"/>
      <c r="N473" s="70"/>
      <c r="O473" s="70"/>
      <c r="P473" s="70"/>
      <c r="Q473" s="70"/>
      <c r="R473" s="70"/>
      <c r="S473" s="70"/>
      <c r="T473" s="70"/>
      <c r="U473" s="70"/>
      <c r="V473" s="70"/>
      <c r="W473" s="70"/>
      <c r="X473" s="70"/>
      <c r="Y473" s="70"/>
      <c r="Z473" s="70"/>
    </row>
    <row r="474">
      <c r="A474" s="70"/>
      <c r="B474" s="79"/>
      <c r="C474" s="79"/>
      <c r="D474" s="78"/>
      <c r="E474" s="71"/>
      <c r="F474" s="70"/>
      <c r="G474" s="70"/>
      <c r="H474" s="70"/>
      <c r="I474" s="70"/>
      <c r="J474" s="70"/>
      <c r="K474" s="70"/>
      <c r="L474" s="70"/>
      <c r="M474" s="70"/>
      <c r="N474" s="70"/>
      <c r="O474" s="70"/>
      <c r="P474" s="70"/>
      <c r="Q474" s="70"/>
      <c r="R474" s="70"/>
      <c r="S474" s="70"/>
      <c r="T474" s="70"/>
      <c r="U474" s="70"/>
      <c r="V474" s="70"/>
      <c r="W474" s="70"/>
      <c r="X474" s="70"/>
      <c r="Y474" s="70"/>
      <c r="Z474" s="70"/>
    </row>
    <row r="475">
      <c r="A475" s="70"/>
      <c r="B475" s="79"/>
      <c r="C475" s="79"/>
      <c r="D475" s="78"/>
      <c r="E475" s="71"/>
      <c r="F475" s="70"/>
      <c r="G475" s="70"/>
      <c r="H475" s="70"/>
      <c r="I475" s="70"/>
      <c r="J475" s="70"/>
      <c r="K475" s="70"/>
      <c r="L475" s="70"/>
      <c r="M475" s="70"/>
      <c r="N475" s="70"/>
      <c r="O475" s="70"/>
      <c r="P475" s="70"/>
      <c r="Q475" s="70"/>
      <c r="R475" s="70"/>
      <c r="S475" s="70"/>
      <c r="T475" s="70"/>
      <c r="U475" s="70"/>
      <c r="V475" s="70"/>
      <c r="W475" s="70"/>
      <c r="X475" s="70"/>
      <c r="Y475" s="70"/>
      <c r="Z475" s="70"/>
    </row>
    <row r="476">
      <c r="A476" s="70"/>
      <c r="B476" s="79"/>
      <c r="C476" s="79"/>
      <c r="D476" s="78"/>
      <c r="E476" s="71"/>
      <c r="F476" s="70"/>
      <c r="G476" s="70"/>
      <c r="H476" s="70"/>
      <c r="I476" s="70"/>
      <c r="J476" s="70"/>
      <c r="K476" s="70"/>
      <c r="L476" s="70"/>
      <c r="M476" s="70"/>
      <c r="N476" s="70"/>
      <c r="O476" s="70"/>
      <c r="P476" s="70"/>
      <c r="Q476" s="70"/>
      <c r="R476" s="70"/>
      <c r="S476" s="70"/>
      <c r="T476" s="70"/>
      <c r="U476" s="70"/>
      <c r="V476" s="70"/>
      <c r="W476" s="70"/>
      <c r="X476" s="70"/>
      <c r="Y476" s="70"/>
      <c r="Z476" s="70"/>
    </row>
    <row r="477">
      <c r="A477" s="70"/>
      <c r="B477" s="79"/>
      <c r="C477" s="79"/>
      <c r="D477" s="78"/>
      <c r="E477" s="71"/>
      <c r="F477" s="70"/>
      <c r="G477" s="70"/>
      <c r="H477" s="70"/>
      <c r="I477" s="70"/>
      <c r="J477" s="70"/>
      <c r="K477" s="70"/>
      <c r="L477" s="70"/>
      <c r="M477" s="70"/>
      <c r="N477" s="70"/>
      <c r="O477" s="70"/>
      <c r="P477" s="70"/>
      <c r="Q477" s="70"/>
      <c r="R477" s="70"/>
      <c r="S477" s="70"/>
      <c r="T477" s="70"/>
      <c r="U477" s="70"/>
      <c r="V477" s="70"/>
      <c r="W477" s="70"/>
      <c r="X477" s="70"/>
      <c r="Y477" s="70"/>
      <c r="Z477" s="70"/>
    </row>
    <row r="478">
      <c r="A478" s="70"/>
      <c r="B478" s="79"/>
      <c r="C478" s="79"/>
      <c r="D478" s="78"/>
      <c r="E478" s="71"/>
      <c r="F478" s="70"/>
      <c r="G478" s="70"/>
      <c r="H478" s="70"/>
      <c r="I478" s="70"/>
      <c r="J478" s="70"/>
      <c r="K478" s="70"/>
      <c r="L478" s="70"/>
      <c r="M478" s="70"/>
      <c r="N478" s="70"/>
      <c r="O478" s="70"/>
      <c r="P478" s="70"/>
      <c r="Q478" s="70"/>
      <c r="R478" s="70"/>
      <c r="S478" s="70"/>
      <c r="T478" s="70"/>
      <c r="U478" s="70"/>
      <c r="V478" s="70"/>
      <c r="W478" s="70"/>
      <c r="X478" s="70"/>
      <c r="Y478" s="70"/>
      <c r="Z478" s="70"/>
    </row>
    <row r="479">
      <c r="A479" s="70"/>
      <c r="B479" s="79"/>
      <c r="C479" s="79"/>
      <c r="D479" s="78"/>
      <c r="E479" s="71"/>
      <c r="F479" s="70"/>
      <c r="G479" s="70"/>
      <c r="H479" s="70"/>
      <c r="I479" s="70"/>
      <c r="J479" s="70"/>
      <c r="K479" s="70"/>
      <c r="L479" s="70"/>
      <c r="M479" s="70"/>
      <c r="N479" s="70"/>
      <c r="O479" s="70"/>
      <c r="P479" s="70"/>
      <c r="Q479" s="70"/>
      <c r="R479" s="70"/>
      <c r="S479" s="70"/>
      <c r="T479" s="70"/>
      <c r="U479" s="70"/>
      <c r="V479" s="70"/>
      <c r="W479" s="70"/>
      <c r="X479" s="70"/>
      <c r="Y479" s="70"/>
      <c r="Z479" s="70"/>
    </row>
    <row r="480">
      <c r="A480" s="70"/>
      <c r="B480" s="79"/>
      <c r="C480" s="79"/>
      <c r="D480" s="78"/>
      <c r="E480" s="71"/>
      <c r="F480" s="70"/>
      <c r="G480" s="70"/>
      <c r="H480" s="70"/>
      <c r="I480" s="70"/>
      <c r="J480" s="70"/>
      <c r="K480" s="70"/>
      <c r="L480" s="70"/>
      <c r="M480" s="70"/>
      <c r="N480" s="70"/>
      <c r="O480" s="70"/>
      <c r="P480" s="70"/>
      <c r="Q480" s="70"/>
      <c r="R480" s="70"/>
      <c r="S480" s="70"/>
      <c r="T480" s="70"/>
      <c r="U480" s="70"/>
      <c r="V480" s="70"/>
      <c r="W480" s="70"/>
      <c r="X480" s="70"/>
      <c r="Y480" s="70"/>
      <c r="Z480" s="70"/>
    </row>
    <row r="481">
      <c r="A481" s="70"/>
      <c r="B481" s="79"/>
      <c r="C481" s="79"/>
      <c r="D481" s="78"/>
      <c r="E481" s="71"/>
      <c r="F481" s="70"/>
      <c r="G481" s="70"/>
      <c r="H481" s="70"/>
      <c r="I481" s="70"/>
      <c r="J481" s="70"/>
      <c r="K481" s="70"/>
      <c r="L481" s="70"/>
      <c r="M481" s="70"/>
      <c r="N481" s="70"/>
      <c r="O481" s="70"/>
      <c r="P481" s="70"/>
      <c r="Q481" s="70"/>
      <c r="R481" s="70"/>
      <c r="S481" s="70"/>
      <c r="T481" s="70"/>
      <c r="U481" s="70"/>
      <c r="V481" s="70"/>
      <c r="W481" s="70"/>
      <c r="X481" s="70"/>
      <c r="Y481" s="70"/>
      <c r="Z481" s="70"/>
    </row>
    <row r="482">
      <c r="A482" s="70"/>
      <c r="B482" s="79"/>
      <c r="C482" s="79"/>
      <c r="D482" s="78"/>
      <c r="E482" s="71"/>
      <c r="F482" s="70"/>
      <c r="G482" s="70"/>
      <c r="H482" s="70"/>
      <c r="I482" s="70"/>
      <c r="J482" s="70"/>
      <c r="K482" s="70"/>
      <c r="L482" s="70"/>
      <c r="M482" s="70"/>
      <c r="N482" s="70"/>
      <c r="O482" s="70"/>
      <c r="P482" s="70"/>
      <c r="Q482" s="70"/>
      <c r="R482" s="70"/>
      <c r="S482" s="70"/>
      <c r="T482" s="70"/>
      <c r="U482" s="70"/>
      <c r="V482" s="70"/>
      <c r="W482" s="70"/>
      <c r="X482" s="70"/>
      <c r="Y482" s="70"/>
      <c r="Z482" s="70"/>
    </row>
    <row r="483">
      <c r="A483" s="70"/>
      <c r="B483" s="79"/>
      <c r="C483" s="79"/>
      <c r="D483" s="78"/>
      <c r="E483" s="71"/>
      <c r="F483" s="70"/>
      <c r="G483" s="70"/>
      <c r="H483" s="70"/>
      <c r="I483" s="70"/>
      <c r="J483" s="70"/>
      <c r="K483" s="70"/>
      <c r="L483" s="70"/>
      <c r="M483" s="70"/>
      <c r="N483" s="70"/>
      <c r="O483" s="70"/>
      <c r="P483" s="70"/>
      <c r="Q483" s="70"/>
      <c r="R483" s="70"/>
      <c r="S483" s="70"/>
      <c r="T483" s="70"/>
      <c r="U483" s="70"/>
      <c r="V483" s="70"/>
      <c r="W483" s="70"/>
      <c r="X483" s="70"/>
      <c r="Y483" s="70"/>
      <c r="Z483" s="70"/>
    </row>
    <row r="484">
      <c r="A484" s="70"/>
      <c r="B484" s="79"/>
      <c r="C484" s="79"/>
      <c r="D484" s="78"/>
      <c r="E484" s="71"/>
      <c r="F484" s="70"/>
      <c r="G484" s="70"/>
      <c r="H484" s="70"/>
      <c r="I484" s="70"/>
      <c r="J484" s="70"/>
      <c r="K484" s="70"/>
      <c r="L484" s="70"/>
      <c r="M484" s="70"/>
      <c r="N484" s="70"/>
      <c r="O484" s="70"/>
      <c r="P484" s="70"/>
      <c r="Q484" s="70"/>
      <c r="R484" s="70"/>
      <c r="S484" s="70"/>
      <c r="T484" s="70"/>
      <c r="U484" s="70"/>
      <c r="V484" s="70"/>
      <c r="W484" s="70"/>
      <c r="X484" s="70"/>
      <c r="Y484" s="70"/>
      <c r="Z484" s="70"/>
    </row>
    <row r="485">
      <c r="A485" s="70"/>
      <c r="B485" s="79"/>
      <c r="C485" s="79"/>
      <c r="D485" s="78"/>
      <c r="E485" s="71"/>
      <c r="F485" s="70"/>
      <c r="G485" s="70"/>
      <c r="H485" s="70"/>
      <c r="I485" s="70"/>
      <c r="J485" s="70"/>
      <c r="K485" s="70"/>
      <c r="L485" s="70"/>
      <c r="M485" s="70"/>
      <c r="N485" s="70"/>
      <c r="O485" s="70"/>
      <c r="P485" s="70"/>
      <c r="Q485" s="70"/>
      <c r="R485" s="70"/>
      <c r="S485" s="70"/>
      <c r="T485" s="70"/>
      <c r="U485" s="70"/>
      <c r="V485" s="70"/>
      <c r="W485" s="70"/>
      <c r="X485" s="70"/>
      <c r="Y485" s="70"/>
      <c r="Z485" s="70"/>
    </row>
    <row r="486">
      <c r="A486" s="70"/>
      <c r="B486" s="79"/>
      <c r="C486" s="79"/>
      <c r="D486" s="78"/>
      <c r="E486" s="71"/>
      <c r="F486" s="70"/>
      <c r="G486" s="70"/>
      <c r="H486" s="70"/>
      <c r="I486" s="70"/>
      <c r="J486" s="70"/>
      <c r="K486" s="70"/>
      <c r="L486" s="70"/>
      <c r="M486" s="70"/>
      <c r="N486" s="70"/>
      <c r="O486" s="70"/>
      <c r="P486" s="70"/>
      <c r="Q486" s="70"/>
      <c r="R486" s="70"/>
      <c r="S486" s="70"/>
      <c r="T486" s="70"/>
      <c r="U486" s="70"/>
      <c r="V486" s="70"/>
      <c r="W486" s="70"/>
      <c r="X486" s="70"/>
      <c r="Y486" s="70"/>
      <c r="Z486" s="70"/>
    </row>
    <row r="487">
      <c r="A487" s="70"/>
      <c r="B487" s="79"/>
      <c r="C487" s="79"/>
      <c r="D487" s="78"/>
      <c r="E487" s="71"/>
      <c r="F487" s="70"/>
      <c r="G487" s="70"/>
      <c r="H487" s="70"/>
      <c r="I487" s="70"/>
      <c r="J487" s="70"/>
      <c r="K487" s="70"/>
      <c r="L487" s="70"/>
      <c r="M487" s="70"/>
      <c r="N487" s="70"/>
      <c r="O487" s="70"/>
      <c r="P487" s="70"/>
      <c r="Q487" s="70"/>
      <c r="R487" s="70"/>
      <c r="S487" s="70"/>
      <c r="T487" s="70"/>
      <c r="U487" s="70"/>
      <c r="V487" s="70"/>
      <c r="W487" s="70"/>
      <c r="X487" s="70"/>
      <c r="Y487" s="70"/>
      <c r="Z487" s="70"/>
    </row>
    <row r="488">
      <c r="A488" s="70"/>
      <c r="B488" s="79"/>
      <c r="C488" s="79"/>
      <c r="D488" s="78"/>
      <c r="E488" s="71"/>
      <c r="F488" s="70"/>
      <c r="G488" s="70"/>
      <c r="H488" s="70"/>
      <c r="I488" s="70"/>
      <c r="J488" s="70"/>
      <c r="K488" s="70"/>
      <c r="L488" s="70"/>
      <c r="M488" s="70"/>
      <c r="N488" s="70"/>
      <c r="O488" s="70"/>
      <c r="P488" s="70"/>
      <c r="Q488" s="70"/>
      <c r="R488" s="70"/>
      <c r="S488" s="70"/>
      <c r="T488" s="70"/>
      <c r="U488" s="70"/>
      <c r="V488" s="70"/>
      <c r="W488" s="70"/>
      <c r="X488" s="70"/>
      <c r="Y488" s="70"/>
      <c r="Z488" s="70"/>
    </row>
    <row r="489">
      <c r="A489" s="70"/>
      <c r="B489" s="79"/>
      <c r="C489" s="79"/>
      <c r="D489" s="78"/>
      <c r="E489" s="71"/>
      <c r="F489" s="70"/>
      <c r="G489" s="70"/>
      <c r="H489" s="70"/>
      <c r="I489" s="70"/>
      <c r="J489" s="70"/>
      <c r="K489" s="70"/>
      <c r="L489" s="70"/>
      <c r="M489" s="70"/>
      <c r="N489" s="70"/>
      <c r="O489" s="70"/>
      <c r="P489" s="70"/>
      <c r="Q489" s="70"/>
      <c r="R489" s="70"/>
      <c r="S489" s="70"/>
      <c r="T489" s="70"/>
      <c r="U489" s="70"/>
      <c r="V489" s="70"/>
      <c r="W489" s="70"/>
      <c r="X489" s="70"/>
      <c r="Y489" s="70"/>
      <c r="Z489" s="70"/>
    </row>
    <row r="490">
      <c r="A490" s="70"/>
      <c r="B490" s="79"/>
      <c r="C490" s="79"/>
      <c r="D490" s="78"/>
      <c r="E490" s="71"/>
      <c r="F490" s="70"/>
      <c r="G490" s="70"/>
      <c r="H490" s="70"/>
      <c r="I490" s="70"/>
      <c r="J490" s="70"/>
      <c r="K490" s="70"/>
      <c r="L490" s="70"/>
      <c r="M490" s="70"/>
      <c r="N490" s="70"/>
      <c r="O490" s="70"/>
      <c r="P490" s="70"/>
      <c r="Q490" s="70"/>
      <c r="R490" s="70"/>
      <c r="S490" s="70"/>
      <c r="T490" s="70"/>
      <c r="U490" s="70"/>
      <c r="V490" s="70"/>
      <c r="W490" s="70"/>
      <c r="X490" s="70"/>
      <c r="Y490" s="70"/>
      <c r="Z490" s="70"/>
    </row>
    <row r="491">
      <c r="A491" s="70"/>
      <c r="B491" s="79"/>
      <c r="C491" s="79"/>
      <c r="D491" s="78"/>
      <c r="E491" s="71"/>
      <c r="F491" s="70"/>
      <c r="G491" s="70"/>
      <c r="H491" s="70"/>
      <c r="I491" s="70"/>
      <c r="J491" s="70"/>
      <c r="K491" s="70"/>
      <c r="L491" s="70"/>
      <c r="M491" s="70"/>
      <c r="N491" s="70"/>
      <c r="O491" s="70"/>
      <c r="P491" s="70"/>
      <c r="Q491" s="70"/>
      <c r="R491" s="70"/>
      <c r="S491" s="70"/>
      <c r="T491" s="70"/>
      <c r="U491" s="70"/>
      <c r="V491" s="70"/>
      <c r="W491" s="70"/>
      <c r="X491" s="70"/>
      <c r="Y491" s="70"/>
      <c r="Z491" s="70"/>
    </row>
    <row r="492">
      <c r="A492" s="70"/>
      <c r="B492" s="79"/>
      <c r="C492" s="79"/>
      <c r="D492" s="78"/>
      <c r="E492" s="71"/>
      <c r="F492" s="70"/>
      <c r="G492" s="70"/>
      <c r="H492" s="70"/>
      <c r="I492" s="70"/>
      <c r="J492" s="70"/>
      <c r="K492" s="70"/>
      <c r="L492" s="70"/>
      <c r="M492" s="70"/>
      <c r="N492" s="70"/>
      <c r="O492" s="70"/>
      <c r="P492" s="70"/>
      <c r="Q492" s="70"/>
      <c r="R492" s="70"/>
      <c r="S492" s="70"/>
      <c r="T492" s="70"/>
      <c r="U492" s="70"/>
      <c r="V492" s="70"/>
      <c r="W492" s="70"/>
      <c r="X492" s="70"/>
      <c r="Y492" s="70"/>
      <c r="Z492" s="70"/>
    </row>
    <row r="493">
      <c r="A493" s="70"/>
      <c r="B493" s="79"/>
      <c r="C493" s="79"/>
      <c r="D493" s="78"/>
      <c r="E493" s="71"/>
      <c r="F493" s="70"/>
      <c r="G493" s="70"/>
      <c r="H493" s="70"/>
      <c r="I493" s="70"/>
      <c r="J493" s="70"/>
      <c r="K493" s="70"/>
      <c r="L493" s="70"/>
      <c r="M493" s="70"/>
      <c r="N493" s="70"/>
      <c r="O493" s="70"/>
      <c r="P493" s="70"/>
      <c r="Q493" s="70"/>
      <c r="R493" s="70"/>
      <c r="S493" s="70"/>
      <c r="T493" s="70"/>
      <c r="U493" s="70"/>
      <c r="V493" s="70"/>
      <c r="W493" s="70"/>
      <c r="X493" s="70"/>
      <c r="Y493" s="70"/>
      <c r="Z493" s="70"/>
    </row>
    <row r="494">
      <c r="A494" s="70"/>
      <c r="B494" s="79"/>
      <c r="C494" s="79"/>
      <c r="D494" s="78"/>
      <c r="E494" s="71"/>
      <c r="F494" s="70"/>
      <c r="G494" s="70"/>
      <c r="H494" s="70"/>
      <c r="I494" s="70"/>
      <c r="J494" s="70"/>
      <c r="K494" s="70"/>
      <c r="L494" s="70"/>
      <c r="M494" s="70"/>
      <c r="N494" s="70"/>
      <c r="O494" s="70"/>
      <c r="P494" s="70"/>
      <c r="Q494" s="70"/>
      <c r="R494" s="70"/>
      <c r="S494" s="70"/>
      <c r="T494" s="70"/>
      <c r="U494" s="70"/>
      <c r="V494" s="70"/>
      <c r="W494" s="70"/>
      <c r="X494" s="70"/>
      <c r="Y494" s="70"/>
      <c r="Z494" s="70"/>
    </row>
    <row r="495">
      <c r="A495" s="70"/>
      <c r="B495" s="79"/>
      <c r="C495" s="79"/>
      <c r="D495" s="78"/>
      <c r="E495" s="71"/>
      <c r="F495" s="70"/>
      <c r="G495" s="70"/>
      <c r="H495" s="70"/>
      <c r="I495" s="70"/>
      <c r="J495" s="70"/>
      <c r="K495" s="70"/>
      <c r="L495" s="70"/>
      <c r="M495" s="70"/>
      <c r="N495" s="70"/>
      <c r="O495" s="70"/>
      <c r="P495" s="70"/>
      <c r="Q495" s="70"/>
      <c r="R495" s="70"/>
      <c r="S495" s="70"/>
      <c r="T495" s="70"/>
      <c r="U495" s="70"/>
      <c r="V495" s="70"/>
      <c r="W495" s="70"/>
      <c r="X495" s="70"/>
      <c r="Y495" s="70"/>
      <c r="Z495" s="70"/>
    </row>
    <row r="496">
      <c r="A496" s="70"/>
      <c r="B496" s="79"/>
      <c r="C496" s="79"/>
      <c r="D496" s="78"/>
      <c r="E496" s="71"/>
      <c r="F496" s="70"/>
      <c r="G496" s="70"/>
      <c r="H496" s="70"/>
      <c r="I496" s="70"/>
      <c r="J496" s="70"/>
      <c r="K496" s="70"/>
      <c r="L496" s="70"/>
      <c r="M496" s="70"/>
      <c r="N496" s="70"/>
      <c r="O496" s="70"/>
      <c r="P496" s="70"/>
      <c r="Q496" s="70"/>
      <c r="R496" s="70"/>
      <c r="S496" s="70"/>
      <c r="T496" s="70"/>
      <c r="U496" s="70"/>
      <c r="V496" s="70"/>
      <c r="W496" s="70"/>
      <c r="X496" s="70"/>
      <c r="Y496" s="70"/>
      <c r="Z496" s="70"/>
    </row>
    <row r="497">
      <c r="A497" s="70"/>
      <c r="B497" s="79"/>
      <c r="C497" s="79"/>
      <c r="D497" s="78"/>
      <c r="E497" s="71"/>
      <c r="F497" s="70"/>
      <c r="G497" s="70"/>
      <c r="H497" s="70"/>
      <c r="I497" s="70"/>
      <c r="J497" s="70"/>
      <c r="K497" s="70"/>
      <c r="L497" s="70"/>
      <c r="M497" s="70"/>
      <c r="N497" s="70"/>
      <c r="O497" s="70"/>
      <c r="P497" s="70"/>
      <c r="Q497" s="70"/>
      <c r="R497" s="70"/>
      <c r="S497" s="70"/>
      <c r="T497" s="70"/>
      <c r="U497" s="70"/>
      <c r="V497" s="70"/>
      <c r="W497" s="70"/>
      <c r="X497" s="70"/>
      <c r="Y497" s="70"/>
      <c r="Z497" s="70"/>
    </row>
    <row r="498">
      <c r="A498" s="70"/>
      <c r="B498" s="79"/>
      <c r="C498" s="79"/>
      <c r="D498" s="78"/>
      <c r="E498" s="71"/>
      <c r="F498" s="70"/>
      <c r="G498" s="70"/>
      <c r="H498" s="70"/>
      <c r="I498" s="70"/>
      <c r="J498" s="70"/>
      <c r="K498" s="70"/>
      <c r="L498" s="70"/>
      <c r="M498" s="70"/>
      <c r="N498" s="70"/>
      <c r="O498" s="70"/>
      <c r="P498" s="70"/>
      <c r="Q498" s="70"/>
      <c r="R498" s="70"/>
      <c r="S498" s="70"/>
      <c r="T498" s="70"/>
      <c r="U498" s="70"/>
      <c r="V498" s="70"/>
      <c r="W498" s="70"/>
      <c r="X498" s="70"/>
      <c r="Y498" s="70"/>
      <c r="Z498" s="70"/>
    </row>
    <row r="499">
      <c r="A499" s="70"/>
      <c r="B499" s="79"/>
      <c r="C499" s="79"/>
      <c r="D499" s="78"/>
      <c r="E499" s="71"/>
      <c r="F499" s="70"/>
      <c r="G499" s="70"/>
      <c r="H499" s="70"/>
      <c r="I499" s="70"/>
      <c r="J499" s="70"/>
      <c r="K499" s="70"/>
      <c r="L499" s="70"/>
      <c r="M499" s="70"/>
      <c r="N499" s="70"/>
      <c r="O499" s="70"/>
      <c r="P499" s="70"/>
      <c r="Q499" s="70"/>
      <c r="R499" s="70"/>
      <c r="S499" s="70"/>
      <c r="T499" s="70"/>
      <c r="U499" s="70"/>
      <c r="V499" s="70"/>
      <c r="W499" s="70"/>
      <c r="X499" s="70"/>
      <c r="Y499" s="70"/>
      <c r="Z499" s="70"/>
    </row>
    <row r="500">
      <c r="A500" s="70"/>
      <c r="B500" s="79"/>
      <c r="C500" s="79"/>
      <c r="D500" s="78"/>
      <c r="E500" s="71"/>
      <c r="F500" s="70"/>
      <c r="G500" s="70"/>
      <c r="H500" s="70"/>
      <c r="I500" s="70"/>
      <c r="J500" s="70"/>
      <c r="K500" s="70"/>
      <c r="L500" s="70"/>
      <c r="M500" s="70"/>
      <c r="N500" s="70"/>
      <c r="O500" s="70"/>
      <c r="P500" s="70"/>
      <c r="Q500" s="70"/>
      <c r="R500" s="70"/>
      <c r="S500" s="70"/>
      <c r="T500" s="70"/>
      <c r="U500" s="70"/>
      <c r="V500" s="70"/>
      <c r="W500" s="70"/>
      <c r="X500" s="70"/>
      <c r="Y500" s="70"/>
      <c r="Z500" s="70"/>
    </row>
    <row r="501">
      <c r="A501" s="70"/>
      <c r="B501" s="79"/>
      <c r="C501" s="79"/>
      <c r="D501" s="78"/>
      <c r="E501" s="71"/>
      <c r="F501" s="70"/>
      <c r="G501" s="70"/>
      <c r="H501" s="70"/>
      <c r="I501" s="70"/>
      <c r="J501" s="70"/>
      <c r="K501" s="70"/>
      <c r="L501" s="70"/>
      <c r="M501" s="70"/>
      <c r="N501" s="70"/>
      <c r="O501" s="70"/>
      <c r="P501" s="70"/>
      <c r="Q501" s="70"/>
      <c r="R501" s="70"/>
      <c r="S501" s="70"/>
      <c r="T501" s="70"/>
      <c r="U501" s="70"/>
      <c r="V501" s="70"/>
      <c r="W501" s="70"/>
      <c r="X501" s="70"/>
      <c r="Y501" s="70"/>
      <c r="Z501" s="70"/>
    </row>
    <row r="502">
      <c r="A502" s="70"/>
      <c r="B502" s="79"/>
      <c r="C502" s="79"/>
      <c r="D502" s="78"/>
      <c r="E502" s="71"/>
      <c r="F502" s="70"/>
      <c r="G502" s="70"/>
      <c r="H502" s="70"/>
      <c r="I502" s="70"/>
      <c r="J502" s="70"/>
      <c r="K502" s="70"/>
      <c r="L502" s="70"/>
      <c r="M502" s="70"/>
      <c r="N502" s="70"/>
      <c r="O502" s="70"/>
      <c r="P502" s="70"/>
      <c r="Q502" s="70"/>
      <c r="R502" s="70"/>
      <c r="S502" s="70"/>
      <c r="T502" s="70"/>
      <c r="U502" s="70"/>
      <c r="V502" s="70"/>
      <c r="W502" s="70"/>
      <c r="X502" s="70"/>
      <c r="Y502" s="70"/>
      <c r="Z502" s="70"/>
    </row>
    <row r="503">
      <c r="A503" s="70"/>
      <c r="B503" s="79"/>
      <c r="C503" s="79"/>
      <c r="D503" s="78"/>
      <c r="E503" s="71"/>
      <c r="F503" s="70"/>
      <c r="G503" s="70"/>
      <c r="H503" s="70"/>
      <c r="I503" s="70"/>
      <c r="J503" s="70"/>
      <c r="K503" s="70"/>
      <c r="L503" s="70"/>
      <c r="M503" s="70"/>
      <c r="N503" s="70"/>
      <c r="O503" s="70"/>
      <c r="P503" s="70"/>
      <c r="Q503" s="70"/>
      <c r="R503" s="70"/>
      <c r="S503" s="70"/>
      <c r="T503" s="70"/>
      <c r="U503" s="70"/>
      <c r="V503" s="70"/>
      <c r="W503" s="70"/>
      <c r="X503" s="70"/>
      <c r="Y503" s="70"/>
      <c r="Z503" s="70"/>
    </row>
    <row r="504">
      <c r="A504" s="70"/>
      <c r="B504" s="79"/>
      <c r="C504" s="79"/>
      <c r="D504" s="78"/>
      <c r="E504" s="71"/>
      <c r="F504" s="70"/>
      <c r="G504" s="70"/>
      <c r="H504" s="70"/>
      <c r="I504" s="70"/>
      <c r="J504" s="70"/>
      <c r="K504" s="70"/>
      <c r="L504" s="70"/>
      <c r="M504" s="70"/>
      <c r="N504" s="70"/>
      <c r="O504" s="70"/>
      <c r="P504" s="70"/>
      <c r="Q504" s="70"/>
      <c r="R504" s="70"/>
      <c r="S504" s="70"/>
      <c r="T504" s="70"/>
      <c r="U504" s="70"/>
      <c r="V504" s="70"/>
      <c r="W504" s="70"/>
      <c r="X504" s="70"/>
      <c r="Y504" s="70"/>
      <c r="Z504" s="70"/>
    </row>
    <row r="505">
      <c r="A505" s="70"/>
      <c r="B505" s="79"/>
      <c r="C505" s="79"/>
      <c r="D505" s="78"/>
      <c r="E505" s="71"/>
      <c r="F505" s="70"/>
      <c r="G505" s="70"/>
      <c r="H505" s="70"/>
      <c r="I505" s="70"/>
      <c r="J505" s="70"/>
      <c r="K505" s="70"/>
      <c r="L505" s="70"/>
      <c r="M505" s="70"/>
      <c r="N505" s="70"/>
      <c r="O505" s="70"/>
      <c r="P505" s="70"/>
      <c r="Q505" s="70"/>
      <c r="R505" s="70"/>
      <c r="S505" s="70"/>
      <c r="T505" s="70"/>
      <c r="U505" s="70"/>
      <c r="V505" s="70"/>
      <c r="W505" s="70"/>
      <c r="X505" s="70"/>
      <c r="Y505" s="70"/>
      <c r="Z505" s="70"/>
    </row>
    <row r="506">
      <c r="A506" s="70"/>
      <c r="B506" s="79"/>
      <c r="C506" s="79"/>
      <c r="D506" s="78"/>
      <c r="E506" s="71"/>
      <c r="F506" s="70"/>
      <c r="G506" s="70"/>
      <c r="H506" s="70"/>
      <c r="I506" s="70"/>
      <c r="J506" s="70"/>
      <c r="K506" s="70"/>
      <c r="L506" s="70"/>
      <c r="M506" s="70"/>
      <c r="N506" s="70"/>
      <c r="O506" s="70"/>
      <c r="P506" s="70"/>
      <c r="Q506" s="70"/>
      <c r="R506" s="70"/>
      <c r="S506" s="70"/>
      <c r="T506" s="70"/>
      <c r="U506" s="70"/>
      <c r="V506" s="70"/>
      <c r="W506" s="70"/>
      <c r="X506" s="70"/>
      <c r="Y506" s="70"/>
      <c r="Z506" s="70"/>
    </row>
    <row r="507">
      <c r="A507" s="70"/>
      <c r="B507" s="79"/>
      <c r="C507" s="79"/>
      <c r="D507" s="78"/>
      <c r="E507" s="71"/>
      <c r="F507" s="70"/>
      <c r="G507" s="70"/>
      <c r="H507" s="70"/>
      <c r="I507" s="70"/>
      <c r="J507" s="70"/>
      <c r="K507" s="70"/>
      <c r="L507" s="70"/>
      <c r="M507" s="70"/>
      <c r="N507" s="70"/>
      <c r="O507" s="70"/>
      <c r="P507" s="70"/>
      <c r="Q507" s="70"/>
      <c r="R507" s="70"/>
      <c r="S507" s="70"/>
      <c r="T507" s="70"/>
      <c r="U507" s="70"/>
      <c r="V507" s="70"/>
      <c r="W507" s="70"/>
      <c r="X507" s="70"/>
      <c r="Y507" s="70"/>
      <c r="Z507" s="70"/>
    </row>
    <row r="508">
      <c r="A508" s="70"/>
      <c r="B508" s="79"/>
      <c r="C508" s="79"/>
      <c r="D508" s="78"/>
      <c r="E508" s="71"/>
      <c r="F508" s="70"/>
      <c r="G508" s="70"/>
      <c r="H508" s="70"/>
      <c r="I508" s="70"/>
      <c r="J508" s="70"/>
      <c r="K508" s="70"/>
      <c r="L508" s="70"/>
      <c r="M508" s="70"/>
      <c r="N508" s="70"/>
      <c r="O508" s="70"/>
      <c r="P508" s="70"/>
      <c r="Q508" s="70"/>
      <c r="R508" s="70"/>
      <c r="S508" s="70"/>
      <c r="T508" s="70"/>
      <c r="U508" s="70"/>
      <c r="V508" s="70"/>
      <c r="W508" s="70"/>
      <c r="X508" s="70"/>
      <c r="Y508" s="70"/>
      <c r="Z508" s="70"/>
    </row>
    <row r="509">
      <c r="A509" s="70"/>
      <c r="B509" s="79"/>
      <c r="C509" s="79"/>
      <c r="D509" s="78"/>
      <c r="E509" s="71"/>
      <c r="F509" s="70"/>
      <c r="G509" s="70"/>
      <c r="H509" s="70"/>
      <c r="I509" s="70"/>
      <c r="J509" s="70"/>
      <c r="K509" s="70"/>
      <c r="L509" s="70"/>
      <c r="M509" s="70"/>
      <c r="N509" s="70"/>
      <c r="O509" s="70"/>
      <c r="P509" s="70"/>
      <c r="Q509" s="70"/>
      <c r="R509" s="70"/>
      <c r="S509" s="70"/>
      <c r="T509" s="70"/>
      <c r="U509" s="70"/>
      <c r="V509" s="70"/>
      <c r="W509" s="70"/>
      <c r="X509" s="70"/>
      <c r="Y509" s="70"/>
      <c r="Z509" s="70"/>
    </row>
    <row r="510">
      <c r="A510" s="70"/>
      <c r="B510" s="79"/>
      <c r="C510" s="79"/>
      <c r="D510" s="78"/>
      <c r="E510" s="71"/>
      <c r="F510" s="70"/>
      <c r="G510" s="70"/>
      <c r="H510" s="70"/>
      <c r="I510" s="70"/>
      <c r="J510" s="70"/>
      <c r="K510" s="70"/>
      <c r="L510" s="70"/>
      <c r="M510" s="70"/>
      <c r="N510" s="70"/>
      <c r="O510" s="70"/>
      <c r="P510" s="70"/>
      <c r="Q510" s="70"/>
      <c r="R510" s="70"/>
      <c r="S510" s="70"/>
      <c r="T510" s="70"/>
      <c r="U510" s="70"/>
      <c r="V510" s="70"/>
      <c r="W510" s="70"/>
      <c r="X510" s="70"/>
      <c r="Y510" s="70"/>
      <c r="Z510" s="70"/>
    </row>
    <row r="511">
      <c r="A511" s="70"/>
      <c r="B511" s="79"/>
      <c r="C511" s="79"/>
      <c r="D511" s="78"/>
      <c r="E511" s="71"/>
      <c r="F511" s="70"/>
      <c r="G511" s="70"/>
      <c r="H511" s="70"/>
      <c r="I511" s="70"/>
      <c r="J511" s="70"/>
      <c r="K511" s="70"/>
      <c r="L511" s="70"/>
      <c r="M511" s="70"/>
      <c r="N511" s="70"/>
      <c r="O511" s="70"/>
      <c r="P511" s="70"/>
      <c r="Q511" s="70"/>
      <c r="R511" s="70"/>
      <c r="S511" s="70"/>
      <c r="T511" s="70"/>
      <c r="U511" s="70"/>
      <c r="V511" s="70"/>
      <c r="W511" s="70"/>
      <c r="X511" s="70"/>
      <c r="Y511" s="70"/>
      <c r="Z511" s="70"/>
    </row>
    <row r="512">
      <c r="A512" s="70"/>
      <c r="B512" s="79"/>
      <c r="C512" s="79"/>
      <c r="D512" s="78"/>
      <c r="E512" s="71"/>
      <c r="F512" s="70"/>
      <c r="G512" s="70"/>
      <c r="H512" s="70"/>
      <c r="I512" s="70"/>
      <c r="J512" s="70"/>
      <c r="K512" s="70"/>
      <c r="L512" s="70"/>
      <c r="M512" s="70"/>
      <c r="N512" s="70"/>
      <c r="O512" s="70"/>
      <c r="P512" s="70"/>
      <c r="Q512" s="70"/>
      <c r="R512" s="70"/>
      <c r="S512" s="70"/>
      <c r="T512" s="70"/>
      <c r="U512" s="70"/>
      <c r="V512" s="70"/>
      <c r="W512" s="70"/>
      <c r="X512" s="70"/>
      <c r="Y512" s="70"/>
      <c r="Z512" s="70"/>
    </row>
    <row r="513">
      <c r="A513" s="70"/>
      <c r="B513" s="79"/>
      <c r="C513" s="79"/>
      <c r="D513" s="78"/>
      <c r="E513" s="71"/>
      <c r="F513" s="70"/>
      <c r="G513" s="70"/>
      <c r="H513" s="70"/>
      <c r="I513" s="70"/>
      <c r="J513" s="70"/>
      <c r="K513" s="70"/>
      <c r="L513" s="70"/>
      <c r="M513" s="70"/>
      <c r="N513" s="70"/>
      <c r="O513" s="70"/>
      <c r="P513" s="70"/>
      <c r="Q513" s="70"/>
      <c r="R513" s="70"/>
      <c r="S513" s="70"/>
      <c r="T513" s="70"/>
      <c r="U513" s="70"/>
      <c r="V513" s="70"/>
      <c r="W513" s="70"/>
      <c r="X513" s="70"/>
      <c r="Y513" s="70"/>
      <c r="Z513" s="70"/>
    </row>
    <row r="514">
      <c r="A514" s="70"/>
      <c r="B514" s="79"/>
      <c r="C514" s="79"/>
      <c r="D514" s="78"/>
      <c r="E514" s="71"/>
      <c r="F514" s="70"/>
      <c r="G514" s="70"/>
      <c r="H514" s="70"/>
      <c r="I514" s="70"/>
      <c r="J514" s="70"/>
      <c r="K514" s="70"/>
      <c r="L514" s="70"/>
      <c r="M514" s="70"/>
      <c r="N514" s="70"/>
      <c r="O514" s="70"/>
      <c r="P514" s="70"/>
      <c r="Q514" s="70"/>
      <c r="R514" s="70"/>
      <c r="S514" s="70"/>
      <c r="T514" s="70"/>
      <c r="U514" s="70"/>
      <c r="V514" s="70"/>
      <c r="W514" s="70"/>
      <c r="X514" s="70"/>
      <c r="Y514" s="70"/>
      <c r="Z514" s="70"/>
    </row>
    <row r="515">
      <c r="A515" s="70"/>
      <c r="B515" s="79"/>
      <c r="C515" s="79"/>
      <c r="D515" s="78"/>
      <c r="E515" s="71"/>
      <c r="F515" s="70"/>
      <c r="G515" s="70"/>
      <c r="H515" s="70"/>
      <c r="I515" s="70"/>
      <c r="J515" s="70"/>
      <c r="K515" s="70"/>
      <c r="L515" s="70"/>
      <c r="M515" s="70"/>
      <c r="N515" s="70"/>
      <c r="O515" s="70"/>
      <c r="P515" s="70"/>
      <c r="Q515" s="70"/>
      <c r="R515" s="70"/>
      <c r="S515" s="70"/>
      <c r="T515" s="70"/>
      <c r="U515" s="70"/>
      <c r="V515" s="70"/>
      <c r="W515" s="70"/>
      <c r="X515" s="70"/>
      <c r="Y515" s="70"/>
      <c r="Z515" s="70"/>
    </row>
    <row r="516">
      <c r="A516" s="70"/>
      <c r="B516" s="79"/>
      <c r="C516" s="79"/>
      <c r="D516" s="78"/>
      <c r="E516" s="71"/>
      <c r="F516" s="70"/>
      <c r="G516" s="70"/>
      <c r="H516" s="70"/>
      <c r="I516" s="70"/>
      <c r="J516" s="70"/>
      <c r="K516" s="70"/>
      <c r="L516" s="70"/>
      <c r="M516" s="70"/>
      <c r="N516" s="70"/>
      <c r="O516" s="70"/>
      <c r="P516" s="70"/>
      <c r="Q516" s="70"/>
      <c r="R516" s="70"/>
      <c r="S516" s="70"/>
      <c r="T516" s="70"/>
      <c r="U516" s="70"/>
      <c r="V516" s="70"/>
      <c r="W516" s="70"/>
      <c r="X516" s="70"/>
      <c r="Y516" s="70"/>
      <c r="Z516" s="70"/>
    </row>
    <row r="517">
      <c r="A517" s="70"/>
      <c r="B517" s="79"/>
      <c r="C517" s="79"/>
      <c r="D517" s="78"/>
      <c r="E517" s="71"/>
      <c r="F517" s="70"/>
      <c r="G517" s="70"/>
      <c r="H517" s="70"/>
      <c r="I517" s="70"/>
      <c r="J517" s="70"/>
      <c r="K517" s="70"/>
      <c r="L517" s="70"/>
      <c r="M517" s="70"/>
      <c r="N517" s="70"/>
      <c r="O517" s="70"/>
      <c r="P517" s="70"/>
      <c r="Q517" s="70"/>
      <c r="R517" s="70"/>
      <c r="S517" s="70"/>
      <c r="T517" s="70"/>
      <c r="U517" s="70"/>
      <c r="V517" s="70"/>
      <c r="W517" s="70"/>
      <c r="X517" s="70"/>
      <c r="Y517" s="70"/>
      <c r="Z517" s="70"/>
    </row>
    <row r="518">
      <c r="A518" s="70"/>
      <c r="B518" s="79"/>
      <c r="C518" s="79"/>
      <c r="D518" s="78"/>
      <c r="E518" s="71"/>
      <c r="F518" s="70"/>
      <c r="G518" s="70"/>
      <c r="H518" s="70"/>
      <c r="I518" s="70"/>
      <c r="J518" s="70"/>
      <c r="K518" s="70"/>
      <c r="L518" s="70"/>
      <c r="M518" s="70"/>
      <c r="N518" s="70"/>
      <c r="O518" s="70"/>
      <c r="P518" s="70"/>
      <c r="Q518" s="70"/>
      <c r="R518" s="70"/>
      <c r="S518" s="70"/>
      <c r="T518" s="70"/>
      <c r="U518" s="70"/>
      <c r="V518" s="70"/>
      <c r="W518" s="70"/>
      <c r="X518" s="70"/>
      <c r="Y518" s="70"/>
      <c r="Z518" s="70"/>
    </row>
    <row r="519">
      <c r="A519" s="70"/>
      <c r="B519" s="79"/>
      <c r="C519" s="79"/>
      <c r="D519" s="78"/>
      <c r="E519" s="71"/>
      <c r="F519" s="70"/>
      <c r="G519" s="70"/>
      <c r="H519" s="70"/>
      <c r="I519" s="70"/>
      <c r="J519" s="70"/>
      <c r="K519" s="70"/>
      <c r="L519" s="70"/>
      <c r="M519" s="70"/>
      <c r="N519" s="70"/>
      <c r="O519" s="70"/>
      <c r="P519" s="70"/>
      <c r="Q519" s="70"/>
      <c r="R519" s="70"/>
      <c r="S519" s="70"/>
      <c r="T519" s="70"/>
      <c r="U519" s="70"/>
      <c r="V519" s="70"/>
      <c r="W519" s="70"/>
      <c r="X519" s="70"/>
      <c r="Y519" s="70"/>
      <c r="Z519" s="70"/>
    </row>
    <row r="520">
      <c r="A520" s="70"/>
      <c r="B520" s="79"/>
      <c r="C520" s="79"/>
      <c r="D520" s="78"/>
      <c r="E520" s="71"/>
      <c r="F520" s="70"/>
      <c r="G520" s="70"/>
      <c r="H520" s="70"/>
      <c r="I520" s="70"/>
      <c r="J520" s="70"/>
      <c r="K520" s="70"/>
      <c r="L520" s="70"/>
      <c r="M520" s="70"/>
      <c r="N520" s="70"/>
      <c r="O520" s="70"/>
      <c r="P520" s="70"/>
      <c r="Q520" s="70"/>
      <c r="R520" s="70"/>
      <c r="S520" s="70"/>
      <c r="T520" s="70"/>
      <c r="U520" s="70"/>
      <c r="V520" s="70"/>
      <c r="W520" s="70"/>
      <c r="X520" s="70"/>
      <c r="Y520" s="70"/>
      <c r="Z520" s="70"/>
    </row>
    <row r="521">
      <c r="A521" s="70"/>
      <c r="B521" s="79"/>
      <c r="C521" s="79"/>
      <c r="D521" s="78"/>
      <c r="E521" s="71"/>
      <c r="F521" s="70"/>
      <c r="G521" s="70"/>
      <c r="H521" s="70"/>
      <c r="I521" s="70"/>
      <c r="J521" s="70"/>
      <c r="K521" s="70"/>
      <c r="L521" s="70"/>
      <c r="M521" s="70"/>
      <c r="N521" s="70"/>
      <c r="O521" s="70"/>
      <c r="P521" s="70"/>
      <c r="Q521" s="70"/>
      <c r="R521" s="70"/>
      <c r="S521" s="70"/>
      <c r="T521" s="70"/>
      <c r="U521" s="70"/>
      <c r="V521" s="70"/>
      <c r="W521" s="70"/>
      <c r="X521" s="70"/>
      <c r="Y521" s="70"/>
      <c r="Z521" s="70"/>
    </row>
    <row r="522">
      <c r="A522" s="70"/>
      <c r="B522" s="79"/>
      <c r="C522" s="79"/>
      <c r="D522" s="78"/>
      <c r="E522" s="71"/>
      <c r="F522" s="70"/>
      <c r="G522" s="70"/>
      <c r="H522" s="70"/>
      <c r="I522" s="70"/>
      <c r="J522" s="70"/>
      <c r="K522" s="70"/>
      <c r="L522" s="70"/>
      <c r="M522" s="70"/>
      <c r="N522" s="70"/>
      <c r="O522" s="70"/>
      <c r="P522" s="70"/>
      <c r="Q522" s="70"/>
      <c r="R522" s="70"/>
      <c r="S522" s="70"/>
      <c r="T522" s="70"/>
      <c r="U522" s="70"/>
      <c r="V522" s="70"/>
      <c r="W522" s="70"/>
      <c r="X522" s="70"/>
      <c r="Y522" s="70"/>
      <c r="Z522" s="70"/>
    </row>
    <row r="523">
      <c r="A523" s="70"/>
      <c r="B523" s="79"/>
      <c r="C523" s="79"/>
      <c r="D523" s="78"/>
      <c r="E523" s="71"/>
      <c r="F523" s="70"/>
      <c r="G523" s="70"/>
      <c r="H523" s="70"/>
      <c r="I523" s="70"/>
      <c r="J523" s="70"/>
      <c r="K523" s="70"/>
      <c r="L523" s="70"/>
      <c r="M523" s="70"/>
      <c r="N523" s="70"/>
      <c r="O523" s="70"/>
      <c r="P523" s="70"/>
      <c r="Q523" s="70"/>
      <c r="R523" s="70"/>
      <c r="S523" s="70"/>
      <c r="T523" s="70"/>
      <c r="U523" s="70"/>
      <c r="V523" s="70"/>
      <c r="W523" s="70"/>
      <c r="X523" s="70"/>
      <c r="Y523" s="70"/>
      <c r="Z523" s="70"/>
    </row>
    <row r="524">
      <c r="A524" s="70"/>
      <c r="B524" s="79"/>
      <c r="C524" s="79"/>
      <c r="D524" s="78"/>
      <c r="E524" s="71"/>
      <c r="F524" s="70"/>
      <c r="G524" s="70"/>
      <c r="H524" s="70"/>
      <c r="I524" s="70"/>
      <c r="J524" s="70"/>
      <c r="K524" s="70"/>
      <c r="L524" s="70"/>
      <c r="M524" s="70"/>
      <c r="N524" s="70"/>
      <c r="O524" s="70"/>
      <c r="P524" s="70"/>
      <c r="Q524" s="70"/>
      <c r="R524" s="70"/>
      <c r="S524" s="70"/>
      <c r="T524" s="70"/>
      <c r="U524" s="70"/>
      <c r="V524" s="70"/>
      <c r="W524" s="70"/>
      <c r="X524" s="70"/>
      <c r="Y524" s="70"/>
      <c r="Z524" s="70"/>
    </row>
    <row r="525">
      <c r="A525" s="70"/>
      <c r="B525" s="79"/>
      <c r="C525" s="79"/>
      <c r="D525" s="78"/>
      <c r="E525" s="71"/>
      <c r="F525" s="70"/>
      <c r="G525" s="70"/>
      <c r="H525" s="70"/>
      <c r="I525" s="70"/>
      <c r="J525" s="70"/>
      <c r="K525" s="70"/>
      <c r="L525" s="70"/>
      <c r="M525" s="70"/>
      <c r="N525" s="70"/>
      <c r="O525" s="70"/>
      <c r="P525" s="70"/>
      <c r="Q525" s="70"/>
      <c r="R525" s="70"/>
      <c r="S525" s="70"/>
      <c r="T525" s="70"/>
      <c r="U525" s="70"/>
      <c r="V525" s="70"/>
      <c r="W525" s="70"/>
      <c r="X525" s="70"/>
      <c r="Y525" s="70"/>
      <c r="Z525" s="70"/>
    </row>
    <row r="526">
      <c r="A526" s="70"/>
      <c r="B526" s="79"/>
      <c r="C526" s="79"/>
      <c r="D526" s="78"/>
      <c r="E526" s="71"/>
      <c r="F526" s="70"/>
      <c r="G526" s="70"/>
      <c r="H526" s="70"/>
      <c r="I526" s="70"/>
      <c r="J526" s="70"/>
      <c r="K526" s="70"/>
      <c r="L526" s="70"/>
      <c r="M526" s="70"/>
      <c r="N526" s="70"/>
      <c r="O526" s="70"/>
      <c r="P526" s="70"/>
      <c r="Q526" s="70"/>
      <c r="R526" s="70"/>
      <c r="S526" s="70"/>
      <c r="T526" s="70"/>
      <c r="U526" s="70"/>
      <c r="V526" s="70"/>
      <c r="W526" s="70"/>
      <c r="X526" s="70"/>
      <c r="Y526" s="70"/>
      <c r="Z526" s="70"/>
    </row>
    <row r="527">
      <c r="A527" s="70"/>
      <c r="B527" s="79"/>
      <c r="C527" s="79"/>
      <c r="D527" s="78"/>
      <c r="E527" s="71"/>
      <c r="F527" s="70"/>
      <c r="G527" s="70"/>
      <c r="H527" s="70"/>
      <c r="I527" s="70"/>
      <c r="J527" s="70"/>
      <c r="K527" s="70"/>
      <c r="L527" s="70"/>
      <c r="M527" s="70"/>
      <c r="N527" s="70"/>
      <c r="O527" s="70"/>
      <c r="P527" s="70"/>
      <c r="Q527" s="70"/>
      <c r="R527" s="70"/>
      <c r="S527" s="70"/>
      <c r="T527" s="70"/>
      <c r="U527" s="70"/>
      <c r="V527" s="70"/>
      <c r="W527" s="70"/>
      <c r="X527" s="70"/>
      <c r="Y527" s="70"/>
      <c r="Z527" s="70"/>
    </row>
    <row r="528">
      <c r="A528" s="70"/>
      <c r="B528" s="79"/>
      <c r="C528" s="79"/>
      <c r="D528" s="78"/>
      <c r="E528" s="71"/>
      <c r="F528" s="70"/>
      <c r="G528" s="70"/>
      <c r="H528" s="70"/>
      <c r="I528" s="70"/>
      <c r="J528" s="70"/>
      <c r="K528" s="70"/>
      <c r="L528" s="70"/>
      <c r="M528" s="70"/>
      <c r="N528" s="70"/>
      <c r="O528" s="70"/>
      <c r="P528" s="70"/>
      <c r="Q528" s="70"/>
      <c r="R528" s="70"/>
      <c r="S528" s="70"/>
      <c r="T528" s="70"/>
      <c r="U528" s="70"/>
      <c r="V528" s="70"/>
      <c r="W528" s="70"/>
      <c r="X528" s="70"/>
      <c r="Y528" s="70"/>
      <c r="Z528" s="70"/>
    </row>
    <row r="529">
      <c r="A529" s="70"/>
      <c r="B529" s="79"/>
      <c r="C529" s="79"/>
      <c r="D529" s="78"/>
      <c r="E529" s="71"/>
      <c r="F529" s="70"/>
      <c r="G529" s="70"/>
      <c r="H529" s="70"/>
      <c r="I529" s="70"/>
      <c r="J529" s="70"/>
      <c r="K529" s="70"/>
      <c r="L529" s="70"/>
      <c r="M529" s="70"/>
      <c r="N529" s="70"/>
      <c r="O529" s="70"/>
      <c r="P529" s="70"/>
      <c r="Q529" s="70"/>
      <c r="R529" s="70"/>
      <c r="S529" s="70"/>
      <c r="T529" s="70"/>
      <c r="U529" s="70"/>
      <c r="V529" s="70"/>
      <c r="W529" s="70"/>
      <c r="X529" s="70"/>
      <c r="Y529" s="70"/>
      <c r="Z529" s="70"/>
    </row>
    <row r="530">
      <c r="A530" s="70"/>
      <c r="B530" s="79"/>
      <c r="C530" s="79"/>
      <c r="D530" s="78"/>
      <c r="E530" s="71"/>
      <c r="F530" s="70"/>
      <c r="G530" s="70"/>
      <c r="H530" s="70"/>
      <c r="I530" s="70"/>
      <c r="J530" s="70"/>
      <c r="K530" s="70"/>
      <c r="L530" s="70"/>
      <c r="M530" s="70"/>
      <c r="N530" s="70"/>
      <c r="O530" s="70"/>
      <c r="P530" s="70"/>
      <c r="Q530" s="70"/>
      <c r="R530" s="70"/>
      <c r="S530" s="70"/>
      <c r="T530" s="70"/>
      <c r="U530" s="70"/>
      <c r="V530" s="70"/>
      <c r="W530" s="70"/>
      <c r="X530" s="70"/>
      <c r="Y530" s="70"/>
      <c r="Z530" s="70"/>
    </row>
    <row r="531">
      <c r="A531" s="70"/>
      <c r="B531" s="79"/>
      <c r="C531" s="79"/>
      <c r="D531" s="78"/>
      <c r="E531" s="71"/>
      <c r="F531" s="70"/>
      <c r="G531" s="70"/>
      <c r="H531" s="70"/>
      <c r="I531" s="70"/>
      <c r="J531" s="70"/>
      <c r="K531" s="70"/>
      <c r="L531" s="70"/>
      <c r="M531" s="70"/>
      <c r="N531" s="70"/>
      <c r="O531" s="70"/>
      <c r="P531" s="70"/>
      <c r="Q531" s="70"/>
      <c r="R531" s="70"/>
      <c r="S531" s="70"/>
      <c r="T531" s="70"/>
      <c r="U531" s="70"/>
      <c r="V531" s="70"/>
      <c r="W531" s="70"/>
      <c r="X531" s="70"/>
      <c r="Y531" s="70"/>
      <c r="Z531" s="70"/>
    </row>
    <row r="532">
      <c r="A532" s="70"/>
      <c r="B532" s="79"/>
      <c r="C532" s="79"/>
      <c r="D532" s="78"/>
      <c r="E532" s="71"/>
      <c r="F532" s="70"/>
      <c r="G532" s="70"/>
      <c r="H532" s="70"/>
      <c r="I532" s="70"/>
      <c r="J532" s="70"/>
      <c r="K532" s="70"/>
      <c r="L532" s="70"/>
      <c r="M532" s="70"/>
      <c r="N532" s="70"/>
      <c r="O532" s="70"/>
      <c r="P532" s="70"/>
      <c r="Q532" s="70"/>
      <c r="R532" s="70"/>
      <c r="S532" s="70"/>
      <c r="T532" s="70"/>
      <c r="U532" s="70"/>
      <c r="V532" s="70"/>
      <c r="W532" s="70"/>
      <c r="X532" s="70"/>
      <c r="Y532" s="70"/>
      <c r="Z532" s="70"/>
    </row>
    <row r="533">
      <c r="A533" s="70"/>
      <c r="B533" s="79"/>
      <c r="C533" s="79"/>
      <c r="D533" s="78"/>
      <c r="E533" s="71"/>
      <c r="F533" s="70"/>
      <c r="G533" s="70"/>
      <c r="H533" s="70"/>
      <c r="I533" s="70"/>
      <c r="J533" s="70"/>
      <c r="K533" s="70"/>
      <c r="L533" s="70"/>
      <c r="M533" s="70"/>
      <c r="N533" s="70"/>
      <c r="O533" s="70"/>
      <c r="P533" s="70"/>
      <c r="Q533" s="70"/>
      <c r="R533" s="70"/>
      <c r="S533" s="70"/>
      <c r="T533" s="70"/>
      <c r="U533" s="70"/>
      <c r="V533" s="70"/>
      <c r="W533" s="70"/>
      <c r="X533" s="70"/>
      <c r="Y533" s="70"/>
      <c r="Z533" s="70"/>
    </row>
    <row r="534">
      <c r="A534" s="70"/>
      <c r="B534" s="79"/>
      <c r="C534" s="79"/>
      <c r="D534" s="78"/>
      <c r="E534" s="71"/>
      <c r="F534" s="70"/>
      <c r="G534" s="70"/>
      <c r="H534" s="70"/>
      <c r="I534" s="70"/>
      <c r="J534" s="70"/>
      <c r="K534" s="70"/>
      <c r="L534" s="70"/>
      <c r="M534" s="70"/>
      <c r="N534" s="70"/>
      <c r="O534" s="70"/>
      <c r="P534" s="70"/>
      <c r="Q534" s="70"/>
      <c r="R534" s="70"/>
      <c r="S534" s="70"/>
      <c r="T534" s="70"/>
      <c r="U534" s="70"/>
      <c r="V534" s="70"/>
      <c r="W534" s="70"/>
      <c r="X534" s="70"/>
      <c r="Y534" s="70"/>
      <c r="Z534" s="70"/>
    </row>
    <row r="535">
      <c r="A535" s="70"/>
      <c r="B535" s="79"/>
      <c r="C535" s="79"/>
      <c r="D535" s="78"/>
      <c r="E535" s="71"/>
      <c r="F535" s="70"/>
      <c r="G535" s="70"/>
      <c r="H535" s="70"/>
      <c r="I535" s="70"/>
      <c r="J535" s="70"/>
      <c r="K535" s="70"/>
      <c r="L535" s="70"/>
      <c r="M535" s="70"/>
      <c r="N535" s="70"/>
      <c r="O535" s="70"/>
      <c r="P535" s="70"/>
      <c r="Q535" s="70"/>
      <c r="R535" s="70"/>
      <c r="S535" s="70"/>
      <c r="T535" s="70"/>
      <c r="U535" s="70"/>
      <c r="V535" s="70"/>
      <c r="W535" s="70"/>
      <c r="X535" s="70"/>
      <c r="Y535" s="70"/>
      <c r="Z535" s="70"/>
    </row>
    <row r="536">
      <c r="A536" s="70"/>
      <c r="B536" s="79"/>
      <c r="C536" s="79"/>
      <c r="D536" s="78"/>
      <c r="E536" s="71"/>
      <c r="F536" s="70"/>
      <c r="G536" s="70"/>
      <c r="H536" s="70"/>
      <c r="I536" s="70"/>
      <c r="J536" s="70"/>
      <c r="K536" s="70"/>
      <c r="L536" s="70"/>
      <c r="M536" s="70"/>
      <c r="N536" s="70"/>
      <c r="O536" s="70"/>
      <c r="P536" s="70"/>
      <c r="Q536" s="70"/>
      <c r="R536" s="70"/>
      <c r="S536" s="70"/>
      <c r="T536" s="70"/>
      <c r="U536" s="70"/>
      <c r="V536" s="70"/>
      <c r="W536" s="70"/>
      <c r="X536" s="70"/>
      <c r="Y536" s="70"/>
      <c r="Z536" s="70"/>
    </row>
    <row r="537">
      <c r="A537" s="70"/>
      <c r="B537" s="79"/>
      <c r="C537" s="79"/>
      <c r="D537" s="78"/>
      <c r="E537" s="71"/>
      <c r="F537" s="70"/>
      <c r="G537" s="70"/>
      <c r="H537" s="70"/>
      <c r="I537" s="70"/>
      <c r="J537" s="70"/>
      <c r="K537" s="70"/>
      <c r="L537" s="70"/>
      <c r="M537" s="70"/>
      <c r="N537" s="70"/>
      <c r="O537" s="70"/>
      <c r="P537" s="70"/>
      <c r="Q537" s="70"/>
      <c r="R537" s="70"/>
      <c r="S537" s="70"/>
      <c r="T537" s="70"/>
      <c r="U537" s="70"/>
      <c r="V537" s="70"/>
      <c r="W537" s="70"/>
      <c r="X537" s="70"/>
      <c r="Y537" s="70"/>
      <c r="Z537" s="70"/>
    </row>
    <row r="538">
      <c r="A538" s="70"/>
      <c r="B538" s="79"/>
      <c r="C538" s="79"/>
      <c r="D538" s="78"/>
      <c r="E538" s="71"/>
      <c r="F538" s="70"/>
      <c r="G538" s="70"/>
      <c r="H538" s="70"/>
      <c r="I538" s="70"/>
      <c r="J538" s="70"/>
      <c r="K538" s="70"/>
      <c r="L538" s="70"/>
      <c r="M538" s="70"/>
      <c r="N538" s="70"/>
      <c r="O538" s="70"/>
      <c r="P538" s="70"/>
      <c r="Q538" s="70"/>
      <c r="R538" s="70"/>
      <c r="S538" s="70"/>
      <c r="T538" s="70"/>
      <c r="U538" s="70"/>
      <c r="V538" s="70"/>
      <c r="W538" s="70"/>
      <c r="X538" s="70"/>
      <c r="Y538" s="70"/>
      <c r="Z538" s="70"/>
    </row>
    <row r="539">
      <c r="A539" s="70"/>
      <c r="B539" s="79"/>
      <c r="C539" s="79"/>
      <c r="D539" s="78"/>
      <c r="E539" s="71"/>
      <c r="F539" s="70"/>
      <c r="G539" s="70"/>
      <c r="H539" s="70"/>
      <c r="I539" s="70"/>
      <c r="J539" s="70"/>
      <c r="K539" s="70"/>
      <c r="L539" s="70"/>
      <c r="M539" s="70"/>
      <c r="N539" s="70"/>
      <c r="O539" s="70"/>
      <c r="P539" s="70"/>
      <c r="Q539" s="70"/>
      <c r="R539" s="70"/>
      <c r="S539" s="70"/>
      <c r="T539" s="70"/>
      <c r="U539" s="70"/>
      <c r="V539" s="70"/>
      <c r="W539" s="70"/>
      <c r="X539" s="70"/>
      <c r="Y539" s="70"/>
      <c r="Z539" s="70"/>
    </row>
    <row r="540">
      <c r="A540" s="70"/>
      <c r="B540" s="79"/>
      <c r="C540" s="79"/>
      <c r="D540" s="78"/>
      <c r="E540" s="71"/>
      <c r="F540" s="70"/>
      <c r="G540" s="70"/>
      <c r="H540" s="70"/>
      <c r="I540" s="70"/>
      <c r="J540" s="70"/>
      <c r="K540" s="70"/>
      <c r="L540" s="70"/>
      <c r="M540" s="70"/>
      <c r="N540" s="70"/>
      <c r="O540" s="70"/>
      <c r="P540" s="70"/>
      <c r="Q540" s="70"/>
      <c r="R540" s="70"/>
      <c r="S540" s="70"/>
      <c r="T540" s="70"/>
      <c r="U540" s="70"/>
      <c r="V540" s="70"/>
      <c r="W540" s="70"/>
      <c r="X540" s="70"/>
      <c r="Y540" s="70"/>
      <c r="Z540" s="70"/>
    </row>
    <row r="541">
      <c r="A541" s="70"/>
      <c r="B541" s="79"/>
      <c r="C541" s="79"/>
      <c r="D541" s="78"/>
      <c r="E541" s="71"/>
      <c r="F541" s="70"/>
      <c r="G541" s="70"/>
      <c r="H541" s="70"/>
      <c r="I541" s="70"/>
      <c r="J541" s="70"/>
      <c r="K541" s="70"/>
      <c r="L541" s="70"/>
      <c r="M541" s="70"/>
      <c r="N541" s="70"/>
      <c r="O541" s="70"/>
      <c r="P541" s="70"/>
      <c r="Q541" s="70"/>
      <c r="R541" s="70"/>
      <c r="S541" s="70"/>
      <c r="T541" s="70"/>
      <c r="U541" s="70"/>
      <c r="V541" s="70"/>
      <c r="W541" s="70"/>
      <c r="X541" s="70"/>
      <c r="Y541" s="70"/>
      <c r="Z541" s="70"/>
    </row>
    <row r="542">
      <c r="A542" s="70"/>
      <c r="B542" s="79"/>
      <c r="C542" s="79"/>
      <c r="D542" s="78"/>
      <c r="E542" s="71"/>
      <c r="F542" s="70"/>
      <c r="G542" s="70"/>
      <c r="H542" s="70"/>
      <c r="I542" s="70"/>
      <c r="J542" s="70"/>
      <c r="K542" s="70"/>
      <c r="L542" s="70"/>
      <c r="M542" s="70"/>
      <c r="N542" s="70"/>
      <c r="O542" s="70"/>
      <c r="P542" s="70"/>
      <c r="Q542" s="70"/>
      <c r="R542" s="70"/>
      <c r="S542" s="70"/>
      <c r="T542" s="70"/>
      <c r="U542" s="70"/>
      <c r="V542" s="70"/>
      <c r="W542" s="70"/>
      <c r="X542" s="70"/>
      <c r="Y542" s="70"/>
      <c r="Z542" s="70"/>
    </row>
    <row r="543">
      <c r="A543" s="70"/>
      <c r="B543" s="79"/>
      <c r="C543" s="79"/>
      <c r="D543" s="78"/>
      <c r="E543" s="71"/>
      <c r="F543" s="70"/>
      <c r="G543" s="70"/>
      <c r="H543" s="70"/>
      <c r="I543" s="70"/>
      <c r="J543" s="70"/>
      <c r="K543" s="70"/>
      <c r="L543" s="70"/>
      <c r="M543" s="70"/>
      <c r="N543" s="70"/>
      <c r="O543" s="70"/>
      <c r="P543" s="70"/>
      <c r="Q543" s="70"/>
      <c r="R543" s="70"/>
      <c r="S543" s="70"/>
      <c r="T543" s="70"/>
      <c r="U543" s="70"/>
      <c r="V543" s="70"/>
      <c r="W543" s="70"/>
      <c r="X543" s="70"/>
      <c r="Y543" s="70"/>
      <c r="Z543" s="70"/>
    </row>
    <row r="544">
      <c r="A544" s="70"/>
      <c r="B544" s="79"/>
      <c r="C544" s="79"/>
      <c r="D544" s="78"/>
      <c r="E544" s="71"/>
      <c r="F544" s="70"/>
      <c r="G544" s="70"/>
      <c r="H544" s="70"/>
      <c r="I544" s="70"/>
      <c r="J544" s="70"/>
      <c r="K544" s="70"/>
      <c r="L544" s="70"/>
      <c r="M544" s="70"/>
      <c r="N544" s="70"/>
      <c r="O544" s="70"/>
      <c r="P544" s="70"/>
      <c r="Q544" s="70"/>
      <c r="R544" s="70"/>
      <c r="S544" s="70"/>
      <c r="T544" s="70"/>
      <c r="U544" s="70"/>
      <c r="V544" s="70"/>
      <c r="W544" s="70"/>
      <c r="X544" s="70"/>
      <c r="Y544" s="70"/>
      <c r="Z544" s="70"/>
    </row>
    <row r="545">
      <c r="A545" s="70"/>
      <c r="B545" s="79"/>
      <c r="C545" s="79"/>
      <c r="D545" s="78"/>
      <c r="E545" s="71"/>
      <c r="F545" s="70"/>
      <c r="G545" s="70"/>
      <c r="H545" s="70"/>
      <c r="I545" s="70"/>
      <c r="J545" s="70"/>
      <c r="K545" s="70"/>
      <c r="L545" s="70"/>
      <c r="M545" s="70"/>
      <c r="N545" s="70"/>
      <c r="O545" s="70"/>
      <c r="P545" s="70"/>
      <c r="Q545" s="70"/>
      <c r="R545" s="70"/>
      <c r="S545" s="70"/>
      <c r="T545" s="70"/>
      <c r="U545" s="70"/>
      <c r="V545" s="70"/>
      <c r="W545" s="70"/>
      <c r="X545" s="70"/>
      <c r="Y545" s="70"/>
      <c r="Z545" s="70"/>
    </row>
    <row r="546">
      <c r="A546" s="70"/>
      <c r="B546" s="79"/>
      <c r="C546" s="79"/>
      <c r="D546" s="78"/>
      <c r="E546" s="71"/>
      <c r="F546" s="70"/>
      <c r="G546" s="70"/>
      <c r="H546" s="70"/>
      <c r="I546" s="70"/>
      <c r="J546" s="70"/>
      <c r="K546" s="70"/>
      <c r="L546" s="70"/>
      <c r="M546" s="70"/>
      <c r="N546" s="70"/>
      <c r="O546" s="70"/>
      <c r="P546" s="70"/>
      <c r="Q546" s="70"/>
      <c r="R546" s="70"/>
      <c r="S546" s="70"/>
      <c r="T546" s="70"/>
      <c r="U546" s="70"/>
      <c r="V546" s="70"/>
      <c r="W546" s="70"/>
      <c r="X546" s="70"/>
      <c r="Y546" s="70"/>
      <c r="Z546" s="70"/>
    </row>
    <row r="547">
      <c r="A547" s="70"/>
      <c r="B547" s="79"/>
      <c r="C547" s="79"/>
      <c r="D547" s="78"/>
      <c r="E547" s="71"/>
      <c r="F547" s="70"/>
      <c r="G547" s="70"/>
      <c r="H547" s="70"/>
      <c r="I547" s="70"/>
      <c r="J547" s="70"/>
      <c r="K547" s="70"/>
      <c r="L547" s="70"/>
      <c r="M547" s="70"/>
      <c r="N547" s="70"/>
      <c r="O547" s="70"/>
      <c r="P547" s="70"/>
      <c r="Q547" s="70"/>
      <c r="R547" s="70"/>
      <c r="S547" s="70"/>
      <c r="T547" s="70"/>
      <c r="U547" s="70"/>
      <c r="V547" s="70"/>
      <c r="W547" s="70"/>
      <c r="X547" s="70"/>
      <c r="Y547" s="70"/>
      <c r="Z547" s="70"/>
    </row>
    <row r="548">
      <c r="A548" s="70"/>
      <c r="B548" s="79"/>
      <c r="C548" s="79"/>
      <c r="D548" s="78"/>
      <c r="E548" s="71"/>
      <c r="F548" s="70"/>
      <c r="G548" s="70"/>
      <c r="H548" s="70"/>
      <c r="I548" s="70"/>
      <c r="J548" s="70"/>
      <c r="K548" s="70"/>
      <c r="L548" s="70"/>
      <c r="M548" s="70"/>
      <c r="N548" s="70"/>
      <c r="O548" s="70"/>
      <c r="P548" s="70"/>
      <c r="Q548" s="70"/>
      <c r="R548" s="70"/>
      <c r="S548" s="70"/>
      <c r="T548" s="70"/>
      <c r="U548" s="70"/>
      <c r="V548" s="70"/>
      <c r="W548" s="70"/>
      <c r="X548" s="70"/>
      <c r="Y548" s="70"/>
      <c r="Z548" s="70"/>
    </row>
    <row r="549">
      <c r="A549" s="70"/>
      <c r="B549" s="79"/>
      <c r="C549" s="79"/>
      <c r="D549" s="78"/>
      <c r="E549" s="71"/>
      <c r="F549" s="70"/>
      <c r="G549" s="70"/>
      <c r="H549" s="70"/>
      <c r="I549" s="70"/>
      <c r="J549" s="70"/>
      <c r="K549" s="70"/>
      <c r="L549" s="70"/>
      <c r="M549" s="70"/>
      <c r="N549" s="70"/>
      <c r="O549" s="70"/>
      <c r="P549" s="70"/>
      <c r="Q549" s="70"/>
      <c r="R549" s="70"/>
      <c r="S549" s="70"/>
      <c r="T549" s="70"/>
      <c r="U549" s="70"/>
      <c r="V549" s="70"/>
      <c r="W549" s="70"/>
      <c r="X549" s="70"/>
      <c r="Y549" s="70"/>
      <c r="Z549" s="70"/>
    </row>
    <row r="550">
      <c r="A550" s="70"/>
      <c r="B550" s="79"/>
      <c r="C550" s="79"/>
      <c r="D550" s="78"/>
      <c r="E550" s="71"/>
      <c r="F550" s="70"/>
      <c r="G550" s="70"/>
      <c r="H550" s="70"/>
      <c r="I550" s="70"/>
      <c r="J550" s="70"/>
      <c r="K550" s="70"/>
      <c r="L550" s="70"/>
      <c r="M550" s="70"/>
      <c r="N550" s="70"/>
      <c r="O550" s="70"/>
      <c r="P550" s="70"/>
      <c r="Q550" s="70"/>
      <c r="R550" s="70"/>
      <c r="S550" s="70"/>
      <c r="T550" s="70"/>
      <c r="U550" s="70"/>
      <c r="V550" s="70"/>
      <c r="W550" s="70"/>
      <c r="X550" s="70"/>
      <c r="Y550" s="70"/>
      <c r="Z550" s="70"/>
    </row>
    <row r="551">
      <c r="A551" s="70"/>
      <c r="B551" s="79"/>
      <c r="C551" s="79"/>
      <c r="D551" s="78"/>
      <c r="E551" s="71"/>
      <c r="F551" s="70"/>
      <c r="G551" s="70"/>
      <c r="H551" s="70"/>
      <c r="I551" s="70"/>
      <c r="J551" s="70"/>
      <c r="K551" s="70"/>
      <c r="L551" s="70"/>
      <c r="M551" s="70"/>
      <c r="N551" s="70"/>
      <c r="O551" s="70"/>
      <c r="P551" s="70"/>
      <c r="Q551" s="70"/>
      <c r="R551" s="70"/>
      <c r="S551" s="70"/>
      <c r="T551" s="70"/>
      <c r="U551" s="70"/>
      <c r="V551" s="70"/>
      <c r="W551" s="70"/>
      <c r="X551" s="70"/>
      <c r="Y551" s="70"/>
      <c r="Z551" s="70"/>
    </row>
    <row r="552">
      <c r="A552" s="70"/>
      <c r="B552" s="79"/>
      <c r="C552" s="79"/>
      <c r="D552" s="78"/>
      <c r="E552" s="71"/>
      <c r="F552" s="70"/>
      <c r="G552" s="70"/>
      <c r="H552" s="70"/>
      <c r="I552" s="70"/>
      <c r="J552" s="70"/>
      <c r="K552" s="70"/>
      <c r="L552" s="70"/>
      <c r="M552" s="70"/>
      <c r="N552" s="70"/>
      <c r="O552" s="70"/>
      <c r="P552" s="70"/>
      <c r="Q552" s="70"/>
      <c r="R552" s="70"/>
      <c r="S552" s="70"/>
      <c r="T552" s="70"/>
      <c r="U552" s="70"/>
      <c r="V552" s="70"/>
      <c r="W552" s="70"/>
      <c r="X552" s="70"/>
      <c r="Y552" s="70"/>
      <c r="Z552" s="70"/>
    </row>
    <row r="553">
      <c r="A553" s="70"/>
      <c r="B553" s="79"/>
      <c r="C553" s="79"/>
      <c r="D553" s="78"/>
      <c r="E553" s="71"/>
      <c r="F553" s="70"/>
      <c r="G553" s="70"/>
      <c r="H553" s="70"/>
      <c r="I553" s="70"/>
      <c r="J553" s="70"/>
      <c r="K553" s="70"/>
      <c r="L553" s="70"/>
      <c r="M553" s="70"/>
      <c r="N553" s="70"/>
      <c r="O553" s="70"/>
      <c r="P553" s="70"/>
      <c r="Q553" s="70"/>
      <c r="R553" s="70"/>
      <c r="S553" s="70"/>
      <c r="T553" s="70"/>
      <c r="U553" s="70"/>
      <c r="V553" s="70"/>
      <c r="W553" s="70"/>
      <c r="X553" s="70"/>
      <c r="Y553" s="70"/>
      <c r="Z553" s="70"/>
    </row>
    <row r="554">
      <c r="A554" s="70"/>
      <c r="B554" s="79"/>
      <c r="C554" s="79"/>
      <c r="D554" s="78"/>
      <c r="E554" s="71"/>
      <c r="F554" s="70"/>
      <c r="G554" s="70"/>
      <c r="H554" s="70"/>
      <c r="I554" s="70"/>
      <c r="J554" s="70"/>
      <c r="K554" s="70"/>
      <c r="L554" s="70"/>
      <c r="M554" s="70"/>
      <c r="N554" s="70"/>
      <c r="O554" s="70"/>
      <c r="P554" s="70"/>
      <c r="Q554" s="70"/>
      <c r="R554" s="70"/>
      <c r="S554" s="70"/>
      <c r="T554" s="70"/>
      <c r="U554" s="70"/>
      <c r="V554" s="70"/>
      <c r="W554" s="70"/>
      <c r="X554" s="70"/>
      <c r="Y554" s="70"/>
      <c r="Z554" s="70"/>
    </row>
    <row r="555">
      <c r="A555" s="70"/>
      <c r="B555" s="79"/>
      <c r="C555" s="79"/>
      <c r="D555" s="78"/>
      <c r="E555" s="71"/>
      <c r="F555" s="70"/>
      <c r="G555" s="70"/>
      <c r="H555" s="70"/>
      <c r="I555" s="70"/>
      <c r="J555" s="70"/>
      <c r="K555" s="70"/>
      <c r="L555" s="70"/>
      <c r="M555" s="70"/>
      <c r="N555" s="70"/>
      <c r="O555" s="70"/>
      <c r="P555" s="70"/>
      <c r="Q555" s="70"/>
      <c r="R555" s="70"/>
      <c r="S555" s="70"/>
      <c r="T555" s="70"/>
      <c r="U555" s="70"/>
      <c r="V555" s="70"/>
      <c r="W555" s="70"/>
      <c r="X555" s="70"/>
      <c r="Y555" s="70"/>
      <c r="Z555" s="70"/>
    </row>
    <row r="556">
      <c r="A556" s="70"/>
      <c r="B556" s="79"/>
      <c r="C556" s="79"/>
      <c r="D556" s="78"/>
      <c r="E556" s="71"/>
      <c r="F556" s="70"/>
      <c r="G556" s="70"/>
      <c r="H556" s="70"/>
      <c r="I556" s="70"/>
      <c r="J556" s="70"/>
      <c r="K556" s="70"/>
      <c r="L556" s="70"/>
      <c r="M556" s="70"/>
      <c r="N556" s="70"/>
      <c r="O556" s="70"/>
      <c r="P556" s="70"/>
      <c r="Q556" s="70"/>
      <c r="R556" s="70"/>
      <c r="S556" s="70"/>
      <c r="T556" s="70"/>
      <c r="U556" s="70"/>
      <c r="V556" s="70"/>
      <c r="W556" s="70"/>
      <c r="X556" s="70"/>
      <c r="Y556" s="70"/>
      <c r="Z556" s="70"/>
    </row>
    <row r="557">
      <c r="A557" s="70"/>
      <c r="B557" s="79"/>
      <c r="C557" s="79"/>
      <c r="D557" s="78"/>
      <c r="E557" s="71"/>
      <c r="F557" s="70"/>
      <c r="G557" s="70"/>
      <c r="H557" s="70"/>
      <c r="I557" s="70"/>
      <c r="J557" s="70"/>
      <c r="K557" s="70"/>
      <c r="L557" s="70"/>
      <c r="M557" s="70"/>
      <c r="N557" s="70"/>
      <c r="O557" s="70"/>
      <c r="P557" s="70"/>
      <c r="Q557" s="70"/>
      <c r="R557" s="70"/>
      <c r="S557" s="70"/>
      <c r="T557" s="70"/>
      <c r="U557" s="70"/>
      <c r="V557" s="70"/>
      <c r="W557" s="70"/>
      <c r="X557" s="70"/>
      <c r="Y557" s="70"/>
      <c r="Z557" s="70"/>
    </row>
    <row r="558">
      <c r="A558" s="70"/>
      <c r="B558" s="79"/>
      <c r="C558" s="79"/>
      <c r="D558" s="78"/>
      <c r="E558" s="71"/>
      <c r="F558" s="70"/>
      <c r="G558" s="70"/>
      <c r="H558" s="70"/>
      <c r="I558" s="70"/>
      <c r="J558" s="70"/>
      <c r="K558" s="70"/>
      <c r="L558" s="70"/>
      <c r="M558" s="70"/>
      <c r="N558" s="70"/>
      <c r="O558" s="70"/>
      <c r="P558" s="70"/>
      <c r="Q558" s="70"/>
      <c r="R558" s="70"/>
      <c r="S558" s="70"/>
      <c r="T558" s="70"/>
      <c r="U558" s="70"/>
      <c r="V558" s="70"/>
      <c r="W558" s="70"/>
      <c r="X558" s="70"/>
      <c r="Y558" s="70"/>
      <c r="Z558" s="70"/>
    </row>
    <row r="559">
      <c r="A559" s="70"/>
      <c r="B559" s="79"/>
      <c r="C559" s="79"/>
      <c r="D559" s="78"/>
      <c r="E559" s="71"/>
      <c r="F559" s="70"/>
      <c r="G559" s="70"/>
      <c r="H559" s="70"/>
      <c r="I559" s="70"/>
      <c r="J559" s="70"/>
      <c r="K559" s="70"/>
      <c r="L559" s="70"/>
      <c r="M559" s="70"/>
      <c r="N559" s="70"/>
      <c r="O559" s="70"/>
      <c r="P559" s="70"/>
      <c r="Q559" s="70"/>
      <c r="R559" s="70"/>
      <c r="S559" s="70"/>
      <c r="T559" s="70"/>
      <c r="U559" s="70"/>
      <c r="V559" s="70"/>
      <c r="W559" s="70"/>
      <c r="X559" s="70"/>
      <c r="Y559" s="70"/>
      <c r="Z559" s="70"/>
    </row>
    <row r="560">
      <c r="A560" s="70"/>
      <c r="B560" s="79"/>
      <c r="C560" s="79"/>
      <c r="D560" s="78"/>
      <c r="E560" s="71"/>
      <c r="F560" s="70"/>
      <c r="G560" s="70"/>
      <c r="H560" s="70"/>
      <c r="I560" s="70"/>
      <c r="J560" s="70"/>
      <c r="K560" s="70"/>
      <c r="L560" s="70"/>
      <c r="M560" s="70"/>
      <c r="N560" s="70"/>
      <c r="O560" s="70"/>
      <c r="P560" s="70"/>
      <c r="Q560" s="70"/>
      <c r="R560" s="70"/>
      <c r="S560" s="70"/>
      <c r="T560" s="70"/>
      <c r="U560" s="70"/>
      <c r="V560" s="70"/>
      <c r="W560" s="70"/>
      <c r="X560" s="70"/>
      <c r="Y560" s="70"/>
      <c r="Z560" s="70"/>
    </row>
    <row r="561">
      <c r="A561" s="70"/>
      <c r="B561" s="79"/>
      <c r="C561" s="79"/>
      <c r="D561" s="78"/>
      <c r="E561" s="71"/>
      <c r="F561" s="70"/>
      <c r="G561" s="70"/>
      <c r="H561" s="70"/>
      <c r="I561" s="70"/>
      <c r="J561" s="70"/>
      <c r="K561" s="70"/>
      <c r="L561" s="70"/>
      <c r="M561" s="70"/>
      <c r="N561" s="70"/>
      <c r="O561" s="70"/>
      <c r="P561" s="70"/>
      <c r="Q561" s="70"/>
      <c r="R561" s="70"/>
      <c r="S561" s="70"/>
      <c r="T561" s="70"/>
      <c r="U561" s="70"/>
      <c r="V561" s="70"/>
      <c r="W561" s="70"/>
      <c r="X561" s="70"/>
      <c r="Y561" s="70"/>
      <c r="Z561" s="70"/>
    </row>
    <row r="562">
      <c r="A562" s="70"/>
      <c r="B562" s="79"/>
      <c r="C562" s="79"/>
      <c r="D562" s="78"/>
      <c r="E562" s="71"/>
      <c r="F562" s="70"/>
      <c r="G562" s="70"/>
      <c r="H562" s="70"/>
      <c r="I562" s="70"/>
      <c r="J562" s="70"/>
      <c r="K562" s="70"/>
      <c r="L562" s="70"/>
      <c r="M562" s="70"/>
      <c r="N562" s="70"/>
      <c r="O562" s="70"/>
      <c r="P562" s="70"/>
      <c r="Q562" s="70"/>
      <c r="R562" s="70"/>
      <c r="S562" s="70"/>
      <c r="T562" s="70"/>
      <c r="U562" s="70"/>
      <c r="V562" s="70"/>
      <c r="W562" s="70"/>
      <c r="X562" s="70"/>
      <c r="Y562" s="70"/>
      <c r="Z562" s="70"/>
    </row>
    <row r="563">
      <c r="A563" s="70"/>
      <c r="B563" s="79"/>
      <c r="C563" s="79"/>
      <c r="D563" s="78"/>
      <c r="E563" s="71"/>
      <c r="F563" s="70"/>
      <c r="G563" s="70"/>
      <c r="H563" s="70"/>
      <c r="I563" s="70"/>
      <c r="J563" s="70"/>
      <c r="K563" s="70"/>
      <c r="L563" s="70"/>
      <c r="M563" s="70"/>
      <c r="N563" s="70"/>
      <c r="O563" s="70"/>
      <c r="P563" s="70"/>
      <c r="Q563" s="70"/>
      <c r="R563" s="70"/>
      <c r="S563" s="70"/>
      <c r="T563" s="70"/>
      <c r="U563" s="70"/>
      <c r="V563" s="70"/>
      <c r="W563" s="70"/>
      <c r="X563" s="70"/>
      <c r="Y563" s="70"/>
      <c r="Z563" s="70"/>
    </row>
    <row r="564">
      <c r="A564" s="70"/>
      <c r="B564" s="79"/>
      <c r="C564" s="79"/>
      <c r="D564" s="78"/>
      <c r="E564" s="71"/>
      <c r="F564" s="70"/>
      <c r="G564" s="70"/>
      <c r="H564" s="70"/>
      <c r="I564" s="70"/>
      <c r="J564" s="70"/>
      <c r="K564" s="70"/>
      <c r="L564" s="70"/>
      <c r="M564" s="70"/>
      <c r="N564" s="70"/>
      <c r="O564" s="70"/>
      <c r="P564" s="70"/>
      <c r="Q564" s="70"/>
      <c r="R564" s="70"/>
      <c r="S564" s="70"/>
      <c r="T564" s="70"/>
      <c r="U564" s="70"/>
      <c r="V564" s="70"/>
      <c r="W564" s="70"/>
      <c r="X564" s="70"/>
      <c r="Y564" s="70"/>
      <c r="Z564" s="70"/>
    </row>
    <row r="565">
      <c r="A565" s="70"/>
      <c r="B565" s="79"/>
      <c r="C565" s="79"/>
      <c r="D565" s="78"/>
      <c r="E565" s="71"/>
      <c r="F565" s="70"/>
      <c r="G565" s="70"/>
      <c r="H565" s="70"/>
      <c r="I565" s="70"/>
      <c r="J565" s="70"/>
      <c r="K565" s="70"/>
      <c r="L565" s="70"/>
      <c r="M565" s="70"/>
      <c r="N565" s="70"/>
      <c r="O565" s="70"/>
      <c r="P565" s="70"/>
      <c r="Q565" s="70"/>
      <c r="R565" s="70"/>
      <c r="S565" s="70"/>
      <c r="T565" s="70"/>
      <c r="U565" s="70"/>
      <c r="V565" s="70"/>
      <c r="W565" s="70"/>
      <c r="X565" s="70"/>
      <c r="Y565" s="70"/>
      <c r="Z565" s="70"/>
    </row>
    <row r="566">
      <c r="A566" s="70"/>
      <c r="B566" s="79"/>
      <c r="C566" s="79"/>
      <c r="D566" s="78"/>
      <c r="E566" s="71"/>
      <c r="F566" s="70"/>
      <c r="G566" s="70"/>
      <c r="H566" s="70"/>
      <c r="I566" s="70"/>
      <c r="J566" s="70"/>
      <c r="K566" s="70"/>
      <c r="L566" s="70"/>
      <c r="M566" s="70"/>
      <c r="N566" s="70"/>
      <c r="O566" s="70"/>
      <c r="P566" s="70"/>
      <c r="Q566" s="70"/>
      <c r="R566" s="70"/>
      <c r="S566" s="70"/>
      <c r="T566" s="70"/>
      <c r="U566" s="70"/>
      <c r="V566" s="70"/>
      <c r="W566" s="70"/>
      <c r="X566" s="70"/>
      <c r="Y566" s="70"/>
      <c r="Z566" s="70"/>
    </row>
    <row r="567">
      <c r="A567" s="70"/>
      <c r="B567" s="79"/>
      <c r="C567" s="79"/>
      <c r="D567" s="78"/>
      <c r="E567" s="71"/>
      <c r="F567" s="70"/>
      <c r="G567" s="70"/>
      <c r="H567" s="70"/>
      <c r="I567" s="70"/>
      <c r="J567" s="70"/>
      <c r="K567" s="70"/>
      <c r="L567" s="70"/>
      <c r="M567" s="70"/>
      <c r="N567" s="70"/>
      <c r="O567" s="70"/>
      <c r="P567" s="70"/>
      <c r="Q567" s="70"/>
      <c r="R567" s="70"/>
      <c r="S567" s="70"/>
      <c r="T567" s="70"/>
      <c r="U567" s="70"/>
      <c r="V567" s="70"/>
      <c r="W567" s="70"/>
      <c r="X567" s="70"/>
      <c r="Y567" s="70"/>
      <c r="Z567" s="70"/>
    </row>
    <row r="568">
      <c r="A568" s="70"/>
      <c r="B568" s="79"/>
      <c r="C568" s="79"/>
      <c r="D568" s="78"/>
      <c r="E568" s="71"/>
      <c r="F568" s="70"/>
      <c r="G568" s="70"/>
      <c r="H568" s="70"/>
      <c r="I568" s="70"/>
      <c r="J568" s="70"/>
      <c r="K568" s="70"/>
      <c r="L568" s="70"/>
      <c r="M568" s="70"/>
      <c r="N568" s="70"/>
      <c r="O568" s="70"/>
      <c r="P568" s="70"/>
      <c r="Q568" s="70"/>
      <c r="R568" s="70"/>
      <c r="S568" s="70"/>
      <c r="T568" s="70"/>
      <c r="U568" s="70"/>
      <c r="V568" s="70"/>
      <c r="W568" s="70"/>
      <c r="X568" s="70"/>
      <c r="Y568" s="70"/>
      <c r="Z568" s="70"/>
    </row>
    <row r="569">
      <c r="A569" s="70"/>
      <c r="B569" s="79"/>
      <c r="C569" s="79"/>
      <c r="D569" s="78"/>
      <c r="E569" s="71"/>
      <c r="F569" s="70"/>
      <c r="G569" s="70"/>
      <c r="H569" s="70"/>
      <c r="I569" s="70"/>
      <c r="J569" s="70"/>
      <c r="K569" s="70"/>
      <c r="L569" s="70"/>
      <c r="M569" s="70"/>
      <c r="N569" s="70"/>
      <c r="O569" s="70"/>
      <c r="P569" s="70"/>
      <c r="Q569" s="70"/>
      <c r="R569" s="70"/>
      <c r="S569" s="70"/>
      <c r="T569" s="70"/>
      <c r="U569" s="70"/>
      <c r="V569" s="70"/>
      <c r="W569" s="70"/>
      <c r="X569" s="70"/>
      <c r="Y569" s="70"/>
      <c r="Z569" s="70"/>
    </row>
    <row r="570">
      <c r="A570" s="70"/>
      <c r="B570" s="79"/>
      <c r="C570" s="79"/>
      <c r="D570" s="78"/>
      <c r="E570" s="71"/>
      <c r="F570" s="70"/>
      <c r="G570" s="70"/>
      <c r="H570" s="70"/>
      <c r="I570" s="70"/>
      <c r="J570" s="70"/>
      <c r="K570" s="70"/>
      <c r="L570" s="70"/>
      <c r="M570" s="70"/>
      <c r="N570" s="70"/>
      <c r="O570" s="70"/>
      <c r="P570" s="70"/>
      <c r="Q570" s="70"/>
      <c r="R570" s="70"/>
      <c r="S570" s="70"/>
      <c r="T570" s="70"/>
      <c r="U570" s="70"/>
      <c r="V570" s="70"/>
      <c r="W570" s="70"/>
      <c r="X570" s="70"/>
      <c r="Y570" s="70"/>
      <c r="Z570" s="70"/>
    </row>
    <row r="571">
      <c r="A571" s="70"/>
      <c r="B571" s="79"/>
      <c r="C571" s="79"/>
      <c r="D571" s="78"/>
      <c r="E571" s="71"/>
      <c r="F571" s="70"/>
      <c r="G571" s="70"/>
      <c r="H571" s="70"/>
      <c r="I571" s="70"/>
      <c r="J571" s="70"/>
      <c r="K571" s="70"/>
      <c r="L571" s="70"/>
      <c r="M571" s="70"/>
      <c r="N571" s="70"/>
      <c r="O571" s="70"/>
      <c r="P571" s="70"/>
      <c r="Q571" s="70"/>
      <c r="R571" s="70"/>
      <c r="S571" s="70"/>
      <c r="T571" s="70"/>
      <c r="U571" s="70"/>
      <c r="V571" s="70"/>
      <c r="W571" s="70"/>
      <c r="X571" s="70"/>
      <c r="Y571" s="70"/>
      <c r="Z571" s="70"/>
    </row>
    <row r="572">
      <c r="A572" s="70"/>
      <c r="B572" s="79"/>
      <c r="C572" s="79"/>
      <c r="D572" s="78"/>
      <c r="E572" s="71"/>
      <c r="F572" s="70"/>
      <c r="G572" s="70"/>
      <c r="H572" s="70"/>
      <c r="I572" s="70"/>
      <c r="J572" s="70"/>
      <c r="K572" s="70"/>
      <c r="L572" s="70"/>
      <c r="M572" s="70"/>
      <c r="N572" s="70"/>
      <c r="O572" s="70"/>
      <c r="P572" s="70"/>
      <c r="Q572" s="70"/>
      <c r="R572" s="70"/>
      <c r="S572" s="70"/>
      <c r="T572" s="70"/>
      <c r="U572" s="70"/>
      <c r="V572" s="70"/>
      <c r="W572" s="70"/>
      <c r="X572" s="70"/>
      <c r="Y572" s="70"/>
      <c r="Z572" s="70"/>
    </row>
    <row r="573">
      <c r="A573" s="70"/>
      <c r="B573" s="79"/>
      <c r="C573" s="79"/>
      <c r="D573" s="78"/>
      <c r="E573" s="71"/>
      <c r="F573" s="70"/>
      <c r="G573" s="70"/>
      <c r="H573" s="70"/>
      <c r="I573" s="70"/>
      <c r="J573" s="70"/>
      <c r="K573" s="70"/>
      <c r="L573" s="70"/>
      <c r="M573" s="70"/>
      <c r="N573" s="70"/>
      <c r="O573" s="70"/>
      <c r="P573" s="70"/>
      <c r="Q573" s="70"/>
      <c r="R573" s="70"/>
      <c r="S573" s="70"/>
      <c r="T573" s="70"/>
      <c r="U573" s="70"/>
      <c r="V573" s="70"/>
      <c r="W573" s="70"/>
      <c r="X573" s="70"/>
      <c r="Y573" s="70"/>
      <c r="Z573" s="70"/>
    </row>
    <row r="574">
      <c r="A574" s="70"/>
      <c r="B574" s="79"/>
      <c r="C574" s="79"/>
      <c r="D574" s="78"/>
      <c r="E574" s="71"/>
      <c r="F574" s="70"/>
      <c r="G574" s="70"/>
      <c r="H574" s="70"/>
      <c r="I574" s="70"/>
      <c r="J574" s="70"/>
      <c r="K574" s="70"/>
      <c r="L574" s="70"/>
      <c r="M574" s="70"/>
      <c r="N574" s="70"/>
      <c r="O574" s="70"/>
      <c r="P574" s="70"/>
      <c r="Q574" s="70"/>
      <c r="R574" s="70"/>
      <c r="S574" s="70"/>
      <c r="T574" s="70"/>
      <c r="U574" s="70"/>
      <c r="V574" s="70"/>
      <c r="W574" s="70"/>
      <c r="X574" s="70"/>
      <c r="Y574" s="70"/>
      <c r="Z574" s="70"/>
    </row>
    <row r="575">
      <c r="A575" s="70"/>
      <c r="B575" s="79"/>
      <c r="C575" s="79"/>
      <c r="D575" s="78"/>
      <c r="E575" s="71"/>
      <c r="F575" s="70"/>
      <c r="G575" s="70"/>
      <c r="H575" s="70"/>
      <c r="I575" s="70"/>
      <c r="J575" s="70"/>
      <c r="K575" s="70"/>
      <c r="L575" s="70"/>
      <c r="M575" s="70"/>
      <c r="N575" s="70"/>
      <c r="O575" s="70"/>
      <c r="P575" s="70"/>
      <c r="Q575" s="70"/>
      <c r="R575" s="70"/>
      <c r="S575" s="70"/>
      <c r="T575" s="70"/>
      <c r="U575" s="70"/>
      <c r="V575" s="70"/>
      <c r="W575" s="70"/>
      <c r="X575" s="70"/>
      <c r="Y575" s="70"/>
      <c r="Z575" s="70"/>
    </row>
    <row r="576">
      <c r="A576" s="70"/>
      <c r="B576" s="79"/>
      <c r="C576" s="79"/>
      <c r="D576" s="78"/>
      <c r="E576" s="71"/>
      <c r="F576" s="70"/>
      <c r="G576" s="70"/>
      <c r="H576" s="70"/>
      <c r="I576" s="70"/>
      <c r="J576" s="70"/>
      <c r="K576" s="70"/>
      <c r="L576" s="70"/>
      <c r="M576" s="70"/>
      <c r="N576" s="70"/>
      <c r="O576" s="70"/>
      <c r="P576" s="70"/>
      <c r="Q576" s="70"/>
      <c r="R576" s="70"/>
      <c r="S576" s="70"/>
      <c r="T576" s="70"/>
      <c r="U576" s="70"/>
      <c r="V576" s="70"/>
      <c r="W576" s="70"/>
      <c r="X576" s="70"/>
      <c r="Y576" s="70"/>
      <c r="Z576" s="70"/>
    </row>
    <row r="577">
      <c r="A577" s="70"/>
      <c r="B577" s="79"/>
      <c r="C577" s="79"/>
      <c r="D577" s="78"/>
      <c r="E577" s="71"/>
      <c r="F577" s="70"/>
      <c r="G577" s="70"/>
      <c r="H577" s="70"/>
      <c r="I577" s="70"/>
      <c r="J577" s="70"/>
      <c r="K577" s="70"/>
      <c r="L577" s="70"/>
      <c r="M577" s="70"/>
      <c r="N577" s="70"/>
      <c r="O577" s="70"/>
      <c r="P577" s="70"/>
      <c r="Q577" s="70"/>
      <c r="R577" s="70"/>
      <c r="S577" s="70"/>
      <c r="T577" s="70"/>
      <c r="U577" s="70"/>
      <c r="V577" s="70"/>
      <c r="W577" s="70"/>
      <c r="X577" s="70"/>
      <c r="Y577" s="70"/>
      <c r="Z577" s="70"/>
    </row>
    <row r="578">
      <c r="A578" s="70"/>
      <c r="B578" s="79"/>
      <c r="C578" s="79"/>
      <c r="D578" s="78"/>
      <c r="E578" s="71"/>
      <c r="F578" s="70"/>
      <c r="G578" s="70"/>
      <c r="H578" s="70"/>
      <c r="I578" s="70"/>
      <c r="J578" s="70"/>
      <c r="K578" s="70"/>
      <c r="L578" s="70"/>
      <c r="M578" s="70"/>
      <c r="N578" s="70"/>
      <c r="O578" s="70"/>
      <c r="P578" s="70"/>
      <c r="Q578" s="70"/>
      <c r="R578" s="70"/>
      <c r="S578" s="70"/>
      <c r="T578" s="70"/>
      <c r="U578" s="70"/>
      <c r="V578" s="70"/>
      <c r="W578" s="70"/>
      <c r="X578" s="70"/>
      <c r="Y578" s="70"/>
      <c r="Z578" s="70"/>
    </row>
    <row r="579">
      <c r="A579" s="70"/>
      <c r="B579" s="79"/>
      <c r="C579" s="79"/>
      <c r="D579" s="78"/>
      <c r="E579" s="71"/>
      <c r="F579" s="70"/>
      <c r="G579" s="70"/>
      <c r="H579" s="70"/>
      <c r="I579" s="70"/>
      <c r="J579" s="70"/>
      <c r="K579" s="70"/>
      <c r="L579" s="70"/>
      <c r="M579" s="70"/>
      <c r="N579" s="70"/>
      <c r="O579" s="70"/>
      <c r="P579" s="70"/>
      <c r="Q579" s="70"/>
      <c r="R579" s="70"/>
      <c r="S579" s="70"/>
      <c r="T579" s="70"/>
      <c r="U579" s="70"/>
      <c r="V579" s="70"/>
      <c r="W579" s="70"/>
      <c r="X579" s="70"/>
      <c r="Y579" s="70"/>
      <c r="Z579" s="70"/>
    </row>
    <row r="580">
      <c r="A580" s="70"/>
      <c r="B580" s="79"/>
      <c r="C580" s="79"/>
      <c r="D580" s="78"/>
      <c r="E580" s="71"/>
      <c r="F580" s="70"/>
      <c r="G580" s="70"/>
      <c r="H580" s="70"/>
      <c r="I580" s="70"/>
      <c r="J580" s="70"/>
      <c r="K580" s="70"/>
      <c r="L580" s="70"/>
      <c r="M580" s="70"/>
      <c r="N580" s="70"/>
      <c r="O580" s="70"/>
      <c r="P580" s="70"/>
      <c r="Q580" s="70"/>
      <c r="R580" s="70"/>
      <c r="S580" s="70"/>
      <c r="T580" s="70"/>
      <c r="U580" s="70"/>
      <c r="V580" s="70"/>
      <c r="W580" s="70"/>
      <c r="X580" s="70"/>
      <c r="Y580" s="70"/>
      <c r="Z580" s="70"/>
    </row>
    <row r="581">
      <c r="A581" s="70"/>
      <c r="B581" s="79"/>
      <c r="C581" s="79"/>
      <c r="D581" s="78"/>
      <c r="E581" s="71"/>
      <c r="F581" s="70"/>
      <c r="G581" s="70"/>
      <c r="H581" s="70"/>
      <c r="I581" s="70"/>
      <c r="J581" s="70"/>
      <c r="K581" s="70"/>
      <c r="L581" s="70"/>
      <c r="M581" s="70"/>
      <c r="N581" s="70"/>
      <c r="O581" s="70"/>
      <c r="P581" s="70"/>
      <c r="Q581" s="70"/>
      <c r="R581" s="70"/>
      <c r="S581" s="70"/>
      <c r="T581" s="70"/>
      <c r="U581" s="70"/>
      <c r="V581" s="70"/>
      <c r="W581" s="70"/>
      <c r="X581" s="70"/>
      <c r="Y581" s="70"/>
      <c r="Z581" s="70"/>
    </row>
    <row r="582">
      <c r="A582" s="70"/>
      <c r="B582" s="79"/>
      <c r="C582" s="79"/>
      <c r="D582" s="78"/>
      <c r="E582" s="71"/>
      <c r="F582" s="70"/>
      <c r="G582" s="70"/>
      <c r="H582" s="70"/>
      <c r="I582" s="70"/>
      <c r="J582" s="70"/>
      <c r="K582" s="70"/>
      <c r="L582" s="70"/>
      <c r="M582" s="70"/>
      <c r="N582" s="70"/>
      <c r="O582" s="70"/>
      <c r="P582" s="70"/>
      <c r="Q582" s="70"/>
      <c r="R582" s="70"/>
      <c r="S582" s="70"/>
      <c r="T582" s="70"/>
      <c r="U582" s="70"/>
      <c r="V582" s="70"/>
      <c r="W582" s="70"/>
      <c r="X582" s="70"/>
      <c r="Y582" s="70"/>
      <c r="Z582" s="70"/>
    </row>
    <row r="583">
      <c r="A583" s="70"/>
      <c r="B583" s="79"/>
      <c r="C583" s="79"/>
      <c r="D583" s="78"/>
      <c r="E583" s="71"/>
      <c r="F583" s="70"/>
      <c r="G583" s="70"/>
      <c r="H583" s="70"/>
      <c r="I583" s="70"/>
      <c r="J583" s="70"/>
      <c r="K583" s="70"/>
      <c r="L583" s="70"/>
      <c r="M583" s="70"/>
      <c r="N583" s="70"/>
      <c r="O583" s="70"/>
      <c r="P583" s="70"/>
      <c r="Q583" s="70"/>
      <c r="R583" s="70"/>
      <c r="S583" s="70"/>
      <c r="T583" s="70"/>
      <c r="U583" s="70"/>
      <c r="V583" s="70"/>
      <c r="W583" s="70"/>
      <c r="X583" s="70"/>
      <c r="Y583" s="70"/>
      <c r="Z583" s="70"/>
    </row>
    <row r="584">
      <c r="A584" s="70"/>
      <c r="B584" s="79"/>
      <c r="C584" s="79"/>
      <c r="D584" s="78"/>
      <c r="E584" s="71"/>
      <c r="F584" s="70"/>
      <c r="G584" s="70"/>
      <c r="H584" s="70"/>
      <c r="I584" s="70"/>
      <c r="J584" s="70"/>
      <c r="K584" s="70"/>
      <c r="L584" s="70"/>
      <c r="M584" s="70"/>
      <c r="N584" s="70"/>
      <c r="O584" s="70"/>
      <c r="P584" s="70"/>
      <c r="Q584" s="70"/>
      <c r="R584" s="70"/>
      <c r="S584" s="70"/>
      <c r="T584" s="70"/>
      <c r="U584" s="70"/>
      <c r="V584" s="70"/>
      <c r="W584" s="70"/>
      <c r="X584" s="70"/>
      <c r="Y584" s="70"/>
      <c r="Z584" s="70"/>
    </row>
    <row r="585">
      <c r="A585" s="70"/>
      <c r="B585" s="79"/>
      <c r="C585" s="79"/>
      <c r="D585" s="78"/>
      <c r="E585" s="71"/>
      <c r="F585" s="70"/>
      <c r="G585" s="70"/>
      <c r="H585" s="70"/>
      <c r="I585" s="70"/>
      <c r="J585" s="70"/>
      <c r="K585" s="70"/>
      <c r="L585" s="70"/>
      <c r="M585" s="70"/>
      <c r="N585" s="70"/>
      <c r="O585" s="70"/>
      <c r="P585" s="70"/>
      <c r="Q585" s="70"/>
      <c r="R585" s="70"/>
      <c r="S585" s="70"/>
      <c r="T585" s="70"/>
      <c r="U585" s="70"/>
      <c r="V585" s="70"/>
      <c r="W585" s="70"/>
      <c r="X585" s="70"/>
      <c r="Y585" s="70"/>
      <c r="Z585" s="70"/>
    </row>
    <row r="586">
      <c r="A586" s="70"/>
      <c r="B586" s="79"/>
      <c r="C586" s="79"/>
      <c r="D586" s="78"/>
      <c r="E586" s="71"/>
      <c r="F586" s="70"/>
      <c r="G586" s="70"/>
      <c r="H586" s="70"/>
      <c r="I586" s="70"/>
      <c r="J586" s="70"/>
      <c r="K586" s="70"/>
      <c r="L586" s="70"/>
      <c r="M586" s="70"/>
      <c r="N586" s="70"/>
      <c r="O586" s="70"/>
      <c r="P586" s="70"/>
      <c r="Q586" s="70"/>
      <c r="R586" s="70"/>
      <c r="S586" s="70"/>
      <c r="T586" s="70"/>
      <c r="U586" s="70"/>
      <c r="V586" s="70"/>
      <c r="W586" s="70"/>
      <c r="X586" s="70"/>
      <c r="Y586" s="70"/>
      <c r="Z586" s="70"/>
    </row>
    <row r="587">
      <c r="A587" s="70"/>
      <c r="B587" s="79"/>
      <c r="C587" s="79"/>
      <c r="D587" s="78"/>
      <c r="E587" s="71"/>
      <c r="F587" s="70"/>
      <c r="G587" s="70"/>
      <c r="H587" s="70"/>
      <c r="I587" s="70"/>
      <c r="J587" s="70"/>
      <c r="K587" s="70"/>
      <c r="L587" s="70"/>
      <c r="M587" s="70"/>
      <c r="N587" s="70"/>
      <c r="O587" s="70"/>
      <c r="P587" s="70"/>
      <c r="Q587" s="70"/>
      <c r="R587" s="70"/>
      <c r="S587" s="70"/>
      <c r="T587" s="70"/>
      <c r="U587" s="70"/>
      <c r="V587" s="70"/>
      <c r="W587" s="70"/>
      <c r="X587" s="70"/>
      <c r="Y587" s="70"/>
      <c r="Z587" s="70"/>
    </row>
    <row r="588">
      <c r="A588" s="70"/>
      <c r="B588" s="79"/>
      <c r="C588" s="79"/>
      <c r="D588" s="78"/>
      <c r="E588" s="71"/>
      <c r="F588" s="70"/>
      <c r="G588" s="70"/>
      <c r="H588" s="70"/>
      <c r="I588" s="70"/>
      <c r="J588" s="70"/>
      <c r="K588" s="70"/>
      <c r="L588" s="70"/>
      <c r="M588" s="70"/>
      <c r="N588" s="70"/>
      <c r="O588" s="70"/>
      <c r="P588" s="70"/>
      <c r="Q588" s="70"/>
      <c r="R588" s="70"/>
      <c r="S588" s="70"/>
      <c r="T588" s="70"/>
      <c r="U588" s="70"/>
      <c r="V588" s="70"/>
      <c r="W588" s="70"/>
      <c r="X588" s="70"/>
      <c r="Y588" s="70"/>
      <c r="Z588" s="70"/>
    </row>
    <row r="589">
      <c r="A589" s="70"/>
      <c r="B589" s="79"/>
      <c r="C589" s="79"/>
      <c r="D589" s="78"/>
      <c r="E589" s="71"/>
      <c r="F589" s="70"/>
      <c r="G589" s="70"/>
      <c r="H589" s="70"/>
      <c r="I589" s="70"/>
      <c r="J589" s="70"/>
      <c r="K589" s="70"/>
      <c r="L589" s="70"/>
      <c r="M589" s="70"/>
      <c r="N589" s="70"/>
      <c r="O589" s="70"/>
      <c r="P589" s="70"/>
      <c r="Q589" s="70"/>
      <c r="R589" s="70"/>
      <c r="S589" s="70"/>
      <c r="T589" s="70"/>
      <c r="U589" s="70"/>
      <c r="V589" s="70"/>
      <c r="W589" s="70"/>
      <c r="X589" s="70"/>
      <c r="Y589" s="70"/>
      <c r="Z589" s="70"/>
    </row>
    <row r="590">
      <c r="A590" s="70"/>
      <c r="B590" s="79"/>
      <c r="C590" s="79"/>
      <c r="D590" s="78"/>
      <c r="E590" s="71"/>
      <c r="F590" s="70"/>
      <c r="G590" s="70"/>
      <c r="H590" s="70"/>
      <c r="I590" s="70"/>
      <c r="J590" s="70"/>
      <c r="K590" s="70"/>
      <c r="L590" s="70"/>
      <c r="M590" s="70"/>
      <c r="N590" s="70"/>
      <c r="O590" s="70"/>
      <c r="P590" s="70"/>
      <c r="Q590" s="70"/>
      <c r="R590" s="70"/>
      <c r="S590" s="70"/>
      <c r="T590" s="70"/>
      <c r="U590" s="70"/>
      <c r="V590" s="70"/>
      <c r="W590" s="70"/>
      <c r="X590" s="70"/>
      <c r="Y590" s="70"/>
      <c r="Z590" s="70"/>
    </row>
    <row r="591">
      <c r="A591" s="70"/>
      <c r="B591" s="79"/>
      <c r="C591" s="79"/>
      <c r="D591" s="78"/>
      <c r="E591" s="71"/>
      <c r="F591" s="70"/>
      <c r="G591" s="70"/>
      <c r="H591" s="70"/>
      <c r="I591" s="70"/>
      <c r="J591" s="70"/>
      <c r="K591" s="70"/>
      <c r="L591" s="70"/>
      <c r="M591" s="70"/>
      <c r="N591" s="70"/>
      <c r="O591" s="70"/>
      <c r="P591" s="70"/>
      <c r="Q591" s="70"/>
      <c r="R591" s="70"/>
      <c r="S591" s="70"/>
      <c r="T591" s="70"/>
      <c r="U591" s="70"/>
      <c r="V591" s="70"/>
      <c r="W591" s="70"/>
      <c r="X591" s="70"/>
      <c r="Y591" s="70"/>
      <c r="Z591" s="70"/>
    </row>
    <row r="592">
      <c r="A592" s="70"/>
      <c r="B592" s="79"/>
      <c r="C592" s="79"/>
      <c r="D592" s="78"/>
      <c r="E592" s="71"/>
      <c r="F592" s="70"/>
      <c r="G592" s="70"/>
      <c r="H592" s="70"/>
      <c r="I592" s="70"/>
      <c r="J592" s="70"/>
      <c r="K592" s="70"/>
      <c r="L592" s="70"/>
      <c r="M592" s="70"/>
      <c r="N592" s="70"/>
      <c r="O592" s="70"/>
      <c r="P592" s="70"/>
      <c r="Q592" s="70"/>
      <c r="R592" s="70"/>
      <c r="S592" s="70"/>
      <c r="T592" s="70"/>
      <c r="U592" s="70"/>
      <c r="V592" s="70"/>
      <c r="W592" s="70"/>
      <c r="X592" s="70"/>
      <c r="Y592" s="70"/>
      <c r="Z592" s="70"/>
    </row>
    <row r="593">
      <c r="A593" s="70"/>
      <c r="B593" s="79"/>
      <c r="C593" s="79"/>
      <c r="D593" s="78"/>
      <c r="E593" s="71"/>
      <c r="F593" s="70"/>
      <c r="G593" s="70"/>
      <c r="H593" s="70"/>
      <c r="I593" s="70"/>
      <c r="J593" s="70"/>
      <c r="K593" s="70"/>
      <c r="L593" s="70"/>
      <c r="M593" s="70"/>
      <c r="N593" s="70"/>
      <c r="O593" s="70"/>
      <c r="P593" s="70"/>
      <c r="Q593" s="70"/>
      <c r="R593" s="70"/>
      <c r="S593" s="70"/>
      <c r="T593" s="70"/>
      <c r="U593" s="70"/>
      <c r="V593" s="70"/>
      <c r="W593" s="70"/>
      <c r="X593" s="70"/>
      <c r="Y593" s="70"/>
      <c r="Z593" s="70"/>
    </row>
    <row r="594">
      <c r="A594" s="70"/>
      <c r="B594" s="79"/>
      <c r="C594" s="79"/>
      <c r="D594" s="78"/>
      <c r="E594" s="71"/>
      <c r="F594" s="70"/>
      <c r="G594" s="70"/>
      <c r="H594" s="70"/>
      <c r="I594" s="70"/>
      <c r="J594" s="70"/>
      <c r="K594" s="70"/>
      <c r="L594" s="70"/>
      <c r="M594" s="70"/>
      <c r="N594" s="70"/>
      <c r="O594" s="70"/>
      <c r="P594" s="70"/>
      <c r="Q594" s="70"/>
      <c r="R594" s="70"/>
      <c r="S594" s="70"/>
      <c r="T594" s="70"/>
      <c r="U594" s="70"/>
      <c r="V594" s="70"/>
      <c r="W594" s="70"/>
      <c r="X594" s="70"/>
      <c r="Y594" s="70"/>
      <c r="Z594" s="70"/>
    </row>
    <row r="595">
      <c r="A595" s="70"/>
      <c r="B595" s="79"/>
      <c r="C595" s="79"/>
      <c r="D595" s="78"/>
      <c r="E595" s="71"/>
      <c r="F595" s="70"/>
      <c r="G595" s="70"/>
      <c r="H595" s="70"/>
      <c r="I595" s="70"/>
      <c r="J595" s="70"/>
      <c r="K595" s="70"/>
      <c r="L595" s="70"/>
      <c r="M595" s="70"/>
      <c r="N595" s="70"/>
      <c r="O595" s="70"/>
      <c r="P595" s="70"/>
      <c r="Q595" s="70"/>
      <c r="R595" s="70"/>
      <c r="S595" s="70"/>
      <c r="T595" s="70"/>
      <c r="U595" s="70"/>
      <c r="V595" s="70"/>
      <c r="W595" s="70"/>
      <c r="X595" s="70"/>
      <c r="Y595" s="70"/>
      <c r="Z595" s="70"/>
    </row>
    <row r="596">
      <c r="A596" s="70"/>
      <c r="B596" s="79"/>
      <c r="C596" s="79"/>
      <c r="D596" s="78"/>
      <c r="E596" s="71"/>
      <c r="F596" s="70"/>
      <c r="G596" s="70"/>
      <c r="H596" s="70"/>
      <c r="I596" s="70"/>
      <c r="J596" s="70"/>
      <c r="K596" s="70"/>
      <c r="L596" s="70"/>
      <c r="M596" s="70"/>
      <c r="N596" s="70"/>
      <c r="O596" s="70"/>
      <c r="P596" s="70"/>
      <c r="Q596" s="70"/>
      <c r="R596" s="70"/>
      <c r="S596" s="70"/>
      <c r="T596" s="70"/>
      <c r="U596" s="70"/>
      <c r="V596" s="70"/>
      <c r="W596" s="70"/>
      <c r="X596" s="70"/>
      <c r="Y596" s="70"/>
      <c r="Z596" s="70"/>
    </row>
    <row r="597">
      <c r="A597" s="70"/>
      <c r="B597" s="79"/>
      <c r="C597" s="79"/>
      <c r="D597" s="78"/>
      <c r="E597" s="71"/>
      <c r="F597" s="70"/>
      <c r="G597" s="70"/>
      <c r="H597" s="70"/>
      <c r="I597" s="70"/>
      <c r="J597" s="70"/>
      <c r="K597" s="70"/>
      <c r="L597" s="70"/>
      <c r="M597" s="70"/>
      <c r="N597" s="70"/>
      <c r="O597" s="70"/>
      <c r="P597" s="70"/>
      <c r="Q597" s="70"/>
      <c r="R597" s="70"/>
      <c r="S597" s="70"/>
      <c r="T597" s="70"/>
      <c r="U597" s="70"/>
      <c r="V597" s="70"/>
      <c r="W597" s="70"/>
      <c r="X597" s="70"/>
      <c r="Y597" s="70"/>
      <c r="Z597" s="70"/>
    </row>
    <row r="598">
      <c r="A598" s="70"/>
      <c r="B598" s="79"/>
      <c r="C598" s="79"/>
      <c r="D598" s="78"/>
      <c r="E598" s="71"/>
      <c r="F598" s="70"/>
      <c r="G598" s="70"/>
      <c r="H598" s="70"/>
      <c r="I598" s="70"/>
      <c r="J598" s="70"/>
      <c r="K598" s="70"/>
      <c r="L598" s="70"/>
      <c r="M598" s="70"/>
      <c r="N598" s="70"/>
      <c r="O598" s="70"/>
      <c r="P598" s="70"/>
      <c r="Q598" s="70"/>
      <c r="R598" s="70"/>
      <c r="S598" s="70"/>
      <c r="T598" s="70"/>
      <c r="U598" s="70"/>
      <c r="V598" s="70"/>
      <c r="W598" s="70"/>
      <c r="X598" s="70"/>
      <c r="Y598" s="70"/>
      <c r="Z598" s="70"/>
    </row>
    <row r="599">
      <c r="A599" s="70"/>
      <c r="B599" s="79"/>
      <c r="C599" s="79"/>
      <c r="D599" s="78"/>
      <c r="E599" s="71"/>
      <c r="F599" s="70"/>
      <c r="G599" s="70"/>
      <c r="H599" s="70"/>
      <c r="I599" s="70"/>
      <c r="J599" s="70"/>
      <c r="K599" s="70"/>
      <c r="L599" s="70"/>
      <c r="M599" s="70"/>
      <c r="N599" s="70"/>
      <c r="O599" s="70"/>
      <c r="P599" s="70"/>
      <c r="Q599" s="70"/>
      <c r="R599" s="70"/>
      <c r="S599" s="70"/>
      <c r="T599" s="70"/>
      <c r="U599" s="70"/>
      <c r="V599" s="70"/>
      <c r="W599" s="70"/>
      <c r="X599" s="70"/>
      <c r="Y599" s="70"/>
      <c r="Z599" s="70"/>
    </row>
    <row r="600">
      <c r="A600" s="70"/>
      <c r="B600" s="79"/>
      <c r="C600" s="79"/>
      <c r="D600" s="78"/>
      <c r="E600" s="71"/>
      <c r="F600" s="70"/>
      <c r="G600" s="70"/>
      <c r="H600" s="70"/>
      <c r="I600" s="70"/>
      <c r="J600" s="70"/>
      <c r="K600" s="70"/>
      <c r="L600" s="70"/>
      <c r="M600" s="70"/>
      <c r="N600" s="70"/>
      <c r="O600" s="70"/>
      <c r="P600" s="70"/>
      <c r="Q600" s="70"/>
      <c r="R600" s="70"/>
      <c r="S600" s="70"/>
      <c r="T600" s="70"/>
      <c r="U600" s="70"/>
      <c r="V600" s="70"/>
      <c r="W600" s="70"/>
      <c r="X600" s="70"/>
      <c r="Y600" s="70"/>
      <c r="Z600" s="70"/>
    </row>
    <row r="601">
      <c r="A601" s="70"/>
      <c r="B601" s="79"/>
      <c r="C601" s="79"/>
      <c r="D601" s="78"/>
      <c r="E601" s="71"/>
      <c r="F601" s="70"/>
      <c r="G601" s="70"/>
      <c r="H601" s="70"/>
      <c r="I601" s="70"/>
      <c r="J601" s="70"/>
      <c r="K601" s="70"/>
      <c r="L601" s="70"/>
      <c r="M601" s="70"/>
      <c r="N601" s="70"/>
      <c r="O601" s="70"/>
      <c r="P601" s="70"/>
      <c r="Q601" s="70"/>
      <c r="R601" s="70"/>
      <c r="S601" s="70"/>
      <c r="T601" s="70"/>
      <c r="U601" s="70"/>
      <c r="V601" s="70"/>
      <c r="W601" s="70"/>
      <c r="X601" s="70"/>
      <c r="Y601" s="70"/>
      <c r="Z601" s="70"/>
    </row>
    <row r="602">
      <c r="A602" s="70"/>
      <c r="B602" s="79"/>
      <c r="C602" s="79"/>
      <c r="D602" s="78"/>
      <c r="E602" s="71"/>
      <c r="F602" s="70"/>
      <c r="G602" s="70"/>
      <c r="H602" s="70"/>
      <c r="I602" s="70"/>
      <c r="J602" s="70"/>
      <c r="K602" s="70"/>
      <c r="L602" s="70"/>
      <c r="M602" s="70"/>
      <c r="N602" s="70"/>
      <c r="O602" s="70"/>
      <c r="P602" s="70"/>
      <c r="Q602" s="70"/>
      <c r="R602" s="70"/>
      <c r="S602" s="70"/>
      <c r="T602" s="70"/>
      <c r="U602" s="70"/>
      <c r="V602" s="70"/>
      <c r="W602" s="70"/>
      <c r="X602" s="70"/>
      <c r="Y602" s="70"/>
      <c r="Z602" s="70"/>
    </row>
    <row r="603">
      <c r="A603" s="70"/>
      <c r="B603" s="79"/>
      <c r="C603" s="79"/>
      <c r="D603" s="78"/>
      <c r="E603" s="71"/>
      <c r="F603" s="70"/>
      <c r="G603" s="70"/>
      <c r="H603" s="70"/>
      <c r="I603" s="70"/>
      <c r="J603" s="70"/>
      <c r="K603" s="70"/>
      <c r="L603" s="70"/>
      <c r="M603" s="70"/>
      <c r="N603" s="70"/>
      <c r="O603" s="70"/>
      <c r="P603" s="70"/>
      <c r="Q603" s="70"/>
      <c r="R603" s="70"/>
      <c r="S603" s="70"/>
      <c r="T603" s="70"/>
      <c r="U603" s="70"/>
      <c r="V603" s="70"/>
      <c r="W603" s="70"/>
      <c r="X603" s="70"/>
      <c r="Y603" s="70"/>
      <c r="Z603" s="70"/>
    </row>
    <row r="604">
      <c r="A604" s="70"/>
      <c r="B604" s="79"/>
      <c r="C604" s="79"/>
      <c r="D604" s="78"/>
      <c r="E604" s="71"/>
      <c r="F604" s="70"/>
      <c r="G604" s="70"/>
      <c r="H604" s="70"/>
      <c r="I604" s="70"/>
      <c r="J604" s="70"/>
      <c r="K604" s="70"/>
      <c r="L604" s="70"/>
      <c r="M604" s="70"/>
      <c r="N604" s="70"/>
      <c r="O604" s="70"/>
      <c r="P604" s="70"/>
      <c r="Q604" s="70"/>
      <c r="R604" s="70"/>
      <c r="S604" s="70"/>
      <c r="T604" s="70"/>
      <c r="U604" s="70"/>
      <c r="V604" s="70"/>
      <c r="W604" s="70"/>
      <c r="X604" s="70"/>
      <c r="Y604" s="70"/>
      <c r="Z604" s="70"/>
    </row>
    <row r="605">
      <c r="A605" s="70"/>
      <c r="B605" s="79"/>
      <c r="C605" s="79"/>
      <c r="D605" s="78"/>
      <c r="E605" s="71"/>
      <c r="F605" s="70"/>
      <c r="G605" s="70"/>
      <c r="H605" s="70"/>
      <c r="I605" s="70"/>
      <c r="J605" s="70"/>
      <c r="K605" s="70"/>
      <c r="L605" s="70"/>
      <c r="M605" s="70"/>
      <c r="N605" s="70"/>
      <c r="O605" s="70"/>
      <c r="P605" s="70"/>
      <c r="Q605" s="70"/>
      <c r="R605" s="70"/>
      <c r="S605" s="70"/>
      <c r="T605" s="70"/>
      <c r="U605" s="70"/>
      <c r="V605" s="70"/>
      <c r="W605" s="70"/>
      <c r="X605" s="70"/>
      <c r="Y605" s="70"/>
      <c r="Z605" s="70"/>
    </row>
    <row r="606">
      <c r="A606" s="70"/>
      <c r="B606" s="79"/>
      <c r="C606" s="79"/>
      <c r="D606" s="78"/>
      <c r="E606" s="71"/>
      <c r="F606" s="70"/>
      <c r="G606" s="70"/>
      <c r="H606" s="70"/>
      <c r="I606" s="70"/>
      <c r="J606" s="70"/>
      <c r="K606" s="70"/>
      <c r="L606" s="70"/>
      <c r="M606" s="70"/>
      <c r="N606" s="70"/>
      <c r="O606" s="70"/>
      <c r="P606" s="70"/>
      <c r="Q606" s="70"/>
      <c r="R606" s="70"/>
      <c r="S606" s="70"/>
      <c r="T606" s="70"/>
      <c r="U606" s="70"/>
      <c r="V606" s="70"/>
      <c r="W606" s="70"/>
      <c r="X606" s="70"/>
      <c r="Y606" s="70"/>
      <c r="Z606" s="70"/>
    </row>
    <row r="607">
      <c r="A607" s="70"/>
      <c r="B607" s="79"/>
      <c r="C607" s="79"/>
      <c r="D607" s="78"/>
      <c r="E607" s="71"/>
      <c r="F607" s="70"/>
      <c r="G607" s="70"/>
      <c r="H607" s="70"/>
      <c r="I607" s="70"/>
      <c r="J607" s="70"/>
      <c r="K607" s="70"/>
      <c r="L607" s="70"/>
      <c r="M607" s="70"/>
      <c r="N607" s="70"/>
      <c r="O607" s="70"/>
      <c r="P607" s="70"/>
      <c r="Q607" s="70"/>
      <c r="R607" s="70"/>
      <c r="S607" s="70"/>
      <c r="T607" s="70"/>
      <c r="U607" s="70"/>
      <c r="V607" s="70"/>
      <c r="W607" s="70"/>
      <c r="X607" s="70"/>
      <c r="Y607" s="70"/>
      <c r="Z607" s="70"/>
    </row>
    <row r="608">
      <c r="A608" s="70"/>
      <c r="B608" s="79"/>
      <c r="C608" s="79"/>
      <c r="D608" s="78"/>
      <c r="E608" s="71"/>
      <c r="F608" s="70"/>
      <c r="G608" s="70"/>
      <c r="H608" s="70"/>
      <c r="I608" s="70"/>
      <c r="J608" s="70"/>
      <c r="K608" s="70"/>
      <c r="L608" s="70"/>
      <c r="M608" s="70"/>
      <c r="N608" s="70"/>
      <c r="O608" s="70"/>
      <c r="P608" s="70"/>
      <c r="Q608" s="70"/>
      <c r="R608" s="70"/>
      <c r="S608" s="70"/>
      <c r="T608" s="70"/>
      <c r="U608" s="70"/>
      <c r="V608" s="70"/>
      <c r="W608" s="70"/>
      <c r="X608" s="70"/>
      <c r="Y608" s="70"/>
      <c r="Z608" s="70"/>
    </row>
    <row r="609">
      <c r="A609" s="70"/>
      <c r="B609" s="79"/>
      <c r="C609" s="79"/>
      <c r="D609" s="78"/>
      <c r="E609" s="71"/>
      <c r="F609" s="70"/>
      <c r="G609" s="70"/>
      <c r="H609" s="70"/>
      <c r="I609" s="70"/>
      <c r="J609" s="70"/>
      <c r="K609" s="70"/>
      <c r="L609" s="70"/>
      <c r="M609" s="70"/>
      <c r="N609" s="70"/>
      <c r="O609" s="70"/>
      <c r="P609" s="70"/>
      <c r="Q609" s="70"/>
      <c r="R609" s="70"/>
      <c r="S609" s="70"/>
      <c r="T609" s="70"/>
      <c r="U609" s="70"/>
      <c r="V609" s="70"/>
      <c r="W609" s="70"/>
      <c r="X609" s="70"/>
      <c r="Y609" s="70"/>
      <c r="Z609" s="70"/>
    </row>
    <row r="610">
      <c r="A610" s="70"/>
      <c r="B610" s="79"/>
      <c r="C610" s="79"/>
      <c r="D610" s="78"/>
      <c r="E610" s="71"/>
      <c r="F610" s="70"/>
      <c r="G610" s="70"/>
      <c r="H610" s="70"/>
      <c r="I610" s="70"/>
      <c r="J610" s="70"/>
      <c r="K610" s="70"/>
      <c r="L610" s="70"/>
      <c r="M610" s="70"/>
      <c r="N610" s="70"/>
      <c r="O610" s="70"/>
      <c r="P610" s="70"/>
      <c r="Q610" s="70"/>
      <c r="R610" s="70"/>
      <c r="S610" s="70"/>
      <c r="T610" s="70"/>
      <c r="U610" s="70"/>
      <c r="V610" s="70"/>
      <c r="W610" s="70"/>
      <c r="X610" s="70"/>
      <c r="Y610" s="70"/>
      <c r="Z610" s="70"/>
    </row>
    <row r="611">
      <c r="A611" s="70"/>
      <c r="B611" s="79"/>
      <c r="C611" s="79"/>
      <c r="D611" s="78"/>
      <c r="E611" s="71"/>
      <c r="F611" s="70"/>
      <c r="G611" s="70"/>
      <c r="H611" s="70"/>
      <c r="I611" s="70"/>
      <c r="J611" s="70"/>
      <c r="K611" s="70"/>
      <c r="L611" s="70"/>
      <c r="M611" s="70"/>
      <c r="N611" s="70"/>
      <c r="O611" s="70"/>
      <c r="P611" s="70"/>
      <c r="Q611" s="70"/>
      <c r="R611" s="70"/>
      <c r="S611" s="70"/>
      <c r="T611" s="70"/>
      <c r="U611" s="70"/>
      <c r="V611" s="70"/>
      <c r="W611" s="70"/>
      <c r="X611" s="70"/>
      <c r="Y611" s="70"/>
      <c r="Z611" s="70"/>
    </row>
    <row r="612">
      <c r="A612" s="70"/>
      <c r="B612" s="79"/>
      <c r="C612" s="79"/>
      <c r="D612" s="78"/>
      <c r="E612" s="71"/>
      <c r="F612" s="70"/>
      <c r="G612" s="70"/>
      <c r="H612" s="70"/>
      <c r="I612" s="70"/>
      <c r="J612" s="70"/>
      <c r="K612" s="70"/>
      <c r="L612" s="70"/>
      <c r="M612" s="70"/>
      <c r="N612" s="70"/>
      <c r="O612" s="70"/>
      <c r="P612" s="70"/>
      <c r="Q612" s="70"/>
      <c r="R612" s="70"/>
      <c r="S612" s="70"/>
      <c r="T612" s="70"/>
      <c r="U612" s="70"/>
      <c r="V612" s="70"/>
      <c r="W612" s="70"/>
      <c r="X612" s="70"/>
      <c r="Y612" s="70"/>
      <c r="Z612" s="70"/>
    </row>
    <row r="613">
      <c r="A613" s="70"/>
      <c r="B613" s="79"/>
      <c r="C613" s="79"/>
      <c r="D613" s="78"/>
      <c r="E613" s="71"/>
      <c r="F613" s="70"/>
      <c r="G613" s="70"/>
      <c r="H613" s="70"/>
      <c r="I613" s="70"/>
      <c r="J613" s="70"/>
      <c r="K613" s="70"/>
      <c r="L613" s="70"/>
      <c r="M613" s="70"/>
      <c r="N613" s="70"/>
      <c r="O613" s="70"/>
      <c r="P613" s="70"/>
      <c r="Q613" s="70"/>
      <c r="R613" s="70"/>
      <c r="S613" s="70"/>
      <c r="T613" s="70"/>
      <c r="U613" s="70"/>
      <c r="V613" s="70"/>
      <c r="W613" s="70"/>
      <c r="X613" s="70"/>
      <c r="Y613" s="70"/>
      <c r="Z613" s="70"/>
    </row>
    <row r="614">
      <c r="A614" s="70"/>
      <c r="B614" s="79"/>
      <c r="C614" s="79"/>
      <c r="D614" s="78"/>
      <c r="E614" s="71"/>
      <c r="F614" s="70"/>
      <c r="G614" s="70"/>
      <c r="H614" s="70"/>
      <c r="I614" s="70"/>
      <c r="J614" s="70"/>
      <c r="K614" s="70"/>
      <c r="L614" s="70"/>
      <c r="M614" s="70"/>
      <c r="N614" s="70"/>
      <c r="O614" s="70"/>
      <c r="P614" s="70"/>
      <c r="Q614" s="70"/>
      <c r="R614" s="70"/>
      <c r="S614" s="70"/>
      <c r="T614" s="70"/>
      <c r="U614" s="70"/>
      <c r="V614" s="70"/>
      <c r="W614" s="70"/>
      <c r="X614" s="70"/>
      <c r="Y614" s="70"/>
      <c r="Z614" s="70"/>
    </row>
    <row r="615">
      <c r="A615" s="70"/>
      <c r="B615" s="79"/>
      <c r="C615" s="79"/>
      <c r="D615" s="78"/>
      <c r="E615" s="71"/>
      <c r="F615" s="70"/>
      <c r="G615" s="70"/>
      <c r="H615" s="70"/>
      <c r="I615" s="70"/>
      <c r="J615" s="70"/>
      <c r="K615" s="70"/>
      <c r="L615" s="70"/>
      <c r="M615" s="70"/>
      <c r="N615" s="70"/>
      <c r="O615" s="70"/>
      <c r="P615" s="70"/>
      <c r="Q615" s="70"/>
      <c r="R615" s="70"/>
      <c r="S615" s="70"/>
      <c r="T615" s="70"/>
      <c r="U615" s="70"/>
      <c r="V615" s="70"/>
      <c r="W615" s="70"/>
      <c r="X615" s="70"/>
      <c r="Y615" s="70"/>
      <c r="Z615" s="70"/>
    </row>
    <row r="616">
      <c r="A616" s="70"/>
      <c r="B616" s="79"/>
      <c r="C616" s="79"/>
      <c r="D616" s="78"/>
      <c r="E616" s="71"/>
      <c r="F616" s="70"/>
      <c r="G616" s="70"/>
      <c r="H616" s="70"/>
      <c r="I616" s="70"/>
      <c r="J616" s="70"/>
      <c r="K616" s="70"/>
      <c r="L616" s="70"/>
      <c r="M616" s="70"/>
      <c r="N616" s="70"/>
      <c r="O616" s="70"/>
      <c r="P616" s="70"/>
      <c r="Q616" s="70"/>
      <c r="R616" s="70"/>
      <c r="S616" s="70"/>
      <c r="T616" s="70"/>
      <c r="U616" s="70"/>
      <c r="V616" s="70"/>
      <c r="W616" s="70"/>
      <c r="X616" s="70"/>
      <c r="Y616" s="70"/>
      <c r="Z616" s="70"/>
    </row>
    <row r="617">
      <c r="A617" s="70"/>
      <c r="B617" s="79"/>
      <c r="C617" s="79"/>
      <c r="D617" s="78"/>
      <c r="E617" s="71"/>
      <c r="F617" s="70"/>
      <c r="G617" s="70"/>
      <c r="H617" s="70"/>
      <c r="I617" s="70"/>
      <c r="J617" s="70"/>
      <c r="K617" s="70"/>
      <c r="L617" s="70"/>
      <c r="M617" s="70"/>
      <c r="N617" s="70"/>
      <c r="O617" s="70"/>
      <c r="P617" s="70"/>
      <c r="Q617" s="70"/>
      <c r="R617" s="70"/>
      <c r="S617" s="70"/>
      <c r="T617" s="70"/>
      <c r="U617" s="70"/>
      <c r="V617" s="70"/>
      <c r="W617" s="70"/>
      <c r="X617" s="70"/>
      <c r="Y617" s="70"/>
      <c r="Z617" s="70"/>
    </row>
    <row r="618">
      <c r="A618" s="70"/>
      <c r="B618" s="79"/>
      <c r="C618" s="79"/>
      <c r="D618" s="78"/>
      <c r="E618" s="71"/>
      <c r="F618" s="70"/>
      <c r="G618" s="70"/>
      <c r="H618" s="70"/>
      <c r="I618" s="70"/>
      <c r="J618" s="70"/>
      <c r="K618" s="70"/>
      <c r="L618" s="70"/>
      <c r="M618" s="70"/>
      <c r="N618" s="70"/>
      <c r="O618" s="70"/>
      <c r="P618" s="70"/>
      <c r="Q618" s="70"/>
      <c r="R618" s="70"/>
      <c r="S618" s="70"/>
      <c r="T618" s="70"/>
      <c r="U618" s="70"/>
      <c r="V618" s="70"/>
      <c r="W618" s="70"/>
      <c r="X618" s="70"/>
      <c r="Y618" s="70"/>
      <c r="Z618" s="70"/>
    </row>
    <row r="619">
      <c r="A619" s="70"/>
      <c r="B619" s="79"/>
      <c r="C619" s="79"/>
      <c r="D619" s="78"/>
      <c r="E619" s="71"/>
      <c r="F619" s="70"/>
      <c r="G619" s="70"/>
      <c r="H619" s="70"/>
      <c r="I619" s="70"/>
      <c r="J619" s="70"/>
      <c r="K619" s="70"/>
      <c r="L619" s="70"/>
      <c r="M619" s="70"/>
      <c r="N619" s="70"/>
      <c r="O619" s="70"/>
      <c r="P619" s="70"/>
      <c r="Q619" s="70"/>
      <c r="R619" s="70"/>
      <c r="S619" s="70"/>
      <c r="T619" s="70"/>
      <c r="U619" s="70"/>
      <c r="V619" s="70"/>
      <c r="W619" s="70"/>
      <c r="X619" s="70"/>
      <c r="Y619" s="70"/>
      <c r="Z619" s="70"/>
    </row>
    <row r="620">
      <c r="A620" s="70"/>
      <c r="B620" s="79"/>
      <c r="C620" s="79"/>
      <c r="D620" s="78"/>
      <c r="E620" s="71"/>
      <c r="F620" s="70"/>
      <c r="G620" s="70"/>
      <c r="H620" s="70"/>
      <c r="I620" s="70"/>
      <c r="J620" s="70"/>
      <c r="K620" s="70"/>
      <c r="L620" s="70"/>
      <c r="M620" s="70"/>
      <c r="N620" s="70"/>
      <c r="O620" s="70"/>
      <c r="P620" s="70"/>
      <c r="Q620" s="70"/>
      <c r="R620" s="70"/>
      <c r="S620" s="70"/>
      <c r="T620" s="70"/>
      <c r="U620" s="70"/>
      <c r="V620" s="70"/>
      <c r="W620" s="70"/>
      <c r="X620" s="70"/>
      <c r="Y620" s="70"/>
      <c r="Z620" s="70"/>
    </row>
    <row r="621">
      <c r="A621" s="70"/>
      <c r="B621" s="79"/>
      <c r="C621" s="79"/>
      <c r="D621" s="78"/>
      <c r="E621" s="71"/>
      <c r="F621" s="70"/>
      <c r="G621" s="70"/>
      <c r="H621" s="70"/>
      <c r="I621" s="70"/>
      <c r="J621" s="70"/>
      <c r="K621" s="70"/>
      <c r="L621" s="70"/>
      <c r="M621" s="70"/>
      <c r="N621" s="70"/>
      <c r="O621" s="70"/>
      <c r="P621" s="70"/>
      <c r="Q621" s="70"/>
      <c r="R621" s="70"/>
      <c r="S621" s="70"/>
      <c r="T621" s="70"/>
      <c r="U621" s="70"/>
      <c r="V621" s="70"/>
      <c r="W621" s="70"/>
      <c r="X621" s="70"/>
      <c r="Y621" s="70"/>
      <c r="Z621" s="70"/>
    </row>
    <row r="622">
      <c r="A622" s="70"/>
      <c r="B622" s="79"/>
      <c r="C622" s="79"/>
      <c r="D622" s="78"/>
      <c r="E622" s="71"/>
      <c r="F622" s="70"/>
      <c r="G622" s="70"/>
      <c r="H622" s="70"/>
      <c r="I622" s="70"/>
      <c r="J622" s="70"/>
      <c r="K622" s="70"/>
      <c r="L622" s="70"/>
      <c r="M622" s="70"/>
      <c r="N622" s="70"/>
      <c r="O622" s="70"/>
      <c r="P622" s="70"/>
      <c r="Q622" s="70"/>
      <c r="R622" s="70"/>
      <c r="S622" s="70"/>
      <c r="T622" s="70"/>
      <c r="U622" s="70"/>
      <c r="V622" s="70"/>
      <c r="W622" s="70"/>
      <c r="X622" s="70"/>
      <c r="Y622" s="70"/>
      <c r="Z622" s="70"/>
    </row>
    <row r="623">
      <c r="A623" s="70"/>
      <c r="B623" s="79"/>
      <c r="C623" s="79"/>
      <c r="D623" s="78"/>
      <c r="E623" s="71"/>
      <c r="F623" s="70"/>
      <c r="G623" s="70"/>
      <c r="H623" s="70"/>
      <c r="I623" s="70"/>
      <c r="J623" s="70"/>
      <c r="K623" s="70"/>
      <c r="L623" s="70"/>
      <c r="M623" s="70"/>
      <c r="N623" s="70"/>
      <c r="O623" s="70"/>
      <c r="P623" s="70"/>
      <c r="Q623" s="70"/>
      <c r="R623" s="70"/>
      <c r="S623" s="70"/>
      <c r="T623" s="70"/>
      <c r="U623" s="70"/>
      <c r="V623" s="70"/>
      <c r="W623" s="70"/>
      <c r="X623" s="70"/>
      <c r="Y623" s="70"/>
      <c r="Z623" s="70"/>
    </row>
    <row r="624">
      <c r="A624" s="70"/>
      <c r="B624" s="79"/>
      <c r="C624" s="79"/>
      <c r="D624" s="78"/>
      <c r="E624" s="71"/>
      <c r="F624" s="70"/>
      <c r="G624" s="70"/>
      <c r="H624" s="70"/>
      <c r="I624" s="70"/>
      <c r="J624" s="70"/>
      <c r="K624" s="70"/>
      <c r="L624" s="70"/>
      <c r="M624" s="70"/>
      <c r="N624" s="70"/>
      <c r="O624" s="70"/>
      <c r="P624" s="70"/>
      <c r="Q624" s="70"/>
      <c r="R624" s="70"/>
      <c r="S624" s="70"/>
      <c r="T624" s="70"/>
      <c r="U624" s="70"/>
      <c r="V624" s="70"/>
      <c r="W624" s="70"/>
      <c r="X624" s="70"/>
      <c r="Y624" s="70"/>
      <c r="Z624" s="70"/>
    </row>
    <row r="625">
      <c r="A625" s="70"/>
      <c r="B625" s="79"/>
      <c r="C625" s="79"/>
      <c r="D625" s="78"/>
      <c r="E625" s="71"/>
      <c r="F625" s="70"/>
      <c r="G625" s="70"/>
      <c r="H625" s="70"/>
      <c r="I625" s="70"/>
      <c r="J625" s="70"/>
      <c r="K625" s="70"/>
      <c r="L625" s="70"/>
      <c r="M625" s="70"/>
      <c r="N625" s="70"/>
      <c r="O625" s="70"/>
      <c r="P625" s="70"/>
      <c r="Q625" s="70"/>
      <c r="R625" s="70"/>
      <c r="S625" s="70"/>
      <c r="T625" s="70"/>
      <c r="U625" s="70"/>
      <c r="V625" s="70"/>
      <c r="W625" s="70"/>
      <c r="X625" s="70"/>
      <c r="Y625" s="70"/>
      <c r="Z625" s="70"/>
    </row>
    <row r="626">
      <c r="A626" s="70"/>
      <c r="B626" s="79"/>
      <c r="C626" s="79"/>
      <c r="D626" s="78"/>
      <c r="E626" s="71"/>
      <c r="F626" s="70"/>
      <c r="G626" s="70"/>
      <c r="H626" s="70"/>
      <c r="I626" s="70"/>
      <c r="J626" s="70"/>
      <c r="K626" s="70"/>
      <c r="L626" s="70"/>
      <c r="M626" s="70"/>
      <c r="N626" s="70"/>
      <c r="O626" s="70"/>
      <c r="P626" s="70"/>
      <c r="Q626" s="70"/>
      <c r="R626" s="70"/>
      <c r="S626" s="70"/>
      <c r="T626" s="70"/>
      <c r="U626" s="70"/>
      <c r="V626" s="70"/>
      <c r="W626" s="70"/>
      <c r="X626" s="70"/>
      <c r="Y626" s="70"/>
      <c r="Z626" s="70"/>
    </row>
    <row r="627">
      <c r="A627" s="70"/>
      <c r="B627" s="79"/>
      <c r="C627" s="79"/>
      <c r="D627" s="78"/>
      <c r="E627" s="71"/>
      <c r="F627" s="70"/>
      <c r="G627" s="70"/>
      <c r="H627" s="70"/>
      <c r="I627" s="70"/>
      <c r="J627" s="70"/>
      <c r="K627" s="70"/>
      <c r="L627" s="70"/>
      <c r="M627" s="70"/>
      <c r="N627" s="70"/>
      <c r="O627" s="70"/>
      <c r="P627" s="70"/>
      <c r="Q627" s="70"/>
      <c r="R627" s="70"/>
      <c r="S627" s="70"/>
      <c r="T627" s="70"/>
      <c r="U627" s="70"/>
      <c r="V627" s="70"/>
      <c r="W627" s="70"/>
      <c r="X627" s="70"/>
      <c r="Y627" s="70"/>
      <c r="Z627" s="70"/>
    </row>
    <row r="628">
      <c r="A628" s="70"/>
      <c r="B628" s="79"/>
      <c r="C628" s="79"/>
      <c r="D628" s="78"/>
      <c r="E628" s="71"/>
      <c r="F628" s="70"/>
      <c r="G628" s="70"/>
      <c r="H628" s="70"/>
      <c r="I628" s="70"/>
      <c r="J628" s="70"/>
      <c r="K628" s="70"/>
      <c r="L628" s="70"/>
      <c r="M628" s="70"/>
      <c r="N628" s="70"/>
      <c r="O628" s="70"/>
      <c r="P628" s="70"/>
      <c r="Q628" s="70"/>
      <c r="R628" s="70"/>
      <c r="S628" s="70"/>
      <c r="T628" s="70"/>
      <c r="U628" s="70"/>
      <c r="V628" s="70"/>
      <c r="W628" s="70"/>
      <c r="X628" s="70"/>
      <c r="Y628" s="70"/>
      <c r="Z628" s="70"/>
    </row>
    <row r="629">
      <c r="A629" s="70"/>
      <c r="B629" s="79"/>
      <c r="C629" s="79"/>
      <c r="D629" s="78"/>
      <c r="E629" s="71"/>
      <c r="F629" s="70"/>
      <c r="G629" s="70"/>
      <c r="H629" s="70"/>
      <c r="I629" s="70"/>
      <c r="J629" s="70"/>
      <c r="K629" s="70"/>
      <c r="L629" s="70"/>
      <c r="M629" s="70"/>
      <c r="N629" s="70"/>
      <c r="O629" s="70"/>
      <c r="P629" s="70"/>
      <c r="Q629" s="70"/>
      <c r="R629" s="70"/>
      <c r="S629" s="70"/>
      <c r="T629" s="70"/>
      <c r="U629" s="70"/>
      <c r="V629" s="70"/>
      <c r="W629" s="70"/>
      <c r="X629" s="70"/>
      <c r="Y629" s="70"/>
      <c r="Z629" s="70"/>
    </row>
    <row r="630">
      <c r="A630" s="70"/>
      <c r="B630" s="79"/>
      <c r="C630" s="79"/>
      <c r="D630" s="78"/>
      <c r="E630" s="71"/>
      <c r="F630" s="70"/>
      <c r="G630" s="70"/>
      <c r="H630" s="70"/>
      <c r="I630" s="70"/>
      <c r="J630" s="70"/>
      <c r="K630" s="70"/>
      <c r="L630" s="70"/>
      <c r="M630" s="70"/>
      <c r="N630" s="70"/>
      <c r="O630" s="70"/>
      <c r="P630" s="70"/>
      <c r="Q630" s="70"/>
      <c r="R630" s="70"/>
      <c r="S630" s="70"/>
      <c r="T630" s="70"/>
      <c r="U630" s="70"/>
      <c r="V630" s="70"/>
      <c r="W630" s="70"/>
      <c r="X630" s="70"/>
      <c r="Y630" s="70"/>
      <c r="Z630" s="70"/>
    </row>
    <row r="631">
      <c r="A631" s="70"/>
      <c r="B631" s="79"/>
      <c r="C631" s="79"/>
      <c r="D631" s="78"/>
      <c r="E631" s="71"/>
      <c r="F631" s="70"/>
      <c r="G631" s="70"/>
      <c r="H631" s="70"/>
      <c r="I631" s="70"/>
      <c r="J631" s="70"/>
      <c r="K631" s="70"/>
      <c r="L631" s="70"/>
      <c r="M631" s="70"/>
      <c r="N631" s="70"/>
      <c r="O631" s="70"/>
      <c r="P631" s="70"/>
      <c r="Q631" s="70"/>
      <c r="R631" s="70"/>
      <c r="S631" s="70"/>
      <c r="T631" s="70"/>
      <c r="U631" s="70"/>
      <c r="V631" s="70"/>
      <c r="W631" s="70"/>
      <c r="X631" s="70"/>
      <c r="Y631" s="70"/>
      <c r="Z631" s="70"/>
    </row>
    <row r="632">
      <c r="A632" s="70"/>
      <c r="B632" s="79"/>
      <c r="C632" s="79"/>
      <c r="D632" s="78"/>
      <c r="E632" s="71"/>
      <c r="F632" s="70"/>
      <c r="G632" s="70"/>
      <c r="H632" s="70"/>
      <c r="I632" s="70"/>
      <c r="J632" s="70"/>
      <c r="K632" s="70"/>
      <c r="L632" s="70"/>
      <c r="M632" s="70"/>
      <c r="N632" s="70"/>
      <c r="O632" s="70"/>
      <c r="P632" s="70"/>
      <c r="Q632" s="70"/>
      <c r="R632" s="70"/>
      <c r="S632" s="70"/>
      <c r="T632" s="70"/>
      <c r="U632" s="70"/>
      <c r="V632" s="70"/>
      <c r="W632" s="70"/>
      <c r="X632" s="70"/>
      <c r="Y632" s="70"/>
      <c r="Z632" s="70"/>
    </row>
    <row r="633">
      <c r="A633" s="70"/>
      <c r="B633" s="79"/>
      <c r="C633" s="79"/>
      <c r="D633" s="78"/>
      <c r="E633" s="71"/>
      <c r="F633" s="70"/>
      <c r="G633" s="70"/>
      <c r="H633" s="70"/>
      <c r="I633" s="70"/>
      <c r="J633" s="70"/>
      <c r="K633" s="70"/>
      <c r="L633" s="70"/>
      <c r="M633" s="70"/>
      <c r="N633" s="70"/>
      <c r="O633" s="70"/>
      <c r="P633" s="70"/>
      <c r="Q633" s="70"/>
      <c r="R633" s="70"/>
      <c r="S633" s="70"/>
      <c r="T633" s="70"/>
      <c r="U633" s="70"/>
      <c r="V633" s="70"/>
      <c r="W633" s="70"/>
      <c r="X633" s="70"/>
      <c r="Y633" s="70"/>
      <c r="Z633" s="70"/>
    </row>
    <row r="634">
      <c r="A634" s="70"/>
      <c r="B634" s="79"/>
      <c r="C634" s="79"/>
      <c r="D634" s="78"/>
      <c r="E634" s="71"/>
      <c r="F634" s="70"/>
      <c r="G634" s="70"/>
      <c r="H634" s="70"/>
      <c r="I634" s="70"/>
      <c r="J634" s="70"/>
      <c r="K634" s="70"/>
      <c r="L634" s="70"/>
      <c r="M634" s="70"/>
      <c r="N634" s="70"/>
      <c r="O634" s="70"/>
      <c r="P634" s="70"/>
      <c r="Q634" s="70"/>
      <c r="R634" s="70"/>
      <c r="S634" s="70"/>
      <c r="T634" s="70"/>
      <c r="U634" s="70"/>
      <c r="V634" s="70"/>
      <c r="W634" s="70"/>
      <c r="X634" s="70"/>
      <c r="Y634" s="70"/>
      <c r="Z634" s="70"/>
    </row>
    <row r="635">
      <c r="A635" s="70"/>
      <c r="B635" s="79"/>
      <c r="C635" s="79"/>
      <c r="D635" s="78"/>
      <c r="E635" s="71"/>
      <c r="F635" s="70"/>
      <c r="G635" s="70"/>
      <c r="H635" s="70"/>
      <c r="I635" s="70"/>
      <c r="J635" s="70"/>
      <c r="K635" s="70"/>
      <c r="L635" s="70"/>
      <c r="M635" s="70"/>
      <c r="N635" s="70"/>
      <c r="O635" s="70"/>
      <c r="P635" s="70"/>
      <c r="Q635" s="70"/>
      <c r="R635" s="70"/>
      <c r="S635" s="70"/>
      <c r="T635" s="70"/>
      <c r="U635" s="70"/>
      <c r="V635" s="70"/>
      <c r="W635" s="70"/>
      <c r="X635" s="70"/>
      <c r="Y635" s="70"/>
      <c r="Z635" s="70"/>
    </row>
    <row r="636">
      <c r="A636" s="70"/>
      <c r="B636" s="79"/>
      <c r="C636" s="79"/>
      <c r="D636" s="78"/>
      <c r="E636" s="71"/>
      <c r="F636" s="70"/>
      <c r="G636" s="70"/>
      <c r="H636" s="70"/>
      <c r="I636" s="70"/>
      <c r="J636" s="70"/>
      <c r="K636" s="70"/>
      <c r="L636" s="70"/>
      <c r="M636" s="70"/>
      <c r="N636" s="70"/>
      <c r="O636" s="70"/>
      <c r="P636" s="70"/>
      <c r="Q636" s="70"/>
      <c r="R636" s="70"/>
      <c r="S636" s="70"/>
      <c r="T636" s="70"/>
      <c r="U636" s="70"/>
      <c r="V636" s="70"/>
      <c r="W636" s="70"/>
      <c r="X636" s="70"/>
      <c r="Y636" s="70"/>
      <c r="Z636" s="70"/>
    </row>
    <row r="637">
      <c r="A637" s="70"/>
      <c r="B637" s="79"/>
      <c r="C637" s="79"/>
      <c r="D637" s="78"/>
      <c r="E637" s="71"/>
      <c r="F637" s="70"/>
      <c r="G637" s="70"/>
      <c r="H637" s="70"/>
      <c r="I637" s="70"/>
      <c r="J637" s="70"/>
      <c r="K637" s="70"/>
      <c r="L637" s="70"/>
      <c r="M637" s="70"/>
      <c r="N637" s="70"/>
      <c r="O637" s="70"/>
      <c r="P637" s="70"/>
      <c r="Q637" s="70"/>
      <c r="R637" s="70"/>
      <c r="S637" s="70"/>
      <c r="T637" s="70"/>
      <c r="U637" s="70"/>
      <c r="V637" s="70"/>
      <c r="W637" s="70"/>
      <c r="X637" s="70"/>
      <c r="Y637" s="70"/>
      <c r="Z637" s="70"/>
    </row>
    <row r="638">
      <c r="A638" s="70"/>
      <c r="B638" s="79"/>
      <c r="C638" s="79"/>
      <c r="D638" s="78"/>
      <c r="E638" s="71"/>
      <c r="F638" s="70"/>
      <c r="G638" s="70"/>
      <c r="H638" s="70"/>
      <c r="I638" s="70"/>
      <c r="J638" s="70"/>
      <c r="K638" s="70"/>
      <c r="L638" s="70"/>
      <c r="M638" s="70"/>
      <c r="N638" s="70"/>
      <c r="O638" s="70"/>
      <c r="P638" s="70"/>
      <c r="Q638" s="70"/>
      <c r="R638" s="70"/>
      <c r="S638" s="70"/>
      <c r="T638" s="70"/>
      <c r="U638" s="70"/>
      <c r="V638" s="70"/>
      <c r="W638" s="70"/>
      <c r="X638" s="70"/>
      <c r="Y638" s="70"/>
      <c r="Z638" s="70"/>
    </row>
    <row r="639">
      <c r="A639" s="70"/>
      <c r="B639" s="79"/>
      <c r="C639" s="79"/>
      <c r="D639" s="78"/>
      <c r="E639" s="71"/>
      <c r="F639" s="70"/>
      <c r="G639" s="70"/>
      <c r="H639" s="70"/>
      <c r="I639" s="70"/>
      <c r="J639" s="70"/>
      <c r="K639" s="70"/>
      <c r="L639" s="70"/>
      <c r="M639" s="70"/>
      <c r="N639" s="70"/>
      <c r="O639" s="70"/>
      <c r="P639" s="70"/>
      <c r="Q639" s="70"/>
      <c r="R639" s="70"/>
      <c r="S639" s="70"/>
      <c r="T639" s="70"/>
      <c r="U639" s="70"/>
      <c r="V639" s="70"/>
      <c r="W639" s="70"/>
      <c r="X639" s="70"/>
      <c r="Y639" s="70"/>
      <c r="Z639" s="70"/>
    </row>
    <row r="640">
      <c r="A640" s="70"/>
      <c r="B640" s="79"/>
      <c r="C640" s="79"/>
      <c r="D640" s="78"/>
      <c r="E640" s="71"/>
      <c r="F640" s="70"/>
      <c r="G640" s="70"/>
      <c r="H640" s="70"/>
      <c r="I640" s="70"/>
      <c r="J640" s="70"/>
      <c r="K640" s="70"/>
      <c r="L640" s="70"/>
      <c r="M640" s="70"/>
      <c r="N640" s="70"/>
      <c r="O640" s="70"/>
      <c r="P640" s="70"/>
      <c r="Q640" s="70"/>
      <c r="R640" s="70"/>
      <c r="S640" s="70"/>
      <c r="T640" s="70"/>
      <c r="U640" s="70"/>
      <c r="V640" s="70"/>
      <c r="W640" s="70"/>
      <c r="X640" s="70"/>
      <c r="Y640" s="70"/>
      <c r="Z640" s="70"/>
    </row>
    <row r="641">
      <c r="A641" s="70"/>
      <c r="B641" s="79"/>
      <c r="C641" s="79"/>
      <c r="D641" s="78"/>
      <c r="E641" s="71"/>
      <c r="F641" s="70"/>
      <c r="G641" s="70"/>
      <c r="H641" s="70"/>
      <c r="I641" s="70"/>
      <c r="J641" s="70"/>
      <c r="K641" s="70"/>
      <c r="L641" s="70"/>
      <c r="M641" s="70"/>
      <c r="N641" s="70"/>
      <c r="O641" s="70"/>
      <c r="P641" s="70"/>
      <c r="Q641" s="70"/>
      <c r="R641" s="70"/>
      <c r="S641" s="70"/>
      <c r="T641" s="70"/>
      <c r="U641" s="70"/>
      <c r="V641" s="70"/>
      <c r="W641" s="70"/>
      <c r="X641" s="70"/>
      <c r="Y641" s="70"/>
      <c r="Z641" s="70"/>
    </row>
    <row r="642">
      <c r="A642" s="70"/>
      <c r="B642" s="79"/>
      <c r="C642" s="79"/>
      <c r="D642" s="78"/>
      <c r="E642" s="71"/>
      <c r="F642" s="70"/>
      <c r="G642" s="70"/>
      <c r="H642" s="70"/>
      <c r="I642" s="70"/>
      <c r="J642" s="70"/>
      <c r="K642" s="70"/>
      <c r="L642" s="70"/>
      <c r="M642" s="70"/>
      <c r="N642" s="70"/>
      <c r="O642" s="70"/>
      <c r="P642" s="70"/>
      <c r="Q642" s="70"/>
      <c r="R642" s="70"/>
      <c r="S642" s="70"/>
      <c r="T642" s="70"/>
      <c r="U642" s="70"/>
      <c r="V642" s="70"/>
      <c r="W642" s="70"/>
      <c r="X642" s="70"/>
      <c r="Y642" s="70"/>
      <c r="Z642" s="70"/>
    </row>
    <row r="643">
      <c r="A643" s="70"/>
      <c r="B643" s="79"/>
      <c r="C643" s="79"/>
      <c r="D643" s="78"/>
      <c r="E643" s="71"/>
      <c r="F643" s="70"/>
      <c r="G643" s="70"/>
      <c r="H643" s="70"/>
      <c r="I643" s="70"/>
      <c r="J643" s="70"/>
      <c r="K643" s="70"/>
      <c r="L643" s="70"/>
      <c r="M643" s="70"/>
      <c r="N643" s="70"/>
      <c r="O643" s="70"/>
      <c r="P643" s="70"/>
      <c r="Q643" s="70"/>
      <c r="R643" s="70"/>
      <c r="S643" s="70"/>
      <c r="T643" s="70"/>
      <c r="U643" s="70"/>
      <c r="V643" s="70"/>
      <c r="W643" s="70"/>
      <c r="X643" s="70"/>
      <c r="Y643" s="70"/>
      <c r="Z643" s="70"/>
    </row>
    <row r="644">
      <c r="A644" s="70"/>
      <c r="B644" s="79"/>
      <c r="C644" s="79"/>
      <c r="D644" s="78"/>
      <c r="E644" s="71"/>
      <c r="F644" s="70"/>
      <c r="G644" s="70"/>
      <c r="H644" s="70"/>
      <c r="I644" s="70"/>
      <c r="J644" s="70"/>
      <c r="K644" s="70"/>
      <c r="L644" s="70"/>
      <c r="M644" s="70"/>
      <c r="N644" s="70"/>
      <c r="O644" s="70"/>
      <c r="P644" s="70"/>
      <c r="Q644" s="70"/>
      <c r="R644" s="70"/>
      <c r="S644" s="70"/>
      <c r="T644" s="70"/>
      <c r="U644" s="70"/>
      <c r="V644" s="70"/>
      <c r="W644" s="70"/>
      <c r="X644" s="70"/>
      <c r="Y644" s="70"/>
      <c r="Z644" s="70"/>
    </row>
    <row r="645">
      <c r="A645" s="70"/>
      <c r="B645" s="79"/>
      <c r="C645" s="79"/>
      <c r="D645" s="78"/>
      <c r="E645" s="71"/>
      <c r="F645" s="70"/>
      <c r="G645" s="70"/>
      <c r="H645" s="70"/>
      <c r="I645" s="70"/>
      <c r="J645" s="70"/>
      <c r="K645" s="70"/>
      <c r="L645" s="70"/>
      <c r="M645" s="70"/>
      <c r="N645" s="70"/>
      <c r="O645" s="70"/>
      <c r="P645" s="70"/>
      <c r="Q645" s="70"/>
      <c r="R645" s="70"/>
      <c r="S645" s="70"/>
      <c r="T645" s="70"/>
      <c r="U645" s="70"/>
      <c r="V645" s="70"/>
      <c r="W645" s="70"/>
      <c r="X645" s="70"/>
      <c r="Y645" s="70"/>
      <c r="Z645" s="70"/>
    </row>
    <row r="646">
      <c r="A646" s="70"/>
      <c r="B646" s="79"/>
      <c r="C646" s="79"/>
      <c r="D646" s="78"/>
      <c r="E646" s="71"/>
      <c r="F646" s="70"/>
      <c r="G646" s="70"/>
      <c r="H646" s="70"/>
      <c r="I646" s="70"/>
      <c r="J646" s="70"/>
      <c r="K646" s="70"/>
      <c r="L646" s="70"/>
      <c r="M646" s="70"/>
      <c r="N646" s="70"/>
      <c r="O646" s="70"/>
      <c r="P646" s="70"/>
      <c r="Q646" s="70"/>
      <c r="R646" s="70"/>
      <c r="S646" s="70"/>
      <c r="T646" s="70"/>
      <c r="U646" s="70"/>
      <c r="V646" s="70"/>
      <c r="W646" s="70"/>
      <c r="X646" s="70"/>
      <c r="Y646" s="70"/>
      <c r="Z646" s="70"/>
    </row>
    <row r="647">
      <c r="A647" s="70"/>
      <c r="B647" s="79"/>
      <c r="C647" s="79"/>
      <c r="D647" s="78"/>
      <c r="E647" s="71"/>
      <c r="F647" s="70"/>
      <c r="G647" s="70"/>
      <c r="H647" s="70"/>
      <c r="I647" s="70"/>
      <c r="J647" s="70"/>
      <c r="K647" s="70"/>
      <c r="L647" s="70"/>
      <c r="M647" s="70"/>
      <c r="N647" s="70"/>
      <c r="O647" s="70"/>
      <c r="P647" s="70"/>
      <c r="Q647" s="70"/>
      <c r="R647" s="70"/>
      <c r="S647" s="70"/>
      <c r="T647" s="70"/>
      <c r="U647" s="70"/>
      <c r="V647" s="70"/>
      <c r="W647" s="70"/>
      <c r="X647" s="70"/>
      <c r="Y647" s="70"/>
      <c r="Z647" s="70"/>
    </row>
    <row r="648">
      <c r="A648" s="70"/>
      <c r="B648" s="79"/>
      <c r="C648" s="79"/>
      <c r="D648" s="78"/>
      <c r="E648" s="71"/>
      <c r="F648" s="70"/>
      <c r="G648" s="70"/>
      <c r="H648" s="70"/>
      <c r="I648" s="70"/>
      <c r="J648" s="70"/>
      <c r="K648" s="70"/>
      <c r="L648" s="70"/>
      <c r="M648" s="70"/>
      <c r="N648" s="70"/>
      <c r="O648" s="70"/>
      <c r="P648" s="70"/>
      <c r="Q648" s="70"/>
      <c r="R648" s="70"/>
      <c r="S648" s="70"/>
      <c r="T648" s="70"/>
      <c r="U648" s="70"/>
      <c r="V648" s="70"/>
      <c r="W648" s="70"/>
      <c r="X648" s="70"/>
      <c r="Y648" s="70"/>
      <c r="Z648" s="70"/>
    </row>
    <row r="649">
      <c r="A649" s="70"/>
      <c r="B649" s="79"/>
      <c r="C649" s="79"/>
      <c r="D649" s="78"/>
      <c r="E649" s="71"/>
      <c r="F649" s="70"/>
      <c r="G649" s="70"/>
      <c r="H649" s="70"/>
      <c r="I649" s="70"/>
      <c r="J649" s="70"/>
      <c r="K649" s="70"/>
      <c r="L649" s="70"/>
      <c r="M649" s="70"/>
      <c r="N649" s="70"/>
      <c r="O649" s="70"/>
      <c r="P649" s="70"/>
      <c r="Q649" s="70"/>
      <c r="R649" s="70"/>
      <c r="S649" s="70"/>
      <c r="T649" s="70"/>
      <c r="U649" s="70"/>
      <c r="V649" s="70"/>
      <c r="W649" s="70"/>
      <c r="X649" s="70"/>
      <c r="Y649" s="70"/>
      <c r="Z649" s="70"/>
    </row>
    <row r="650">
      <c r="A650" s="70"/>
      <c r="B650" s="79"/>
      <c r="C650" s="79"/>
      <c r="D650" s="78"/>
      <c r="E650" s="71"/>
      <c r="F650" s="70"/>
      <c r="G650" s="70"/>
      <c r="H650" s="70"/>
      <c r="I650" s="70"/>
      <c r="J650" s="70"/>
      <c r="K650" s="70"/>
      <c r="L650" s="70"/>
      <c r="M650" s="70"/>
      <c r="N650" s="70"/>
      <c r="O650" s="70"/>
      <c r="P650" s="70"/>
      <c r="Q650" s="70"/>
      <c r="R650" s="70"/>
      <c r="S650" s="70"/>
      <c r="T650" s="70"/>
      <c r="U650" s="70"/>
      <c r="V650" s="70"/>
      <c r="W650" s="70"/>
      <c r="X650" s="70"/>
      <c r="Y650" s="70"/>
      <c r="Z650" s="70"/>
    </row>
    <row r="651">
      <c r="A651" s="70"/>
      <c r="B651" s="79"/>
      <c r="C651" s="79"/>
      <c r="D651" s="78"/>
      <c r="E651" s="71"/>
      <c r="F651" s="70"/>
      <c r="G651" s="70"/>
      <c r="H651" s="70"/>
      <c r="I651" s="70"/>
      <c r="J651" s="70"/>
      <c r="K651" s="70"/>
      <c r="L651" s="70"/>
      <c r="M651" s="70"/>
      <c r="N651" s="70"/>
      <c r="O651" s="70"/>
      <c r="P651" s="70"/>
      <c r="Q651" s="70"/>
      <c r="R651" s="70"/>
      <c r="S651" s="70"/>
      <c r="T651" s="70"/>
      <c r="U651" s="70"/>
      <c r="V651" s="70"/>
      <c r="W651" s="70"/>
      <c r="X651" s="70"/>
      <c r="Y651" s="70"/>
      <c r="Z651" s="70"/>
    </row>
    <row r="652">
      <c r="A652" s="70"/>
      <c r="B652" s="79"/>
      <c r="C652" s="79"/>
      <c r="D652" s="78"/>
      <c r="E652" s="71"/>
      <c r="F652" s="70"/>
      <c r="G652" s="70"/>
      <c r="H652" s="70"/>
      <c r="I652" s="70"/>
      <c r="J652" s="70"/>
      <c r="K652" s="70"/>
      <c r="L652" s="70"/>
      <c r="M652" s="70"/>
      <c r="N652" s="70"/>
      <c r="O652" s="70"/>
      <c r="P652" s="70"/>
      <c r="Q652" s="70"/>
      <c r="R652" s="70"/>
      <c r="S652" s="70"/>
      <c r="T652" s="70"/>
      <c r="U652" s="70"/>
      <c r="V652" s="70"/>
      <c r="W652" s="70"/>
      <c r="X652" s="70"/>
      <c r="Y652" s="70"/>
      <c r="Z652" s="70"/>
    </row>
    <row r="653">
      <c r="A653" s="70"/>
      <c r="B653" s="79"/>
      <c r="C653" s="79"/>
      <c r="D653" s="78"/>
      <c r="E653" s="71"/>
      <c r="F653" s="70"/>
      <c r="G653" s="70"/>
      <c r="H653" s="70"/>
      <c r="I653" s="70"/>
      <c r="J653" s="70"/>
      <c r="K653" s="70"/>
      <c r="L653" s="70"/>
      <c r="M653" s="70"/>
      <c r="N653" s="70"/>
      <c r="O653" s="70"/>
      <c r="P653" s="70"/>
      <c r="Q653" s="70"/>
      <c r="R653" s="70"/>
      <c r="S653" s="70"/>
      <c r="T653" s="70"/>
      <c r="U653" s="70"/>
      <c r="V653" s="70"/>
      <c r="W653" s="70"/>
      <c r="X653" s="70"/>
      <c r="Y653" s="70"/>
      <c r="Z653" s="70"/>
    </row>
    <row r="654">
      <c r="A654" s="70"/>
      <c r="B654" s="79"/>
      <c r="C654" s="79"/>
      <c r="D654" s="78"/>
      <c r="E654" s="71"/>
      <c r="F654" s="70"/>
      <c r="G654" s="70"/>
      <c r="H654" s="70"/>
      <c r="I654" s="70"/>
      <c r="J654" s="70"/>
      <c r="K654" s="70"/>
      <c r="L654" s="70"/>
      <c r="M654" s="70"/>
      <c r="N654" s="70"/>
      <c r="O654" s="70"/>
      <c r="P654" s="70"/>
      <c r="Q654" s="70"/>
      <c r="R654" s="70"/>
      <c r="S654" s="70"/>
      <c r="T654" s="70"/>
      <c r="U654" s="70"/>
      <c r="V654" s="70"/>
      <c r="W654" s="70"/>
      <c r="X654" s="70"/>
      <c r="Y654" s="70"/>
      <c r="Z654" s="70"/>
    </row>
    <row r="655">
      <c r="A655" s="70"/>
      <c r="B655" s="79"/>
      <c r="C655" s="79"/>
      <c r="D655" s="78"/>
      <c r="E655" s="71"/>
      <c r="F655" s="70"/>
      <c r="G655" s="70"/>
      <c r="H655" s="70"/>
      <c r="I655" s="70"/>
      <c r="J655" s="70"/>
      <c r="K655" s="70"/>
      <c r="L655" s="70"/>
      <c r="M655" s="70"/>
      <c r="N655" s="70"/>
      <c r="O655" s="70"/>
      <c r="P655" s="70"/>
      <c r="Q655" s="70"/>
      <c r="R655" s="70"/>
      <c r="S655" s="70"/>
      <c r="T655" s="70"/>
      <c r="U655" s="70"/>
      <c r="V655" s="70"/>
      <c r="W655" s="70"/>
      <c r="X655" s="70"/>
      <c r="Y655" s="70"/>
      <c r="Z655" s="70"/>
    </row>
    <row r="656">
      <c r="A656" s="70"/>
      <c r="B656" s="79"/>
      <c r="C656" s="79"/>
      <c r="D656" s="78"/>
      <c r="E656" s="71"/>
      <c r="F656" s="70"/>
      <c r="G656" s="70"/>
      <c r="H656" s="70"/>
      <c r="I656" s="70"/>
      <c r="J656" s="70"/>
      <c r="K656" s="70"/>
      <c r="L656" s="70"/>
      <c r="M656" s="70"/>
      <c r="N656" s="70"/>
      <c r="O656" s="70"/>
      <c r="P656" s="70"/>
      <c r="Q656" s="70"/>
      <c r="R656" s="70"/>
      <c r="S656" s="70"/>
      <c r="T656" s="70"/>
      <c r="U656" s="70"/>
      <c r="V656" s="70"/>
      <c r="W656" s="70"/>
      <c r="X656" s="70"/>
      <c r="Y656" s="70"/>
      <c r="Z656" s="70"/>
    </row>
    <row r="657">
      <c r="A657" s="70"/>
      <c r="B657" s="79"/>
      <c r="C657" s="79"/>
      <c r="D657" s="78"/>
      <c r="E657" s="71"/>
      <c r="F657" s="70"/>
      <c r="G657" s="70"/>
      <c r="H657" s="70"/>
      <c r="I657" s="70"/>
      <c r="J657" s="70"/>
      <c r="K657" s="70"/>
      <c r="L657" s="70"/>
      <c r="M657" s="70"/>
      <c r="N657" s="70"/>
      <c r="O657" s="70"/>
      <c r="P657" s="70"/>
      <c r="Q657" s="70"/>
      <c r="R657" s="70"/>
      <c r="S657" s="70"/>
      <c r="T657" s="70"/>
      <c r="U657" s="70"/>
      <c r="V657" s="70"/>
      <c r="W657" s="70"/>
      <c r="X657" s="70"/>
      <c r="Y657" s="70"/>
      <c r="Z657" s="70"/>
    </row>
    <row r="658">
      <c r="A658" s="70"/>
      <c r="B658" s="79"/>
      <c r="C658" s="79"/>
      <c r="D658" s="78"/>
      <c r="E658" s="71"/>
      <c r="F658" s="70"/>
      <c r="G658" s="70"/>
      <c r="H658" s="70"/>
      <c r="I658" s="70"/>
      <c r="J658" s="70"/>
      <c r="K658" s="70"/>
      <c r="L658" s="70"/>
      <c r="M658" s="70"/>
      <c r="N658" s="70"/>
      <c r="O658" s="70"/>
      <c r="P658" s="70"/>
      <c r="Q658" s="70"/>
      <c r="R658" s="70"/>
      <c r="S658" s="70"/>
      <c r="T658" s="70"/>
      <c r="U658" s="70"/>
      <c r="V658" s="70"/>
      <c r="W658" s="70"/>
      <c r="X658" s="70"/>
      <c r="Y658" s="70"/>
      <c r="Z658" s="70"/>
    </row>
    <row r="659">
      <c r="A659" s="70"/>
      <c r="B659" s="79"/>
      <c r="C659" s="79"/>
      <c r="D659" s="78"/>
      <c r="E659" s="71"/>
      <c r="F659" s="70"/>
      <c r="G659" s="70"/>
      <c r="H659" s="70"/>
      <c r="I659" s="70"/>
      <c r="J659" s="70"/>
      <c r="K659" s="70"/>
      <c r="L659" s="70"/>
      <c r="M659" s="70"/>
      <c r="N659" s="70"/>
      <c r="O659" s="70"/>
      <c r="P659" s="70"/>
      <c r="Q659" s="70"/>
      <c r="R659" s="70"/>
      <c r="S659" s="70"/>
      <c r="T659" s="70"/>
      <c r="U659" s="70"/>
      <c r="V659" s="70"/>
      <c r="W659" s="70"/>
      <c r="X659" s="70"/>
      <c r="Y659" s="70"/>
      <c r="Z659" s="70"/>
    </row>
    <row r="660">
      <c r="A660" s="70"/>
      <c r="B660" s="79"/>
      <c r="C660" s="79"/>
      <c r="D660" s="78"/>
      <c r="E660" s="71"/>
      <c r="F660" s="70"/>
      <c r="G660" s="70"/>
      <c r="H660" s="70"/>
      <c r="I660" s="70"/>
      <c r="J660" s="70"/>
      <c r="K660" s="70"/>
      <c r="L660" s="70"/>
      <c r="M660" s="70"/>
      <c r="N660" s="70"/>
      <c r="O660" s="70"/>
      <c r="P660" s="70"/>
      <c r="Q660" s="70"/>
      <c r="R660" s="70"/>
      <c r="S660" s="70"/>
      <c r="T660" s="70"/>
      <c r="U660" s="70"/>
      <c r="V660" s="70"/>
      <c r="W660" s="70"/>
      <c r="X660" s="70"/>
      <c r="Y660" s="70"/>
      <c r="Z660" s="70"/>
    </row>
    <row r="661">
      <c r="A661" s="70"/>
      <c r="B661" s="79"/>
      <c r="C661" s="79"/>
      <c r="D661" s="78"/>
      <c r="E661" s="71"/>
      <c r="F661" s="70"/>
      <c r="G661" s="70"/>
      <c r="H661" s="70"/>
      <c r="I661" s="70"/>
      <c r="J661" s="70"/>
      <c r="K661" s="70"/>
      <c r="L661" s="70"/>
      <c r="M661" s="70"/>
      <c r="N661" s="70"/>
      <c r="O661" s="70"/>
      <c r="P661" s="70"/>
      <c r="Q661" s="70"/>
      <c r="R661" s="70"/>
      <c r="S661" s="70"/>
      <c r="T661" s="70"/>
      <c r="U661" s="70"/>
      <c r="V661" s="70"/>
      <c r="W661" s="70"/>
      <c r="X661" s="70"/>
      <c r="Y661" s="70"/>
      <c r="Z661" s="70"/>
    </row>
    <row r="662">
      <c r="A662" s="70"/>
      <c r="B662" s="79"/>
      <c r="C662" s="79"/>
      <c r="D662" s="78"/>
      <c r="E662" s="71"/>
      <c r="F662" s="70"/>
      <c r="G662" s="70"/>
      <c r="H662" s="70"/>
      <c r="I662" s="70"/>
      <c r="J662" s="70"/>
      <c r="K662" s="70"/>
      <c r="L662" s="70"/>
      <c r="M662" s="70"/>
      <c r="N662" s="70"/>
      <c r="O662" s="70"/>
      <c r="P662" s="70"/>
      <c r="Q662" s="70"/>
      <c r="R662" s="70"/>
      <c r="S662" s="70"/>
      <c r="T662" s="70"/>
      <c r="U662" s="70"/>
      <c r="V662" s="70"/>
      <c r="W662" s="70"/>
      <c r="X662" s="70"/>
      <c r="Y662" s="70"/>
      <c r="Z662" s="70"/>
    </row>
    <row r="663">
      <c r="A663" s="70"/>
      <c r="B663" s="79"/>
      <c r="C663" s="79"/>
      <c r="D663" s="78"/>
      <c r="E663" s="71"/>
      <c r="F663" s="70"/>
      <c r="G663" s="70"/>
      <c r="H663" s="70"/>
      <c r="I663" s="70"/>
      <c r="J663" s="70"/>
      <c r="K663" s="70"/>
      <c r="L663" s="70"/>
      <c r="M663" s="70"/>
      <c r="N663" s="70"/>
      <c r="O663" s="70"/>
      <c r="P663" s="70"/>
      <c r="Q663" s="70"/>
      <c r="R663" s="70"/>
      <c r="S663" s="70"/>
      <c r="T663" s="70"/>
      <c r="U663" s="70"/>
      <c r="V663" s="70"/>
      <c r="W663" s="70"/>
      <c r="X663" s="70"/>
      <c r="Y663" s="70"/>
      <c r="Z663" s="70"/>
    </row>
    <row r="664">
      <c r="A664" s="70"/>
      <c r="B664" s="79"/>
      <c r="C664" s="79"/>
      <c r="D664" s="78"/>
      <c r="E664" s="71"/>
      <c r="F664" s="70"/>
      <c r="G664" s="70"/>
      <c r="H664" s="70"/>
      <c r="I664" s="70"/>
      <c r="J664" s="70"/>
      <c r="K664" s="70"/>
      <c r="L664" s="70"/>
      <c r="M664" s="70"/>
      <c r="N664" s="70"/>
      <c r="O664" s="70"/>
      <c r="P664" s="70"/>
      <c r="Q664" s="70"/>
      <c r="R664" s="70"/>
      <c r="S664" s="70"/>
      <c r="T664" s="70"/>
      <c r="U664" s="70"/>
      <c r="V664" s="70"/>
      <c r="W664" s="70"/>
      <c r="X664" s="70"/>
      <c r="Y664" s="70"/>
      <c r="Z664" s="70"/>
    </row>
    <row r="665">
      <c r="A665" s="70"/>
      <c r="B665" s="79"/>
      <c r="C665" s="79"/>
      <c r="D665" s="78"/>
      <c r="E665" s="71"/>
      <c r="F665" s="70"/>
      <c r="G665" s="70"/>
      <c r="H665" s="70"/>
      <c r="I665" s="70"/>
      <c r="J665" s="70"/>
      <c r="K665" s="70"/>
      <c r="L665" s="70"/>
      <c r="M665" s="70"/>
      <c r="N665" s="70"/>
      <c r="O665" s="70"/>
      <c r="P665" s="70"/>
      <c r="Q665" s="70"/>
      <c r="R665" s="70"/>
      <c r="S665" s="70"/>
      <c r="T665" s="70"/>
      <c r="U665" s="70"/>
      <c r="V665" s="70"/>
      <c r="W665" s="70"/>
      <c r="X665" s="70"/>
      <c r="Y665" s="70"/>
      <c r="Z665" s="70"/>
    </row>
    <row r="666">
      <c r="A666" s="70"/>
      <c r="B666" s="79"/>
      <c r="C666" s="79"/>
      <c r="D666" s="78"/>
      <c r="E666" s="71"/>
      <c r="F666" s="70"/>
      <c r="G666" s="70"/>
      <c r="H666" s="70"/>
      <c r="I666" s="70"/>
      <c r="J666" s="70"/>
      <c r="K666" s="70"/>
      <c r="L666" s="70"/>
      <c r="M666" s="70"/>
      <c r="N666" s="70"/>
      <c r="O666" s="70"/>
      <c r="P666" s="70"/>
      <c r="Q666" s="70"/>
      <c r="R666" s="70"/>
      <c r="S666" s="70"/>
      <c r="T666" s="70"/>
      <c r="U666" s="70"/>
      <c r="V666" s="70"/>
      <c r="W666" s="70"/>
      <c r="X666" s="70"/>
      <c r="Y666" s="70"/>
      <c r="Z666" s="70"/>
    </row>
    <row r="667">
      <c r="A667" s="70"/>
      <c r="B667" s="79"/>
      <c r="C667" s="79"/>
      <c r="D667" s="78"/>
      <c r="E667" s="71"/>
      <c r="F667" s="70"/>
      <c r="G667" s="70"/>
      <c r="H667" s="70"/>
      <c r="I667" s="70"/>
      <c r="J667" s="70"/>
      <c r="K667" s="70"/>
      <c r="L667" s="70"/>
      <c r="M667" s="70"/>
      <c r="N667" s="70"/>
      <c r="O667" s="70"/>
      <c r="P667" s="70"/>
      <c r="Q667" s="70"/>
      <c r="R667" s="70"/>
      <c r="S667" s="70"/>
      <c r="T667" s="70"/>
      <c r="U667" s="70"/>
      <c r="V667" s="70"/>
      <c r="W667" s="70"/>
      <c r="X667" s="70"/>
      <c r="Y667" s="70"/>
      <c r="Z667" s="70"/>
    </row>
    <row r="668">
      <c r="A668" s="70"/>
      <c r="B668" s="79"/>
      <c r="C668" s="79"/>
      <c r="D668" s="78"/>
      <c r="E668" s="71"/>
      <c r="F668" s="70"/>
      <c r="G668" s="70"/>
      <c r="H668" s="70"/>
      <c r="I668" s="70"/>
      <c r="J668" s="70"/>
      <c r="K668" s="70"/>
      <c r="L668" s="70"/>
      <c r="M668" s="70"/>
      <c r="N668" s="70"/>
      <c r="O668" s="70"/>
      <c r="P668" s="70"/>
      <c r="Q668" s="70"/>
      <c r="R668" s="70"/>
      <c r="S668" s="70"/>
      <c r="T668" s="70"/>
      <c r="U668" s="70"/>
      <c r="V668" s="70"/>
      <c r="W668" s="70"/>
      <c r="X668" s="70"/>
      <c r="Y668" s="70"/>
      <c r="Z668" s="70"/>
    </row>
    <row r="669">
      <c r="A669" s="70"/>
      <c r="B669" s="79"/>
      <c r="C669" s="79"/>
      <c r="D669" s="78"/>
      <c r="E669" s="71"/>
      <c r="F669" s="70"/>
      <c r="G669" s="70"/>
      <c r="H669" s="70"/>
      <c r="I669" s="70"/>
      <c r="J669" s="70"/>
      <c r="K669" s="70"/>
      <c r="L669" s="70"/>
      <c r="M669" s="70"/>
      <c r="N669" s="70"/>
      <c r="O669" s="70"/>
      <c r="P669" s="70"/>
      <c r="Q669" s="70"/>
      <c r="R669" s="70"/>
      <c r="S669" s="70"/>
      <c r="T669" s="70"/>
      <c r="U669" s="70"/>
      <c r="V669" s="70"/>
      <c r="W669" s="70"/>
      <c r="X669" s="70"/>
      <c r="Y669" s="70"/>
      <c r="Z669" s="70"/>
    </row>
    <row r="670">
      <c r="A670" s="70"/>
      <c r="B670" s="79"/>
      <c r="C670" s="79"/>
      <c r="D670" s="78"/>
      <c r="E670" s="71"/>
      <c r="F670" s="70"/>
      <c r="G670" s="70"/>
      <c r="H670" s="70"/>
      <c r="I670" s="70"/>
      <c r="J670" s="70"/>
      <c r="K670" s="70"/>
      <c r="L670" s="70"/>
      <c r="M670" s="70"/>
      <c r="N670" s="70"/>
      <c r="O670" s="70"/>
      <c r="P670" s="70"/>
      <c r="Q670" s="70"/>
      <c r="R670" s="70"/>
      <c r="S670" s="70"/>
      <c r="T670" s="70"/>
      <c r="U670" s="70"/>
      <c r="V670" s="70"/>
      <c r="W670" s="70"/>
      <c r="X670" s="70"/>
      <c r="Y670" s="70"/>
      <c r="Z670" s="70"/>
    </row>
    <row r="671">
      <c r="A671" s="70"/>
      <c r="B671" s="79"/>
      <c r="C671" s="79"/>
      <c r="D671" s="78"/>
      <c r="E671" s="71"/>
      <c r="F671" s="70"/>
      <c r="G671" s="70"/>
      <c r="H671" s="70"/>
      <c r="I671" s="70"/>
      <c r="J671" s="70"/>
      <c r="K671" s="70"/>
      <c r="L671" s="70"/>
      <c r="M671" s="70"/>
      <c r="N671" s="70"/>
      <c r="O671" s="70"/>
      <c r="P671" s="70"/>
      <c r="Q671" s="70"/>
      <c r="R671" s="70"/>
      <c r="S671" s="70"/>
      <c r="T671" s="70"/>
      <c r="U671" s="70"/>
      <c r="V671" s="70"/>
      <c r="W671" s="70"/>
      <c r="X671" s="70"/>
      <c r="Y671" s="70"/>
      <c r="Z671" s="70"/>
    </row>
    <row r="672">
      <c r="A672" s="70"/>
      <c r="B672" s="79"/>
      <c r="C672" s="79"/>
      <c r="D672" s="78"/>
      <c r="E672" s="71"/>
      <c r="F672" s="70"/>
      <c r="G672" s="70"/>
      <c r="H672" s="70"/>
      <c r="I672" s="70"/>
      <c r="J672" s="70"/>
      <c r="K672" s="70"/>
      <c r="L672" s="70"/>
      <c r="M672" s="70"/>
      <c r="N672" s="70"/>
      <c r="O672" s="70"/>
      <c r="P672" s="70"/>
      <c r="Q672" s="70"/>
      <c r="R672" s="70"/>
      <c r="S672" s="70"/>
      <c r="T672" s="70"/>
      <c r="U672" s="70"/>
      <c r="V672" s="70"/>
      <c r="W672" s="70"/>
      <c r="X672" s="70"/>
      <c r="Y672" s="70"/>
      <c r="Z672" s="70"/>
    </row>
    <row r="673">
      <c r="A673" s="70"/>
      <c r="B673" s="79"/>
      <c r="C673" s="79"/>
      <c r="D673" s="78"/>
      <c r="E673" s="71"/>
      <c r="F673" s="70"/>
      <c r="G673" s="70"/>
      <c r="H673" s="70"/>
      <c r="I673" s="70"/>
      <c r="J673" s="70"/>
      <c r="K673" s="70"/>
      <c r="L673" s="70"/>
      <c r="M673" s="70"/>
      <c r="N673" s="70"/>
      <c r="O673" s="70"/>
      <c r="P673" s="70"/>
      <c r="Q673" s="70"/>
      <c r="R673" s="70"/>
      <c r="S673" s="70"/>
      <c r="T673" s="70"/>
      <c r="U673" s="70"/>
      <c r="V673" s="70"/>
      <c r="W673" s="70"/>
      <c r="X673" s="70"/>
      <c r="Y673" s="70"/>
      <c r="Z673" s="70"/>
    </row>
    <row r="674">
      <c r="A674" s="70"/>
      <c r="B674" s="79"/>
      <c r="C674" s="79"/>
      <c r="D674" s="78"/>
      <c r="E674" s="71"/>
      <c r="F674" s="70"/>
      <c r="G674" s="70"/>
      <c r="H674" s="70"/>
      <c r="I674" s="70"/>
      <c r="J674" s="70"/>
      <c r="K674" s="70"/>
      <c r="L674" s="70"/>
      <c r="M674" s="70"/>
      <c r="N674" s="70"/>
      <c r="O674" s="70"/>
      <c r="P674" s="70"/>
      <c r="Q674" s="70"/>
      <c r="R674" s="70"/>
      <c r="S674" s="70"/>
      <c r="T674" s="70"/>
      <c r="U674" s="70"/>
      <c r="V674" s="70"/>
      <c r="W674" s="70"/>
      <c r="X674" s="70"/>
      <c r="Y674" s="70"/>
      <c r="Z674" s="70"/>
    </row>
    <row r="675">
      <c r="A675" s="70"/>
      <c r="B675" s="79"/>
      <c r="C675" s="79"/>
      <c r="D675" s="78"/>
      <c r="E675" s="71"/>
      <c r="F675" s="70"/>
      <c r="G675" s="70"/>
      <c r="H675" s="70"/>
      <c r="I675" s="70"/>
      <c r="J675" s="70"/>
      <c r="K675" s="70"/>
      <c r="L675" s="70"/>
      <c r="M675" s="70"/>
      <c r="N675" s="70"/>
      <c r="O675" s="70"/>
      <c r="P675" s="70"/>
      <c r="Q675" s="70"/>
      <c r="R675" s="70"/>
      <c r="S675" s="70"/>
      <c r="T675" s="70"/>
      <c r="U675" s="70"/>
      <c r="V675" s="70"/>
      <c r="W675" s="70"/>
      <c r="X675" s="70"/>
      <c r="Y675" s="70"/>
      <c r="Z675" s="70"/>
    </row>
    <row r="676">
      <c r="A676" s="70"/>
      <c r="B676" s="79"/>
      <c r="C676" s="79"/>
      <c r="D676" s="78"/>
      <c r="E676" s="71"/>
      <c r="F676" s="70"/>
      <c r="G676" s="70"/>
      <c r="H676" s="70"/>
      <c r="I676" s="70"/>
      <c r="J676" s="70"/>
      <c r="K676" s="70"/>
      <c r="L676" s="70"/>
      <c r="M676" s="70"/>
      <c r="N676" s="70"/>
      <c r="O676" s="70"/>
      <c r="P676" s="70"/>
      <c r="Q676" s="70"/>
      <c r="R676" s="70"/>
      <c r="S676" s="70"/>
      <c r="T676" s="70"/>
      <c r="U676" s="70"/>
      <c r="V676" s="70"/>
      <c r="W676" s="70"/>
      <c r="X676" s="70"/>
      <c r="Y676" s="70"/>
      <c r="Z676" s="70"/>
    </row>
    <row r="677">
      <c r="A677" s="70"/>
      <c r="B677" s="79"/>
      <c r="C677" s="79"/>
      <c r="D677" s="78"/>
      <c r="E677" s="71"/>
      <c r="F677" s="70"/>
      <c r="G677" s="70"/>
      <c r="H677" s="70"/>
      <c r="I677" s="70"/>
      <c r="J677" s="70"/>
      <c r="K677" s="70"/>
      <c r="L677" s="70"/>
      <c r="M677" s="70"/>
      <c r="N677" s="70"/>
      <c r="O677" s="70"/>
      <c r="P677" s="70"/>
      <c r="Q677" s="70"/>
      <c r="R677" s="70"/>
      <c r="S677" s="70"/>
      <c r="T677" s="70"/>
      <c r="U677" s="70"/>
      <c r="V677" s="70"/>
      <c r="W677" s="70"/>
      <c r="X677" s="70"/>
      <c r="Y677" s="70"/>
      <c r="Z677" s="70"/>
    </row>
    <row r="678">
      <c r="A678" s="70"/>
      <c r="B678" s="79"/>
      <c r="C678" s="79"/>
      <c r="D678" s="78"/>
      <c r="E678" s="71"/>
      <c r="F678" s="70"/>
      <c r="G678" s="70"/>
      <c r="H678" s="70"/>
      <c r="I678" s="70"/>
      <c r="J678" s="70"/>
      <c r="K678" s="70"/>
      <c r="L678" s="70"/>
      <c r="M678" s="70"/>
      <c r="N678" s="70"/>
      <c r="O678" s="70"/>
      <c r="P678" s="70"/>
      <c r="Q678" s="70"/>
      <c r="R678" s="70"/>
      <c r="S678" s="70"/>
      <c r="T678" s="70"/>
      <c r="U678" s="70"/>
      <c r="V678" s="70"/>
      <c r="W678" s="70"/>
      <c r="X678" s="70"/>
      <c r="Y678" s="70"/>
      <c r="Z678" s="70"/>
    </row>
    <row r="679">
      <c r="A679" s="70"/>
      <c r="B679" s="79"/>
      <c r="C679" s="79"/>
      <c r="D679" s="78"/>
      <c r="E679" s="71"/>
      <c r="F679" s="70"/>
      <c r="G679" s="70"/>
      <c r="H679" s="70"/>
      <c r="I679" s="70"/>
      <c r="J679" s="70"/>
      <c r="K679" s="70"/>
      <c r="L679" s="70"/>
      <c r="M679" s="70"/>
      <c r="N679" s="70"/>
      <c r="O679" s="70"/>
      <c r="P679" s="70"/>
      <c r="Q679" s="70"/>
      <c r="R679" s="70"/>
      <c r="S679" s="70"/>
      <c r="T679" s="70"/>
      <c r="U679" s="70"/>
      <c r="V679" s="70"/>
      <c r="W679" s="70"/>
      <c r="X679" s="70"/>
      <c r="Y679" s="70"/>
      <c r="Z679" s="70"/>
    </row>
    <row r="680">
      <c r="A680" s="70"/>
      <c r="B680" s="79"/>
      <c r="C680" s="79"/>
      <c r="D680" s="78"/>
      <c r="E680" s="71"/>
      <c r="F680" s="70"/>
      <c r="G680" s="70"/>
      <c r="H680" s="70"/>
      <c r="I680" s="70"/>
      <c r="J680" s="70"/>
      <c r="K680" s="70"/>
      <c r="L680" s="70"/>
      <c r="M680" s="70"/>
      <c r="N680" s="70"/>
      <c r="O680" s="70"/>
      <c r="P680" s="70"/>
      <c r="Q680" s="70"/>
      <c r="R680" s="70"/>
      <c r="S680" s="70"/>
      <c r="T680" s="70"/>
      <c r="U680" s="70"/>
      <c r="V680" s="70"/>
      <c r="W680" s="70"/>
      <c r="X680" s="70"/>
      <c r="Y680" s="70"/>
      <c r="Z680" s="70"/>
    </row>
    <row r="681">
      <c r="A681" s="70"/>
      <c r="B681" s="79"/>
      <c r="C681" s="79"/>
      <c r="D681" s="78"/>
      <c r="E681" s="71"/>
      <c r="F681" s="70"/>
      <c r="G681" s="70"/>
      <c r="H681" s="70"/>
      <c r="I681" s="70"/>
      <c r="J681" s="70"/>
      <c r="K681" s="70"/>
      <c r="L681" s="70"/>
      <c r="M681" s="70"/>
      <c r="N681" s="70"/>
      <c r="O681" s="70"/>
      <c r="P681" s="70"/>
      <c r="Q681" s="70"/>
      <c r="R681" s="70"/>
      <c r="S681" s="70"/>
      <c r="T681" s="70"/>
      <c r="U681" s="70"/>
      <c r="V681" s="70"/>
      <c r="W681" s="70"/>
      <c r="X681" s="70"/>
      <c r="Y681" s="70"/>
      <c r="Z681" s="70"/>
    </row>
    <row r="682">
      <c r="A682" s="70"/>
      <c r="B682" s="79"/>
      <c r="C682" s="79"/>
      <c r="D682" s="78"/>
      <c r="E682" s="71"/>
      <c r="F682" s="70"/>
      <c r="G682" s="70"/>
      <c r="H682" s="70"/>
      <c r="I682" s="70"/>
      <c r="J682" s="70"/>
      <c r="K682" s="70"/>
      <c r="L682" s="70"/>
      <c r="M682" s="70"/>
      <c r="N682" s="70"/>
      <c r="O682" s="70"/>
      <c r="P682" s="70"/>
      <c r="Q682" s="70"/>
      <c r="R682" s="70"/>
      <c r="S682" s="70"/>
      <c r="T682" s="70"/>
      <c r="U682" s="70"/>
      <c r="V682" s="70"/>
      <c r="W682" s="70"/>
      <c r="X682" s="70"/>
      <c r="Y682" s="70"/>
      <c r="Z682" s="70"/>
    </row>
    <row r="683">
      <c r="A683" s="70"/>
      <c r="B683" s="79"/>
      <c r="C683" s="79"/>
      <c r="D683" s="78"/>
      <c r="E683" s="71"/>
      <c r="F683" s="70"/>
      <c r="G683" s="70"/>
      <c r="H683" s="70"/>
      <c r="I683" s="70"/>
      <c r="J683" s="70"/>
      <c r="K683" s="70"/>
      <c r="L683" s="70"/>
      <c r="M683" s="70"/>
      <c r="N683" s="70"/>
      <c r="O683" s="70"/>
      <c r="P683" s="70"/>
      <c r="Q683" s="70"/>
      <c r="R683" s="70"/>
      <c r="S683" s="70"/>
      <c r="T683" s="70"/>
      <c r="U683" s="70"/>
      <c r="V683" s="70"/>
      <c r="W683" s="70"/>
      <c r="X683" s="70"/>
      <c r="Y683" s="70"/>
      <c r="Z683" s="70"/>
    </row>
    <row r="684">
      <c r="A684" s="70"/>
      <c r="B684" s="79"/>
      <c r="C684" s="79"/>
      <c r="D684" s="78"/>
      <c r="E684" s="71"/>
      <c r="F684" s="70"/>
      <c r="G684" s="70"/>
      <c r="H684" s="70"/>
      <c r="I684" s="70"/>
      <c r="J684" s="70"/>
      <c r="K684" s="70"/>
      <c r="L684" s="70"/>
      <c r="M684" s="70"/>
      <c r="N684" s="70"/>
      <c r="O684" s="70"/>
      <c r="P684" s="70"/>
      <c r="Q684" s="70"/>
      <c r="R684" s="70"/>
      <c r="S684" s="70"/>
      <c r="T684" s="70"/>
      <c r="U684" s="70"/>
      <c r="V684" s="70"/>
      <c r="W684" s="70"/>
      <c r="X684" s="70"/>
      <c r="Y684" s="70"/>
      <c r="Z684" s="70"/>
    </row>
    <row r="685">
      <c r="A685" s="70"/>
      <c r="B685" s="79"/>
      <c r="C685" s="79"/>
      <c r="D685" s="78"/>
      <c r="E685" s="71"/>
      <c r="F685" s="70"/>
      <c r="G685" s="70"/>
      <c r="H685" s="70"/>
      <c r="I685" s="70"/>
      <c r="J685" s="70"/>
      <c r="K685" s="70"/>
      <c r="L685" s="70"/>
      <c r="M685" s="70"/>
      <c r="N685" s="70"/>
      <c r="O685" s="70"/>
      <c r="P685" s="70"/>
      <c r="Q685" s="70"/>
      <c r="R685" s="70"/>
      <c r="S685" s="70"/>
      <c r="T685" s="70"/>
      <c r="U685" s="70"/>
      <c r="V685" s="70"/>
      <c r="W685" s="70"/>
      <c r="X685" s="70"/>
      <c r="Y685" s="70"/>
      <c r="Z685" s="70"/>
    </row>
    <row r="686">
      <c r="A686" s="70"/>
      <c r="B686" s="79"/>
      <c r="C686" s="79"/>
      <c r="D686" s="78"/>
      <c r="E686" s="71"/>
      <c r="F686" s="70"/>
      <c r="G686" s="70"/>
      <c r="H686" s="70"/>
      <c r="I686" s="70"/>
      <c r="J686" s="70"/>
      <c r="K686" s="70"/>
      <c r="L686" s="70"/>
      <c r="M686" s="70"/>
      <c r="N686" s="70"/>
      <c r="O686" s="70"/>
      <c r="P686" s="70"/>
      <c r="Q686" s="70"/>
      <c r="R686" s="70"/>
      <c r="S686" s="70"/>
      <c r="T686" s="70"/>
      <c r="U686" s="70"/>
      <c r="V686" s="70"/>
      <c r="W686" s="70"/>
      <c r="X686" s="70"/>
      <c r="Y686" s="70"/>
      <c r="Z686" s="70"/>
    </row>
    <row r="687">
      <c r="A687" s="70"/>
      <c r="B687" s="79"/>
      <c r="C687" s="79"/>
      <c r="D687" s="78"/>
      <c r="E687" s="71"/>
      <c r="F687" s="70"/>
      <c r="G687" s="70"/>
      <c r="H687" s="70"/>
      <c r="I687" s="70"/>
      <c r="J687" s="70"/>
      <c r="K687" s="70"/>
      <c r="L687" s="70"/>
      <c r="M687" s="70"/>
      <c r="N687" s="70"/>
      <c r="O687" s="70"/>
      <c r="P687" s="70"/>
      <c r="Q687" s="70"/>
      <c r="R687" s="70"/>
      <c r="S687" s="70"/>
      <c r="T687" s="70"/>
      <c r="U687" s="70"/>
      <c r="V687" s="70"/>
      <c r="W687" s="70"/>
      <c r="X687" s="70"/>
      <c r="Y687" s="70"/>
      <c r="Z687" s="70"/>
    </row>
    <row r="688">
      <c r="A688" s="70"/>
      <c r="B688" s="79"/>
      <c r="C688" s="79"/>
      <c r="D688" s="78"/>
      <c r="E688" s="71"/>
      <c r="F688" s="70"/>
      <c r="G688" s="70"/>
      <c r="H688" s="70"/>
      <c r="I688" s="70"/>
      <c r="J688" s="70"/>
      <c r="K688" s="70"/>
      <c r="L688" s="70"/>
      <c r="M688" s="70"/>
      <c r="N688" s="70"/>
      <c r="O688" s="70"/>
      <c r="P688" s="70"/>
      <c r="Q688" s="70"/>
      <c r="R688" s="70"/>
      <c r="S688" s="70"/>
      <c r="T688" s="70"/>
      <c r="U688" s="70"/>
      <c r="V688" s="70"/>
      <c r="W688" s="70"/>
      <c r="X688" s="70"/>
      <c r="Y688" s="70"/>
      <c r="Z688" s="70"/>
    </row>
    <row r="689">
      <c r="A689" s="70"/>
      <c r="B689" s="79"/>
      <c r="C689" s="79"/>
      <c r="D689" s="78"/>
      <c r="E689" s="71"/>
      <c r="F689" s="70"/>
      <c r="G689" s="70"/>
      <c r="H689" s="70"/>
      <c r="I689" s="70"/>
      <c r="J689" s="70"/>
      <c r="K689" s="70"/>
      <c r="L689" s="70"/>
      <c r="M689" s="70"/>
      <c r="N689" s="70"/>
      <c r="O689" s="70"/>
      <c r="P689" s="70"/>
      <c r="Q689" s="70"/>
      <c r="R689" s="70"/>
      <c r="S689" s="70"/>
      <c r="T689" s="70"/>
      <c r="U689" s="70"/>
      <c r="V689" s="70"/>
      <c r="W689" s="70"/>
      <c r="X689" s="70"/>
      <c r="Y689" s="70"/>
      <c r="Z689" s="70"/>
    </row>
    <row r="690">
      <c r="A690" s="70"/>
      <c r="B690" s="79"/>
      <c r="C690" s="79"/>
      <c r="D690" s="78"/>
      <c r="E690" s="71"/>
      <c r="F690" s="70"/>
      <c r="G690" s="70"/>
      <c r="H690" s="70"/>
      <c r="I690" s="70"/>
      <c r="J690" s="70"/>
      <c r="K690" s="70"/>
      <c r="L690" s="70"/>
      <c r="M690" s="70"/>
      <c r="N690" s="70"/>
      <c r="O690" s="70"/>
      <c r="P690" s="70"/>
      <c r="Q690" s="70"/>
      <c r="R690" s="70"/>
      <c r="S690" s="70"/>
      <c r="T690" s="70"/>
      <c r="U690" s="70"/>
      <c r="V690" s="70"/>
      <c r="W690" s="70"/>
      <c r="X690" s="70"/>
      <c r="Y690" s="70"/>
      <c r="Z690" s="70"/>
    </row>
    <row r="691">
      <c r="A691" s="70"/>
      <c r="B691" s="79"/>
      <c r="C691" s="79"/>
      <c r="D691" s="78"/>
      <c r="E691" s="71"/>
      <c r="F691" s="70"/>
      <c r="G691" s="70"/>
      <c r="H691" s="70"/>
      <c r="I691" s="70"/>
      <c r="J691" s="70"/>
      <c r="K691" s="70"/>
      <c r="L691" s="70"/>
      <c r="M691" s="70"/>
      <c r="N691" s="70"/>
      <c r="O691" s="70"/>
      <c r="P691" s="70"/>
      <c r="Q691" s="70"/>
      <c r="R691" s="70"/>
      <c r="S691" s="70"/>
      <c r="T691" s="70"/>
      <c r="U691" s="70"/>
      <c r="V691" s="70"/>
      <c r="W691" s="70"/>
      <c r="X691" s="70"/>
      <c r="Y691" s="70"/>
      <c r="Z691" s="70"/>
    </row>
    <row r="692">
      <c r="A692" s="70"/>
      <c r="B692" s="79"/>
      <c r="C692" s="79"/>
      <c r="D692" s="78"/>
      <c r="E692" s="71"/>
      <c r="F692" s="70"/>
      <c r="G692" s="70"/>
      <c r="H692" s="70"/>
      <c r="I692" s="70"/>
      <c r="J692" s="70"/>
      <c r="K692" s="70"/>
      <c r="L692" s="70"/>
      <c r="M692" s="70"/>
      <c r="N692" s="70"/>
      <c r="O692" s="70"/>
      <c r="P692" s="70"/>
      <c r="Q692" s="70"/>
      <c r="R692" s="70"/>
      <c r="S692" s="70"/>
      <c r="T692" s="70"/>
      <c r="U692" s="70"/>
      <c r="V692" s="70"/>
      <c r="W692" s="70"/>
      <c r="X692" s="70"/>
      <c r="Y692" s="70"/>
      <c r="Z692" s="70"/>
    </row>
    <row r="693">
      <c r="A693" s="70"/>
      <c r="B693" s="79"/>
      <c r="C693" s="79"/>
      <c r="D693" s="78"/>
      <c r="E693" s="71"/>
      <c r="F693" s="70"/>
      <c r="G693" s="70"/>
      <c r="H693" s="70"/>
      <c r="I693" s="70"/>
      <c r="J693" s="70"/>
      <c r="K693" s="70"/>
      <c r="L693" s="70"/>
      <c r="M693" s="70"/>
      <c r="N693" s="70"/>
      <c r="O693" s="70"/>
      <c r="P693" s="70"/>
      <c r="Q693" s="70"/>
      <c r="R693" s="70"/>
      <c r="S693" s="70"/>
      <c r="T693" s="70"/>
      <c r="U693" s="70"/>
      <c r="V693" s="70"/>
      <c r="W693" s="70"/>
      <c r="X693" s="70"/>
      <c r="Y693" s="70"/>
      <c r="Z693" s="70"/>
    </row>
    <row r="694">
      <c r="A694" s="70"/>
      <c r="B694" s="79"/>
      <c r="C694" s="79"/>
      <c r="D694" s="78"/>
      <c r="E694" s="71"/>
      <c r="F694" s="70"/>
      <c r="G694" s="70"/>
      <c r="H694" s="70"/>
      <c r="I694" s="70"/>
      <c r="J694" s="70"/>
      <c r="K694" s="70"/>
      <c r="L694" s="70"/>
      <c r="M694" s="70"/>
      <c r="N694" s="70"/>
      <c r="O694" s="70"/>
      <c r="P694" s="70"/>
      <c r="Q694" s="70"/>
      <c r="R694" s="70"/>
      <c r="S694" s="70"/>
      <c r="T694" s="70"/>
      <c r="U694" s="70"/>
      <c r="V694" s="70"/>
      <c r="W694" s="70"/>
      <c r="X694" s="70"/>
      <c r="Y694" s="70"/>
      <c r="Z694" s="70"/>
    </row>
    <row r="695">
      <c r="A695" s="70"/>
      <c r="B695" s="79"/>
      <c r="C695" s="79"/>
      <c r="D695" s="78"/>
      <c r="E695" s="71"/>
      <c r="F695" s="70"/>
      <c r="G695" s="70"/>
      <c r="H695" s="70"/>
      <c r="I695" s="70"/>
      <c r="J695" s="70"/>
      <c r="K695" s="70"/>
      <c r="L695" s="70"/>
      <c r="M695" s="70"/>
      <c r="N695" s="70"/>
      <c r="O695" s="70"/>
      <c r="P695" s="70"/>
      <c r="Q695" s="70"/>
      <c r="R695" s="70"/>
      <c r="S695" s="70"/>
      <c r="T695" s="70"/>
      <c r="U695" s="70"/>
      <c r="V695" s="70"/>
      <c r="W695" s="70"/>
      <c r="X695" s="70"/>
      <c r="Y695" s="70"/>
      <c r="Z695" s="70"/>
    </row>
    <row r="696">
      <c r="A696" s="70"/>
      <c r="B696" s="79"/>
      <c r="C696" s="79"/>
      <c r="D696" s="78"/>
      <c r="E696" s="71"/>
      <c r="F696" s="70"/>
      <c r="G696" s="70"/>
      <c r="H696" s="70"/>
      <c r="I696" s="70"/>
      <c r="J696" s="70"/>
      <c r="K696" s="70"/>
      <c r="L696" s="70"/>
      <c r="M696" s="70"/>
      <c r="N696" s="70"/>
      <c r="O696" s="70"/>
      <c r="P696" s="70"/>
      <c r="Q696" s="70"/>
      <c r="R696" s="70"/>
      <c r="S696" s="70"/>
      <c r="T696" s="70"/>
      <c r="U696" s="70"/>
      <c r="V696" s="70"/>
      <c r="W696" s="70"/>
      <c r="X696" s="70"/>
      <c r="Y696" s="70"/>
      <c r="Z696" s="70"/>
    </row>
    <row r="697">
      <c r="A697" s="70"/>
      <c r="B697" s="79"/>
      <c r="C697" s="79"/>
      <c r="D697" s="78"/>
      <c r="E697" s="71"/>
      <c r="F697" s="70"/>
      <c r="G697" s="70"/>
      <c r="H697" s="70"/>
      <c r="I697" s="70"/>
      <c r="J697" s="70"/>
      <c r="K697" s="70"/>
      <c r="L697" s="70"/>
      <c r="M697" s="70"/>
      <c r="N697" s="70"/>
      <c r="O697" s="70"/>
      <c r="P697" s="70"/>
      <c r="Q697" s="70"/>
      <c r="R697" s="70"/>
      <c r="S697" s="70"/>
      <c r="T697" s="70"/>
      <c r="U697" s="70"/>
      <c r="V697" s="70"/>
      <c r="W697" s="70"/>
      <c r="X697" s="70"/>
      <c r="Y697" s="70"/>
      <c r="Z697" s="70"/>
    </row>
    <row r="698">
      <c r="A698" s="70"/>
      <c r="B698" s="79"/>
      <c r="C698" s="79"/>
      <c r="D698" s="78"/>
      <c r="E698" s="71"/>
      <c r="F698" s="70"/>
      <c r="G698" s="70"/>
      <c r="H698" s="70"/>
      <c r="I698" s="70"/>
      <c r="J698" s="70"/>
      <c r="K698" s="70"/>
      <c r="L698" s="70"/>
      <c r="M698" s="70"/>
      <c r="N698" s="70"/>
      <c r="O698" s="70"/>
      <c r="P698" s="70"/>
      <c r="Q698" s="70"/>
      <c r="R698" s="70"/>
      <c r="S698" s="70"/>
      <c r="T698" s="70"/>
      <c r="U698" s="70"/>
      <c r="V698" s="70"/>
      <c r="W698" s="70"/>
      <c r="X698" s="70"/>
      <c r="Y698" s="70"/>
      <c r="Z698" s="70"/>
    </row>
    <row r="699">
      <c r="A699" s="70"/>
      <c r="B699" s="79"/>
      <c r="C699" s="79"/>
      <c r="D699" s="78"/>
      <c r="E699" s="71"/>
      <c r="F699" s="70"/>
      <c r="G699" s="70"/>
      <c r="H699" s="70"/>
      <c r="I699" s="70"/>
      <c r="J699" s="70"/>
      <c r="K699" s="70"/>
      <c r="L699" s="70"/>
      <c r="M699" s="70"/>
      <c r="N699" s="70"/>
      <c r="O699" s="70"/>
      <c r="P699" s="70"/>
      <c r="Q699" s="70"/>
      <c r="R699" s="70"/>
      <c r="S699" s="70"/>
      <c r="T699" s="70"/>
      <c r="U699" s="70"/>
      <c r="V699" s="70"/>
      <c r="W699" s="70"/>
      <c r="X699" s="70"/>
      <c r="Y699" s="70"/>
      <c r="Z699" s="70"/>
    </row>
    <row r="700">
      <c r="A700" s="70"/>
      <c r="B700" s="79"/>
      <c r="C700" s="79"/>
      <c r="D700" s="78"/>
      <c r="E700" s="71"/>
      <c r="F700" s="70"/>
      <c r="G700" s="70"/>
      <c r="H700" s="70"/>
      <c r="I700" s="70"/>
      <c r="J700" s="70"/>
      <c r="K700" s="70"/>
      <c r="L700" s="70"/>
      <c r="M700" s="70"/>
      <c r="N700" s="70"/>
      <c r="O700" s="70"/>
      <c r="P700" s="70"/>
      <c r="Q700" s="70"/>
      <c r="R700" s="70"/>
      <c r="S700" s="70"/>
      <c r="T700" s="70"/>
      <c r="U700" s="70"/>
      <c r="V700" s="70"/>
      <c r="W700" s="70"/>
      <c r="X700" s="70"/>
      <c r="Y700" s="70"/>
      <c r="Z700" s="70"/>
    </row>
    <row r="701">
      <c r="A701" s="70"/>
      <c r="B701" s="79"/>
      <c r="C701" s="79"/>
      <c r="D701" s="78"/>
      <c r="E701" s="71"/>
      <c r="F701" s="70"/>
      <c r="G701" s="70"/>
      <c r="H701" s="70"/>
      <c r="I701" s="70"/>
      <c r="J701" s="70"/>
      <c r="K701" s="70"/>
      <c r="L701" s="70"/>
      <c r="M701" s="70"/>
      <c r="N701" s="70"/>
      <c r="O701" s="70"/>
      <c r="P701" s="70"/>
      <c r="Q701" s="70"/>
      <c r="R701" s="70"/>
      <c r="S701" s="70"/>
      <c r="T701" s="70"/>
      <c r="U701" s="70"/>
      <c r="V701" s="70"/>
      <c r="W701" s="70"/>
      <c r="X701" s="70"/>
      <c r="Y701" s="70"/>
      <c r="Z701" s="70"/>
    </row>
    <row r="702">
      <c r="A702" s="70"/>
      <c r="B702" s="79"/>
      <c r="C702" s="79"/>
      <c r="D702" s="78"/>
      <c r="E702" s="71"/>
      <c r="F702" s="70"/>
      <c r="G702" s="70"/>
      <c r="H702" s="70"/>
      <c r="I702" s="70"/>
      <c r="J702" s="70"/>
      <c r="K702" s="70"/>
      <c r="L702" s="70"/>
      <c r="M702" s="70"/>
      <c r="N702" s="70"/>
      <c r="O702" s="70"/>
      <c r="P702" s="70"/>
      <c r="Q702" s="70"/>
      <c r="R702" s="70"/>
      <c r="S702" s="70"/>
      <c r="T702" s="70"/>
      <c r="U702" s="70"/>
      <c r="V702" s="70"/>
      <c r="W702" s="70"/>
      <c r="X702" s="70"/>
      <c r="Y702" s="70"/>
      <c r="Z702" s="70"/>
    </row>
    <row r="703">
      <c r="A703" s="70"/>
      <c r="B703" s="79"/>
      <c r="C703" s="79"/>
      <c r="D703" s="78"/>
      <c r="E703" s="71"/>
      <c r="F703" s="70"/>
      <c r="G703" s="70"/>
      <c r="H703" s="70"/>
      <c r="I703" s="70"/>
      <c r="J703" s="70"/>
      <c r="K703" s="70"/>
      <c r="L703" s="70"/>
      <c r="M703" s="70"/>
      <c r="N703" s="70"/>
      <c r="O703" s="70"/>
      <c r="P703" s="70"/>
      <c r="Q703" s="70"/>
      <c r="R703" s="70"/>
      <c r="S703" s="70"/>
      <c r="T703" s="70"/>
      <c r="U703" s="70"/>
      <c r="V703" s="70"/>
      <c r="W703" s="70"/>
      <c r="X703" s="70"/>
      <c r="Y703" s="70"/>
      <c r="Z703" s="70"/>
    </row>
    <row r="704">
      <c r="A704" s="70"/>
      <c r="B704" s="79"/>
      <c r="C704" s="79"/>
      <c r="D704" s="78"/>
      <c r="E704" s="71"/>
      <c r="F704" s="70"/>
      <c r="G704" s="70"/>
      <c r="H704" s="70"/>
      <c r="I704" s="70"/>
      <c r="J704" s="70"/>
      <c r="K704" s="70"/>
      <c r="L704" s="70"/>
      <c r="M704" s="70"/>
      <c r="N704" s="70"/>
      <c r="O704" s="70"/>
      <c r="P704" s="70"/>
      <c r="Q704" s="70"/>
      <c r="R704" s="70"/>
      <c r="S704" s="70"/>
      <c r="T704" s="70"/>
      <c r="U704" s="70"/>
      <c r="V704" s="70"/>
      <c r="W704" s="70"/>
      <c r="X704" s="70"/>
      <c r="Y704" s="70"/>
      <c r="Z704" s="70"/>
    </row>
    <row r="705">
      <c r="A705" s="70"/>
      <c r="B705" s="79"/>
      <c r="C705" s="79"/>
      <c r="D705" s="78"/>
      <c r="E705" s="71"/>
      <c r="F705" s="70"/>
      <c r="G705" s="70"/>
      <c r="H705" s="70"/>
      <c r="I705" s="70"/>
      <c r="J705" s="70"/>
      <c r="K705" s="70"/>
      <c r="L705" s="70"/>
      <c r="M705" s="70"/>
      <c r="N705" s="70"/>
      <c r="O705" s="70"/>
      <c r="P705" s="70"/>
      <c r="Q705" s="70"/>
      <c r="R705" s="70"/>
      <c r="S705" s="70"/>
      <c r="T705" s="70"/>
      <c r="U705" s="70"/>
      <c r="V705" s="70"/>
      <c r="W705" s="70"/>
      <c r="X705" s="70"/>
      <c r="Y705" s="70"/>
      <c r="Z705" s="70"/>
    </row>
    <row r="706">
      <c r="A706" s="70"/>
      <c r="B706" s="79"/>
      <c r="C706" s="79"/>
      <c r="D706" s="78"/>
      <c r="E706" s="71"/>
      <c r="F706" s="70"/>
      <c r="G706" s="70"/>
      <c r="H706" s="70"/>
      <c r="I706" s="70"/>
      <c r="J706" s="70"/>
      <c r="K706" s="70"/>
      <c r="L706" s="70"/>
      <c r="M706" s="70"/>
      <c r="N706" s="70"/>
      <c r="O706" s="70"/>
      <c r="P706" s="70"/>
      <c r="Q706" s="70"/>
      <c r="R706" s="70"/>
      <c r="S706" s="70"/>
      <c r="T706" s="70"/>
      <c r="U706" s="70"/>
      <c r="V706" s="70"/>
      <c r="W706" s="70"/>
      <c r="X706" s="70"/>
      <c r="Y706" s="70"/>
      <c r="Z706" s="70"/>
    </row>
    <row r="707">
      <c r="A707" s="70"/>
      <c r="B707" s="79"/>
      <c r="C707" s="79"/>
      <c r="D707" s="78"/>
      <c r="E707" s="71"/>
      <c r="F707" s="70"/>
      <c r="G707" s="70"/>
      <c r="H707" s="70"/>
      <c r="I707" s="70"/>
      <c r="J707" s="70"/>
      <c r="K707" s="70"/>
      <c r="L707" s="70"/>
      <c r="M707" s="70"/>
      <c r="N707" s="70"/>
      <c r="O707" s="70"/>
      <c r="P707" s="70"/>
      <c r="Q707" s="70"/>
      <c r="R707" s="70"/>
      <c r="S707" s="70"/>
      <c r="T707" s="70"/>
      <c r="U707" s="70"/>
      <c r="V707" s="70"/>
      <c r="W707" s="70"/>
      <c r="X707" s="70"/>
      <c r="Y707" s="70"/>
      <c r="Z707" s="70"/>
    </row>
    <row r="708">
      <c r="A708" s="70"/>
      <c r="B708" s="79"/>
      <c r="C708" s="79"/>
      <c r="D708" s="78"/>
      <c r="E708" s="71"/>
      <c r="F708" s="70"/>
      <c r="G708" s="70"/>
      <c r="H708" s="70"/>
      <c r="I708" s="70"/>
      <c r="J708" s="70"/>
      <c r="K708" s="70"/>
      <c r="L708" s="70"/>
      <c r="M708" s="70"/>
      <c r="N708" s="70"/>
      <c r="O708" s="70"/>
      <c r="P708" s="70"/>
      <c r="Q708" s="70"/>
      <c r="R708" s="70"/>
      <c r="S708" s="70"/>
      <c r="T708" s="70"/>
      <c r="U708" s="70"/>
      <c r="V708" s="70"/>
      <c r="W708" s="70"/>
      <c r="X708" s="70"/>
      <c r="Y708" s="70"/>
      <c r="Z708" s="70"/>
    </row>
    <row r="709">
      <c r="A709" s="70"/>
      <c r="B709" s="79"/>
      <c r="C709" s="79"/>
      <c r="D709" s="78"/>
      <c r="E709" s="71"/>
      <c r="F709" s="70"/>
      <c r="G709" s="70"/>
      <c r="H709" s="70"/>
      <c r="I709" s="70"/>
      <c r="J709" s="70"/>
      <c r="K709" s="70"/>
      <c r="L709" s="70"/>
      <c r="M709" s="70"/>
      <c r="N709" s="70"/>
      <c r="O709" s="70"/>
      <c r="P709" s="70"/>
      <c r="Q709" s="70"/>
      <c r="R709" s="70"/>
      <c r="S709" s="70"/>
      <c r="T709" s="70"/>
      <c r="U709" s="70"/>
      <c r="V709" s="70"/>
      <c r="W709" s="70"/>
      <c r="X709" s="70"/>
      <c r="Y709" s="70"/>
      <c r="Z709" s="70"/>
    </row>
    <row r="710">
      <c r="A710" s="70"/>
      <c r="B710" s="79"/>
      <c r="C710" s="79"/>
      <c r="D710" s="78"/>
      <c r="E710" s="71"/>
      <c r="F710" s="70"/>
      <c r="G710" s="70"/>
      <c r="H710" s="70"/>
      <c r="I710" s="70"/>
      <c r="J710" s="70"/>
      <c r="K710" s="70"/>
      <c r="L710" s="70"/>
      <c r="M710" s="70"/>
      <c r="N710" s="70"/>
      <c r="O710" s="70"/>
      <c r="P710" s="70"/>
      <c r="Q710" s="70"/>
      <c r="R710" s="70"/>
      <c r="S710" s="70"/>
      <c r="T710" s="70"/>
      <c r="U710" s="70"/>
      <c r="V710" s="70"/>
      <c r="W710" s="70"/>
      <c r="X710" s="70"/>
      <c r="Y710" s="70"/>
      <c r="Z710" s="70"/>
    </row>
    <row r="711">
      <c r="A711" s="70"/>
      <c r="B711" s="79"/>
      <c r="C711" s="79"/>
      <c r="D711" s="78"/>
      <c r="E711" s="71"/>
      <c r="F711" s="70"/>
      <c r="G711" s="70"/>
      <c r="H711" s="70"/>
      <c r="I711" s="70"/>
      <c r="J711" s="70"/>
      <c r="K711" s="70"/>
      <c r="L711" s="70"/>
      <c r="M711" s="70"/>
      <c r="N711" s="70"/>
      <c r="O711" s="70"/>
      <c r="P711" s="70"/>
      <c r="Q711" s="70"/>
      <c r="R711" s="70"/>
      <c r="S711" s="70"/>
      <c r="T711" s="70"/>
      <c r="U711" s="70"/>
      <c r="V711" s="70"/>
      <c r="W711" s="70"/>
      <c r="X711" s="70"/>
      <c r="Y711" s="70"/>
      <c r="Z711" s="70"/>
    </row>
    <row r="712">
      <c r="A712" s="70"/>
      <c r="B712" s="79"/>
      <c r="C712" s="79"/>
      <c r="D712" s="78"/>
      <c r="E712" s="71"/>
      <c r="F712" s="70"/>
      <c r="G712" s="70"/>
      <c r="H712" s="70"/>
      <c r="I712" s="70"/>
      <c r="J712" s="70"/>
      <c r="K712" s="70"/>
      <c r="L712" s="70"/>
      <c r="M712" s="70"/>
      <c r="N712" s="70"/>
      <c r="O712" s="70"/>
      <c r="P712" s="70"/>
      <c r="Q712" s="70"/>
      <c r="R712" s="70"/>
      <c r="S712" s="70"/>
      <c r="T712" s="70"/>
      <c r="U712" s="70"/>
      <c r="V712" s="70"/>
      <c r="W712" s="70"/>
      <c r="X712" s="70"/>
      <c r="Y712" s="70"/>
      <c r="Z712" s="70"/>
    </row>
    <row r="713">
      <c r="A713" s="70"/>
      <c r="B713" s="79"/>
      <c r="C713" s="79"/>
      <c r="D713" s="78"/>
      <c r="E713" s="71"/>
      <c r="F713" s="70"/>
      <c r="G713" s="70"/>
      <c r="H713" s="70"/>
      <c r="I713" s="70"/>
      <c r="J713" s="70"/>
      <c r="K713" s="70"/>
      <c r="L713" s="70"/>
      <c r="M713" s="70"/>
      <c r="N713" s="70"/>
      <c r="O713" s="70"/>
      <c r="P713" s="70"/>
      <c r="Q713" s="70"/>
      <c r="R713" s="70"/>
      <c r="S713" s="70"/>
      <c r="T713" s="70"/>
      <c r="U713" s="70"/>
      <c r="V713" s="70"/>
      <c r="W713" s="70"/>
      <c r="X713" s="70"/>
      <c r="Y713" s="70"/>
      <c r="Z713" s="70"/>
    </row>
    <row r="714">
      <c r="A714" s="70"/>
      <c r="B714" s="79"/>
      <c r="C714" s="79"/>
      <c r="D714" s="78"/>
      <c r="E714" s="71"/>
      <c r="F714" s="70"/>
      <c r="G714" s="70"/>
      <c r="H714" s="70"/>
      <c r="I714" s="70"/>
      <c r="J714" s="70"/>
      <c r="K714" s="70"/>
      <c r="L714" s="70"/>
      <c r="M714" s="70"/>
      <c r="N714" s="70"/>
      <c r="O714" s="70"/>
      <c r="P714" s="70"/>
      <c r="Q714" s="70"/>
      <c r="R714" s="70"/>
      <c r="S714" s="70"/>
      <c r="T714" s="70"/>
      <c r="U714" s="70"/>
      <c r="V714" s="70"/>
      <c r="W714" s="70"/>
      <c r="X714" s="70"/>
      <c r="Y714" s="70"/>
      <c r="Z714" s="70"/>
    </row>
    <row r="715">
      <c r="A715" s="70"/>
      <c r="B715" s="79"/>
      <c r="C715" s="79"/>
      <c r="D715" s="78"/>
      <c r="E715" s="71"/>
      <c r="F715" s="70"/>
      <c r="G715" s="70"/>
      <c r="H715" s="70"/>
      <c r="I715" s="70"/>
      <c r="J715" s="70"/>
      <c r="K715" s="70"/>
      <c r="L715" s="70"/>
      <c r="M715" s="70"/>
      <c r="N715" s="70"/>
      <c r="O715" s="70"/>
      <c r="P715" s="70"/>
      <c r="Q715" s="70"/>
      <c r="R715" s="70"/>
      <c r="S715" s="70"/>
      <c r="T715" s="70"/>
      <c r="U715" s="70"/>
      <c r="V715" s="70"/>
      <c r="W715" s="70"/>
      <c r="X715" s="70"/>
      <c r="Y715" s="70"/>
      <c r="Z715" s="70"/>
    </row>
    <row r="716">
      <c r="A716" s="70"/>
      <c r="B716" s="79"/>
      <c r="C716" s="79"/>
      <c r="D716" s="78"/>
      <c r="E716" s="71"/>
      <c r="F716" s="70"/>
      <c r="G716" s="70"/>
      <c r="H716" s="70"/>
      <c r="I716" s="70"/>
      <c r="J716" s="70"/>
      <c r="K716" s="70"/>
      <c r="L716" s="70"/>
      <c r="M716" s="70"/>
      <c r="N716" s="70"/>
      <c r="O716" s="70"/>
      <c r="P716" s="70"/>
      <c r="Q716" s="70"/>
      <c r="R716" s="70"/>
      <c r="S716" s="70"/>
      <c r="T716" s="70"/>
      <c r="U716" s="70"/>
      <c r="V716" s="70"/>
      <c r="W716" s="70"/>
      <c r="X716" s="70"/>
      <c r="Y716" s="70"/>
      <c r="Z716" s="70"/>
    </row>
    <row r="717">
      <c r="A717" s="70"/>
      <c r="B717" s="79"/>
      <c r="C717" s="79"/>
      <c r="D717" s="78"/>
      <c r="E717" s="71"/>
      <c r="F717" s="70"/>
      <c r="G717" s="70"/>
      <c r="H717" s="70"/>
      <c r="I717" s="70"/>
      <c r="J717" s="70"/>
      <c r="K717" s="70"/>
      <c r="L717" s="70"/>
      <c r="M717" s="70"/>
      <c r="N717" s="70"/>
      <c r="O717" s="70"/>
      <c r="P717" s="70"/>
      <c r="Q717" s="70"/>
      <c r="R717" s="70"/>
      <c r="S717" s="70"/>
      <c r="T717" s="70"/>
      <c r="U717" s="70"/>
      <c r="V717" s="70"/>
      <c r="W717" s="70"/>
      <c r="X717" s="70"/>
      <c r="Y717" s="70"/>
      <c r="Z717" s="70"/>
    </row>
    <row r="718">
      <c r="A718" s="70"/>
      <c r="B718" s="79"/>
      <c r="C718" s="79"/>
      <c r="D718" s="78"/>
      <c r="E718" s="71"/>
      <c r="F718" s="70"/>
      <c r="G718" s="70"/>
      <c r="H718" s="70"/>
      <c r="I718" s="70"/>
      <c r="J718" s="70"/>
      <c r="K718" s="70"/>
      <c r="L718" s="70"/>
      <c r="M718" s="70"/>
      <c r="N718" s="70"/>
      <c r="O718" s="70"/>
      <c r="P718" s="70"/>
      <c r="Q718" s="70"/>
      <c r="R718" s="70"/>
      <c r="S718" s="70"/>
      <c r="T718" s="70"/>
      <c r="U718" s="70"/>
      <c r="V718" s="70"/>
      <c r="W718" s="70"/>
      <c r="X718" s="70"/>
      <c r="Y718" s="70"/>
      <c r="Z718" s="70"/>
    </row>
    <row r="719">
      <c r="A719" s="70"/>
      <c r="B719" s="79"/>
      <c r="C719" s="79"/>
      <c r="D719" s="78"/>
      <c r="E719" s="71"/>
      <c r="F719" s="70"/>
      <c r="G719" s="70"/>
      <c r="H719" s="70"/>
      <c r="I719" s="70"/>
      <c r="J719" s="70"/>
      <c r="K719" s="70"/>
      <c r="L719" s="70"/>
      <c r="M719" s="70"/>
      <c r="N719" s="70"/>
      <c r="O719" s="70"/>
      <c r="P719" s="70"/>
      <c r="Q719" s="70"/>
      <c r="R719" s="70"/>
      <c r="S719" s="70"/>
      <c r="T719" s="70"/>
      <c r="U719" s="70"/>
      <c r="V719" s="70"/>
      <c r="W719" s="70"/>
      <c r="X719" s="70"/>
      <c r="Y719" s="70"/>
      <c r="Z719" s="70"/>
    </row>
    <row r="720">
      <c r="A720" s="70"/>
      <c r="B720" s="79"/>
      <c r="C720" s="79"/>
      <c r="D720" s="78"/>
      <c r="E720" s="71"/>
      <c r="F720" s="70"/>
      <c r="G720" s="70"/>
      <c r="H720" s="70"/>
      <c r="I720" s="70"/>
      <c r="J720" s="70"/>
      <c r="K720" s="70"/>
      <c r="L720" s="70"/>
      <c r="M720" s="70"/>
      <c r="N720" s="70"/>
      <c r="O720" s="70"/>
      <c r="P720" s="70"/>
      <c r="Q720" s="70"/>
      <c r="R720" s="70"/>
      <c r="S720" s="70"/>
      <c r="T720" s="70"/>
      <c r="U720" s="70"/>
      <c r="V720" s="70"/>
      <c r="W720" s="70"/>
      <c r="X720" s="70"/>
      <c r="Y720" s="70"/>
      <c r="Z720" s="70"/>
    </row>
    <row r="721">
      <c r="A721" s="70"/>
      <c r="B721" s="79"/>
      <c r="C721" s="79"/>
      <c r="D721" s="78"/>
      <c r="E721" s="71"/>
      <c r="F721" s="70"/>
      <c r="G721" s="70"/>
      <c r="H721" s="70"/>
      <c r="I721" s="70"/>
      <c r="J721" s="70"/>
      <c r="K721" s="70"/>
      <c r="L721" s="70"/>
      <c r="M721" s="70"/>
      <c r="N721" s="70"/>
      <c r="O721" s="70"/>
      <c r="P721" s="70"/>
      <c r="Q721" s="70"/>
      <c r="R721" s="70"/>
      <c r="S721" s="70"/>
      <c r="T721" s="70"/>
      <c r="U721" s="70"/>
      <c r="V721" s="70"/>
      <c r="W721" s="70"/>
      <c r="X721" s="70"/>
      <c r="Y721" s="70"/>
      <c r="Z721" s="70"/>
    </row>
    <row r="722">
      <c r="A722" s="70"/>
      <c r="B722" s="79"/>
      <c r="C722" s="79"/>
      <c r="D722" s="78"/>
      <c r="E722" s="71"/>
      <c r="F722" s="70"/>
      <c r="G722" s="70"/>
      <c r="H722" s="70"/>
      <c r="I722" s="70"/>
      <c r="J722" s="70"/>
      <c r="K722" s="70"/>
      <c r="L722" s="70"/>
      <c r="M722" s="70"/>
      <c r="N722" s="70"/>
      <c r="O722" s="70"/>
      <c r="P722" s="70"/>
      <c r="Q722" s="70"/>
      <c r="R722" s="70"/>
      <c r="S722" s="70"/>
      <c r="T722" s="70"/>
      <c r="U722" s="70"/>
      <c r="V722" s="70"/>
      <c r="W722" s="70"/>
      <c r="X722" s="70"/>
      <c r="Y722" s="70"/>
      <c r="Z722" s="70"/>
    </row>
    <row r="723">
      <c r="A723" s="70"/>
      <c r="B723" s="79"/>
      <c r="C723" s="79"/>
      <c r="D723" s="78"/>
      <c r="E723" s="71"/>
      <c r="F723" s="70"/>
      <c r="G723" s="70"/>
      <c r="H723" s="70"/>
      <c r="I723" s="70"/>
      <c r="J723" s="70"/>
      <c r="K723" s="70"/>
      <c r="L723" s="70"/>
      <c r="M723" s="70"/>
      <c r="N723" s="70"/>
      <c r="O723" s="70"/>
      <c r="P723" s="70"/>
      <c r="Q723" s="70"/>
      <c r="R723" s="70"/>
      <c r="S723" s="70"/>
      <c r="T723" s="70"/>
      <c r="U723" s="70"/>
      <c r="V723" s="70"/>
      <c r="W723" s="70"/>
      <c r="X723" s="70"/>
      <c r="Y723" s="70"/>
      <c r="Z723" s="70"/>
    </row>
    <row r="724">
      <c r="A724" s="70"/>
      <c r="B724" s="79"/>
      <c r="C724" s="79"/>
      <c r="D724" s="78"/>
      <c r="E724" s="71"/>
      <c r="F724" s="70"/>
      <c r="G724" s="70"/>
      <c r="H724" s="70"/>
      <c r="I724" s="70"/>
      <c r="J724" s="70"/>
      <c r="K724" s="70"/>
      <c r="L724" s="70"/>
      <c r="M724" s="70"/>
      <c r="N724" s="70"/>
      <c r="O724" s="70"/>
      <c r="P724" s="70"/>
      <c r="Q724" s="70"/>
      <c r="R724" s="70"/>
      <c r="S724" s="70"/>
      <c r="T724" s="70"/>
      <c r="U724" s="70"/>
      <c r="V724" s="70"/>
      <c r="W724" s="70"/>
      <c r="X724" s="70"/>
      <c r="Y724" s="70"/>
      <c r="Z724" s="70"/>
    </row>
    <row r="725">
      <c r="A725" s="70"/>
      <c r="B725" s="79"/>
      <c r="C725" s="79"/>
      <c r="D725" s="78"/>
      <c r="E725" s="71"/>
      <c r="F725" s="70"/>
      <c r="G725" s="70"/>
      <c r="H725" s="70"/>
      <c r="I725" s="70"/>
      <c r="J725" s="70"/>
      <c r="K725" s="70"/>
      <c r="L725" s="70"/>
      <c r="M725" s="70"/>
      <c r="N725" s="70"/>
      <c r="O725" s="70"/>
      <c r="P725" s="70"/>
      <c r="Q725" s="70"/>
      <c r="R725" s="70"/>
      <c r="S725" s="70"/>
      <c r="T725" s="70"/>
      <c r="U725" s="70"/>
      <c r="V725" s="70"/>
      <c r="W725" s="70"/>
      <c r="X725" s="70"/>
      <c r="Y725" s="70"/>
      <c r="Z725" s="70"/>
    </row>
    <row r="726">
      <c r="A726" s="70"/>
      <c r="B726" s="79"/>
      <c r="C726" s="79"/>
      <c r="D726" s="78"/>
      <c r="E726" s="71"/>
      <c r="F726" s="70"/>
      <c r="G726" s="70"/>
      <c r="H726" s="70"/>
      <c r="I726" s="70"/>
      <c r="J726" s="70"/>
      <c r="K726" s="70"/>
      <c r="L726" s="70"/>
      <c r="M726" s="70"/>
      <c r="N726" s="70"/>
      <c r="O726" s="70"/>
      <c r="P726" s="70"/>
      <c r="Q726" s="70"/>
      <c r="R726" s="70"/>
      <c r="S726" s="70"/>
      <c r="T726" s="70"/>
      <c r="U726" s="70"/>
      <c r="V726" s="70"/>
      <c r="W726" s="70"/>
      <c r="X726" s="70"/>
      <c r="Y726" s="70"/>
      <c r="Z726" s="70"/>
    </row>
    <row r="727">
      <c r="A727" s="70"/>
      <c r="B727" s="79"/>
      <c r="C727" s="79"/>
      <c r="D727" s="78"/>
      <c r="E727" s="71"/>
      <c r="F727" s="70"/>
      <c r="G727" s="70"/>
      <c r="H727" s="70"/>
      <c r="I727" s="70"/>
      <c r="J727" s="70"/>
      <c r="K727" s="70"/>
      <c r="L727" s="70"/>
      <c r="M727" s="70"/>
      <c r="N727" s="70"/>
      <c r="O727" s="70"/>
      <c r="P727" s="70"/>
      <c r="Q727" s="70"/>
      <c r="R727" s="70"/>
      <c r="S727" s="70"/>
      <c r="T727" s="70"/>
      <c r="U727" s="70"/>
      <c r="V727" s="70"/>
      <c r="W727" s="70"/>
      <c r="X727" s="70"/>
      <c r="Y727" s="70"/>
      <c r="Z727" s="70"/>
    </row>
    <row r="728">
      <c r="A728" s="70"/>
      <c r="B728" s="79"/>
      <c r="C728" s="79"/>
      <c r="D728" s="78"/>
      <c r="E728" s="71"/>
      <c r="F728" s="70"/>
      <c r="G728" s="70"/>
      <c r="H728" s="70"/>
      <c r="I728" s="70"/>
      <c r="J728" s="70"/>
      <c r="K728" s="70"/>
      <c r="L728" s="70"/>
      <c r="M728" s="70"/>
      <c r="N728" s="70"/>
      <c r="O728" s="70"/>
      <c r="P728" s="70"/>
      <c r="Q728" s="70"/>
      <c r="R728" s="70"/>
      <c r="S728" s="70"/>
      <c r="T728" s="70"/>
      <c r="U728" s="70"/>
      <c r="V728" s="70"/>
      <c r="W728" s="70"/>
      <c r="X728" s="70"/>
      <c r="Y728" s="70"/>
      <c r="Z728" s="70"/>
    </row>
    <row r="729">
      <c r="A729" s="70"/>
      <c r="B729" s="79"/>
      <c r="C729" s="79"/>
      <c r="D729" s="78"/>
      <c r="E729" s="71"/>
      <c r="F729" s="70"/>
      <c r="G729" s="70"/>
      <c r="H729" s="70"/>
      <c r="I729" s="70"/>
      <c r="J729" s="70"/>
      <c r="K729" s="70"/>
      <c r="L729" s="70"/>
      <c r="M729" s="70"/>
      <c r="N729" s="70"/>
      <c r="O729" s="70"/>
      <c r="P729" s="70"/>
      <c r="Q729" s="70"/>
      <c r="R729" s="70"/>
      <c r="S729" s="70"/>
      <c r="T729" s="70"/>
      <c r="U729" s="70"/>
      <c r="V729" s="70"/>
      <c r="W729" s="70"/>
      <c r="X729" s="70"/>
      <c r="Y729" s="70"/>
      <c r="Z729" s="70"/>
    </row>
    <row r="730">
      <c r="A730" s="70"/>
      <c r="B730" s="79"/>
      <c r="C730" s="79"/>
      <c r="D730" s="78"/>
      <c r="E730" s="71"/>
      <c r="F730" s="70"/>
      <c r="G730" s="70"/>
      <c r="H730" s="70"/>
      <c r="I730" s="70"/>
      <c r="J730" s="70"/>
      <c r="K730" s="70"/>
      <c r="L730" s="70"/>
      <c r="M730" s="70"/>
      <c r="N730" s="70"/>
      <c r="O730" s="70"/>
      <c r="P730" s="70"/>
      <c r="Q730" s="70"/>
      <c r="R730" s="70"/>
      <c r="S730" s="70"/>
      <c r="T730" s="70"/>
      <c r="U730" s="70"/>
      <c r="V730" s="70"/>
      <c r="W730" s="70"/>
      <c r="X730" s="70"/>
      <c r="Y730" s="70"/>
      <c r="Z730" s="70"/>
    </row>
    <row r="731">
      <c r="A731" s="70"/>
      <c r="B731" s="79"/>
      <c r="C731" s="79"/>
      <c r="D731" s="78"/>
      <c r="E731" s="71"/>
      <c r="F731" s="70"/>
      <c r="G731" s="70"/>
      <c r="H731" s="70"/>
      <c r="I731" s="70"/>
      <c r="J731" s="70"/>
      <c r="K731" s="70"/>
      <c r="L731" s="70"/>
      <c r="M731" s="70"/>
      <c r="N731" s="70"/>
      <c r="O731" s="70"/>
      <c r="P731" s="70"/>
      <c r="Q731" s="70"/>
      <c r="R731" s="70"/>
      <c r="S731" s="70"/>
      <c r="T731" s="70"/>
      <c r="U731" s="70"/>
      <c r="V731" s="70"/>
      <c r="W731" s="70"/>
      <c r="X731" s="70"/>
      <c r="Y731" s="70"/>
      <c r="Z731" s="70"/>
    </row>
    <row r="732">
      <c r="A732" s="70"/>
      <c r="B732" s="79"/>
      <c r="C732" s="79"/>
      <c r="D732" s="78"/>
      <c r="E732" s="71"/>
      <c r="F732" s="70"/>
      <c r="G732" s="70"/>
      <c r="H732" s="70"/>
      <c r="I732" s="70"/>
      <c r="J732" s="70"/>
      <c r="K732" s="70"/>
      <c r="L732" s="70"/>
      <c r="M732" s="70"/>
      <c r="N732" s="70"/>
      <c r="O732" s="70"/>
      <c r="P732" s="70"/>
      <c r="Q732" s="70"/>
      <c r="R732" s="70"/>
      <c r="S732" s="70"/>
      <c r="T732" s="70"/>
      <c r="U732" s="70"/>
      <c r="V732" s="70"/>
      <c r="W732" s="70"/>
      <c r="X732" s="70"/>
      <c r="Y732" s="70"/>
      <c r="Z732" s="70"/>
    </row>
    <row r="733">
      <c r="A733" s="70"/>
      <c r="B733" s="79"/>
      <c r="C733" s="79"/>
      <c r="D733" s="78"/>
      <c r="E733" s="71"/>
      <c r="F733" s="70"/>
      <c r="G733" s="70"/>
      <c r="H733" s="70"/>
      <c r="I733" s="70"/>
      <c r="J733" s="70"/>
      <c r="K733" s="70"/>
      <c r="L733" s="70"/>
      <c r="M733" s="70"/>
      <c r="N733" s="70"/>
      <c r="O733" s="70"/>
      <c r="P733" s="70"/>
      <c r="Q733" s="70"/>
      <c r="R733" s="70"/>
      <c r="S733" s="70"/>
      <c r="T733" s="70"/>
      <c r="U733" s="70"/>
      <c r="V733" s="70"/>
      <c r="W733" s="70"/>
      <c r="X733" s="70"/>
      <c r="Y733" s="70"/>
      <c r="Z733" s="70"/>
    </row>
    <row r="734">
      <c r="A734" s="70"/>
      <c r="B734" s="79"/>
      <c r="C734" s="79"/>
      <c r="D734" s="78"/>
      <c r="E734" s="71"/>
      <c r="F734" s="70"/>
      <c r="G734" s="70"/>
      <c r="H734" s="70"/>
      <c r="I734" s="70"/>
      <c r="J734" s="70"/>
      <c r="K734" s="70"/>
      <c r="L734" s="70"/>
      <c r="M734" s="70"/>
      <c r="N734" s="70"/>
      <c r="O734" s="70"/>
      <c r="P734" s="70"/>
      <c r="Q734" s="70"/>
      <c r="R734" s="70"/>
      <c r="S734" s="70"/>
      <c r="T734" s="70"/>
      <c r="U734" s="70"/>
      <c r="V734" s="70"/>
      <c r="W734" s="70"/>
      <c r="X734" s="70"/>
      <c r="Y734" s="70"/>
      <c r="Z734" s="70"/>
    </row>
    <row r="735">
      <c r="A735" s="70"/>
      <c r="B735" s="79"/>
      <c r="C735" s="79"/>
      <c r="D735" s="78"/>
      <c r="E735" s="71"/>
      <c r="F735" s="70"/>
      <c r="G735" s="70"/>
      <c r="H735" s="70"/>
      <c r="I735" s="70"/>
      <c r="J735" s="70"/>
      <c r="K735" s="70"/>
      <c r="L735" s="70"/>
      <c r="M735" s="70"/>
      <c r="N735" s="70"/>
      <c r="O735" s="70"/>
      <c r="P735" s="70"/>
      <c r="Q735" s="70"/>
      <c r="R735" s="70"/>
      <c r="S735" s="70"/>
      <c r="T735" s="70"/>
      <c r="U735" s="70"/>
      <c r="V735" s="70"/>
      <c r="W735" s="70"/>
      <c r="X735" s="70"/>
      <c r="Y735" s="70"/>
      <c r="Z735" s="70"/>
    </row>
    <row r="736">
      <c r="A736" s="70"/>
      <c r="B736" s="79"/>
      <c r="C736" s="79"/>
      <c r="D736" s="78"/>
      <c r="E736" s="71"/>
      <c r="F736" s="70"/>
      <c r="G736" s="70"/>
      <c r="H736" s="70"/>
      <c r="I736" s="70"/>
      <c r="J736" s="70"/>
      <c r="K736" s="70"/>
      <c r="L736" s="70"/>
      <c r="M736" s="70"/>
      <c r="N736" s="70"/>
      <c r="O736" s="70"/>
      <c r="P736" s="70"/>
      <c r="Q736" s="70"/>
      <c r="R736" s="70"/>
      <c r="S736" s="70"/>
      <c r="T736" s="70"/>
      <c r="U736" s="70"/>
      <c r="V736" s="70"/>
      <c r="W736" s="70"/>
      <c r="X736" s="70"/>
      <c r="Y736" s="70"/>
      <c r="Z736" s="70"/>
    </row>
    <row r="737">
      <c r="A737" s="70"/>
      <c r="B737" s="79"/>
      <c r="C737" s="79"/>
      <c r="D737" s="78"/>
      <c r="E737" s="71"/>
      <c r="F737" s="70"/>
      <c r="G737" s="70"/>
      <c r="H737" s="70"/>
      <c r="I737" s="70"/>
      <c r="J737" s="70"/>
      <c r="K737" s="70"/>
      <c r="L737" s="70"/>
      <c r="M737" s="70"/>
      <c r="N737" s="70"/>
      <c r="O737" s="70"/>
      <c r="P737" s="70"/>
      <c r="Q737" s="70"/>
      <c r="R737" s="70"/>
      <c r="S737" s="70"/>
      <c r="T737" s="70"/>
      <c r="U737" s="70"/>
      <c r="V737" s="70"/>
      <c r="W737" s="70"/>
      <c r="X737" s="70"/>
      <c r="Y737" s="70"/>
      <c r="Z737" s="70"/>
    </row>
    <row r="738">
      <c r="A738" s="70"/>
      <c r="B738" s="79"/>
      <c r="C738" s="79"/>
      <c r="D738" s="78"/>
      <c r="E738" s="71"/>
      <c r="F738" s="70"/>
      <c r="G738" s="70"/>
      <c r="H738" s="70"/>
      <c r="I738" s="70"/>
      <c r="J738" s="70"/>
      <c r="K738" s="70"/>
      <c r="L738" s="70"/>
      <c r="M738" s="70"/>
      <c r="N738" s="70"/>
      <c r="O738" s="70"/>
      <c r="P738" s="70"/>
      <c r="Q738" s="70"/>
      <c r="R738" s="70"/>
      <c r="S738" s="70"/>
      <c r="T738" s="70"/>
      <c r="U738" s="70"/>
      <c r="V738" s="70"/>
      <c r="W738" s="70"/>
      <c r="X738" s="70"/>
      <c r="Y738" s="70"/>
      <c r="Z738" s="70"/>
    </row>
    <row r="739">
      <c r="A739" s="70"/>
      <c r="B739" s="79"/>
      <c r="C739" s="79"/>
      <c r="D739" s="78"/>
      <c r="E739" s="71"/>
      <c r="F739" s="70"/>
      <c r="G739" s="70"/>
      <c r="H739" s="70"/>
      <c r="I739" s="70"/>
      <c r="J739" s="70"/>
      <c r="K739" s="70"/>
      <c r="L739" s="70"/>
      <c r="M739" s="70"/>
      <c r="N739" s="70"/>
      <c r="O739" s="70"/>
      <c r="P739" s="70"/>
      <c r="Q739" s="70"/>
      <c r="R739" s="70"/>
      <c r="S739" s="70"/>
      <c r="T739" s="70"/>
      <c r="U739" s="70"/>
      <c r="V739" s="70"/>
      <c r="W739" s="70"/>
      <c r="X739" s="70"/>
      <c r="Y739" s="70"/>
      <c r="Z739" s="70"/>
    </row>
    <row r="740">
      <c r="A740" s="70"/>
      <c r="B740" s="79"/>
      <c r="C740" s="79"/>
      <c r="D740" s="78"/>
      <c r="E740" s="71"/>
      <c r="F740" s="70"/>
      <c r="G740" s="70"/>
      <c r="H740" s="70"/>
      <c r="I740" s="70"/>
      <c r="J740" s="70"/>
      <c r="K740" s="70"/>
      <c r="L740" s="70"/>
      <c r="M740" s="70"/>
      <c r="N740" s="70"/>
      <c r="O740" s="70"/>
      <c r="P740" s="70"/>
      <c r="Q740" s="70"/>
      <c r="R740" s="70"/>
      <c r="S740" s="70"/>
      <c r="T740" s="70"/>
      <c r="U740" s="70"/>
      <c r="V740" s="70"/>
      <c r="W740" s="70"/>
      <c r="X740" s="70"/>
      <c r="Y740" s="70"/>
      <c r="Z740" s="70"/>
    </row>
    <row r="741">
      <c r="A741" s="70"/>
      <c r="B741" s="79"/>
      <c r="C741" s="79"/>
      <c r="D741" s="78"/>
      <c r="E741" s="71"/>
      <c r="F741" s="70"/>
      <c r="G741" s="70"/>
      <c r="H741" s="70"/>
      <c r="I741" s="70"/>
      <c r="J741" s="70"/>
      <c r="K741" s="70"/>
      <c r="L741" s="70"/>
      <c r="M741" s="70"/>
      <c r="N741" s="70"/>
      <c r="O741" s="70"/>
      <c r="P741" s="70"/>
      <c r="Q741" s="70"/>
      <c r="R741" s="70"/>
      <c r="S741" s="70"/>
      <c r="T741" s="70"/>
      <c r="U741" s="70"/>
      <c r="V741" s="70"/>
      <c r="W741" s="70"/>
      <c r="X741" s="70"/>
      <c r="Y741" s="70"/>
      <c r="Z741" s="70"/>
    </row>
    <row r="742">
      <c r="A742" s="70"/>
      <c r="B742" s="79"/>
      <c r="C742" s="79"/>
      <c r="D742" s="78"/>
      <c r="E742" s="71"/>
      <c r="F742" s="70"/>
      <c r="G742" s="70"/>
      <c r="H742" s="70"/>
      <c r="I742" s="70"/>
      <c r="J742" s="70"/>
      <c r="K742" s="70"/>
      <c r="L742" s="70"/>
      <c r="M742" s="70"/>
      <c r="N742" s="70"/>
      <c r="O742" s="70"/>
      <c r="P742" s="70"/>
      <c r="Q742" s="70"/>
      <c r="R742" s="70"/>
      <c r="S742" s="70"/>
      <c r="T742" s="70"/>
      <c r="U742" s="70"/>
      <c r="V742" s="70"/>
      <c r="W742" s="70"/>
      <c r="X742" s="70"/>
      <c r="Y742" s="70"/>
      <c r="Z742" s="70"/>
    </row>
    <row r="743">
      <c r="A743" s="70"/>
      <c r="B743" s="79"/>
      <c r="C743" s="79"/>
      <c r="D743" s="78"/>
      <c r="E743" s="71"/>
      <c r="F743" s="70"/>
      <c r="G743" s="70"/>
      <c r="H743" s="70"/>
      <c r="I743" s="70"/>
      <c r="J743" s="70"/>
      <c r="K743" s="70"/>
      <c r="L743" s="70"/>
      <c r="M743" s="70"/>
      <c r="N743" s="70"/>
      <c r="O743" s="70"/>
      <c r="P743" s="70"/>
      <c r="Q743" s="70"/>
      <c r="R743" s="70"/>
      <c r="S743" s="70"/>
      <c r="T743" s="70"/>
      <c r="U743" s="70"/>
      <c r="V743" s="70"/>
      <c r="W743" s="70"/>
      <c r="X743" s="70"/>
      <c r="Y743" s="70"/>
      <c r="Z743" s="70"/>
    </row>
    <row r="744">
      <c r="A744" s="70"/>
      <c r="B744" s="79"/>
      <c r="C744" s="79"/>
      <c r="D744" s="78"/>
      <c r="E744" s="71"/>
      <c r="F744" s="70"/>
      <c r="G744" s="70"/>
      <c r="H744" s="70"/>
      <c r="I744" s="70"/>
      <c r="J744" s="70"/>
      <c r="K744" s="70"/>
      <c r="L744" s="70"/>
      <c r="M744" s="70"/>
      <c r="N744" s="70"/>
      <c r="O744" s="70"/>
      <c r="P744" s="70"/>
      <c r="Q744" s="70"/>
      <c r="R744" s="70"/>
      <c r="S744" s="70"/>
      <c r="T744" s="70"/>
      <c r="U744" s="70"/>
      <c r="V744" s="70"/>
      <c r="W744" s="70"/>
      <c r="X744" s="70"/>
      <c r="Y744" s="70"/>
      <c r="Z744" s="70"/>
    </row>
    <row r="745">
      <c r="A745" s="70"/>
      <c r="B745" s="79"/>
      <c r="C745" s="79"/>
      <c r="D745" s="78"/>
      <c r="E745" s="71"/>
      <c r="F745" s="70"/>
      <c r="G745" s="70"/>
      <c r="H745" s="70"/>
      <c r="I745" s="70"/>
      <c r="J745" s="70"/>
      <c r="K745" s="70"/>
      <c r="L745" s="70"/>
      <c r="M745" s="70"/>
      <c r="N745" s="70"/>
      <c r="O745" s="70"/>
      <c r="P745" s="70"/>
      <c r="Q745" s="70"/>
      <c r="R745" s="70"/>
      <c r="S745" s="70"/>
      <c r="T745" s="70"/>
      <c r="U745" s="70"/>
      <c r="V745" s="70"/>
      <c r="W745" s="70"/>
      <c r="X745" s="70"/>
      <c r="Y745" s="70"/>
      <c r="Z745" s="70"/>
    </row>
    <row r="746">
      <c r="A746" s="70"/>
      <c r="B746" s="79"/>
      <c r="C746" s="79"/>
      <c r="D746" s="78"/>
      <c r="E746" s="71"/>
      <c r="F746" s="70"/>
      <c r="G746" s="70"/>
      <c r="H746" s="70"/>
      <c r="I746" s="70"/>
      <c r="J746" s="70"/>
      <c r="K746" s="70"/>
      <c r="L746" s="70"/>
      <c r="M746" s="70"/>
      <c r="N746" s="70"/>
      <c r="O746" s="70"/>
      <c r="P746" s="70"/>
      <c r="Q746" s="70"/>
      <c r="R746" s="70"/>
      <c r="S746" s="70"/>
      <c r="T746" s="70"/>
      <c r="U746" s="70"/>
      <c r="V746" s="70"/>
      <c r="W746" s="70"/>
      <c r="X746" s="70"/>
      <c r="Y746" s="70"/>
      <c r="Z746" s="70"/>
    </row>
    <row r="747">
      <c r="A747" s="70"/>
      <c r="B747" s="79"/>
      <c r="C747" s="79"/>
      <c r="D747" s="78"/>
      <c r="E747" s="71"/>
      <c r="F747" s="70"/>
      <c r="G747" s="70"/>
      <c r="H747" s="70"/>
      <c r="I747" s="70"/>
      <c r="J747" s="70"/>
      <c r="K747" s="70"/>
      <c r="L747" s="70"/>
      <c r="M747" s="70"/>
      <c r="N747" s="70"/>
      <c r="O747" s="70"/>
      <c r="P747" s="70"/>
      <c r="Q747" s="70"/>
      <c r="R747" s="70"/>
      <c r="S747" s="70"/>
      <c r="T747" s="70"/>
      <c r="U747" s="70"/>
      <c r="V747" s="70"/>
      <c r="W747" s="70"/>
      <c r="X747" s="70"/>
      <c r="Y747" s="70"/>
      <c r="Z747" s="70"/>
    </row>
    <row r="748">
      <c r="A748" s="70"/>
      <c r="B748" s="79"/>
      <c r="C748" s="79"/>
      <c r="D748" s="78"/>
      <c r="E748" s="71"/>
      <c r="F748" s="70"/>
      <c r="G748" s="70"/>
      <c r="H748" s="70"/>
      <c r="I748" s="70"/>
      <c r="J748" s="70"/>
      <c r="K748" s="70"/>
      <c r="L748" s="70"/>
      <c r="M748" s="70"/>
      <c r="N748" s="70"/>
      <c r="O748" s="70"/>
      <c r="P748" s="70"/>
      <c r="Q748" s="70"/>
      <c r="R748" s="70"/>
      <c r="S748" s="70"/>
      <c r="T748" s="70"/>
      <c r="U748" s="70"/>
      <c r="V748" s="70"/>
      <c r="W748" s="70"/>
      <c r="X748" s="70"/>
      <c r="Y748" s="70"/>
      <c r="Z748" s="70"/>
    </row>
    <row r="749">
      <c r="A749" s="70"/>
      <c r="B749" s="79"/>
      <c r="C749" s="79"/>
      <c r="D749" s="78"/>
      <c r="E749" s="71"/>
      <c r="F749" s="70"/>
      <c r="G749" s="70"/>
      <c r="H749" s="70"/>
      <c r="I749" s="70"/>
      <c r="J749" s="70"/>
      <c r="K749" s="70"/>
      <c r="L749" s="70"/>
      <c r="M749" s="70"/>
      <c r="N749" s="70"/>
      <c r="O749" s="70"/>
      <c r="P749" s="70"/>
      <c r="Q749" s="70"/>
      <c r="R749" s="70"/>
      <c r="S749" s="70"/>
      <c r="T749" s="70"/>
      <c r="U749" s="70"/>
      <c r="V749" s="70"/>
      <c r="W749" s="70"/>
      <c r="X749" s="70"/>
      <c r="Y749" s="70"/>
      <c r="Z749" s="70"/>
    </row>
    <row r="750">
      <c r="A750" s="70"/>
      <c r="B750" s="79"/>
      <c r="C750" s="79"/>
      <c r="D750" s="78"/>
      <c r="E750" s="71"/>
      <c r="F750" s="70"/>
      <c r="G750" s="70"/>
      <c r="H750" s="70"/>
      <c r="I750" s="70"/>
      <c r="J750" s="70"/>
      <c r="K750" s="70"/>
      <c r="L750" s="70"/>
      <c r="M750" s="70"/>
      <c r="N750" s="70"/>
      <c r="O750" s="70"/>
      <c r="P750" s="70"/>
      <c r="Q750" s="70"/>
      <c r="R750" s="70"/>
      <c r="S750" s="70"/>
      <c r="T750" s="70"/>
      <c r="U750" s="70"/>
      <c r="V750" s="70"/>
      <c r="W750" s="70"/>
      <c r="X750" s="70"/>
      <c r="Y750" s="70"/>
      <c r="Z750" s="70"/>
    </row>
    <row r="751">
      <c r="A751" s="70"/>
      <c r="B751" s="79"/>
      <c r="C751" s="79"/>
      <c r="D751" s="78"/>
      <c r="E751" s="71"/>
      <c r="F751" s="70"/>
      <c r="G751" s="70"/>
      <c r="H751" s="70"/>
      <c r="I751" s="70"/>
      <c r="J751" s="70"/>
      <c r="K751" s="70"/>
      <c r="L751" s="70"/>
      <c r="M751" s="70"/>
      <c r="N751" s="70"/>
      <c r="O751" s="70"/>
      <c r="P751" s="70"/>
      <c r="Q751" s="70"/>
      <c r="R751" s="70"/>
      <c r="S751" s="70"/>
      <c r="T751" s="70"/>
      <c r="U751" s="70"/>
      <c r="V751" s="70"/>
      <c r="W751" s="70"/>
      <c r="X751" s="70"/>
      <c r="Y751" s="70"/>
      <c r="Z751" s="70"/>
    </row>
    <row r="752">
      <c r="A752" s="70"/>
      <c r="B752" s="79"/>
      <c r="C752" s="79"/>
      <c r="D752" s="78"/>
      <c r="E752" s="71"/>
      <c r="F752" s="70"/>
      <c r="G752" s="70"/>
      <c r="H752" s="70"/>
      <c r="I752" s="70"/>
      <c r="J752" s="70"/>
      <c r="K752" s="70"/>
      <c r="L752" s="70"/>
      <c r="M752" s="70"/>
      <c r="N752" s="70"/>
      <c r="O752" s="70"/>
      <c r="P752" s="70"/>
      <c r="Q752" s="70"/>
      <c r="R752" s="70"/>
      <c r="S752" s="70"/>
      <c r="T752" s="70"/>
      <c r="U752" s="70"/>
      <c r="V752" s="70"/>
      <c r="W752" s="70"/>
      <c r="X752" s="70"/>
      <c r="Y752" s="70"/>
      <c r="Z752" s="70"/>
    </row>
    <row r="753">
      <c r="A753" s="70"/>
      <c r="B753" s="79"/>
      <c r="C753" s="79"/>
      <c r="D753" s="78"/>
      <c r="E753" s="71"/>
      <c r="F753" s="70"/>
      <c r="G753" s="70"/>
      <c r="H753" s="70"/>
      <c r="I753" s="70"/>
      <c r="J753" s="70"/>
      <c r="K753" s="70"/>
      <c r="L753" s="70"/>
      <c r="M753" s="70"/>
      <c r="N753" s="70"/>
      <c r="O753" s="70"/>
      <c r="P753" s="70"/>
      <c r="Q753" s="70"/>
      <c r="R753" s="70"/>
      <c r="S753" s="70"/>
      <c r="T753" s="70"/>
      <c r="U753" s="70"/>
      <c r="V753" s="70"/>
      <c r="W753" s="70"/>
      <c r="X753" s="70"/>
      <c r="Y753" s="70"/>
      <c r="Z753" s="70"/>
    </row>
    <row r="754">
      <c r="A754" s="70"/>
      <c r="B754" s="79"/>
      <c r="C754" s="79"/>
      <c r="D754" s="78"/>
      <c r="E754" s="71"/>
      <c r="F754" s="70"/>
      <c r="G754" s="70"/>
      <c r="H754" s="70"/>
      <c r="I754" s="70"/>
      <c r="J754" s="70"/>
      <c r="K754" s="70"/>
      <c r="L754" s="70"/>
      <c r="M754" s="70"/>
      <c r="N754" s="70"/>
      <c r="O754" s="70"/>
      <c r="P754" s="70"/>
      <c r="Q754" s="70"/>
      <c r="R754" s="70"/>
      <c r="S754" s="70"/>
      <c r="T754" s="70"/>
      <c r="U754" s="70"/>
      <c r="V754" s="70"/>
      <c r="W754" s="70"/>
      <c r="X754" s="70"/>
      <c r="Y754" s="70"/>
      <c r="Z754" s="70"/>
    </row>
    <row r="755">
      <c r="A755" s="70"/>
      <c r="B755" s="79"/>
      <c r="C755" s="79"/>
      <c r="D755" s="78"/>
      <c r="E755" s="71"/>
      <c r="F755" s="70"/>
      <c r="G755" s="70"/>
      <c r="H755" s="70"/>
      <c r="I755" s="70"/>
      <c r="J755" s="70"/>
      <c r="K755" s="70"/>
      <c r="L755" s="70"/>
      <c r="M755" s="70"/>
      <c r="N755" s="70"/>
      <c r="O755" s="70"/>
      <c r="P755" s="70"/>
      <c r="Q755" s="70"/>
      <c r="R755" s="70"/>
      <c r="S755" s="70"/>
      <c r="T755" s="70"/>
      <c r="U755" s="70"/>
      <c r="V755" s="70"/>
      <c r="W755" s="70"/>
      <c r="X755" s="70"/>
      <c r="Y755" s="70"/>
      <c r="Z755" s="70"/>
    </row>
    <row r="756">
      <c r="A756" s="70"/>
      <c r="B756" s="79"/>
      <c r="C756" s="79"/>
      <c r="D756" s="78"/>
      <c r="E756" s="71"/>
      <c r="F756" s="70"/>
      <c r="G756" s="70"/>
      <c r="H756" s="70"/>
      <c r="I756" s="70"/>
      <c r="J756" s="70"/>
      <c r="K756" s="70"/>
      <c r="L756" s="70"/>
      <c r="M756" s="70"/>
      <c r="N756" s="70"/>
      <c r="O756" s="70"/>
      <c r="P756" s="70"/>
      <c r="Q756" s="70"/>
      <c r="R756" s="70"/>
      <c r="S756" s="70"/>
      <c r="T756" s="70"/>
      <c r="U756" s="70"/>
      <c r="V756" s="70"/>
      <c r="W756" s="70"/>
      <c r="X756" s="70"/>
      <c r="Y756" s="70"/>
      <c r="Z756" s="70"/>
    </row>
    <row r="757">
      <c r="A757" s="70"/>
      <c r="B757" s="79"/>
      <c r="C757" s="79"/>
      <c r="D757" s="78"/>
      <c r="E757" s="71"/>
      <c r="F757" s="70"/>
      <c r="G757" s="70"/>
      <c r="H757" s="70"/>
      <c r="I757" s="70"/>
      <c r="J757" s="70"/>
      <c r="K757" s="70"/>
      <c r="L757" s="70"/>
      <c r="M757" s="70"/>
      <c r="N757" s="70"/>
      <c r="O757" s="70"/>
      <c r="P757" s="70"/>
      <c r="Q757" s="70"/>
      <c r="R757" s="70"/>
      <c r="S757" s="70"/>
      <c r="T757" s="70"/>
      <c r="U757" s="70"/>
      <c r="V757" s="70"/>
      <c r="W757" s="70"/>
      <c r="X757" s="70"/>
      <c r="Y757" s="70"/>
      <c r="Z757" s="70"/>
    </row>
    <row r="758">
      <c r="A758" s="70"/>
      <c r="B758" s="79"/>
      <c r="C758" s="79"/>
      <c r="D758" s="78"/>
      <c r="E758" s="71"/>
      <c r="F758" s="70"/>
      <c r="G758" s="70"/>
      <c r="H758" s="70"/>
      <c r="I758" s="70"/>
      <c r="J758" s="70"/>
      <c r="K758" s="70"/>
      <c r="L758" s="70"/>
      <c r="M758" s="70"/>
      <c r="N758" s="70"/>
      <c r="O758" s="70"/>
      <c r="P758" s="70"/>
      <c r="Q758" s="70"/>
      <c r="R758" s="70"/>
      <c r="S758" s="70"/>
      <c r="T758" s="70"/>
      <c r="U758" s="70"/>
      <c r="V758" s="70"/>
      <c r="W758" s="70"/>
      <c r="X758" s="70"/>
      <c r="Y758" s="70"/>
      <c r="Z758" s="70"/>
    </row>
    <row r="759">
      <c r="A759" s="70"/>
      <c r="B759" s="79"/>
      <c r="C759" s="79"/>
      <c r="D759" s="78"/>
      <c r="E759" s="71"/>
      <c r="F759" s="70"/>
      <c r="G759" s="70"/>
      <c r="H759" s="70"/>
      <c r="I759" s="70"/>
      <c r="J759" s="70"/>
      <c r="K759" s="70"/>
      <c r="L759" s="70"/>
      <c r="M759" s="70"/>
      <c r="N759" s="70"/>
      <c r="O759" s="70"/>
      <c r="P759" s="70"/>
      <c r="Q759" s="70"/>
      <c r="R759" s="70"/>
      <c r="S759" s="70"/>
      <c r="T759" s="70"/>
      <c r="U759" s="70"/>
      <c r="V759" s="70"/>
      <c r="W759" s="70"/>
      <c r="X759" s="70"/>
      <c r="Y759" s="70"/>
      <c r="Z759" s="70"/>
    </row>
    <row r="760">
      <c r="A760" s="70"/>
      <c r="B760" s="79"/>
      <c r="C760" s="79"/>
      <c r="D760" s="78"/>
      <c r="E760" s="71"/>
      <c r="F760" s="70"/>
      <c r="G760" s="70"/>
      <c r="H760" s="70"/>
      <c r="I760" s="70"/>
      <c r="J760" s="70"/>
      <c r="K760" s="70"/>
      <c r="L760" s="70"/>
      <c r="M760" s="70"/>
      <c r="N760" s="70"/>
      <c r="O760" s="70"/>
      <c r="P760" s="70"/>
      <c r="Q760" s="70"/>
      <c r="R760" s="70"/>
      <c r="S760" s="70"/>
      <c r="T760" s="70"/>
      <c r="U760" s="70"/>
      <c r="V760" s="70"/>
      <c r="W760" s="70"/>
      <c r="X760" s="70"/>
      <c r="Y760" s="70"/>
      <c r="Z760" s="70"/>
    </row>
    <row r="761">
      <c r="A761" s="70"/>
      <c r="B761" s="79"/>
      <c r="C761" s="79"/>
      <c r="D761" s="78"/>
      <c r="E761" s="71"/>
      <c r="F761" s="70"/>
      <c r="G761" s="70"/>
      <c r="H761" s="70"/>
      <c r="I761" s="70"/>
      <c r="J761" s="70"/>
      <c r="K761" s="70"/>
      <c r="L761" s="70"/>
      <c r="M761" s="70"/>
      <c r="N761" s="70"/>
      <c r="O761" s="70"/>
      <c r="P761" s="70"/>
      <c r="Q761" s="70"/>
      <c r="R761" s="70"/>
      <c r="S761" s="70"/>
      <c r="T761" s="70"/>
      <c r="U761" s="70"/>
      <c r="V761" s="70"/>
      <c r="W761" s="70"/>
      <c r="X761" s="70"/>
      <c r="Y761" s="70"/>
      <c r="Z761" s="70"/>
    </row>
    <row r="762">
      <c r="A762" s="70"/>
      <c r="B762" s="79"/>
      <c r="C762" s="79"/>
      <c r="D762" s="78"/>
      <c r="E762" s="71"/>
      <c r="F762" s="70"/>
      <c r="G762" s="70"/>
      <c r="H762" s="70"/>
      <c r="I762" s="70"/>
      <c r="J762" s="70"/>
      <c r="K762" s="70"/>
      <c r="L762" s="70"/>
      <c r="M762" s="70"/>
      <c r="N762" s="70"/>
      <c r="O762" s="70"/>
      <c r="P762" s="70"/>
      <c r="Q762" s="70"/>
      <c r="R762" s="70"/>
      <c r="S762" s="70"/>
      <c r="T762" s="70"/>
      <c r="U762" s="70"/>
      <c r="V762" s="70"/>
      <c r="W762" s="70"/>
      <c r="X762" s="70"/>
      <c r="Y762" s="70"/>
      <c r="Z762" s="70"/>
    </row>
    <row r="763">
      <c r="A763" s="70"/>
      <c r="B763" s="79"/>
      <c r="C763" s="79"/>
      <c r="D763" s="78"/>
      <c r="E763" s="71"/>
      <c r="F763" s="70"/>
      <c r="G763" s="70"/>
      <c r="H763" s="70"/>
      <c r="I763" s="70"/>
      <c r="J763" s="70"/>
      <c r="K763" s="70"/>
      <c r="L763" s="70"/>
      <c r="M763" s="70"/>
      <c r="N763" s="70"/>
      <c r="O763" s="70"/>
      <c r="P763" s="70"/>
      <c r="Q763" s="70"/>
      <c r="R763" s="70"/>
      <c r="S763" s="70"/>
      <c r="T763" s="70"/>
      <c r="U763" s="70"/>
      <c r="V763" s="70"/>
      <c r="W763" s="70"/>
      <c r="X763" s="70"/>
      <c r="Y763" s="70"/>
      <c r="Z763" s="70"/>
    </row>
    <row r="764">
      <c r="A764" s="70"/>
      <c r="B764" s="79"/>
      <c r="C764" s="79"/>
      <c r="D764" s="78"/>
      <c r="E764" s="71"/>
      <c r="F764" s="70"/>
      <c r="G764" s="70"/>
      <c r="H764" s="70"/>
      <c r="I764" s="70"/>
      <c r="J764" s="70"/>
      <c r="K764" s="70"/>
      <c r="L764" s="70"/>
      <c r="M764" s="70"/>
      <c r="N764" s="70"/>
      <c r="O764" s="70"/>
      <c r="P764" s="70"/>
      <c r="Q764" s="70"/>
      <c r="R764" s="70"/>
      <c r="S764" s="70"/>
      <c r="T764" s="70"/>
      <c r="U764" s="70"/>
      <c r="V764" s="70"/>
      <c r="W764" s="70"/>
      <c r="X764" s="70"/>
      <c r="Y764" s="70"/>
      <c r="Z764" s="70"/>
    </row>
    <row r="765">
      <c r="A765" s="70"/>
      <c r="B765" s="79"/>
      <c r="C765" s="79"/>
      <c r="D765" s="78"/>
      <c r="E765" s="71"/>
      <c r="F765" s="70"/>
      <c r="G765" s="70"/>
      <c r="H765" s="70"/>
      <c r="I765" s="70"/>
      <c r="J765" s="70"/>
      <c r="K765" s="70"/>
      <c r="L765" s="70"/>
      <c r="M765" s="70"/>
      <c r="N765" s="70"/>
      <c r="O765" s="70"/>
      <c r="P765" s="70"/>
      <c r="Q765" s="70"/>
      <c r="R765" s="70"/>
      <c r="S765" s="70"/>
      <c r="T765" s="70"/>
      <c r="U765" s="70"/>
      <c r="V765" s="70"/>
      <c r="W765" s="70"/>
      <c r="X765" s="70"/>
      <c r="Y765" s="70"/>
      <c r="Z765" s="70"/>
    </row>
    <row r="766">
      <c r="A766" s="70"/>
      <c r="B766" s="79"/>
      <c r="C766" s="79"/>
      <c r="D766" s="78"/>
      <c r="E766" s="71"/>
      <c r="F766" s="70"/>
      <c r="G766" s="70"/>
      <c r="H766" s="70"/>
      <c r="I766" s="70"/>
      <c r="J766" s="70"/>
      <c r="K766" s="70"/>
      <c r="L766" s="70"/>
      <c r="M766" s="70"/>
      <c r="N766" s="70"/>
      <c r="O766" s="70"/>
      <c r="P766" s="70"/>
      <c r="Q766" s="70"/>
      <c r="R766" s="70"/>
      <c r="S766" s="70"/>
      <c r="T766" s="70"/>
      <c r="U766" s="70"/>
      <c r="V766" s="70"/>
      <c r="W766" s="70"/>
      <c r="X766" s="70"/>
      <c r="Y766" s="70"/>
      <c r="Z766" s="70"/>
    </row>
    <row r="767">
      <c r="A767" s="70"/>
      <c r="B767" s="79"/>
      <c r="C767" s="79"/>
      <c r="D767" s="78"/>
      <c r="E767" s="71"/>
      <c r="F767" s="70"/>
      <c r="G767" s="70"/>
      <c r="H767" s="70"/>
      <c r="I767" s="70"/>
      <c r="J767" s="70"/>
      <c r="K767" s="70"/>
      <c r="L767" s="70"/>
      <c r="M767" s="70"/>
      <c r="N767" s="70"/>
      <c r="O767" s="70"/>
      <c r="P767" s="70"/>
      <c r="Q767" s="70"/>
      <c r="R767" s="70"/>
      <c r="S767" s="70"/>
      <c r="T767" s="70"/>
      <c r="U767" s="70"/>
      <c r="V767" s="70"/>
      <c r="W767" s="70"/>
      <c r="X767" s="70"/>
      <c r="Y767" s="70"/>
      <c r="Z767" s="70"/>
    </row>
    <row r="768">
      <c r="A768" s="70"/>
      <c r="B768" s="79"/>
      <c r="C768" s="79"/>
      <c r="D768" s="78"/>
      <c r="E768" s="71"/>
      <c r="F768" s="70"/>
      <c r="G768" s="70"/>
      <c r="H768" s="70"/>
      <c r="I768" s="70"/>
      <c r="J768" s="70"/>
      <c r="K768" s="70"/>
      <c r="L768" s="70"/>
      <c r="M768" s="70"/>
      <c r="N768" s="70"/>
      <c r="O768" s="70"/>
      <c r="P768" s="70"/>
      <c r="Q768" s="70"/>
      <c r="R768" s="70"/>
      <c r="S768" s="70"/>
      <c r="T768" s="70"/>
      <c r="U768" s="70"/>
      <c r="V768" s="70"/>
      <c r="W768" s="70"/>
      <c r="X768" s="70"/>
      <c r="Y768" s="70"/>
      <c r="Z768" s="70"/>
    </row>
    <row r="769">
      <c r="A769" s="70"/>
      <c r="B769" s="79"/>
      <c r="C769" s="79"/>
      <c r="D769" s="78"/>
      <c r="E769" s="71"/>
      <c r="F769" s="70"/>
      <c r="G769" s="70"/>
      <c r="H769" s="70"/>
      <c r="I769" s="70"/>
      <c r="J769" s="70"/>
      <c r="K769" s="70"/>
      <c r="L769" s="70"/>
      <c r="M769" s="70"/>
      <c r="N769" s="70"/>
      <c r="O769" s="70"/>
      <c r="P769" s="70"/>
      <c r="Q769" s="70"/>
      <c r="R769" s="70"/>
      <c r="S769" s="70"/>
      <c r="T769" s="70"/>
      <c r="U769" s="70"/>
      <c r="V769" s="70"/>
      <c r="W769" s="70"/>
      <c r="X769" s="70"/>
      <c r="Y769" s="70"/>
      <c r="Z769" s="70"/>
    </row>
    <row r="770">
      <c r="A770" s="70"/>
      <c r="B770" s="79"/>
      <c r="C770" s="79"/>
      <c r="D770" s="78"/>
      <c r="E770" s="71"/>
      <c r="F770" s="70"/>
      <c r="G770" s="70"/>
      <c r="H770" s="70"/>
      <c r="I770" s="70"/>
      <c r="J770" s="70"/>
      <c r="K770" s="70"/>
      <c r="L770" s="70"/>
      <c r="M770" s="70"/>
      <c r="N770" s="70"/>
      <c r="O770" s="70"/>
      <c r="P770" s="70"/>
      <c r="Q770" s="70"/>
      <c r="R770" s="70"/>
      <c r="S770" s="70"/>
      <c r="T770" s="70"/>
      <c r="U770" s="70"/>
      <c r="V770" s="70"/>
      <c r="W770" s="70"/>
      <c r="X770" s="70"/>
      <c r="Y770" s="70"/>
      <c r="Z770" s="70"/>
    </row>
    <row r="771">
      <c r="A771" s="70"/>
      <c r="B771" s="79"/>
      <c r="C771" s="79"/>
      <c r="D771" s="78"/>
      <c r="E771" s="71"/>
      <c r="F771" s="70"/>
      <c r="G771" s="70"/>
      <c r="H771" s="70"/>
      <c r="I771" s="70"/>
      <c r="J771" s="70"/>
      <c r="K771" s="70"/>
      <c r="L771" s="70"/>
      <c r="M771" s="70"/>
      <c r="N771" s="70"/>
      <c r="O771" s="70"/>
      <c r="P771" s="70"/>
      <c r="Q771" s="70"/>
      <c r="R771" s="70"/>
      <c r="S771" s="70"/>
      <c r="T771" s="70"/>
      <c r="U771" s="70"/>
      <c r="V771" s="70"/>
      <c r="W771" s="70"/>
      <c r="X771" s="70"/>
      <c r="Y771" s="70"/>
      <c r="Z771" s="70"/>
    </row>
    <row r="772">
      <c r="A772" s="70"/>
      <c r="B772" s="79"/>
      <c r="C772" s="79"/>
      <c r="D772" s="78"/>
      <c r="E772" s="71"/>
      <c r="F772" s="70"/>
      <c r="G772" s="70"/>
      <c r="H772" s="70"/>
      <c r="I772" s="70"/>
      <c r="J772" s="70"/>
      <c r="K772" s="70"/>
      <c r="L772" s="70"/>
      <c r="M772" s="70"/>
      <c r="N772" s="70"/>
      <c r="O772" s="70"/>
      <c r="P772" s="70"/>
      <c r="Q772" s="70"/>
      <c r="R772" s="70"/>
      <c r="S772" s="70"/>
      <c r="T772" s="70"/>
      <c r="U772" s="70"/>
      <c r="V772" s="70"/>
      <c r="W772" s="70"/>
      <c r="X772" s="70"/>
      <c r="Y772" s="70"/>
      <c r="Z772" s="70"/>
    </row>
    <row r="773">
      <c r="A773" s="70"/>
      <c r="B773" s="79"/>
      <c r="C773" s="79"/>
      <c r="D773" s="78"/>
      <c r="E773" s="71"/>
      <c r="F773" s="70"/>
      <c r="G773" s="70"/>
      <c r="H773" s="70"/>
      <c r="I773" s="70"/>
      <c r="J773" s="70"/>
      <c r="K773" s="70"/>
      <c r="L773" s="70"/>
      <c r="M773" s="70"/>
      <c r="N773" s="70"/>
      <c r="O773" s="70"/>
      <c r="P773" s="70"/>
      <c r="Q773" s="70"/>
      <c r="R773" s="70"/>
      <c r="S773" s="70"/>
      <c r="T773" s="70"/>
      <c r="U773" s="70"/>
      <c r="V773" s="70"/>
      <c r="W773" s="70"/>
      <c r="X773" s="70"/>
      <c r="Y773" s="70"/>
      <c r="Z773" s="70"/>
    </row>
    <row r="774">
      <c r="A774" s="70"/>
      <c r="B774" s="79"/>
      <c r="C774" s="79"/>
      <c r="D774" s="78"/>
      <c r="E774" s="71"/>
      <c r="F774" s="70"/>
      <c r="G774" s="70"/>
      <c r="H774" s="70"/>
      <c r="I774" s="70"/>
      <c r="J774" s="70"/>
      <c r="K774" s="70"/>
      <c r="L774" s="70"/>
      <c r="M774" s="70"/>
      <c r="N774" s="70"/>
      <c r="O774" s="70"/>
      <c r="P774" s="70"/>
      <c r="Q774" s="70"/>
      <c r="R774" s="70"/>
      <c r="S774" s="70"/>
      <c r="T774" s="70"/>
      <c r="U774" s="70"/>
      <c r="V774" s="70"/>
      <c r="W774" s="70"/>
      <c r="X774" s="70"/>
      <c r="Y774" s="70"/>
      <c r="Z774" s="70"/>
    </row>
    <row r="775">
      <c r="A775" s="70"/>
      <c r="B775" s="79"/>
      <c r="C775" s="79"/>
      <c r="D775" s="78"/>
      <c r="E775" s="71"/>
      <c r="F775" s="70"/>
      <c r="G775" s="70"/>
      <c r="H775" s="70"/>
      <c r="I775" s="70"/>
      <c r="J775" s="70"/>
      <c r="K775" s="70"/>
      <c r="L775" s="70"/>
      <c r="M775" s="70"/>
      <c r="N775" s="70"/>
      <c r="O775" s="70"/>
      <c r="P775" s="70"/>
      <c r="Q775" s="70"/>
      <c r="R775" s="70"/>
      <c r="S775" s="70"/>
      <c r="T775" s="70"/>
      <c r="U775" s="70"/>
      <c r="V775" s="70"/>
      <c r="W775" s="70"/>
      <c r="X775" s="70"/>
      <c r="Y775" s="70"/>
      <c r="Z775" s="70"/>
    </row>
    <row r="776">
      <c r="A776" s="70"/>
      <c r="B776" s="79"/>
      <c r="C776" s="79"/>
      <c r="D776" s="78"/>
      <c r="E776" s="71"/>
      <c r="F776" s="70"/>
      <c r="G776" s="70"/>
      <c r="H776" s="70"/>
      <c r="I776" s="70"/>
      <c r="J776" s="70"/>
      <c r="K776" s="70"/>
      <c r="L776" s="70"/>
      <c r="M776" s="70"/>
      <c r="N776" s="70"/>
      <c r="O776" s="70"/>
      <c r="P776" s="70"/>
      <c r="Q776" s="70"/>
      <c r="R776" s="70"/>
      <c r="S776" s="70"/>
      <c r="T776" s="70"/>
      <c r="U776" s="70"/>
      <c r="V776" s="70"/>
      <c r="W776" s="70"/>
      <c r="X776" s="70"/>
      <c r="Y776" s="70"/>
      <c r="Z776" s="70"/>
    </row>
    <row r="777">
      <c r="A777" s="70"/>
      <c r="B777" s="79"/>
      <c r="C777" s="79"/>
      <c r="D777" s="78"/>
      <c r="E777" s="71"/>
      <c r="F777" s="70"/>
      <c r="G777" s="70"/>
      <c r="H777" s="70"/>
      <c r="I777" s="70"/>
      <c r="J777" s="70"/>
      <c r="K777" s="70"/>
      <c r="L777" s="70"/>
      <c r="M777" s="70"/>
      <c r="N777" s="70"/>
      <c r="O777" s="70"/>
      <c r="P777" s="70"/>
      <c r="Q777" s="70"/>
      <c r="R777" s="70"/>
      <c r="S777" s="70"/>
      <c r="T777" s="70"/>
      <c r="U777" s="70"/>
      <c r="V777" s="70"/>
      <c r="W777" s="70"/>
      <c r="X777" s="70"/>
      <c r="Y777" s="70"/>
      <c r="Z777" s="70"/>
    </row>
    <row r="778">
      <c r="A778" s="70"/>
      <c r="B778" s="79"/>
      <c r="C778" s="79"/>
      <c r="D778" s="78"/>
      <c r="E778" s="71"/>
      <c r="F778" s="70"/>
      <c r="G778" s="70"/>
      <c r="H778" s="70"/>
      <c r="I778" s="70"/>
      <c r="J778" s="70"/>
      <c r="K778" s="70"/>
      <c r="L778" s="70"/>
      <c r="M778" s="70"/>
      <c r="N778" s="70"/>
      <c r="O778" s="70"/>
      <c r="P778" s="70"/>
      <c r="Q778" s="70"/>
      <c r="R778" s="70"/>
      <c r="S778" s="70"/>
      <c r="T778" s="70"/>
      <c r="U778" s="70"/>
      <c r="V778" s="70"/>
      <c r="W778" s="70"/>
      <c r="X778" s="70"/>
      <c r="Y778" s="70"/>
      <c r="Z778" s="70"/>
    </row>
    <row r="779">
      <c r="A779" s="70"/>
      <c r="B779" s="79"/>
      <c r="C779" s="79"/>
      <c r="D779" s="78"/>
      <c r="E779" s="71"/>
      <c r="F779" s="70"/>
      <c r="G779" s="70"/>
      <c r="H779" s="70"/>
      <c r="I779" s="70"/>
      <c r="J779" s="70"/>
      <c r="K779" s="70"/>
      <c r="L779" s="70"/>
      <c r="M779" s="70"/>
      <c r="N779" s="70"/>
      <c r="O779" s="70"/>
      <c r="P779" s="70"/>
      <c r="Q779" s="70"/>
      <c r="R779" s="70"/>
      <c r="S779" s="70"/>
      <c r="T779" s="70"/>
      <c r="U779" s="70"/>
      <c r="V779" s="70"/>
      <c r="W779" s="70"/>
      <c r="X779" s="70"/>
      <c r="Y779" s="70"/>
      <c r="Z779" s="70"/>
    </row>
    <row r="780">
      <c r="A780" s="70"/>
      <c r="B780" s="79"/>
      <c r="C780" s="79"/>
      <c r="D780" s="78"/>
      <c r="E780" s="71"/>
      <c r="F780" s="70"/>
      <c r="G780" s="70"/>
      <c r="H780" s="70"/>
      <c r="I780" s="70"/>
      <c r="J780" s="70"/>
      <c r="K780" s="70"/>
      <c r="L780" s="70"/>
      <c r="M780" s="70"/>
      <c r="N780" s="70"/>
      <c r="O780" s="70"/>
      <c r="P780" s="70"/>
      <c r="Q780" s="70"/>
      <c r="R780" s="70"/>
      <c r="S780" s="70"/>
      <c r="T780" s="70"/>
      <c r="U780" s="70"/>
      <c r="V780" s="70"/>
      <c r="W780" s="70"/>
      <c r="X780" s="70"/>
      <c r="Y780" s="70"/>
      <c r="Z780" s="70"/>
    </row>
    <row r="781">
      <c r="A781" s="70"/>
      <c r="B781" s="79"/>
      <c r="C781" s="79"/>
      <c r="D781" s="78"/>
      <c r="E781" s="71"/>
      <c r="F781" s="70"/>
      <c r="G781" s="70"/>
      <c r="H781" s="70"/>
      <c r="I781" s="70"/>
      <c r="J781" s="70"/>
      <c r="K781" s="70"/>
      <c r="L781" s="70"/>
      <c r="M781" s="70"/>
      <c r="N781" s="70"/>
      <c r="O781" s="70"/>
      <c r="P781" s="70"/>
      <c r="Q781" s="70"/>
      <c r="R781" s="70"/>
      <c r="S781" s="70"/>
      <c r="T781" s="70"/>
      <c r="U781" s="70"/>
      <c r="V781" s="70"/>
      <c r="W781" s="70"/>
      <c r="X781" s="70"/>
      <c r="Y781" s="70"/>
      <c r="Z781" s="70"/>
    </row>
    <row r="782">
      <c r="A782" s="70"/>
      <c r="B782" s="79"/>
      <c r="C782" s="79"/>
      <c r="D782" s="78"/>
      <c r="E782" s="71"/>
      <c r="F782" s="70"/>
      <c r="G782" s="70"/>
      <c r="H782" s="70"/>
      <c r="I782" s="70"/>
      <c r="J782" s="70"/>
      <c r="K782" s="70"/>
      <c r="L782" s="70"/>
      <c r="M782" s="70"/>
      <c r="N782" s="70"/>
      <c r="O782" s="70"/>
      <c r="P782" s="70"/>
      <c r="Q782" s="70"/>
      <c r="R782" s="70"/>
      <c r="S782" s="70"/>
      <c r="T782" s="70"/>
      <c r="U782" s="70"/>
      <c r="V782" s="70"/>
      <c r="W782" s="70"/>
      <c r="X782" s="70"/>
      <c r="Y782" s="70"/>
      <c r="Z782" s="70"/>
    </row>
    <row r="783">
      <c r="A783" s="70"/>
      <c r="B783" s="79"/>
      <c r="C783" s="79"/>
      <c r="D783" s="78"/>
      <c r="E783" s="71"/>
      <c r="F783" s="70"/>
      <c r="G783" s="70"/>
      <c r="H783" s="70"/>
      <c r="I783" s="70"/>
      <c r="J783" s="70"/>
      <c r="K783" s="70"/>
      <c r="L783" s="70"/>
      <c r="M783" s="70"/>
      <c r="N783" s="70"/>
      <c r="O783" s="70"/>
      <c r="P783" s="70"/>
      <c r="Q783" s="70"/>
      <c r="R783" s="70"/>
      <c r="S783" s="70"/>
      <c r="T783" s="70"/>
      <c r="U783" s="70"/>
      <c r="V783" s="70"/>
      <c r="W783" s="70"/>
      <c r="X783" s="70"/>
      <c r="Y783" s="70"/>
      <c r="Z783" s="70"/>
    </row>
    <row r="784">
      <c r="A784" s="70"/>
      <c r="B784" s="79"/>
      <c r="C784" s="79"/>
      <c r="D784" s="78"/>
      <c r="E784" s="71"/>
      <c r="F784" s="70"/>
      <c r="G784" s="70"/>
      <c r="H784" s="70"/>
      <c r="I784" s="70"/>
      <c r="J784" s="70"/>
      <c r="K784" s="70"/>
      <c r="L784" s="70"/>
      <c r="M784" s="70"/>
      <c r="N784" s="70"/>
      <c r="O784" s="70"/>
      <c r="P784" s="70"/>
      <c r="Q784" s="70"/>
      <c r="R784" s="70"/>
      <c r="S784" s="70"/>
      <c r="T784" s="70"/>
      <c r="U784" s="70"/>
      <c r="V784" s="70"/>
      <c r="W784" s="70"/>
      <c r="X784" s="70"/>
      <c r="Y784" s="70"/>
      <c r="Z784" s="70"/>
    </row>
    <row r="785">
      <c r="A785" s="70"/>
      <c r="B785" s="79"/>
      <c r="C785" s="79"/>
      <c r="D785" s="78"/>
      <c r="E785" s="71"/>
      <c r="F785" s="70"/>
      <c r="G785" s="70"/>
      <c r="H785" s="70"/>
      <c r="I785" s="70"/>
      <c r="J785" s="70"/>
      <c r="K785" s="70"/>
      <c r="L785" s="70"/>
      <c r="M785" s="70"/>
      <c r="N785" s="70"/>
      <c r="O785" s="70"/>
      <c r="P785" s="70"/>
      <c r="Q785" s="70"/>
      <c r="R785" s="70"/>
      <c r="S785" s="70"/>
      <c r="T785" s="70"/>
      <c r="U785" s="70"/>
      <c r="V785" s="70"/>
      <c r="W785" s="70"/>
      <c r="X785" s="70"/>
      <c r="Y785" s="70"/>
      <c r="Z785" s="70"/>
    </row>
    <row r="786">
      <c r="A786" s="70"/>
      <c r="B786" s="79"/>
      <c r="C786" s="79"/>
      <c r="D786" s="78"/>
      <c r="E786" s="71"/>
      <c r="F786" s="70"/>
      <c r="G786" s="70"/>
      <c r="H786" s="70"/>
      <c r="I786" s="70"/>
      <c r="J786" s="70"/>
      <c r="K786" s="70"/>
      <c r="L786" s="70"/>
      <c r="M786" s="70"/>
      <c r="N786" s="70"/>
      <c r="O786" s="70"/>
      <c r="P786" s="70"/>
      <c r="Q786" s="70"/>
      <c r="R786" s="70"/>
      <c r="S786" s="70"/>
      <c r="T786" s="70"/>
      <c r="U786" s="70"/>
      <c r="V786" s="70"/>
      <c r="W786" s="70"/>
      <c r="X786" s="70"/>
      <c r="Y786" s="70"/>
      <c r="Z786" s="70"/>
    </row>
    <row r="787">
      <c r="A787" s="70"/>
      <c r="B787" s="79"/>
      <c r="C787" s="79"/>
      <c r="D787" s="78"/>
      <c r="E787" s="71"/>
      <c r="F787" s="70"/>
      <c r="G787" s="70"/>
      <c r="H787" s="70"/>
      <c r="I787" s="70"/>
      <c r="J787" s="70"/>
      <c r="K787" s="70"/>
      <c r="L787" s="70"/>
      <c r="M787" s="70"/>
      <c r="N787" s="70"/>
      <c r="O787" s="70"/>
      <c r="P787" s="70"/>
      <c r="Q787" s="70"/>
      <c r="R787" s="70"/>
      <c r="S787" s="70"/>
      <c r="T787" s="70"/>
      <c r="U787" s="70"/>
      <c r="V787" s="70"/>
      <c r="W787" s="70"/>
      <c r="X787" s="70"/>
      <c r="Y787" s="70"/>
      <c r="Z787" s="70"/>
    </row>
    <row r="788">
      <c r="A788" s="70"/>
      <c r="B788" s="79"/>
      <c r="C788" s="79"/>
      <c r="D788" s="78"/>
      <c r="E788" s="71"/>
      <c r="F788" s="70"/>
      <c r="G788" s="70"/>
      <c r="H788" s="70"/>
      <c r="I788" s="70"/>
      <c r="J788" s="70"/>
      <c r="K788" s="70"/>
      <c r="L788" s="70"/>
      <c r="M788" s="70"/>
      <c r="N788" s="70"/>
      <c r="O788" s="70"/>
      <c r="P788" s="70"/>
      <c r="Q788" s="70"/>
      <c r="R788" s="70"/>
      <c r="S788" s="70"/>
      <c r="T788" s="70"/>
      <c r="U788" s="70"/>
      <c r="V788" s="70"/>
      <c r="W788" s="70"/>
      <c r="X788" s="70"/>
      <c r="Y788" s="70"/>
      <c r="Z788" s="70"/>
    </row>
    <row r="789">
      <c r="A789" s="70"/>
      <c r="B789" s="79"/>
      <c r="C789" s="79"/>
      <c r="D789" s="78"/>
      <c r="E789" s="71"/>
      <c r="F789" s="70"/>
      <c r="G789" s="70"/>
      <c r="H789" s="70"/>
      <c r="I789" s="70"/>
      <c r="J789" s="70"/>
      <c r="K789" s="70"/>
      <c r="L789" s="70"/>
      <c r="M789" s="70"/>
      <c r="N789" s="70"/>
      <c r="O789" s="70"/>
      <c r="P789" s="70"/>
      <c r="Q789" s="70"/>
      <c r="R789" s="70"/>
      <c r="S789" s="70"/>
      <c r="T789" s="70"/>
      <c r="U789" s="70"/>
      <c r="V789" s="70"/>
      <c r="W789" s="70"/>
      <c r="X789" s="70"/>
      <c r="Y789" s="70"/>
      <c r="Z789" s="70"/>
    </row>
    <row r="790">
      <c r="A790" s="70"/>
      <c r="B790" s="79"/>
      <c r="C790" s="79"/>
      <c r="D790" s="78"/>
      <c r="E790" s="71"/>
      <c r="F790" s="70"/>
      <c r="G790" s="70"/>
      <c r="H790" s="70"/>
      <c r="I790" s="70"/>
      <c r="J790" s="70"/>
      <c r="K790" s="70"/>
      <c r="L790" s="70"/>
      <c r="M790" s="70"/>
      <c r="N790" s="70"/>
      <c r="O790" s="70"/>
      <c r="P790" s="70"/>
      <c r="Q790" s="70"/>
      <c r="R790" s="70"/>
      <c r="S790" s="70"/>
      <c r="T790" s="70"/>
      <c r="U790" s="70"/>
      <c r="V790" s="70"/>
      <c r="W790" s="70"/>
      <c r="X790" s="70"/>
      <c r="Y790" s="70"/>
      <c r="Z790" s="70"/>
    </row>
    <row r="791">
      <c r="A791" s="70"/>
      <c r="B791" s="79"/>
      <c r="C791" s="79"/>
      <c r="D791" s="78"/>
      <c r="E791" s="71"/>
      <c r="F791" s="70"/>
      <c r="G791" s="70"/>
      <c r="H791" s="70"/>
      <c r="I791" s="70"/>
      <c r="J791" s="70"/>
      <c r="K791" s="70"/>
      <c r="L791" s="70"/>
      <c r="M791" s="70"/>
      <c r="N791" s="70"/>
      <c r="O791" s="70"/>
      <c r="P791" s="70"/>
      <c r="Q791" s="70"/>
      <c r="R791" s="70"/>
      <c r="S791" s="70"/>
      <c r="T791" s="70"/>
      <c r="U791" s="70"/>
      <c r="V791" s="70"/>
      <c r="W791" s="70"/>
      <c r="X791" s="70"/>
      <c r="Y791" s="70"/>
      <c r="Z791" s="70"/>
    </row>
    <row r="792">
      <c r="A792" s="70"/>
      <c r="B792" s="79"/>
      <c r="C792" s="79"/>
      <c r="D792" s="78"/>
      <c r="E792" s="71"/>
      <c r="F792" s="70"/>
      <c r="G792" s="70"/>
      <c r="H792" s="70"/>
      <c r="I792" s="70"/>
      <c r="J792" s="70"/>
      <c r="K792" s="70"/>
      <c r="L792" s="70"/>
      <c r="M792" s="70"/>
      <c r="N792" s="70"/>
      <c r="O792" s="70"/>
      <c r="P792" s="70"/>
      <c r="Q792" s="70"/>
      <c r="R792" s="70"/>
      <c r="S792" s="70"/>
      <c r="T792" s="70"/>
      <c r="U792" s="70"/>
      <c r="V792" s="70"/>
      <c r="W792" s="70"/>
      <c r="X792" s="70"/>
      <c r="Y792" s="70"/>
      <c r="Z792" s="70"/>
    </row>
    <row r="793">
      <c r="A793" s="70"/>
      <c r="B793" s="79"/>
      <c r="C793" s="79"/>
      <c r="D793" s="78"/>
      <c r="E793" s="71"/>
      <c r="F793" s="70"/>
      <c r="G793" s="70"/>
      <c r="H793" s="70"/>
      <c r="I793" s="70"/>
      <c r="J793" s="70"/>
      <c r="K793" s="70"/>
      <c r="L793" s="70"/>
      <c r="M793" s="70"/>
      <c r="N793" s="70"/>
      <c r="O793" s="70"/>
      <c r="P793" s="70"/>
      <c r="Q793" s="70"/>
      <c r="R793" s="70"/>
      <c r="S793" s="70"/>
      <c r="T793" s="70"/>
      <c r="U793" s="70"/>
      <c r="V793" s="70"/>
      <c r="W793" s="70"/>
      <c r="X793" s="70"/>
      <c r="Y793" s="70"/>
      <c r="Z793" s="70"/>
    </row>
    <row r="794">
      <c r="A794" s="70"/>
      <c r="B794" s="79"/>
      <c r="C794" s="79"/>
      <c r="D794" s="78"/>
      <c r="E794" s="71"/>
      <c r="F794" s="70"/>
      <c r="G794" s="70"/>
      <c r="H794" s="70"/>
      <c r="I794" s="70"/>
      <c r="J794" s="70"/>
      <c r="K794" s="70"/>
      <c r="L794" s="70"/>
      <c r="M794" s="70"/>
      <c r="N794" s="70"/>
      <c r="O794" s="70"/>
      <c r="P794" s="70"/>
      <c r="Q794" s="70"/>
      <c r="R794" s="70"/>
      <c r="S794" s="70"/>
      <c r="T794" s="70"/>
      <c r="U794" s="70"/>
      <c r="V794" s="70"/>
      <c r="W794" s="70"/>
      <c r="X794" s="70"/>
      <c r="Y794" s="70"/>
      <c r="Z794" s="70"/>
    </row>
    <row r="795">
      <c r="A795" s="70"/>
      <c r="B795" s="79"/>
      <c r="C795" s="79"/>
      <c r="D795" s="78"/>
      <c r="E795" s="71"/>
      <c r="F795" s="70"/>
      <c r="G795" s="70"/>
      <c r="H795" s="70"/>
      <c r="I795" s="70"/>
      <c r="J795" s="70"/>
      <c r="K795" s="70"/>
      <c r="L795" s="70"/>
      <c r="M795" s="70"/>
      <c r="N795" s="70"/>
      <c r="O795" s="70"/>
      <c r="P795" s="70"/>
      <c r="Q795" s="70"/>
      <c r="R795" s="70"/>
      <c r="S795" s="70"/>
      <c r="T795" s="70"/>
      <c r="U795" s="70"/>
      <c r="V795" s="70"/>
      <c r="W795" s="70"/>
      <c r="X795" s="70"/>
      <c r="Y795" s="70"/>
      <c r="Z795" s="70"/>
    </row>
    <row r="796">
      <c r="A796" s="70"/>
      <c r="B796" s="79"/>
      <c r="C796" s="79"/>
      <c r="D796" s="78"/>
      <c r="E796" s="71"/>
      <c r="F796" s="70"/>
      <c r="G796" s="70"/>
      <c r="H796" s="70"/>
      <c r="I796" s="70"/>
      <c r="J796" s="70"/>
      <c r="K796" s="70"/>
      <c r="L796" s="70"/>
      <c r="M796" s="70"/>
      <c r="N796" s="70"/>
      <c r="O796" s="70"/>
      <c r="P796" s="70"/>
      <c r="Q796" s="70"/>
      <c r="R796" s="70"/>
      <c r="S796" s="70"/>
      <c r="T796" s="70"/>
      <c r="U796" s="70"/>
      <c r="V796" s="70"/>
      <c r="W796" s="70"/>
      <c r="X796" s="70"/>
      <c r="Y796" s="70"/>
      <c r="Z796" s="70"/>
    </row>
    <row r="797">
      <c r="A797" s="70"/>
      <c r="B797" s="79"/>
      <c r="C797" s="79"/>
      <c r="D797" s="78"/>
      <c r="E797" s="71"/>
      <c r="F797" s="70"/>
      <c r="G797" s="70"/>
      <c r="H797" s="70"/>
      <c r="I797" s="70"/>
      <c r="J797" s="70"/>
      <c r="K797" s="70"/>
      <c r="L797" s="70"/>
      <c r="M797" s="70"/>
      <c r="N797" s="70"/>
      <c r="O797" s="70"/>
      <c r="P797" s="70"/>
      <c r="Q797" s="70"/>
      <c r="R797" s="70"/>
      <c r="S797" s="70"/>
      <c r="T797" s="70"/>
      <c r="U797" s="70"/>
      <c r="V797" s="70"/>
      <c r="W797" s="70"/>
      <c r="X797" s="70"/>
      <c r="Y797" s="70"/>
      <c r="Z797" s="70"/>
    </row>
    <row r="798">
      <c r="A798" s="70"/>
      <c r="B798" s="79"/>
      <c r="C798" s="79"/>
      <c r="D798" s="78"/>
      <c r="E798" s="71"/>
      <c r="F798" s="70"/>
      <c r="G798" s="70"/>
      <c r="H798" s="70"/>
      <c r="I798" s="70"/>
      <c r="J798" s="70"/>
      <c r="K798" s="70"/>
      <c r="L798" s="70"/>
      <c r="M798" s="70"/>
      <c r="N798" s="70"/>
      <c r="O798" s="70"/>
      <c r="P798" s="70"/>
      <c r="Q798" s="70"/>
      <c r="R798" s="70"/>
      <c r="S798" s="70"/>
      <c r="T798" s="70"/>
      <c r="U798" s="70"/>
      <c r="V798" s="70"/>
      <c r="W798" s="70"/>
      <c r="X798" s="70"/>
      <c r="Y798" s="70"/>
      <c r="Z798" s="70"/>
    </row>
    <row r="799">
      <c r="A799" s="70"/>
      <c r="B799" s="79"/>
      <c r="C799" s="79"/>
      <c r="D799" s="78"/>
      <c r="E799" s="71"/>
      <c r="F799" s="70"/>
      <c r="G799" s="70"/>
      <c r="H799" s="70"/>
      <c r="I799" s="70"/>
      <c r="J799" s="70"/>
      <c r="K799" s="70"/>
      <c r="L799" s="70"/>
      <c r="M799" s="70"/>
      <c r="N799" s="70"/>
      <c r="O799" s="70"/>
      <c r="P799" s="70"/>
      <c r="Q799" s="70"/>
      <c r="R799" s="70"/>
      <c r="S799" s="70"/>
      <c r="T799" s="70"/>
      <c r="U799" s="70"/>
      <c r="V799" s="70"/>
      <c r="W799" s="70"/>
      <c r="X799" s="70"/>
      <c r="Y799" s="70"/>
      <c r="Z799" s="70"/>
    </row>
    <row r="800">
      <c r="A800" s="70"/>
      <c r="B800" s="79"/>
      <c r="C800" s="79"/>
      <c r="D800" s="78"/>
      <c r="E800" s="71"/>
      <c r="F800" s="70"/>
      <c r="G800" s="70"/>
      <c r="H800" s="70"/>
      <c r="I800" s="70"/>
      <c r="J800" s="70"/>
      <c r="K800" s="70"/>
      <c r="L800" s="70"/>
      <c r="M800" s="70"/>
      <c r="N800" s="70"/>
      <c r="O800" s="70"/>
      <c r="P800" s="70"/>
      <c r="Q800" s="70"/>
      <c r="R800" s="70"/>
      <c r="S800" s="70"/>
      <c r="T800" s="70"/>
      <c r="U800" s="70"/>
      <c r="V800" s="70"/>
      <c r="W800" s="70"/>
      <c r="X800" s="70"/>
      <c r="Y800" s="70"/>
      <c r="Z800" s="70"/>
    </row>
    <row r="801">
      <c r="A801" s="70"/>
      <c r="B801" s="79"/>
      <c r="C801" s="79"/>
      <c r="D801" s="78"/>
      <c r="E801" s="71"/>
      <c r="F801" s="70"/>
      <c r="G801" s="70"/>
      <c r="H801" s="70"/>
      <c r="I801" s="70"/>
      <c r="J801" s="70"/>
      <c r="K801" s="70"/>
      <c r="L801" s="70"/>
      <c r="M801" s="70"/>
      <c r="N801" s="70"/>
      <c r="O801" s="70"/>
      <c r="P801" s="70"/>
      <c r="Q801" s="70"/>
      <c r="R801" s="70"/>
      <c r="S801" s="70"/>
      <c r="T801" s="70"/>
      <c r="U801" s="70"/>
      <c r="V801" s="70"/>
      <c r="W801" s="70"/>
      <c r="X801" s="70"/>
      <c r="Y801" s="70"/>
      <c r="Z801" s="70"/>
    </row>
    <row r="802">
      <c r="A802" s="70"/>
      <c r="B802" s="79"/>
      <c r="C802" s="79"/>
      <c r="D802" s="78"/>
      <c r="E802" s="71"/>
      <c r="F802" s="70"/>
      <c r="G802" s="70"/>
      <c r="H802" s="70"/>
      <c r="I802" s="70"/>
      <c r="J802" s="70"/>
      <c r="K802" s="70"/>
      <c r="L802" s="70"/>
      <c r="M802" s="70"/>
      <c r="N802" s="70"/>
      <c r="O802" s="70"/>
      <c r="P802" s="70"/>
      <c r="Q802" s="70"/>
      <c r="R802" s="70"/>
      <c r="S802" s="70"/>
      <c r="T802" s="70"/>
      <c r="U802" s="70"/>
      <c r="V802" s="70"/>
      <c r="W802" s="70"/>
      <c r="X802" s="70"/>
      <c r="Y802" s="70"/>
      <c r="Z802" s="70"/>
    </row>
    <row r="803">
      <c r="A803" s="70"/>
      <c r="B803" s="79"/>
      <c r="C803" s="79"/>
      <c r="D803" s="78"/>
      <c r="E803" s="71"/>
      <c r="F803" s="70"/>
      <c r="G803" s="70"/>
      <c r="H803" s="70"/>
      <c r="I803" s="70"/>
      <c r="J803" s="70"/>
      <c r="K803" s="70"/>
      <c r="L803" s="70"/>
      <c r="M803" s="70"/>
      <c r="N803" s="70"/>
      <c r="O803" s="70"/>
      <c r="P803" s="70"/>
      <c r="Q803" s="70"/>
      <c r="R803" s="70"/>
      <c r="S803" s="70"/>
      <c r="T803" s="70"/>
      <c r="U803" s="70"/>
      <c r="V803" s="70"/>
      <c r="W803" s="70"/>
      <c r="X803" s="70"/>
      <c r="Y803" s="70"/>
      <c r="Z803" s="70"/>
    </row>
    <row r="804">
      <c r="A804" s="70"/>
      <c r="B804" s="79"/>
      <c r="C804" s="79"/>
      <c r="D804" s="78"/>
      <c r="E804" s="71"/>
      <c r="F804" s="70"/>
      <c r="G804" s="70"/>
      <c r="H804" s="70"/>
      <c r="I804" s="70"/>
      <c r="J804" s="70"/>
      <c r="K804" s="70"/>
      <c r="L804" s="70"/>
      <c r="M804" s="70"/>
      <c r="N804" s="70"/>
      <c r="O804" s="70"/>
      <c r="P804" s="70"/>
      <c r="Q804" s="70"/>
      <c r="R804" s="70"/>
      <c r="S804" s="70"/>
      <c r="T804" s="70"/>
      <c r="U804" s="70"/>
      <c r="V804" s="70"/>
      <c r="W804" s="70"/>
      <c r="X804" s="70"/>
      <c r="Y804" s="70"/>
      <c r="Z804" s="70"/>
    </row>
    <row r="805">
      <c r="A805" s="70"/>
      <c r="B805" s="79"/>
      <c r="C805" s="79"/>
      <c r="D805" s="78"/>
      <c r="E805" s="71"/>
      <c r="F805" s="70"/>
      <c r="G805" s="70"/>
      <c r="H805" s="70"/>
      <c r="I805" s="70"/>
      <c r="J805" s="70"/>
      <c r="K805" s="70"/>
      <c r="L805" s="70"/>
      <c r="M805" s="70"/>
      <c r="N805" s="70"/>
      <c r="O805" s="70"/>
      <c r="P805" s="70"/>
      <c r="Q805" s="70"/>
      <c r="R805" s="70"/>
      <c r="S805" s="70"/>
      <c r="T805" s="70"/>
      <c r="U805" s="70"/>
      <c r="V805" s="70"/>
      <c r="W805" s="70"/>
      <c r="X805" s="70"/>
      <c r="Y805" s="70"/>
      <c r="Z805" s="70"/>
    </row>
    <row r="806">
      <c r="A806" s="70"/>
      <c r="B806" s="79"/>
      <c r="C806" s="79"/>
      <c r="D806" s="78"/>
      <c r="E806" s="71"/>
      <c r="F806" s="70"/>
      <c r="G806" s="70"/>
      <c r="H806" s="70"/>
      <c r="I806" s="70"/>
      <c r="J806" s="70"/>
      <c r="K806" s="70"/>
      <c r="L806" s="70"/>
      <c r="M806" s="70"/>
      <c r="N806" s="70"/>
      <c r="O806" s="70"/>
      <c r="P806" s="70"/>
      <c r="Q806" s="70"/>
      <c r="R806" s="70"/>
      <c r="S806" s="70"/>
      <c r="T806" s="70"/>
      <c r="U806" s="70"/>
      <c r="V806" s="70"/>
      <c r="W806" s="70"/>
      <c r="X806" s="70"/>
      <c r="Y806" s="70"/>
      <c r="Z806" s="70"/>
    </row>
    <row r="807">
      <c r="A807" s="70"/>
      <c r="B807" s="79"/>
      <c r="C807" s="79"/>
      <c r="D807" s="78"/>
      <c r="E807" s="71"/>
      <c r="F807" s="70"/>
      <c r="G807" s="70"/>
      <c r="H807" s="70"/>
      <c r="I807" s="70"/>
      <c r="J807" s="70"/>
      <c r="K807" s="70"/>
      <c r="L807" s="70"/>
      <c r="M807" s="70"/>
      <c r="N807" s="70"/>
      <c r="O807" s="70"/>
      <c r="P807" s="70"/>
      <c r="Q807" s="70"/>
      <c r="R807" s="70"/>
      <c r="S807" s="70"/>
      <c r="T807" s="70"/>
      <c r="U807" s="70"/>
      <c r="V807" s="70"/>
      <c r="W807" s="70"/>
      <c r="X807" s="70"/>
      <c r="Y807" s="70"/>
      <c r="Z807" s="70"/>
    </row>
    <row r="808">
      <c r="A808" s="70"/>
      <c r="B808" s="79"/>
      <c r="C808" s="79"/>
      <c r="D808" s="78"/>
      <c r="E808" s="71"/>
      <c r="F808" s="70"/>
      <c r="G808" s="70"/>
      <c r="H808" s="70"/>
      <c r="I808" s="70"/>
      <c r="J808" s="70"/>
      <c r="K808" s="70"/>
      <c r="L808" s="70"/>
      <c r="M808" s="70"/>
      <c r="N808" s="70"/>
      <c r="O808" s="70"/>
      <c r="P808" s="70"/>
      <c r="Q808" s="70"/>
      <c r="R808" s="70"/>
      <c r="S808" s="70"/>
      <c r="T808" s="70"/>
      <c r="U808" s="70"/>
      <c r="V808" s="70"/>
      <c r="W808" s="70"/>
      <c r="X808" s="70"/>
      <c r="Y808" s="70"/>
      <c r="Z808" s="70"/>
    </row>
    <row r="809">
      <c r="A809" s="70"/>
      <c r="B809" s="79"/>
      <c r="C809" s="79"/>
      <c r="D809" s="78"/>
      <c r="E809" s="71"/>
      <c r="F809" s="70"/>
      <c r="G809" s="70"/>
      <c r="H809" s="70"/>
      <c r="I809" s="70"/>
      <c r="J809" s="70"/>
      <c r="K809" s="70"/>
      <c r="L809" s="70"/>
      <c r="M809" s="70"/>
      <c r="N809" s="70"/>
      <c r="O809" s="70"/>
      <c r="P809" s="70"/>
      <c r="Q809" s="70"/>
      <c r="R809" s="70"/>
      <c r="S809" s="70"/>
      <c r="T809" s="70"/>
      <c r="U809" s="70"/>
      <c r="V809" s="70"/>
      <c r="W809" s="70"/>
      <c r="X809" s="70"/>
      <c r="Y809" s="70"/>
      <c r="Z809" s="70"/>
    </row>
    <row r="810">
      <c r="A810" s="70"/>
      <c r="B810" s="79"/>
      <c r="C810" s="79"/>
      <c r="D810" s="78"/>
      <c r="E810" s="71"/>
      <c r="F810" s="70"/>
      <c r="G810" s="70"/>
      <c r="H810" s="70"/>
      <c r="I810" s="70"/>
      <c r="J810" s="70"/>
      <c r="K810" s="70"/>
      <c r="L810" s="70"/>
      <c r="M810" s="70"/>
      <c r="N810" s="70"/>
      <c r="O810" s="70"/>
      <c r="P810" s="70"/>
      <c r="Q810" s="70"/>
      <c r="R810" s="70"/>
      <c r="S810" s="70"/>
      <c r="T810" s="70"/>
      <c r="U810" s="70"/>
      <c r="V810" s="70"/>
      <c r="W810" s="70"/>
      <c r="X810" s="70"/>
      <c r="Y810" s="70"/>
      <c r="Z810" s="70"/>
    </row>
    <row r="811">
      <c r="A811" s="70"/>
      <c r="B811" s="79"/>
      <c r="C811" s="79"/>
      <c r="D811" s="78"/>
      <c r="E811" s="71"/>
      <c r="F811" s="70"/>
      <c r="G811" s="70"/>
      <c r="H811" s="70"/>
      <c r="I811" s="70"/>
      <c r="J811" s="70"/>
      <c r="K811" s="70"/>
      <c r="L811" s="70"/>
      <c r="M811" s="70"/>
      <c r="N811" s="70"/>
      <c r="O811" s="70"/>
      <c r="P811" s="70"/>
      <c r="Q811" s="70"/>
      <c r="R811" s="70"/>
      <c r="S811" s="70"/>
      <c r="T811" s="70"/>
      <c r="U811" s="70"/>
      <c r="V811" s="70"/>
      <c r="W811" s="70"/>
      <c r="X811" s="70"/>
      <c r="Y811" s="70"/>
      <c r="Z811" s="70"/>
    </row>
    <row r="812">
      <c r="A812" s="70"/>
      <c r="B812" s="79"/>
      <c r="C812" s="79"/>
      <c r="D812" s="78"/>
      <c r="E812" s="71"/>
      <c r="F812" s="70"/>
      <c r="G812" s="70"/>
      <c r="H812" s="70"/>
      <c r="I812" s="70"/>
      <c r="J812" s="70"/>
      <c r="K812" s="70"/>
      <c r="L812" s="70"/>
      <c r="M812" s="70"/>
      <c r="N812" s="70"/>
      <c r="O812" s="70"/>
      <c r="P812" s="70"/>
      <c r="Q812" s="70"/>
      <c r="R812" s="70"/>
      <c r="S812" s="70"/>
      <c r="T812" s="70"/>
      <c r="U812" s="70"/>
      <c r="V812" s="70"/>
      <c r="W812" s="70"/>
      <c r="X812" s="70"/>
      <c r="Y812" s="70"/>
      <c r="Z812" s="70"/>
    </row>
    <row r="813">
      <c r="A813" s="70"/>
      <c r="B813" s="79"/>
      <c r="C813" s="79"/>
      <c r="D813" s="78"/>
      <c r="E813" s="71"/>
      <c r="F813" s="70"/>
      <c r="G813" s="70"/>
      <c r="H813" s="70"/>
      <c r="I813" s="70"/>
      <c r="J813" s="70"/>
      <c r="K813" s="70"/>
      <c r="L813" s="70"/>
      <c r="M813" s="70"/>
      <c r="N813" s="70"/>
      <c r="O813" s="70"/>
      <c r="P813" s="70"/>
      <c r="Q813" s="70"/>
      <c r="R813" s="70"/>
      <c r="S813" s="70"/>
      <c r="T813" s="70"/>
      <c r="U813" s="70"/>
      <c r="V813" s="70"/>
      <c r="W813" s="70"/>
      <c r="X813" s="70"/>
      <c r="Y813" s="70"/>
      <c r="Z813" s="70"/>
    </row>
    <row r="814">
      <c r="A814" s="70"/>
      <c r="B814" s="79"/>
      <c r="C814" s="79"/>
      <c r="D814" s="78"/>
      <c r="E814" s="71"/>
      <c r="F814" s="70"/>
      <c r="G814" s="70"/>
      <c r="H814" s="70"/>
      <c r="I814" s="70"/>
      <c r="J814" s="70"/>
      <c r="K814" s="70"/>
      <c r="L814" s="70"/>
      <c r="M814" s="70"/>
      <c r="N814" s="70"/>
      <c r="O814" s="70"/>
      <c r="P814" s="70"/>
      <c r="Q814" s="70"/>
      <c r="R814" s="70"/>
      <c r="S814" s="70"/>
      <c r="T814" s="70"/>
      <c r="U814" s="70"/>
      <c r="V814" s="70"/>
      <c r="W814" s="70"/>
      <c r="X814" s="70"/>
      <c r="Y814" s="70"/>
      <c r="Z814" s="70"/>
    </row>
    <row r="815">
      <c r="A815" s="70"/>
      <c r="B815" s="79"/>
      <c r="C815" s="79"/>
      <c r="D815" s="78"/>
      <c r="E815" s="71"/>
      <c r="F815" s="70"/>
      <c r="G815" s="70"/>
      <c r="H815" s="70"/>
      <c r="I815" s="70"/>
      <c r="J815" s="70"/>
      <c r="K815" s="70"/>
      <c r="L815" s="70"/>
      <c r="M815" s="70"/>
      <c r="N815" s="70"/>
      <c r="O815" s="70"/>
      <c r="P815" s="70"/>
      <c r="Q815" s="70"/>
      <c r="R815" s="70"/>
      <c r="S815" s="70"/>
      <c r="T815" s="70"/>
      <c r="U815" s="70"/>
      <c r="V815" s="70"/>
      <c r="W815" s="70"/>
      <c r="X815" s="70"/>
      <c r="Y815" s="70"/>
      <c r="Z815" s="70"/>
    </row>
    <row r="816">
      <c r="A816" s="70"/>
      <c r="B816" s="79"/>
      <c r="C816" s="79"/>
      <c r="D816" s="78"/>
      <c r="E816" s="71"/>
      <c r="F816" s="70"/>
      <c r="G816" s="70"/>
      <c r="H816" s="70"/>
      <c r="I816" s="70"/>
      <c r="J816" s="70"/>
      <c r="K816" s="70"/>
      <c r="L816" s="70"/>
      <c r="M816" s="70"/>
      <c r="N816" s="70"/>
      <c r="O816" s="70"/>
      <c r="P816" s="70"/>
      <c r="Q816" s="70"/>
      <c r="R816" s="70"/>
      <c r="S816" s="70"/>
      <c r="T816" s="70"/>
      <c r="U816" s="70"/>
      <c r="V816" s="70"/>
      <c r="W816" s="70"/>
      <c r="X816" s="70"/>
      <c r="Y816" s="70"/>
      <c r="Z816" s="70"/>
    </row>
    <row r="817">
      <c r="A817" s="70"/>
      <c r="B817" s="79"/>
      <c r="C817" s="79"/>
      <c r="D817" s="78"/>
      <c r="E817" s="71"/>
      <c r="F817" s="70"/>
      <c r="G817" s="70"/>
      <c r="H817" s="70"/>
      <c r="I817" s="70"/>
      <c r="J817" s="70"/>
      <c r="K817" s="70"/>
      <c r="L817" s="70"/>
      <c r="M817" s="70"/>
      <c r="N817" s="70"/>
      <c r="O817" s="70"/>
      <c r="P817" s="70"/>
      <c r="Q817" s="70"/>
      <c r="R817" s="70"/>
      <c r="S817" s="70"/>
      <c r="T817" s="70"/>
      <c r="U817" s="70"/>
      <c r="V817" s="70"/>
      <c r="W817" s="70"/>
      <c r="X817" s="70"/>
      <c r="Y817" s="70"/>
      <c r="Z817" s="70"/>
    </row>
    <row r="818">
      <c r="A818" s="70"/>
      <c r="B818" s="79"/>
      <c r="C818" s="79"/>
      <c r="D818" s="78"/>
      <c r="E818" s="71"/>
      <c r="F818" s="70"/>
      <c r="G818" s="70"/>
      <c r="H818" s="70"/>
      <c r="I818" s="70"/>
      <c r="J818" s="70"/>
      <c r="K818" s="70"/>
      <c r="L818" s="70"/>
      <c r="M818" s="70"/>
      <c r="N818" s="70"/>
      <c r="O818" s="70"/>
      <c r="P818" s="70"/>
      <c r="Q818" s="70"/>
      <c r="R818" s="70"/>
      <c r="S818" s="70"/>
      <c r="T818" s="70"/>
      <c r="U818" s="70"/>
      <c r="V818" s="70"/>
      <c r="W818" s="70"/>
      <c r="X818" s="70"/>
      <c r="Y818" s="70"/>
      <c r="Z818" s="70"/>
    </row>
    <row r="819">
      <c r="A819" s="70"/>
      <c r="B819" s="79"/>
      <c r="C819" s="79"/>
      <c r="D819" s="78"/>
      <c r="E819" s="71"/>
      <c r="F819" s="70"/>
      <c r="G819" s="70"/>
      <c r="H819" s="70"/>
      <c r="I819" s="70"/>
      <c r="J819" s="70"/>
      <c r="K819" s="70"/>
      <c r="L819" s="70"/>
      <c r="M819" s="70"/>
      <c r="N819" s="70"/>
      <c r="O819" s="70"/>
      <c r="P819" s="70"/>
      <c r="Q819" s="70"/>
      <c r="R819" s="70"/>
      <c r="S819" s="70"/>
      <c r="T819" s="70"/>
      <c r="U819" s="70"/>
      <c r="V819" s="70"/>
      <c r="W819" s="70"/>
      <c r="X819" s="70"/>
      <c r="Y819" s="70"/>
      <c r="Z819" s="70"/>
    </row>
    <row r="820">
      <c r="A820" s="70"/>
      <c r="B820" s="79"/>
      <c r="C820" s="79"/>
      <c r="D820" s="78"/>
      <c r="E820" s="71"/>
      <c r="F820" s="70"/>
      <c r="G820" s="70"/>
      <c r="H820" s="70"/>
      <c r="I820" s="70"/>
      <c r="J820" s="70"/>
      <c r="K820" s="70"/>
      <c r="L820" s="70"/>
      <c r="M820" s="70"/>
      <c r="N820" s="70"/>
      <c r="O820" s="70"/>
      <c r="P820" s="70"/>
      <c r="Q820" s="70"/>
      <c r="R820" s="70"/>
      <c r="S820" s="70"/>
      <c r="T820" s="70"/>
      <c r="U820" s="70"/>
      <c r="V820" s="70"/>
      <c r="W820" s="70"/>
      <c r="X820" s="70"/>
      <c r="Y820" s="70"/>
      <c r="Z820" s="70"/>
    </row>
    <row r="821">
      <c r="A821" s="70"/>
      <c r="B821" s="79"/>
      <c r="C821" s="79"/>
      <c r="D821" s="78"/>
      <c r="E821" s="71"/>
      <c r="F821" s="70"/>
      <c r="G821" s="70"/>
      <c r="H821" s="70"/>
      <c r="I821" s="70"/>
      <c r="J821" s="70"/>
      <c r="K821" s="70"/>
      <c r="L821" s="70"/>
      <c r="M821" s="70"/>
      <c r="N821" s="70"/>
      <c r="O821" s="70"/>
      <c r="P821" s="70"/>
      <c r="Q821" s="70"/>
      <c r="R821" s="70"/>
      <c r="S821" s="70"/>
      <c r="T821" s="70"/>
      <c r="U821" s="70"/>
      <c r="V821" s="70"/>
      <c r="W821" s="70"/>
      <c r="X821" s="70"/>
      <c r="Y821" s="70"/>
      <c r="Z821" s="70"/>
    </row>
    <row r="822">
      <c r="A822" s="70"/>
      <c r="B822" s="79"/>
      <c r="C822" s="79"/>
      <c r="D822" s="78"/>
      <c r="E822" s="71"/>
      <c r="F822" s="70"/>
      <c r="G822" s="70"/>
      <c r="H822" s="70"/>
      <c r="I822" s="70"/>
      <c r="J822" s="70"/>
      <c r="K822" s="70"/>
      <c r="L822" s="70"/>
      <c r="M822" s="70"/>
      <c r="N822" s="70"/>
      <c r="O822" s="70"/>
      <c r="P822" s="70"/>
      <c r="Q822" s="70"/>
      <c r="R822" s="70"/>
      <c r="S822" s="70"/>
      <c r="T822" s="70"/>
      <c r="U822" s="70"/>
      <c r="V822" s="70"/>
      <c r="W822" s="70"/>
      <c r="X822" s="70"/>
      <c r="Y822" s="70"/>
      <c r="Z822" s="70"/>
    </row>
    <row r="823">
      <c r="A823" s="70"/>
      <c r="B823" s="79"/>
      <c r="C823" s="79"/>
      <c r="D823" s="78"/>
      <c r="E823" s="71"/>
      <c r="F823" s="70"/>
      <c r="G823" s="70"/>
      <c r="H823" s="70"/>
      <c r="I823" s="70"/>
      <c r="J823" s="70"/>
      <c r="K823" s="70"/>
      <c r="L823" s="70"/>
      <c r="M823" s="70"/>
      <c r="N823" s="70"/>
      <c r="O823" s="70"/>
      <c r="P823" s="70"/>
      <c r="Q823" s="70"/>
      <c r="R823" s="70"/>
      <c r="S823" s="70"/>
      <c r="T823" s="70"/>
      <c r="U823" s="70"/>
      <c r="V823" s="70"/>
      <c r="W823" s="70"/>
      <c r="X823" s="70"/>
      <c r="Y823" s="70"/>
      <c r="Z823" s="70"/>
    </row>
    <row r="824">
      <c r="A824" s="70"/>
      <c r="B824" s="79"/>
      <c r="C824" s="79"/>
      <c r="D824" s="78"/>
      <c r="E824" s="71"/>
      <c r="F824" s="70"/>
      <c r="G824" s="70"/>
      <c r="H824" s="70"/>
      <c r="I824" s="70"/>
      <c r="J824" s="70"/>
      <c r="K824" s="70"/>
      <c r="L824" s="70"/>
      <c r="M824" s="70"/>
      <c r="N824" s="70"/>
      <c r="O824" s="70"/>
      <c r="P824" s="70"/>
      <c r="Q824" s="70"/>
      <c r="R824" s="70"/>
      <c r="S824" s="70"/>
      <c r="T824" s="70"/>
      <c r="U824" s="70"/>
      <c r="V824" s="70"/>
      <c r="W824" s="70"/>
      <c r="X824" s="70"/>
      <c r="Y824" s="70"/>
      <c r="Z824" s="70"/>
    </row>
    <row r="825">
      <c r="A825" s="70"/>
      <c r="B825" s="79"/>
      <c r="C825" s="79"/>
      <c r="D825" s="78"/>
      <c r="E825" s="71"/>
      <c r="F825" s="70"/>
      <c r="G825" s="70"/>
      <c r="H825" s="70"/>
      <c r="I825" s="70"/>
      <c r="J825" s="70"/>
      <c r="K825" s="70"/>
      <c r="L825" s="70"/>
      <c r="M825" s="70"/>
      <c r="N825" s="70"/>
      <c r="O825" s="70"/>
      <c r="P825" s="70"/>
      <c r="Q825" s="70"/>
      <c r="R825" s="70"/>
      <c r="S825" s="70"/>
      <c r="T825" s="70"/>
      <c r="U825" s="70"/>
      <c r="V825" s="70"/>
      <c r="W825" s="70"/>
      <c r="X825" s="70"/>
      <c r="Y825" s="70"/>
      <c r="Z825" s="70"/>
    </row>
    <row r="826">
      <c r="A826" s="70"/>
      <c r="B826" s="79"/>
      <c r="C826" s="79"/>
      <c r="D826" s="78"/>
      <c r="E826" s="71"/>
      <c r="F826" s="70"/>
      <c r="G826" s="70"/>
      <c r="H826" s="70"/>
      <c r="I826" s="70"/>
      <c r="J826" s="70"/>
      <c r="K826" s="70"/>
      <c r="L826" s="70"/>
      <c r="M826" s="70"/>
      <c r="N826" s="70"/>
      <c r="O826" s="70"/>
      <c r="P826" s="70"/>
      <c r="Q826" s="70"/>
      <c r="R826" s="70"/>
      <c r="S826" s="70"/>
      <c r="T826" s="70"/>
      <c r="U826" s="70"/>
      <c r="V826" s="70"/>
      <c r="W826" s="70"/>
      <c r="X826" s="70"/>
      <c r="Y826" s="70"/>
      <c r="Z826" s="70"/>
    </row>
    <row r="827">
      <c r="A827" s="70"/>
      <c r="B827" s="79"/>
      <c r="C827" s="79"/>
      <c r="D827" s="78"/>
      <c r="E827" s="71"/>
      <c r="F827" s="70"/>
      <c r="G827" s="70"/>
      <c r="H827" s="70"/>
      <c r="I827" s="70"/>
      <c r="J827" s="70"/>
      <c r="K827" s="70"/>
      <c r="L827" s="70"/>
      <c r="M827" s="70"/>
      <c r="N827" s="70"/>
      <c r="O827" s="70"/>
      <c r="P827" s="70"/>
      <c r="Q827" s="70"/>
      <c r="R827" s="70"/>
      <c r="S827" s="70"/>
      <c r="T827" s="70"/>
      <c r="U827" s="70"/>
      <c r="V827" s="70"/>
      <c r="W827" s="70"/>
      <c r="X827" s="70"/>
      <c r="Y827" s="70"/>
      <c r="Z827" s="70"/>
    </row>
    <row r="828">
      <c r="A828" s="70"/>
      <c r="B828" s="79"/>
      <c r="C828" s="79"/>
      <c r="D828" s="78"/>
      <c r="E828" s="71"/>
      <c r="F828" s="70"/>
      <c r="G828" s="70"/>
      <c r="H828" s="70"/>
      <c r="I828" s="70"/>
      <c r="J828" s="70"/>
      <c r="K828" s="70"/>
      <c r="L828" s="70"/>
      <c r="M828" s="70"/>
      <c r="N828" s="70"/>
      <c r="O828" s="70"/>
      <c r="P828" s="70"/>
      <c r="Q828" s="70"/>
      <c r="R828" s="70"/>
      <c r="S828" s="70"/>
      <c r="T828" s="70"/>
      <c r="U828" s="70"/>
      <c r="V828" s="70"/>
      <c r="W828" s="70"/>
      <c r="X828" s="70"/>
      <c r="Y828" s="70"/>
      <c r="Z828" s="70"/>
    </row>
    <row r="829">
      <c r="A829" s="70"/>
      <c r="B829" s="79"/>
      <c r="C829" s="79"/>
      <c r="D829" s="78"/>
      <c r="E829" s="71"/>
      <c r="F829" s="70"/>
      <c r="G829" s="70"/>
      <c r="H829" s="70"/>
      <c r="I829" s="70"/>
      <c r="J829" s="70"/>
      <c r="K829" s="70"/>
      <c r="L829" s="70"/>
      <c r="M829" s="70"/>
      <c r="N829" s="70"/>
      <c r="O829" s="70"/>
      <c r="P829" s="70"/>
      <c r="Q829" s="70"/>
      <c r="R829" s="70"/>
      <c r="S829" s="70"/>
      <c r="T829" s="70"/>
      <c r="U829" s="70"/>
      <c r="V829" s="70"/>
      <c r="W829" s="70"/>
      <c r="X829" s="70"/>
      <c r="Y829" s="70"/>
      <c r="Z829" s="70"/>
    </row>
    <row r="830">
      <c r="A830" s="70"/>
      <c r="B830" s="79"/>
      <c r="C830" s="79"/>
      <c r="D830" s="78"/>
      <c r="E830" s="71"/>
      <c r="F830" s="70"/>
      <c r="G830" s="70"/>
      <c r="H830" s="70"/>
      <c r="I830" s="70"/>
      <c r="J830" s="70"/>
      <c r="K830" s="70"/>
      <c r="L830" s="70"/>
      <c r="M830" s="70"/>
      <c r="N830" s="70"/>
      <c r="O830" s="70"/>
      <c r="P830" s="70"/>
      <c r="Q830" s="70"/>
      <c r="R830" s="70"/>
      <c r="S830" s="70"/>
      <c r="T830" s="70"/>
      <c r="U830" s="70"/>
      <c r="V830" s="70"/>
      <c r="W830" s="70"/>
      <c r="X830" s="70"/>
      <c r="Y830" s="70"/>
      <c r="Z830" s="70"/>
    </row>
    <row r="831">
      <c r="A831" s="70"/>
      <c r="B831" s="79"/>
      <c r="C831" s="79"/>
      <c r="D831" s="78"/>
      <c r="E831" s="71"/>
      <c r="F831" s="70"/>
      <c r="G831" s="70"/>
      <c r="H831" s="70"/>
      <c r="I831" s="70"/>
      <c r="J831" s="70"/>
      <c r="K831" s="70"/>
      <c r="L831" s="70"/>
      <c r="M831" s="70"/>
      <c r="N831" s="70"/>
      <c r="O831" s="70"/>
      <c r="P831" s="70"/>
      <c r="Q831" s="70"/>
      <c r="R831" s="70"/>
      <c r="S831" s="70"/>
      <c r="T831" s="70"/>
      <c r="U831" s="70"/>
      <c r="V831" s="70"/>
      <c r="W831" s="70"/>
      <c r="X831" s="70"/>
      <c r="Y831" s="70"/>
      <c r="Z831" s="70"/>
    </row>
    <row r="832">
      <c r="A832" s="70"/>
      <c r="B832" s="79"/>
      <c r="C832" s="79"/>
      <c r="D832" s="78"/>
      <c r="E832" s="71"/>
      <c r="F832" s="70"/>
      <c r="G832" s="70"/>
      <c r="H832" s="70"/>
      <c r="I832" s="70"/>
      <c r="J832" s="70"/>
      <c r="K832" s="70"/>
      <c r="L832" s="70"/>
      <c r="M832" s="70"/>
      <c r="N832" s="70"/>
      <c r="O832" s="70"/>
      <c r="P832" s="70"/>
      <c r="Q832" s="70"/>
      <c r="R832" s="70"/>
      <c r="S832" s="70"/>
      <c r="T832" s="70"/>
      <c r="U832" s="70"/>
      <c r="V832" s="70"/>
      <c r="W832" s="70"/>
      <c r="X832" s="70"/>
      <c r="Y832" s="70"/>
      <c r="Z832" s="70"/>
    </row>
    <row r="833">
      <c r="A833" s="70"/>
      <c r="B833" s="79"/>
      <c r="C833" s="79"/>
      <c r="D833" s="78"/>
      <c r="E833" s="71"/>
      <c r="F833" s="70"/>
      <c r="G833" s="70"/>
      <c r="H833" s="70"/>
      <c r="I833" s="70"/>
      <c r="J833" s="70"/>
      <c r="K833" s="70"/>
      <c r="L833" s="70"/>
      <c r="M833" s="70"/>
      <c r="N833" s="70"/>
      <c r="O833" s="70"/>
      <c r="P833" s="70"/>
      <c r="Q833" s="70"/>
      <c r="R833" s="70"/>
      <c r="S833" s="70"/>
      <c r="T833" s="70"/>
      <c r="U833" s="70"/>
      <c r="V833" s="70"/>
      <c r="W833" s="70"/>
      <c r="X833" s="70"/>
      <c r="Y833" s="70"/>
      <c r="Z833" s="70"/>
    </row>
    <row r="834">
      <c r="A834" s="70"/>
      <c r="B834" s="79"/>
      <c r="C834" s="79"/>
      <c r="D834" s="78"/>
      <c r="E834" s="71"/>
      <c r="F834" s="70"/>
      <c r="G834" s="70"/>
      <c r="H834" s="70"/>
      <c r="I834" s="70"/>
      <c r="J834" s="70"/>
      <c r="K834" s="70"/>
      <c r="L834" s="70"/>
      <c r="M834" s="70"/>
      <c r="N834" s="70"/>
      <c r="O834" s="70"/>
      <c r="P834" s="70"/>
      <c r="Q834" s="70"/>
      <c r="R834" s="70"/>
      <c r="S834" s="70"/>
      <c r="T834" s="70"/>
      <c r="U834" s="70"/>
      <c r="V834" s="70"/>
      <c r="W834" s="70"/>
      <c r="X834" s="70"/>
      <c r="Y834" s="70"/>
      <c r="Z834" s="70"/>
    </row>
    <row r="835">
      <c r="A835" s="70"/>
      <c r="B835" s="79"/>
      <c r="C835" s="79"/>
      <c r="D835" s="78"/>
      <c r="E835" s="71"/>
      <c r="F835" s="70"/>
      <c r="G835" s="70"/>
      <c r="H835" s="70"/>
      <c r="I835" s="70"/>
      <c r="J835" s="70"/>
      <c r="K835" s="70"/>
      <c r="L835" s="70"/>
      <c r="M835" s="70"/>
      <c r="N835" s="70"/>
      <c r="O835" s="70"/>
      <c r="P835" s="70"/>
      <c r="Q835" s="70"/>
      <c r="R835" s="70"/>
      <c r="S835" s="70"/>
      <c r="T835" s="70"/>
      <c r="U835" s="70"/>
      <c r="V835" s="70"/>
      <c r="W835" s="70"/>
      <c r="X835" s="70"/>
      <c r="Y835" s="70"/>
      <c r="Z835" s="70"/>
    </row>
    <row r="836">
      <c r="A836" s="70"/>
      <c r="B836" s="79"/>
      <c r="C836" s="79"/>
      <c r="D836" s="78"/>
      <c r="E836" s="71"/>
      <c r="F836" s="70"/>
      <c r="G836" s="70"/>
      <c r="H836" s="70"/>
      <c r="I836" s="70"/>
      <c r="J836" s="70"/>
      <c r="K836" s="70"/>
      <c r="L836" s="70"/>
      <c r="M836" s="70"/>
      <c r="N836" s="70"/>
      <c r="O836" s="70"/>
      <c r="P836" s="70"/>
      <c r="Q836" s="70"/>
      <c r="R836" s="70"/>
      <c r="S836" s="70"/>
      <c r="T836" s="70"/>
      <c r="U836" s="70"/>
      <c r="V836" s="70"/>
      <c r="W836" s="70"/>
      <c r="X836" s="70"/>
      <c r="Y836" s="70"/>
      <c r="Z836" s="70"/>
    </row>
    <row r="837">
      <c r="A837" s="70"/>
      <c r="B837" s="79"/>
      <c r="C837" s="79"/>
      <c r="D837" s="78"/>
      <c r="E837" s="71"/>
      <c r="F837" s="70"/>
      <c r="G837" s="70"/>
      <c r="H837" s="70"/>
      <c r="I837" s="70"/>
      <c r="J837" s="70"/>
      <c r="K837" s="70"/>
      <c r="L837" s="70"/>
      <c r="M837" s="70"/>
      <c r="N837" s="70"/>
      <c r="O837" s="70"/>
      <c r="P837" s="70"/>
      <c r="Q837" s="70"/>
      <c r="R837" s="70"/>
      <c r="S837" s="70"/>
      <c r="T837" s="70"/>
      <c r="U837" s="70"/>
      <c r="V837" s="70"/>
      <c r="W837" s="70"/>
      <c r="X837" s="70"/>
      <c r="Y837" s="70"/>
      <c r="Z837" s="70"/>
    </row>
    <row r="838">
      <c r="A838" s="70"/>
      <c r="B838" s="79"/>
      <c r="C838" s="79"/>
      <c r="D838" s="78"/>
      <c r="E838" s="71"/>
      <c r="F838" s="70"/>
      <c r="G838" s="70"/>
      <c r="H838" s="70"/>
      <c r="I838" s="70"/>
      <c r="J838" s="70"/>
      <c r="K838" s="70"/>
      <c r="L838" s="70"/>
      <c r="M838" s="70"/>
      <c r="N838" s="70"/>
      <c r="O838" s="70"/>
      <c r="P838" s="70"/>
      <c r="Q838" s="70"/>
      <c r="R838" s="70"/>
      <c r="S838" s="70"/>
      <c r="T838" s="70"/>
      <c r="U838" s="70"/>
      <c r="V838" s="70"/>
      <c r="W838" s="70"/>
      <c r="X838" s="70"/>
      <c r="Y838" s="70"/>
      <c r="Z838" s="70"/>
    </row>
    <row r="839">
      <c r="A839" s="70"/>
      <c r="B839" s="79"/>
      <c r="C839" s="79"/>
      <c r="D839" s="78"/>
      <c r="E839" s="71"/>
      <c r="F839" s="70"/>
      <c r="G839" s="70"/>
      <c r="H839" s="70"/>
      <c r="I839" s="70"/>
      <c r="J839" s="70"/>
      <c r="K839" s="70"/>
      <c r="L839" s="70"/>
      <c r="M839" s="70"/>
      <c r="N839" s="70"/>
      <c r="O839" s="70"/>
      <c r="P839" s="70"/>
      <c r="Q839" s="70"/>
      <c r="R839" s="70"/>
      <c r="S839" s="70"/>
      <c r="T839" s="70"/>
      <c r="U839" s="70"/>
      <c r="V839" s="70"/>
      <c r="W839" s="70"/>
      <c r="X839" s="70"/>
      <c r="Y839" s="70"/>
      <c r="Z839" s="70"/>
    </row>
    <row r="840">
      <c r="A840" s="70"/>
      <c r="B840" s="79"/>
      <c r="C840" s="79"/>
      <c r="D840" s="78"/>
      <c r="E840" s="71"/>
      <c r="F840" s="70"/>
      <c r="G840" s="70"/>
      <c r="H840" s="70"/>
      <c r="I840" s="70"/>
      <c r="J840" s="70"/>
      <c r="K840" s="70"/>
      <c r="L840" s="70"/>
      <c r="M840" s="70"/>
      <c r="N840" s="70"/>
      <c r="O840" s="70"/>
      <c r="P840" s="70"/>
      <c r="Q840" s="70"/>
      <c r="R840" s="70"/>
      <c r="S840" s="70"/>
      <c r="T840" s="70"/>
      <c r="U840" s="70"/>
      <c r="V840" s="70"/>
      <c r="W840" s="70"/>
      <c r="X840" s="70"/>
      <c r="Y840" s="70"/>
      <c r="Z840" s="70"/>
    </row>
    <row r="841">
      <c r="A841" s="70"/>
      <c r="B841" s="79"/>
      <c r="C841" s="79"/>
      <c r="D841" s="78"/>
      <c r="E841" s="71"/>
      <c r="F841" s="70"/>
      <c r="G841" s="70"/>
      <c r="H841" s="70"/>
      <c r="I841" s="70"/>
      <c r="J841" s="70"/>
      <c r="K841" s="70"/>
      <c r="L841" s="70"/>
      <c r="M841" s="70"/>
      <c r="N841" s="70"/>
      <c r="O841" s="70"/>
      <c r="P841" s="70"/>
      <c r="Q841" s="70"/>
      <c r="R841" s="70"/>
      <c r="S841" s="70"/>
      <c r="T841" s="70"/>
      <c r="U841" s="70"/>
      <c r="V841" s="70"/>
      <c r="W841" s="70"/>
      <c r="X841" s="70"/>
      <c r="Y841" s="70"/>
      <c r="Z841" s="70"/>
    </row>
    <row r="842">
      <c r="A842" s="70"/>
      <c r="B842" s="79"/>
      <c r="C842" s="79"/>
      <c r="D842" s="78"/>
      <c r="E842" s="71"/>
      <c r="F842" s="70"/>
      <c r="G842" s="70"/>
      <c r="H842" s="70"/>
      <c r="I842" s="70"/>
      <c r="J842" s="70"/>
      <c r="K842" s="70"/>
      <c r="L842" s="70"/>
      <c r="M842" s="70"/>
      <c r="N842" s="70"/>
      <c r="O842" s="70"/>
      <c r="P842" s="70"/>
      <c r="Q842" s="70"/>
      <c r="R842" s="70"/>
      <c r="S842" s="70"/>
      <c r="T842" s="70"/>
      <c r="U842" s="70"/>
      <c r="V842" s="70"/>
      <c r="W842" s="70"/>
      <c r="X842" s="70"/>
      <c r="Y842" s="70"/>
      <c r="Z842" s="70"/>
    </row>
    <row r="843">
      <c r="A843" s="70"/>
      <c r="B843" s="79"/>
      <c r="C843" s="79"/>
      <c r="D843" s="78"/>
      <c r="E843" s="71"/>
      <c r="F843" s="70"/>
      <c r="G843" s="70"/>
      <c r="H843" s="70"/>
      <c r="I843" s="70"/>
      <c r="J843" s="70"/>
      <c r="K843" s="70"/>
      <c r="L843" s="70"/>
      <c r="M843" s="70"/>
      <c r="N843" s="70"/>
      <c r="O843" s="70"/>
      <c r="P843" s="70"/>
      <c r="Q843" s="70"/>
      <c r="R843" s="70"/>
      <c r="S843" s="70"/>
      <c r="T843" s="70"/>
      <c r="U843" s="70"/>
      <c r="V843" s="70"/>
      <c r="W843" s="70"/>
      <c r="X843" s="70"/>
      <c r="Y843" s="70"/>
      <c r="Z843" s="70"/>
    </row>
    <row r="844">
      <c r="A844" s="70"/>
      <c r="B844" s="79"/>
      <c r="C844" s="79"/>
      <c r="D844" s="78"/>
      <c r="E844" s="71"/>
      <c r="F844" s="70"/>
      <c r="G844" s="70"/>
      <c r="H844" s="70"/>
      <c r="I844" s="70"/>
      <c r="J844" s="70"/>
      <c r="K844" s="70"/>
      <c r="L844" s="70"/>
      <c r="M844" s="70"/>
      <c r="N844" s="70"/>
      <c r="O844" s="70"/>
      <c r="P844" s="70"/>
      <c r="Q844" s="70"/>
      <c r="R844" s="70"/>
      <c r="S844" s="70"/>
      <c r="T844" s="70"/>
      <c r="U844" s="70"/>
      <c r="V844" s="70"/>
      <c r="W844" s="70"/>
      <c r="X844" s="70"/>
      <c r="Y844" s="70"/>
      <c r="Z844" s="70"/>
    </row>
    <row r="845">
      <c r="A845" s="70"/>
      <c r="B845" s="79"/>
      <c r="C845" s="79"/>
      <c r="D845" s="78"/>
      <c r="E845" s="71"/>
      <c r="F845" s="70"/>
      <c r="G845" s="70"/>
      <c r="H845" s="70"/>
      <c r="I845" s="70"/>
      <c r="J845" s="70"/>
      <c r="K845" s="70"/>
      <c r="L845" s="70"/>
      <c r="M845" s="70"/>
      <c r="N845" s="70"/>
      <c r="O845" s="70"/>
      <c r="P845" s="70"/>
      <c r="Q845" s="70"/>
      <c r="R845" s="70"/>
      <c r="S845" s="70"/>
      <c r="T845" s="70"/>
      <c r="U845" s="70"/>
      <c r="V845" s="70"/>
      <c r="W845" s="70"/>
      <c r="X845" s="70"/>
      <c r="Y845" s="70"/>
      <c r="Z845" s="70"/>
    </row>
    <row r="846">
      <c r="A846" s="70"/>
      <c r="B846" s="79"/>
      <c r="C846" s="79"/>
      <c r="D846" s="78"/>
      <c r="E846" s="71"/>
      <c r="F846" s="70"/>
      <c r="G846" s="70"/>
      <c r="H846" s="70"/>
      <c r="I846" s="70"/>
      <c r="J846" s="70"/>
      <c r="K846" s="70"/>
      <c r="L846" s="70"/>
      <c r="M846" s="70"/>
      <c r="N846" s="70"/>
      <c r="O846" s="70"/>
      <c r="P846" s="70"/>
      <c r="Q846" s="70"/>
      <c r="R846" s="70"/>
      <c r="S846" s="70"/>
      <c r="T846" s="70"/>
      <c r="U846" s="70"/>
      <c r="V846" s="70"/>
      <c r="W846" s="70"/>
      <c r="X846" s="70"/>
      <c r="Y846" s="70"/>
      <c r="Z846" s="70"/>
    </row>
    <row r="847">
      <c r="A847" s="70"/>
      <c r="B847" s="79"/>
      <c r="C847" s="79"/>
      <c r="D847" s="78"/>
      <c r="E847" s="71"/>
      <c r="F847" s="70"/>
      <c r="G847" s="70"/>
      <c r="H847" s="70"/>
      <c r="I847" s="70"/>
      <c r="J847" s="70"/>
      <c r="K847" s="70"/>
      <c r="L847" s="70"/>
      <c r="M847" s="70"/>
      <c r="N847" s="70"/>
      <c r="O847" s="70"/>
      <c r="P847" s="70"/>
      <c r="Q847" s="70"/>
      <c r="R847" s="70"/>
      <c r="S847" s="70"/>
      <c r="T847" s="70"/>
      <c r="U847" s="70"/>
      <c r="V847" s="70"/>
      <c r="W847" s="70"/>
      <c r="X847" s="70"/>
      <c r="Y847" s="70"/>
      <c r="Z847" s="70"/>
    </row>
    <row r="848">
      <c r="A848" s="70"/>
      <c r="B848" s="79"/>
      <c r="C848" s="79"/>
      <c r="D848" s="78"/>
      <c r="E848" s="71"/>
      <c r="F848" s="70"/>
      <c r="G848" s="70"/>
      <c r="H848" s="70"/>
      <c r="I848" s="70"/>
      <c r="J848" s="70"/>
      <c r="K848" s="70"/>
      <c r="L848" s="70"/>
      <c r="M848" s="70"/>
      <c r="N848" s="70"/>
      <c r="O848" s="70"/>
      <c r="P848" s="70"/>
      <c r="Q848" s="70"/>
      <c r="R848" s="70"/>
      <c r="S848" s="70"/>
      <c r="T848" s="70"/>
      <c r="U848" s="70"/>
      <c r="V848" s="70"/>
      <c r="W848" s="70"/>
      <c r="X848" s="70"/>
      <c r="Y848" s="70"/>
      <c r="Z848" s="70"/>
    </row>
    <row r="849">
      <c r="A849" s="70"/>
      <c r="B849" s="79"/>
      <c r="C849" s="79"/>
      <c r="D849" s="78"/>
      <c r="E849" s="71"/>
      <c r="F849" s="70"/>
      <c r="G849" s="70"/>
      <c r="H849" s="70"/>
      <c r="I849" s="70"/>
      <c r="J849" s="70"/>
      <c r="K849" s="70"/>
      <c r="L849" s="70"/>
      <c r="M849" s="70"/>
      <c r="N849" s="70"/>
      <c r="O849" s="70"/>
      <c r="P849" s="70"/>
      <c r="Q849" s="70"/>
      <c r="R849" s="70"/>
      <c r="S849" s="70"/>
      <c r="T849" s="70"/>
      <c r="U849" s="70"/>
      <c r="V849" s="70"/>
      <c r="W849" s="70"/>
      <c r="X849" s="70"/>
      <c r="Y849" s="70"/>
      <c r="Z849" s="70"/>
    </row>
    <row r="850">
      <c r="A850" s="70"/>
      <c r="B850" s="79"/>
      <c r="C850" s="79"/>
      <c r="D850" s="78"/>
      <c r="E850" s="71"/>
      <c r="F850" s="70"/>
      <c r="G850" s="70"/>
      <c r="H850" s="70"/>
      <c r="I850" s="70"/>
      <c r="J850" s="70"/>
      <c r="K850" s="70"/>
      <c r="L850" s="70"/>
      <c r="M850" s="70"/>
      <c r="N850" s="70"/>
      <c r="O850" s="70"/>
      <c r="P850" s="70"/>
      <c r="Q850" s="70"/>
      <c r="R850" s="70"/>
      <c r="S850" s="70"/>
      <c r="T850" s="70"/>
      <c r="U850" s="70"/>
      <c r="V850" s="70"/>
      <c r="W850" s="70"/>
      <c r="X850" s="70"/>
      <c r="Y850" s="70"/>
      <c r="Z850" s="70"/>
    </row>
    <row r="851">
      <c r="A851" s="70"/>
      <c r="B851" s="79"/>
      <c r="C851" s="79"/>
      <c r="D851" s="78"/>
      <c r="E851" s="71"/>
      <c r="F851" s="70"/>
      <c r="G851" s="70"/>
      <c r="H851" s="70"/>
      <c r="I851" s="70"/>
      <c r="J851" s="70"/>
      <c r="K851" s="70"/>
      <c r="L851" s="70"/>
      <c r="M851" s="70"/>
      <c r="N851" s="70"/>
      <c r="O851" s="70"/>
      <c r="P851" s="70"/>
      <c r="Q851" s="70"/>
      <c r="R851" s="70"/>
      <c r="S851" s="70"/>
      <c r="T851" s="70"/>
      <c r="U851" s="70"/>
      <c r="V851" s="70"/>
      <c r="W851" s="70"/>
      <c r="X851" s="70"/>
      <c r="Y851" s="70"/>
      <c r="Z851" s="70"/>
    </row>
    <row r="852">
      <c r="A852" s="70"/>
      <c r="B852" s="79"/>
      <c r="C852" s="79"/>
      <c r="D852" s="78"/>
      <c r="E852" s="71"/>
      <c r="F852" s="70"/>
      <c r="G852" s="70"/>
      <c r="H852" s="70"/>
      <c r="I852" s="70"/>
      <c r="J852" s="70"/>
      <c r="K852" s="70"/>
      <c r="L852" s="70"/>
      <c r="M852" s="70"/>
      <c r="N852" s="70"/>
      <c r="O852" s="70"/>
      <c r="P852" s="70"/>
      <c r="Q852" s="70"/>
      <c r="R852" s="70"/>
      <c r="S852" s="70"/>
      <c r="T852" s="70"/>
      <c r="U852" s="70"/>
      <c r="V852" s="70"/>
      <c r="W852" s="70"/>
      <c r="X852" s="70"/>
      <c r="Y852" s="70"/>
      <c r="Z852" s="70"/>
    </row>
    <row r="853">
      <c r="A853" s="70"/>
      <c r="B853" s="79"/>
      <c r="C853" s="79"/>
      <c r="D853" s="78"/>
      <c r="E853" s="71"/>
      <c r="F853" s="70"/>
      <c r="G853" s="70"/>
      <c r="H853" s="70"/>
      <c r="I853" s="70"/>
      <c r="J853" s="70"/>
      <c r="K853" s="70"/>
      <c r="L853" s="70"/>
      <c r="M853" s="70"/>
      <c r="N853" s="70"/>
      <c r="O853" s="70"/>
      <c r="P853" s="70"/>
      <c r="Q853" s="70"/>
      <c r="R853" s="70"/>
      <c r="S853" s="70"/>
      <c r="T853" s="70"/>
      <c r="U853" s="70"/>
      <c r="V853" s="70"/>
      <c r="W853" s="70"/>
      <c r="X853" s="70"/>
      <c r="Y853" s="70"/>
      <c r="Z853" s="70"/>
    </row>
    <row r="854">
      <c r="A854" s="70"/>
      <c r="B854" s="79"/>
      <c r="C854" s="79"/>
      <c r="D854" s="78"/>
      <c r="E854" s="71"/>
      <c r="F854" s="70"/>
      <c r="G854" s="70"/>
      <c r="H854" s="70"/>
      <c r="I854" s="70"/>
      <c r="J854" s="70"/>
      <c r="K854" s="70"/>
      <c r="L854" s="70"/>
      <c r="M854" s="70"/>
      <c r="N854" s="70"/>
      <c r="O854" s="70"/>
      <c r="P854" s="70"/>
      <c r="Q854" s="70"/>
      <c r="R854" s="70"/>
      <c r="S854" s="70"/>
      <c r="T854" s="70"/>
      <c r="U854" s="70"/>
      <c r="V854" s="70"/>
      <c r="W854" s="70"/>
      <c r="X854" s="70"/>
      <c r="Y854" s="70"/>
      <c r="Z854" s="70"/>
    </row>
    <row r="855">
      <c r="A855" s="70"/>
      <c r="B855" s="79"/>
      <c r="C855" s="79"/>
      <c r="D855" s="78"/>
      <c r="E855" s="71"/>
      <c r="F855" s="70"/>
      <c r="G855" s="70"/>
      <c r="H855" s="70"/>
      <c r="I855" s="70"/>
      <c r="J855" s="70"/>
      <c r="K855" s="70"/>
      <c r="L855" s="70"/>
      <c r="M855" s="70"/>
      <c r="N855" s="70"/>
      <c r="O855" s="70"/>
      <c r="P855" s="70"/>
      <c r="Q855" s="70"/>
      <c r="R855" s="70"/>
      <c r="S855" s="70"/>
      <c r="T855" s="70"/>
      <c r="U855" s="70"/>
      <c r="V855" s="70"/>
      <c r="W855" s="70"/>
      <c r="X855" s="70"/>
      <c r="Y855" s="70"/>
      <c r="Z855" s="70"/>
    </row>
    <row r="856">
      <c r="A856" s="70"/>
      <c r="B856" s="79"/>
      <c r="C856" s="79"/>
      <c r="D856" s="78"/>
      <c r="E856" s="71"/>
      <c r="F856" s="70"/>
      <c r="G856" s="70"/>
      <c r="H856" s="70"/>
      <c r="I856" s="70"/>
      <c r="J856" s="70"/>
      <c r="K856" s="70"/>
      <c r="L856" s="70"/>
      <c r="M856" s="70"/>
      <c r="N856" s="70"/>
      <c r="O856" s="70"/>
      <c r="P856" s="70"/>
      <c r="Q856" s="70"/>
      <c r="R856" s="70"/>
      <c r="S856" s="70"/>
      <c r="T856" s="70"/>
      <c r="U856" s="70"/>
      <c r="V856" s="70"/>
      <c r="W856" s="70"/>
      <c r="X856" s="70"/>
      <c r="Y856" s="70"/>
      <c r="Z856" s="70"/>
    </row>
    <row r="857">
      <c r="A857" s="70"/>
      <c r="B857" s="79"/>
      <c r="C857" s="79"/>
      <c r="D857" s="78"/>
      <c r="E857" s="71"/>
      <c r="F857" s="70"/>
      <c r="G857" s="70"/>
      <c r="H857" s="70"/>
      <c r="I857" s="70"/>
      <c r="J857" s="70"/>
      <c r="K857" s="70"/>
      <c r="L857" s="70"/>
      <c r="M857" s="70"/>
      <c r="N857" s="70"/>
      <c r="O857" s="70"/>
      <c r="P857" s="70"/>
      <c r="Q857" s="70"/>
      <c r="R857" s="70"/>
      <c r="S857" s="70"/>
      <c r="T857" s="70"/>
      <c r="U857" s="70"/>
      <c r="V857" s="70"/>
      <c r="W857" s="70"/>
      <c r="X857" s="70"/>
      <c r="Y857" s="70"/>
      <c r="Z857" s="70"/>
    </row>
    <row r="858">
      <c r="A858" s="70"/>
      <c r="B858" s="79"/>
      <c r="C858" s="79"/>
      <c r="D858" s="78"/>
      <c r="E858" s="71"/>
      <c r="F858" s="70"/>
      <c r="G858" s="70"/>
      <c r="H858" s="70"/>
      <c r="I858" s="70"/>
      <c r="J858" s="70"/>
      <c r="K858" s="70"/>
      <c r="L858" s="70"/>
      <c r="M858" s="70"/>
      <c r="N858" s="70"/>
      <c r="O858" s="70"/>
      <c r="P858" s="70"/>
      <c r="Q858" s="70"/>
      <c r="R858" s="70"/>
      <c r="S858" s="70"/>
      <c r="T858" s="70"/>
      <c r="U858" s="70"/>
      <c r="V858" s="70"/>
      <c r="W858" s="70"/>
      <c r="X858" s="70"/>
      <c r="Y858" s="70"/>
      <c r="Z858" s="70"/>
    </row>
    <row r="859">
      <c r="A859" s="70"/>
      <c r="B859" s="79"/>
      <c r="C859" s="79"/>
      <c r="D859" s="78"/>
      <c r="E859" s="71"/>
      <c r="F859" s="70"/>
      <c r="G859" s="70"/>
      <c r="H859" s="70"/>
      <c r="I859" s="70"/>
      <c r="J859" s="70"/>
      <c r="K859" s="70"/>
      <c r="L859" s="70"/>
      <c r="M859" s="70"/>
      <c r="N859" s="70"/>
      <c r="O859" s="70"/>
      <c r="P859" s="70"/>
      <c r="Q859" s="70"/>
      <c r="R859" s="70"/>
      <c r="S859" s="70"/>
      <c r="T859" s="70"/>
      <c r="U859" s="70"/>
      <c r="V859" s="70"/>
      <c r="W859" s="70"/>
      <c r="X859" s="70"/>
      <c r="Y859" s="70"/>
      <c r="Z859" s="70"/>
    </row>
    <row r="860">
      <c r="A860" s="70"/>
      <c r="B860" s="79"/>
      <c r="C860" s="79"/>
      <c r="D860" s="78"/>
      <c r="E860" s="71"/>
      <c r="F860" s="70"/>
      <c r="G860" s="70"/>
      <c r="H860" s="70"/>
      <c r="I860" s="70"/>
      <c r="J860" s="70"/>
      <c r="K860" s="70"/>
      <c r="L860" s="70"/>
      <c r="M860" s="70"/>
      <c r="N860" s="70"/>
      <c r="O860" s="70"/>
      <c r="P860" s="70"/>
      <c r="Q860" s="70"/>
      <c r="R860" s="70"/>
      <c r="S860" s="70"/>
      <c r="T860" s="70"/>
      <c r="U860" s="70"/>
      <c r="V860" s="70"/>
      <c r="W860" s="70"/>
      <c r="X860" s="70"/>
      <c r="Y860" s="70"/>
      <c r="Z860" s="70"/>
    </row>
    <row r="861">
      <c r="A861" s="70"/>
      <c r="B861" s="79"/>
      <c r="C861" s="79"/>
      <c r="D861" s="78"/>
      <c r="E861" s="71"/>
      <c r="F861" s="70"/>
      <c r="G861" s="70"/>
      <c r="H861" s="70"/>
      <c r="I861" s="70"/>
      <c r="J861" s="70"/>
      <c r="K861" s="70"/>
      <c r="L861" s="70"/>
      <c r="M861" s="70"/>
      <c r="N861" s="70"/>
      <c r="O861" s="70"/>
      <c r="P861" s="70"/>
      <c r="Q861" s="70"/>
      <c r="R861" s="70"/>
      <c r="S861" s="70"/>
      <c r="T861" s="70"/>
      <c r="U861" s="70"/>
      <c r="V861" s="70"/>
      <c r="W861" s="70"/>
      <c r="X861" s="70"/>
      <c r="Y861" s="70"/>
      <c r="Z861" s="70"/>
    </row>
    <row r="862">
      <c r="A862" s="70"/>
      <c r="B862" s="79"/>
      <c r="C862" s="79"/>
      <c r="D862" s="78"/>
      <c r="E862" s="71"/>
      <c r="F862" s="70"/>
      <c r="G862" s="70"/>
      <c r="H862" s="70"/>
      <c r="I862" s="70"/>
      <c r="J862" s="70"/>
      <c r="K862" s="70"/>
      <c r="L862" s="70"/>
      <c r="M862" s="70"/>
      <c r="N862" s="70"/>
      <c r="O862" s="70"/>
      <c r="P862" s="70"/>
      <c r="Q862" s="70"/>
      <c r="R862" s="70"/>
      <c r="S862" s="70"/>
      <c r="T862" s="70"/>
      <c r="U862" s="70"/>
      <c r="V862" s="70"/>
      <c r="W862" s="70"/>
      <c r="X862" s="70"/>
      <c r="Y862" s="70"/>
      <c r="Z862" s="70"/>
    </row>
    <row r="863">
      <c r="A863" s="70"/>
      <c r="B863" s="79"/>
      <c r="C863" s="79"/>
      <c r="D863" s="78"/>
      <c r="E863" s="71"/>
      <c r="F863" s="70"/>
      <c r="G863" s="70"/>
      <c r="H863" s="70"/>
      <c r="I863" s="70"/>
      <c r="J863" s="70"/>
      <c r="K863" s="70"/>
      <c r="L863" s="70"/>
      <c r="M863" s="70"/>
      <c r="N863" s="70"/>
      <c r="O863" s="70"/>
      <c r="P863" s="70"/>
      <c r="Q863" s="70"/>
      <c r="R863" s="70"/>
      <c r="S863" s="70"/>
      <c r="T863" s="70"/>
      <c r="U863" s="70"/>
      <c r="V863" s="70"/>
      <c r="W863" s="70"/>
      <c r="X863" s="70"/>
      <c r="Y863" s="70"/>
      <c r="Z863" s="70"/>
    </row>
    <row r="864">
      <c r="A864" s="70"/>
      <c r="B864" s="79"/>
      <c r="C864" s="79"/>
      <c r="D864" s="78"/>
      <c r="E864" s="71"/>
      <c r="F864" s="70"/>
      <c r="G864" s="70"/>
      <c r="H864" s="70"/>
      <c r="I864" s="70"/>
      <c r="J864" s="70"/>
      <c r="K864" s="70"/>
      <c r="L864" s="70"/>
      <c r="M864" s="70"/>
      <c r="N864" s="70"/>
      <c r="O864" s="70"/>
      <c r="P864" s="70"/>
      <c r="Q864" s="70"/>
      <c r="R864" s="70"/>
      <c r="S864" s="70"/>
      <c r="T864" s="70"/>
      <c r="U864" s="70"/>
      <c r="V864" s="70"/>
      <c r="W864" s="70"/>
      <c r="X864" s="70"/>
      <c r="Y864" s="70"/>
      <c r="Z864" s="70"/>
    </row>
    <row r="865">
      <c r="A865" s="70"/>
      <c r="B865" s="79"/>
      <c r="C865" s="79"/>
      <c r="D865" s="78"/>
      <c r="E865" s="71"/>
      <c r="F865" s="70"/>
      <c r="G865" s="70"/>
      <c r="H865" s="70"/>
      <c r="I865" s="70"/>
      <c r="J865" s="70"/>
      <c r="K865" s="70"/>
      <c r="L865" s="70"/>
      <c r="M865" s="70"/>
      <c r="N865" s="70"/>
      <c r="O865" s="70"/>
      <c r="P865" s="70"/>
      <c r="Q865" s="70"/>
      <c r="R865" s="70"/>
      <c r="S865" s="70"/>
      <c r="T865" s="70"/>
      <c r="U865" s="70"/>
      <c r="V865" s="70"/>
      <c r="W865" s="70"/>
      <c r="X865" s="70"/>
      <c r="Y865" s="70"/>
      <c r="Z865" s="70"/>
    </row>
    <row r="866">
      <c r="A866" s="70"/>
      <c r="B866" s="79"/>
      <c r="C866" s="79"/>
      <c r="D866" s="78"/>
      <c r="E866" s="71"/>
      <c r="F866" s="70"/>
      <c r="G866" s="70"/>
      <c r="H866" s="70"/>
      <c r="I866" s="70"/>
      <c r="J866" s="70"/>
      <c r="K866" s="70"/>
      <c r="L866" s="70"/>
      <c r="M866" s="70"/>
      <c r="N866" s="70"/>
      <c r="O866" s="70"/>
      <c r="P866" s="70"/>
      <c r="Q866" s="70"/>
      <c r="R866" s="70"/>
      <c r="S866" s="70"/>
      <c r="T866" s="70"/>
      <c r="U866" s="70"/>
      <c r="V866" s="70"/>
      <c r="W866" s="70"/>
      <c r="X866" s="70"/>
      <c r="Y866" s="70"/>
      <c r="Z866" s="70"/>
    </row>
    <row r="867">
      <c r="A867" s="70"/>
      <c r="B867" s="79"/>
      <c r="C867" s="79"/>
      <c r="D867" s="78"/>
      <c r="E867" s="71"/>
      <c r="F867" s="70"/>
      <c r="G867" s="70"/>
      <c r="H867" s="70"/>
      <c r="I867" s="70"/>
      <c r="J867" s="70"/>
      <c r="K867" s="70"/>
      <c r="L867" s="70"/>
      <c r="M867" s="70"/>
      <c r="N867" s="70"/>
      <c r="O867" s="70"/>
      <c r="P867" s="70"/>
      <c r="Q867" s="70"/>
      <c r="R867" s="70"/>
      <c r="S867" s="70"/>
      <c r="T867" s="70"/>
      <c r="U867" s="70"/>
      <c r="V867" s="70"/>
      <c r="W867" s="70"/>
      <c r="X867" s="70"/>
      <c r="Y867" s="70"/>
      <c r="Z867" s="70"/>
    </row>
    <row r="868">
      <c r="A868" s="70"/>
      <c r="B868" s="79"/>
      <c r="C868" s="79"/>
      <c r="D868" s="78"/>
      <c r="E868" s="71"/>
      <c r="F868" s="70"/>
      <c r="G868" s="70"/>
      <c r="H868" s="70"/>
      <c r="I868" s="70"/>
      <c r="J868" s="70"/>
      <c r="K868" s="70"/>
      <c r="L868" s="70"/>
      <c r="M868" s="70"/>
      <c r="N868" s="70"/>
      <c r="O868" s="70"/>
      <c r="P868" s="70"/>
      <c r="Q868" s="70"/>
      <c r="R868" s="70"/>
      <c r="S868" s="70"/>
      <c r="T868" s="70"/>
      <c r="U868" s="70"/>
      <c r="V868" s="70"/>
      <c r="W868" s="70"/>
      <c r="X868" s="70"/>
      <c r="Y868" s="70"/>
      <c r="Z868" s="70"/>
    </row>
    <row r="869">
      <c r="A869" s="70"/>
      <c r="B869" s="79"/>
      <c r="C869" s="79"/>
      <c r="D869" s="78"/>
      <c r="E869" s="71"/>
      <c r="F869" s="70"/>
      <c r="G869" s="70"/>
      <c r="H869" s="70"/>
      <c r="I869" s="70"/>
      <c r="J869" s="70"/>
      <c r="K869" s="70"/>
      <c r="L869" s="70"/>
      <c r="M869" s="70"/>
      <c r="N869" s="70"/>
      <c r="O869" s="70"/>
      <c r="P869" s="70"/>
      <c r="Q869" s="70"/>
      <c r="R869" s="70"/>
      <c r="S869" s="70"/>
      <c r="T869" s="70"/>
      <c r="U869" s="70"/>
      <c r="V869" s="70"/>
      <c r="W869" s="70"/>
      <c r="X869" s="70"/>
      <c r="Y869" s="70"/>
      <c r="Z869" s="70"/>
    </row>
    <row r="870">
      <c r="A870" s="70"/>
      <c r="B870" s="79"/>
      <c r="C870" s="79"/>
      <c r="D870" s="78"/>
      <c r="E870" s="71"/>
      <c r="F870" s="70"/>
      <c r="G870" s="70"/>
      <c r="H870" s="70"/>
      <c r="I870" s="70"/>
      <c r="J870" s="70"/>
      <c r="K870" s="70"/>
      <c r="L870" s="70"/>
      <c r="M870" s="70"/>
      <c r="N870" s="70"/>
      <c r="O870" s="70"/>
      <c r="P870" s="70"/>
      <c r="Q870" s="70"/>
      <c r="R870" s="70"/>
      <c r="S870" s="70"/>
      <c r="T870" s="70"/>
      <c r="U870" s="70"/>
      <c r="V870" s="70"/>
      <c r="W870" s="70"/>
      <c r="X870" s="70"/>
      <c r="Y870" s="70"/>
      <c r="Z870" s="70"/>
    </row>
    <row r="871">
      <c r="A871" s="70"/>
      <c r="B871" s="79"/>
      <c r="C871" s="79"/>
      <c r="D871" s="78"/>
      <c r="E871" s="71"/>
      <c r="F871" s="70"/>
      <c r="G871" s="70"/>
      <c r="H871" s="70"/>
      <c r="I871" s="70"/>
      <c r="J871" s="70"/>
      <c r="K871" s="70"/>
      <c r="L871" s="70"/>
      <c r="M871" s="70"/>
      <c r="N871" s="70"/>
      <c r="O871" s="70"/>
      <c r="P871" s="70"/>
      <c r="Q871" s="70"/>
      <c r="R871" s="70"/>
      <c r="S871" s="70"/>
      <c r="T871" s="70"/>
      <c r="U871" s="70"/>
      <c r="V871" s="70"/>
      <c r="W871" s="70"/>
      <c r="X871" s="70"/>
      <c r="Y871" s="70"/>
      <c r="Z871" s="70"/>
    </row>
    <row r="872">
      <c r="A872" s="70"/>
      <c r="B872" s="79"/>
      <c r="C872" s="79"/>
      <c r="D872" s="78"/>
      <c r="E872" s="71"/>
      <c r="F872" s="70"/>
      <c r="G872" s="70"/>
      <c r="H872" s="70"/>
      <c r="I872" s="70"/>
      <c r="J872" s="70"/>
      <c r="K872" s="70"/>
      <c r="L872" s="70"/>
      <c r="M872" s="70"/>
      <c r="N872" s="70"/>
      <c r="O872" s="70"/>
      <c r="P872" s="70"/>
      <c r="Q872" s="70"/>
      <c r="R872" s="70"/>
      <c r="S872" s="70"/>
      <c r="T872" s="70"/>
      <c r="U872" s="70"/>
      <c r="V872" s="70"/>
      <c r="W872" s="70"/>
      <c r="X872" s="70"/>
      <c r="Y872" s="70"/>
      <c r="Z872" s="70"/>
    </row>
    <row r="873">
      <c r="A873" s="70"/>
      <c r="B873" s="79"/>
      <c r="C873" s="79"/>
      <c r="D873" s="78"/>
      <c r="E873" s="71"/>
      <c r="F873" s="70"/>
      <c r="G873" s="70"/>
      <c r="H873" s="70"/>
      <c r="I873" s="70"/>
      <c r="J873" s="70"/>
      <c r="K873" s="70"/>
      <c r="L873" s="70"/>
      <c r="M873" s="70"/>
      <c r="N873" s="70"/>
      <c r="O873" s="70"/>
      <c r="P873" s="70"/>
      <c r="Q873" s="70"/>
      <c r="R873" s="70"/>
      <c r="S873" s="70"/>
      <c r="T873" s="70"/>
      <c r="U873" s="70"/>
      <c r="V873" s="70"/>
      <c r="W873" s="70"/>
      <c r="X873" s="70"/>
      <c r="Y873" s="70"/>
      <c r="Z873" s="70"/>
    </row>
    <row r="874">
      <c r="A874" s="70"/>
      <c r="B874" s="79"/>
      <c r="C874" s="79"/>
      <c r="D874" s="78"/>
      <c r="E874" s="71"/>
      <c r="F874" s="70"/>
      <c r="G874" s="70"/>
      <c r="H874" s="70"/>
      <c r="I874" s="70"/>
      <c r="J874" s="70"/>
      <c r="K874" s="70"/>
      <c r="L874" s="70"/>
      <c r="M874" s="70"/>
      <c r="N874" s="70"/>
      <c r="O874" s="70"/>
      <c r="P874" s="70"/>
      <c r="Q874" s="70"/>
      <c r="R874" s="70"/>
      <c r="S874" s="70"/>
      <c r="T874" s="70"/>
      <c r="U874" s="70"/>
      <c r="V874" s="70"/>
      <c r="W874" s="70"/>
      <c r="X874" s="70"/>
      <c r="Y874" s="70"/>
      <c r="Z874" s="70"/>
    </row>
    <row r="875">
      <c r="A875" s="70"/>
      <c r="B875" s="79"/>
      <c r="C875" s="79"/>
      <c r="D875" s="78"/>
      <c r="E875" s="71"/>
      <c r="F875" s="70"/>
      <c r="G875" s="70"/>
      <c r="H875" s="70"/>
      <c r="I875" s="70"/>
      <c r="J875" s="70"/>
      <c r="K875" s="70"/>
      <c r="L875" s="70"/>
      <c r="M875" s="70"/>
      <c r="N875" s="70"/>
      <c r="O875" s="70"/>
      <c r="P875" s="70"/>
      <c r="Q875" s="70"/>
      <c r="R875" s="70"/>
      <c r="S875" s="70"/>
      <c r="T875" s="70"/>
      <c r="U875" s="70"/>
      <c r="V875" s="70"/>
      <c r="W875" s="70"/>
      <c r="X875" s="70"/>
      <c r="Y875" s="70"/>
      <c r="Z875" s="70"/>
    </row>
    <row r="876">
      <c r="A876" s="70"/>
      <c r="B876" s="79"/>
      <c r="C876" s="79"/>
      <c r="D876" s="78"/>
      <c r="E876" s="71"/>
      <c r="F876" s="70"/>
      <c r="G876" s="70"/>
      <c r="H876" s="70"/>
      <c r="I876" s="70"/>
      <c r="J876" s="70"/>
      <c r="K876" s="70"/>
      <c r="L876" s="70"/>
      <c r="M876" s="70"/>
      <c r="N876" s="70"/>
      <c r="O876" s="70"/>
      <c r="P876" s="70"/>
      <c r="Q876" s="70"/>
      <c r="R876" s="70"/>
      <c r="S876" s="70"/>
      <c r="T876" s="70"/>
      <c r="U876" s="70"/>
      <c r="V876" s="70"/>
      <c r="W876" s="70"/>
      <c r="X876" s="70"/>
      <c r="Y876" s="70"/>
      <c r="Z876" s="70"/>
    </row>
    <row r="877">
      <c r="A877" s="70"/>
      <c r="B877" s="79"/>
      <c r="C877" s="79"/>
      <c r="D877" s="78"/>
      <c r="E877" s="71"/>
      <c r="F877" s="70"/>
      <c r="G877" s="70"/>
      <c r="H877" s="70"/>
      <c r="I877" s="70"/>
      <c r="J877" s="70"/>
      <c r="K877" s="70"/>
      <c r="L877" s="70"/>
      <c r="M877" s="70"/>
      <c r="N877" s="70"/>
      <c r="O877" s="70"/>
      <c r="P877" s="70"/>
      <c r="Q877" s="70"/>
      <c r="R877" s="70"/>
      <c r="S877" s="70"/>
      <c r="T877" s="70"/>
      <c r="U877" s="70"/>
      <c r="V877" s="70"/>
      <c r="W877" s="70"/>
      <c r="X877" s="70"/>
      <c r="Y877" s="70"/>
      <c r="Z877" s="70"/>
    </row>
    <row r="878">
      <c r="A878" s="70"/>
      <c r="B878" s="79"/>
      <c r="C878" s="79"/>
      <c r="D878" s="78"/>
      <c r="E878" s="71"/>
      <c r="F878" s="70"/>
      <c r="G878" s="70"/>
      <c r="H878" s="70"/>
      <c r="I878" s="70"/>
      <c r="J878" s="70"/>
      <c r="K878" s="70"/>
      <c r="L878" s="70"/>
      <c r="M878" s="70"/>
      <c r="N878" s="70"/>
      <c r="O878" s="70"/>
      <c r="P878" s="70"/>
      <c r="Q878" s="70"/>
      <c r="R878" s="70"/>
      <c r="S878" s="70"/>
      <c r="T878" s="70"/>
      <c r="U878" s="70"/>
      <c r="V878" s="70"/>
      <c r="W878" s="70"/>
      <c r="X878" s="70"/>
      <c r="Y878" s="70"/>
      <c r="Z878" s="70"/>
    </row>
    <row r="879">
      <c r="A879" s="70"/>
      <c r="B879" s="79"/>
      <c r="C879" s="79"/>
      <c r="D879" s="78"/>
      <c r="E879" s="71"/>
      <c r="F879" s="70"/>
      <c r="G879" s="70"/>
      <c r="H879" s="70"/>
      <c r="I879" s="70"/>
      <c r="J879" s="70"/>
      <c r="K879" s="70"/>
      <c r="L879" s="70"/>
      <c r="M879" s="70"/>
      <c r="N879" s="70"/>
      <c r="O879" s="70"/>
      <c r="P879" s="70"/>
      <c r="Q879" s="70"/>
      <c r="R879" s="70"/>
      <c r="S879" s="70"/>
      <c r="T879" s="70"/>
      <c r="U879" s="70"/>
      <c r="V879" s="70"/>
      <c r="W879" s="70"/>
      <c r="X879" s="70"/>
      <c r="Y879" s="70"/>
      <c r="Z879" s="70"/>
    </row>
    <row r="880">
      <c r="A880" s="70"/>
      <c r="B880" s="79"/>
      <c r="C880" s="79"/>
      <c r="D880" s="78"/>
      <c r="E880" s="71"/>
      <c r="F880" s="70"/>
      <c r="G880" s="70"/>
      <c r="H880" s="70"/>
      <c r="I880" s="70"/>
      <c r="J880" s="70"/>
      <c r="K880" s="70"/>
      <c r="L880" s="70"/>
      <c r="M880" s="70"/>
      <c r="N880" s="70"/>
      <c r="O880" s="70"/>
      <c r="P880" s="70"/>
      <c r="Q880" s="70"/>
      <c r="R880" s="70"/>
      <c r="S880" s="70"/>
      <c r="T880" s="70"/>
      <c r="U880" s="70"/>
      <c r="V880" s="70"/>
      <c r="W880" s="70"/>
      <c r="X880" s="70"/>
      <c r="Y880" s="70"/>
      <c r="Z880" s="70"/>
    </row>
    <row r="881">
      <c r="A881" s="70"/>
      <c r="B881" s="79"/>
      <c r="C881" s="79"/>
      <c r="D881" s="78"/>
      <c r="E881" s="71"/>
      <c r="F881" s="70"/>
      <c r="G881" s="70"/>
      <c r="H881" s="70"/>
      <c r="I881" s="70"/>
      <c r="J881" s="70"/>
      <c r="K881" s="70"/>
      <c r="L881" s="70"/>
      <c r="M881" s="70"/>
      <c r="N881" s="70"/>
      <c r="O881" s="70"/>
      <c r="P881" s="70"/>
      <c r="Q881" s="70"/>
      <c r="R881" s="70"/>
      <c r="S881" s="70"/>
      <c r="T881" s="70"/>
      <c r="U881" s="70"/>
      <c r="V881" s="70"/>
      <c r="W881" s="70"/>
      <c r="X881" s="70"/>
      <c r="Y881" s="70"/>
      <c r="Z881" s="70"/>
    </row>
    <row r="882">
      <c r="A882" s="70"/>
      <c r="B882" s="79"/>
      <c r="C882" s="79"/>
      <c r="D882" s="78"/>
      <c r="E882" s="71"/>
      <c r="F882" s="70"/>
      <c r="G882" s="70"/>
      <c r="H882" s="70"/>
      <c r="I882" s="70"/>
      <c r="J882" s="70"/>
      <c r="K882" s="70"/>
      <c r="L882" s="70"/>
      <c r="M882" s="70"/>
      <c r="N882" s="70"/>
      <c r="O882" s="70"/>
      <c r="P882" s="70"/>
      <c r="Q882" s="70"/>
      <c r="R882" s="70"/>
      <c r="S882" s="70"/>
      <c r="T882" s="70"/>
      <c r="U882" s="70"/>
      <c r="V882" s="70"/>
      <c r="W882" s="70"/>
      <c r="X882" s="70"/>
      <c r="Y882" s="70"/>
      <c r="Z882" s="70"/>
    </row>
    <row r="883">
      <c r="A883" s="70"/>
      <c r="B883" s="79"/>
      <c r="C883" s="79"/>
      <c r="D883" s="78"/>
      <c r="E883" s="71"/>
      <c r="F883" s="70"/>
      <c r="G883" s="70"/>
      <c r="H883" s="70"/>
      <c r="I883" s="70"/>
      <c r="J883" s="70"/>
      <c r="K883" s="70"/>
      <c r="L883" s="70"/>
      <c r="M883" s="70"/>
      <c r="N883" s="70"/>
      <c r="O883" s="70"/>
      <c r="P883" s="70"/>
      <c r="Q883" s="70"/>
      <c r="R883" s="70"/>
      <c r="S883" s="70"/>
      <c r="T883" s="70"/>
      <c r="U883" s="70"/>
      <c r="V883" s="70"/>
      <c r="W883" s="70"/>
      <c r="X883" s="70"/>
      <c r="Y883" s="70"/>
      <c r="Z883" s="70"/>
    </row>
    <row r="884">
      <c r="A884" s="70"/>
      <c r="B884" s="79"/>
      <c r="C884" s="79"/>
      <c r="D884" s="78"/>
      <c r="E884" s="71"/>
      <c r="F884" s="70"/>
      <c r="G884" s="70"/>
      <c r="H884" s="70"/>
      <c r="I884" s="70"/>
      <c r="J884" s="70"/>
      <c r="K884" s="70"/>
      <c r="L884" s="70"/>
      <c r="M884" s="70"/>
      <c r="N884" s="70"/>
      <c r="O884" s="70"/>
      <c r="P884" s="70"/>
      <c r="Q884" s="70"/>
      <c r="R884" s="70"/>
      <c r="S884" s="70"/>
      <c r="T884" s="70"/>
      <c r="U884" s="70"/>
      <c r="V884" s="70"/>
      <c r="W884" s="70"/>
      <c r="X884" s="70"/>
      <c r="Y884" s="70"/>
      <c r="Z884" s="70"/>
    </row>
    <row r="885">
      <c r="A885" s="70"/>
      <c r="B885" s="79"/>
      <c r="C885" s="79"/>
      <c r="D885" s="78"/>
      <c r="E885" s="71"/>
      <c r="F885" s="70"/>
      <c r="G885" s="70"/>
      <c r="H885" s="70"/>
      <c r="I885" s="70"/>
      <c r="J885" s="70"/>
      <c r="K885" s="70"/>
      <c r="L885" s="70"/>
      <c r="M885" s="70"/>
      <c r="N885" s="70"/>
      <c r="O885" s="70"/>
      <c r="P885" s="70"/>
      <c r="Q885" s="70"/>
      <c r="R885" s="70"/>
      <c r="S885" s="70"/>
      <c r="T885" s="70"/>
      <c r="U885" s="70"/>
      <c r="V885" s="70"/>
      <c r="W885" s="70"/>
      <c r="X885" s="70"/>
      <c r="Y885" s="70"/>
      <c r="Z885" s="70"/>
    </row>
    <row r="886">
      <c r="A886" s="70"/>
      <c r="B886" s="79"/>
      <c r="C886" s="79"/>
      <c r="D886" s="78"/>
      <c r="E886" s="71"/>
      <c r="F886" s="70"/>
      <c r="G886" s="70"/>
      <c r="H886" s="70"/>
      <c r="I886" s="70"/>
      <c r="J886" s="70"/>
      <c r="K886" s="70"/>
      <c r="L886" s="70"/>
      <c r="M886" s="70"/>
      <c r="N886" s="70"/>
      <c r="O886" s="70"/>
      <c r="P886" s="70"/>
      <c r="Q886" s="70"/>
      <c r="R886" s="70"/>
      <c r="S886" s="70"/>
      <c r="T886" s="70"/>
      <c r="U886" s="70"/>
      <c r="V886" s="70"/>
      <c r="W886" s="70"/>
      <c r="X886" s="70"/>
      <c r="Y886" s="70"/>
      <c r="Z886" s="70"/>
    </row>
    <row r="887">
      <c r="A887" s="70"/>
      <c r="B887" s="79"/>
      <c r="C887" s="79"/>
      <c r="D887" s="78"/>
      <c r="E887" s="71"/>
      <c r="F887" s="70"/>
      <c r="G887" s="70"/>
      <c r="H887" s="70"/>
      <c r="I887" s="70"/>
      <c r="J887" s="70"/>
      <c r="K887" s="70"/>
      <c r="L887" s="70"/>
      <c r="M887" s="70"/>
      <c r="N887" s="70"/>
      <c r="O887" s="70"/>
      <c r="P887" s="70"/>
      <c r="Q887" s="70"/>
      <c r="R887" s="70"/>
      <c r="S887" s="70"/>
      <c r="T887" s="70"/>
      <c r="U887" s="70"/>
      <c r="V887" s="70"/>
      <c r="W887" s="70"/>
      <c r="X887" s="70"/>
      <c r="Y887" s="70"/>
      <c r="Z887" s="70"/>
    </row>
    <row r="888">
      <c r="A888" s="70"/>
      <c r="B888" s="79"/>
      <c r="C888" s="79"/>
      <c r="D888" s="78"/>
      <c r="E888" s="71"/>
      <c r="F888" s="70"/>
      <c r="G888" s="70"/>
      <c r="H888" s="70"/>
      <c r="I888" s="70"/>
      <c r="J888" s="70"/>
      <c r="K888" s="70"/>
      <c r="L888" s="70"/>
      <c r="M888" s="70"/>
      <c r="N888" s="70"/>
      <c r="O888" s="70"/>
      <c r="P888" s="70"/>
      <c r="Q888" s="70"/>
      <c r="R888" s="70"/>
      <c r="S888" s="70"/>
      <c r="T888" s="70"/>
      <c r="U888" s="70"/>
      <c r="V888" s="70"/>
      <c r="W888" s="70"/>
      <c r="X888" s="70"/>
      <c r="Y888" s="70"/>
      <c r="Z888" s="70"/>
    </row>
    <row r="889">
      <c r="A889" s="70"/>
      <c r="B889" s="79"/>
      <c r="C889" s="79"/>
      <c r="D889" s="78"/>
      <c r="E889" s="71"/>
      <c r="F889" s="70"/>
      <c r="G889" s="70"/>
      <c r="H889" s="70"/>
      <c r="I889" s="70"/>
      <c r="J889" s="70"/>
      <c r="K889" s="70"/>
      <c r="L889" s="70"/>
      <c r="M889" s="70"/>
      <c r="N889" s="70"/>
      <c r="O889" s="70"/>
      <c r="P889" s="70"/>
      <c r="Q889" s="70"/>
      <c r="R889" s="70"/>
      <c r="S889" s="70"/>
      <c r="T889" s="70"/>
      <c r="U889" s="70"/>
      <c r="V889" s="70"/>
      <c r="W889" s="70"/>
      <c r="X889" s="70"/>
      <c r="Y889" s="70"/>
      <c r="Z889" s="70"/>
    </row>
    <row r="890">
      <c r="A890" s="70"/>
      <c r="B890" s="79"/>
      <c r="C890" s="79"/>
      <c r="D890" s="78"/>
      <c r="E890" s="71"/>
      <c r="F890" s="70"/>
      <c r="G890" s="70"/>
      <c r="H890" s="70"/>
      <c r="I890" s="70"/>
      <c r="J890" s="70"/>
      <c r="K890" s="70"/>
      <c r="L890" s="70"/>
      <c r="M890" s="70"/>
      <c r="N890" s="70"/>
      <c r="O890" s="70"/>
      <c r="P890" s="70"/>
      <c r="Q890" s="70"/>
      <c r="R890" s="70"/>
      <c r="S890" s="70"/>
      <c r="T890" s="70"/>
      <c r="U890" s="70"/>
      <c r="V890" s="70"/>
      <c r="W890" s="70"/>
      <c r="X890" s="70"/>
      <c r="Y890" s="70"/>
      <c r="Z890" s="70"/>
    </row>
    <row r="891">
      <c r="A891" s="70"/>
      <c r="B891" s="79"/>
      <c r="C891" s="79"/>
      <c r="D891" s="78"/>
      <c r="E891" s="71"/>
      <c r="F891" s="70"/>
      <c r="G891" s="70"/>
      <c r="H891" s="70"/>
      <c r="I891" s="70"/>
      <c r="J891" s="70"/>
      <c r="K891" s="70"/>
      <c r="L891" s="70"/>
      <c r="M891" s="70"/>
      <c r="N891" s="70"/>
      <c r="O891" s="70"/>
      <c r="P891" s="70"/>
      <c r="Q891" s="70"/>
      <c r="R891" s="70"/>
      <c r="S891" s="70"/>
      <c r="T891" s="70"/>
      <c r="U891" s="70"/>
      <c r="V891" s="70"/>
      <c r="W891" s="70"/>
      <c r="X891" s="70"/>
      <c r="Y891" s="70"/>
      <c r="Z891" s="70"/>
    </row>
    <row r="892">
      <c r="A892" s="70"/>
      <c r="B892" s="79"/>
      <c r="C892" s="79"/>
      <c r="D892" s="78"/>
      <c r="E892" s="71"/>
      <c r="F892" s="70"/>
      <c r="G892" s="70"/>
      <c r="H892" s="70"/>
      <c r="I892" s="70"/>
      <c r="J892" s="70"/>
      <c r="K892" s="70"/>
      <c r="L892" s="70"/>
      <c r="M892" s="70"/>
      <c r="N892" s="70"/>
      <c r="O892" s="70"/>
      <c r="P892" s="70"/>
      <c r="Q892" s="70"/>
      <c r="R892" s="70"/>
      <c r="S892" s="70"/>
      <c r="T892" s="70"/>
      <c r="U892" s="70"/>
      <c r="V892" s="70"/>
      <c r="W892" s="70"/>
      <c r="X892" s="70"/>
      <c r="Y892" s="70"/>
      <c r="Z892" s="70"/>
    </row>
    <row r="893">
      <c r="A893" s="70"/>
      <c r="B893" s="79"/>
      <c r="C893" s="79"/>
      <c r="D893" s="78"/>
      <c r="E893" s="71"/>
      <c r="F893" s="70"/>
      <c r="G893" s="70"/>
      <c r="H893" s="70"/>
      <c r="I893" s="70"/>
      <c r="J893" s="70"/>
      <c r="K893" s="70"/>
      <c r="L893" s="70"/>
      <c r="M893" s="70"/>
      <c r="N893" s="70"/>
      <c r="O893" s="70"/>
      <c r="P893" s="70"/>
      <c r="Q893" s="70"/>
      <c r="R893" s="70"/>
      <c r="S893" s="70"/>
      <c r="T893" s="70"/>
      <c r="U893" s="70"/>
      <c r="V893" s="70"/>
      <c r="W893" s="70"/>
      <c r="X893" s="70"/>
      <c r="Y893" s="70"/>
      <c r="Z893" s="70"/>
    </row>
    <row r="894">
      <c r="A894" s="70"/>
      <c r="B894" s="79"/>
      <c r="C894" s="79"/>
      <c r="D894" s="78"/>
      <c r="E894" s="71"/>
      <c r="F894" s="70"/>
      <c r="G894" s="70"/>
      <c r="H894" s="70"/>
      <c r="I894" s="70"/>
      <c r="J894" s="70"/>
      <c r="K894" s="70"/>
      <c r="L894" s="70"/>
      <c r="M894" s="70"/>
      <c r="N894" s="70"/>
      <c r="O894" s="70"/>
      <c r="P894" s="70"/>
      <c r="Q894" s="70"/>
      <c r="R894" s="70"/>
      <c r="S894" s="70"/>
      <c r="T894" s="70"/>
      <c r="U894" s="70"/>
      <c r="V894" s="70"/>
      <c r="W894" s="70"/>
      <c r="X894" s="70"/>
      <c r="Y894" s="70"/>
      <c r="Z894" s="70"/>
    </row>
    <row r="895">
      <c r="A895" s="70"/>
      <c r="B895" s="79"/>
      <c r="C895" s="79"/>
      <c r="D895" s="78"/>
      <c r="E895" s="71"/>
      <c r="F895" s="70"/>
      <c r="G895" s="70"/>
      <c r="H895" s="70"/>
      <c r="I895" s="70"/>
      <c r="J895" s="70"/>
      <c r="K895" s="70"/>
      <c r="L895" s="70"/>
      <c r="M895" s="70"/>
      <c r="N895" s="70"/>
      <c r="O895" s="70"/>
      <c r="P895" s="70"/>
      <c r="Q895" s="70"/>
      <c r="R895" s="70"/>
      <c r="S895" s="70"/>
      <c r="T895" s="70"/>
      <c r="U895" s="70"/>
      <c r="V895" s="70"/>
      <c r="W895" s="70"/>
      <c r="X895" s="70"/>
      <c r="Y895" s="70"/>
      <c r="Z895" s="70"/>
    </row>
    <row r="896">
      <c r="A896" s="70"/>
      <c r="B896" s="79"/>
      <c r="C896" s="79"/>
      <c r="D896" s="78"/>
      <c r="E896" s="71"/>
      <c r="F896" s="70"/>
      <c r="G896" s="70"/>
      <c r="H896" s="70"/>
      <c r="I896" s="70"/>
      <c r="J896" s="70"/>
      <c r="K896" s="70"/>
      <c r="L896" s="70"/>
      <c r="M896" s="70"/>
      <c r="N896" s="70"/>
      <c r="O896" s="70"/>
      <c r="P896" s="70"/>
      <c r="Q896" s="70"/>
      <c r="R896" s="70"/>
      <c r="S896" s="70"/>
      <c r="T896" s="70"/>
      <c r="U896" s="70"/>
      <c r="V896" s="70"/>
      <c r="W896" s="70"/>
      <c r="X896" s="70"/>
      <c r="Y896" s="70"/>
      <c r="Z896" s="70"/>
    </row>
    <row r="897">
      <c r="A897" s="70"/>
      <c r="B897" s="79"/>
      <c r="C897" s="79"/>
      <c r="D897" s="78"/>
      <c r="E897" s="71"/>
      <c r="F897" s="70"/>
      <c r="G897" s="70"/>
      <c r="H897" s="70"/>
      <c r="I897" s="70"/>
      <c r="J897" s="70"/>
      <c r="K897" s="70"/>
      <c r="L897" s="70"/>
      <c r="M897" s="70"/>
      <c r="N897" s="70"/>
      <c r="O897" s="70"/>
      <c r="P897" s="70"/>
      <c r="Q897" s="70"/>
      <c r="R897" s="70"/>
      <c r="S897" s="70"/>
      <c r="T897" s="70"/>
      <c r="U897" s="70"/>
      <c r="V897" s="70"/>
      <c r="W897" s="70"/>
      <c r="X897" s="70"/>
      <c r="Y897" s="70"/>
      <c r="Z897" s="70"/>
    </row>
    <row r="898">
      <c r="A898" s="70"/>
      <c r="B898" s="79"/>
      <c r="C898" s="79"/>
      <c r="D898" s="78"/>
      <c r="E898" s="71"/>
      <c r="F898" s="70"/>
      <c r="G898" s="70"/>
      <c r="H898" s="70"/>
      <c r="I898" s="70"/>
      <c r="J898" s="70"/>
      <c r="K898" s="70"/>
      <c r="L898" s="70"/>
      <c r="M898" s="70"/>
      <c r="N898" s="70"/>
      <c r="O898" s="70"/>
      <c r="P898" s="70"/>
      <c r="Q898" s="70"/>
      <c r="R898" s="70"/>
      <c r="S898" s="70"/>
      <c r="T898" s="70"/>
      <c r="U898" s="70"/>
      <c r="V898" s="70"/>
      <c r="W898" s="70"/>
      <c r="X898" s="70"/>
      <c r="Y898" s="70"/>
      <c r="Z898" s="70"/>
    </row>
    <row r="899">
      <c r="A899" s="70"/>
      <c r="B899" s="79"/>
      <c r="C899" s="79"/>
      <c r="D899" s="78"/>
      <c r="E899" s="71"/>
      <c r="F899" s="70"/>
      <c r="G899" s="70"/>
      <c r="H899" s="70"/>
      <c r="I899" s="70"/>
      <c r="J899" s="70"/>
      <c r="K899" s="70"/>
      <c r="L899" s="70"/>
      <c r="M899" s="70"/>
      <c r="N899" s="70"/>
      <c r="O899" s="70"/>
      <c r="P899" s="70"/>
      <c r="Q899" s="70"/>
      <c r="R899" s="70"/>
      <c r="S899" s="70"/>
      <c r="T899" s="70"/>
      <c r="U899" s="70"/>
      <c r="V899" s="70"/>
      <c r="W899" s="70"/>
      <c r="X899" s="70"/>
      <c r="Y899" s="70"/>
      <c r="Z899" s="70"/>
    </row>
    <row r="900">
      <c r="A900" s="70"/>
      <c r="B900" s="79"/>
      <c r="C900" s="79"/>
      <c r="D900" s="78"/>
      <c r="E900" s="71"/>
      <c r="F900" s="70"/>
      <c r="G900" s="70"/>
      <c r="H900" s="70"/>
      <c r="I900" s="70"/>
      <c r="J900" s="70"/>
      <c r="K900" s="70"/>
      <c r="L900" s="70"/>
      <c r="M900" s="70"/>
      <c r="N900" s="70"/>
      <c r="O900" s="70"/>
      <c r="P900" s="70"/>
      <c r="Q900" s="70"/>
      <c r="R900" s="70"/>
      <c r="S900" s="70"/>
      <c r="T900" s="70"/>
      <c r="U900" s="70"/>
      <c r="V900" s="70"/>
      <c r="W900" s="70"/>
      <c r="X900" s="70"/>
      <c r="Y900" s="70"/>
      <c r="Z900" s="70"/>
    </row>
    <row r="901">
      <c r="A901" s="70"/>
      <c r="B901" s="79"/>
      <c r="C901" s="79"/>
      <c r="D901" s="78"/>
      <c r="E901" s="71"/>
      <c r="F901" s="70"/>
      <c r="G901" s="70"/>
      <c r="H901" s="70"/>
      <c r="I901" s="70"/>
      <c r="J901" s="70"/>
      <c r="K901" s="70"/>
      <c r="L901" s="70"/>
      <c r="M901" s="70"/>
      <c r="N901" s="70"/>
      <c r="O901" s="70"/>
      <c r="P901" s="70"/>
      <c r="Q901" s="70"/>
      <c r="R901" s="70"/>
      <c r="S901" s="70"/>
      <c r="T901" s="70"/>
      <c r="U901" s="70"/>
      <c r="V901" s="70"/>
      <c r="W901" s="70"/>
      <c r="X901" s="70"/>
      <c r="Y901" s="70"/>
      <c r="Z901" s="70"/>
    </row>
    <row r="902">
      <c r="A902" s="70"/>
      <c r="B902" s="79"/>
      <c r="C902" s="79"/>
      <c r="D902" s="78"/>
      <c r="E902" s="71"/>
      <c r="F902" s="70"/>
      <c r="G902" s="70"/>
      <c r="H902" s="70"/>
      <c r="I902" s="70"/>
      <c r="J902" s="70"/>
      <c r="K902" s="70"/>
      <c r="L902" s="70"/>
      <c r="M902" s="70"/>
      <c r="N902" s="70"/>
      <c r="O902" s="70"/>
      <c r="P902" s="70"/>
      <c r="Q902" s="70"/>
      <c r="R902" s="70"/>
      <c r="S902" s="70"/>
      <c r="T902" s="70"/>
      <c r="U902" s="70"/>
      <c r="V902" s="70"/>
      <c r="W902" s="70"/>
      <c r="X902" s="70"/>
      <c r="Y902" s="70"/>
      <c r="Z902" s="70"/>
    </row>
    <row r="903">
      <c r="A903" s="70"/>
      <c r="B903" s="79"/>
      <c r="C903" s="79"/>
      <c r="D903" s="78"/>
      <c r="E903" s="71"/>
      <c r="F903" s="70"/>
      <c r="G903" s="70"/>
      <c r="H903" s="70"/>
      <c r="I903" s="70"/>
      <c r="J903" s="70"/>
      <c r="K903" s="70"/>
      <c r="L903" s="70"/>
      <c r="M903" s="70"/>
      <c r="N903" s="70"/>
      <c r="O903" s="70"/>
      <c r="P903" s="70"/>
      <c r="Q903" s="70"/>
      <c r="R903" s="70"/>
      <c r="S903" s="70"/>
      <c r="T903" s="70"/>
      <c r="U903" s="70"/>
      <c r="V903" s="70"/>
      <c r="W903" s="70"/>
      <c r="X903" s="70"/>
      <c r="Y903" s="70"/>
      <c r="Z903" s="70"/>
    </row>
    <row r="904">
      <c r="A904" s="70"/>
      <c r="B904" s="79"/>
      <c r="C904" s="79"/>
      <c r="D904" s="78"/>
      <c r="E904" s="71"/>
      <c r="F904" s="70"/>
      <c r="G904" s="70"/>
      <c r="H904" s="70"/>
      <c r="I904" s="70"/>
      <c r="J904" s="70"/>
      <c r="K904" s="70"/>
      <c r="L904" s="70"/>
      <c r="M904" s="70"/>
      <c r="N904" s="70"/>
      <c r="O904" s="70"/>
      <c r="P904" s="70"/>
      <c r="Q904" s="70"/>
      <c r="R904" s="70"/>
      <c r="S904" s="70"/>
      <c r="T904" s="70"/>
      <c r="U904" s="70"/>
      <c r="V904" s="70"/>
      <c r="W904" s="70"/>
      <c r="X904" s="70"/>
      <c r="Y904" s="70"/>
      <c r="Z904" s="70"/>
    </row>
    <row r="905">
      <c r="A905" s="70"/>
      <c r="B905" s="79"/>
      <c r="C905" s="79"/>
      <c r="D905" s="78"/>
      <c r="E905" s="71"/>
      <c r="F905" s="70"/>
      <c r="G905" s="70"/>
      <c r="H905" s="70"/>
      <c r="I905" s="70"/>
      <c r="J905" s="70"/>
      <c r="K905" s="70"/>
      <c r="L905" s="70"/>
      <c r="M905" s="70"/>
      <c r="N905" s="70"/>
      <c r="O905" s="70"/>
      <c r="P905" s="70"/>
      <c r="Q905" s="70"/>
      <c r="R905" s="70"/>
      <c r="S905" s="70"/>
      <c r="T905" s="70"/>
      <c r="U905" s="70"/>
      <c r="V905" s="70"/>
      <c r="W905" s="70"/>
      <c r="X905" s="70"/>
      <c r="Y905" s="70"/>
      <c r="Z905" s="70"/>
    </row>
    <row r="906">
      <c r="A906" s="70"/>
      <c r="B906" s="79"/>
      <c r="C906" s="79"/>
      <c r="D906" s="78"/>
      <c r="E906" s="71"/>
      <c r="F906" s="70"/>
      <c r="G906" s="70"/>
      <c r="H906" s="70"/>
      <c r="I906" s="70"/>
      <c r="J906" s="70"/>
      <c r="K906" s="70"/>
      <c r="L906" s="70"/>
      <c r="M906" s="70"/>
      <c r="N906" s="70"/>
      <c r="O906" s="70"/>
      <c r="P906" s="70"/>
      <c r="Q906" s="70"/>
      <c r="R906" s="70"/>
      <c r="S906" s="70"/>
      <c r="T906" s="70"/>
      <c r="U906" s="70"/>
      <c r="V906" s="70"/>
      <c r="W906" s="70"/>
      <c r="X906" s="70"/>
      <c r="Y906" s="70"/>
      <c r="Z906" s="70"/>
    </row>
    <row r="907">
      <c r="A907" s="70"/>
      <c r="B907" s="79"/>
      <c r="C907" s="79"/>
      <c r="D907" s="78"/>
      <c r="E907" s="71"/>
      <c r="F907" s="70"/>
      <c r="G907" s="70"/>
      <c r="H907" s="70"/>
      <c r="I907" s="70"/>
      <c r="J907" s="70"/>
      <c r="K907" s="70"/>
      <c r="L907" s="70"/>
      <c r="M907" s="70"/>
      <c r="N907" s="70"/>
      <c r="O907" s="70"/>
      <c r="P907" s="70"/>
      <c r="Q907" s="70"/>
      <c r="R907" s="70"/>
      <c r="S907" s="70"/>
      <c r="T907" s="70"/>
      <c r="U907" s="70"/>
      <c r="V907" s="70"/>
      <c r="W907" s="70"/>
      <c r="X907" s="70"/>
      <c r="Y907" s="70"/>
      <c r="Z907" s="70"/>
    </row>
    <row r="908">
      <c r="A908" s="70"/>
      <c r="B908" s="79"/>
      <c r="C908" s="79"/>
      <c r="D908" s="78"/>
      <c r="E908" s="71"/>
      <c r="F908" s="70"/>
      <c r="G908" s="70"/>
      <c r="H908" s="70"/>
      <c r="I908" s="70"/>
      <c r="J908" s="70"/>
      <c r="K908" s="70"/>
      <c r="L908" s="70"/>
      <c r="M908" s="70"/>
      <c r="N908" s="70"/>
      <c r="O908" s="70"/>
      <c r="P908" s="70"/>
      <c r="Q908" s="70"/>
      <c r="R908" s="70"/>
      <c r="S908" s="70"/>
      <c r="T908" s="70"/>
      <c r="U908" s="70"/>
      <c r="V908" s="70"/>
      <c r="W908" s="70"/>
      <c r="X908" s="70"/>
      <c r="Y908" s="70"/>
      <c r="Z908" s="70"/>
    </row>
    <row r="909">
      <c r="A909" s="70"/>
      <c r="B909" s="79"/>
      <c r="C909" s="79"/>
      <c r="D909" s="78"/>
      <c r="E909" s="71"/>
      <c r="F909" s="70"/>
      <c r="G909" s="70"/>
      <c r="H909" s="70"/>
      <c r="I909" s="70"/>
      <c r="J909" s="70"/>
      <c r="K909" s="70"/>
      <c r="L909" s="70"/>
      <c r="M909" s="70"/>
      <c r="N909" s="70"/>
      <c r="O909" s="70"/>
      <c r="P909" s="70"/>
      <c r="Q909" s="70"/>
      <c r="R909" s="70"/>
      <c r="S909" s="70"/>
      <c r="T909" s="70"/>
      <c r="U909" s="70"/>
      <c r="V909" s="70"/>
      <c r="W909" s="70"/>
      <c r="X909" s="70"/>
      <c r="Y909" s="70"/>
      <c r="Z909" s="70"/>
    </row>
    <row r="910">
      <c r="A910" s="70"/>
      <c r="B910" s="79"/>
      <c r="C910" s="79"/>
      <c r="D910" s="78"/>
      <c r="E910" s="71"/>
      <c r="F910" s="70"/>
      <c r="G910" s="70"/>
      <c r="H910" s="70"/>
      <c r="I910" s="70"/>
      <c r="J910" s="70"/>
      <c r="K910" s="70"/>
      <c r="L910" s="70"/>
      <c r="M910" s="70"/>
      <c r="N910" s="70"/>
      <c r="O910" s="70"/>
      <c r="P910" s="70"/>
      <c r="Q910" s="70"/>
      <c r="R910" s="70"/>
      <c r="S910" s="70"/>
      <c r="T910" s="70"/>
      <c r="U910" s="70"/>
      <c r="V910" s="70"/>
      <c r="W910" s="70"/>
      <c r="X910" s="70"/>
      <c r="Y910" s="70"/>
      <c r="Z910" s="70"/>
    </row>
    <row r="911">
      <c r="A911" s="70"/>
      <c r="B911" s="79"/>
      <c r="C911" s="79"/>
      <c r="D911" s="78"/>
      <c r="E911" s="71"/>
      <c r="F911" s="70"/>
      <c r="G911" s="70"/>
      <c r="H911" s="70"/>
      <c r="I911" s="70"/>
      <c r="J911" s="70"/>
      <c r="K911" s="70"/>
      <c r="L911" s="70"/>
      <c r="M911" s="70"/>
      <c r="N911" s="70"/>
      <c r="O911" s="70"/>
      <c r="P911" s="70"/>
      <c r="Q911" s="70"/>
      <c r="R911" s="70"/>
      <c r="S911" s="70"/>
      <c r="T911" s="70"/>
      <c r="U911" s="70"/>
      <c r="V911" s="70"/>
      <c r="W911" s="70"/>
      <c r="X911" s="70"/>
      <c r="Y911" s="70"/>
      <c r="Z911" s="70"/>
    </row>
    <row r="912">
      <c r="A912" s="70"/>
      <c r="B912" s="79"/>
      <c r="C912" s="79"/>
      <c r="D912" s="78"/>
      <c r="E912" s="71"/>
      <c r="F912" s="70"/>
      <c r="G912" s="70"/>
      <c r="H912" s="70"/>
      <c r="I912" s="70"/>
      <c r="J912" s="70"/>
      <c r="K912" s="70"/>
      <c r="L912" s="70"/>
      <c r="M912" s="70"/>
      <c r="N912" s="70"/>
      <c r="O912" s="70"/>
      <c r="P912" s="70"/>
      <c r="Q912" s="70"/>
      <c r="R912" s="70"/>
      <c r="S912" s="70"/>
      <c r="T912" s="70"/>
      <c r="U912" s="70"/>
      <c r="V912" s="70"/>
      <c r="W912" s="70"/>
      <c r="X912" s="70"/>
      <c r="Y912" s="70"/>
      <c r="Z912" s="70"/>
    </row>
    <row r="913">
      <c r="A913" s="70"/>
      <c r="B913" s="79"/>
      <c r="C913" s="79"/>
      <c r="D913" s="78"/>
      <c r="E913" s="71"/>
      <c r="F913" s="70"/>
      <c r="G913" s="70"/>
      <c r="H913" s="70"/>
      <c r="I913" s="70"/>
      <c r="J913" s="70"/>
      <c r="K913" s="70"/>
      <c r="L913" s="70"/>
      <c r="M913" s="70"/>
      <c r="N913" s="70"/>
      <c r="O913" s="70"/>
      <c r="P913" s="70"/>
      <c r="Q913" s="70"/>
      <c r="R913" s="70"/>
      <c r="S913" s="70"/>
      <c r="T913" s="70"/>
      <c r="U913" s="70"/>
      <c r="V913" s="70"/>
      <c r="W913" s="70"/>
      <c r="X913" s="70"/>
      <c r="Y913" s="70"/>
      <c r="Z913" s="70"/>
    </row>
    <row r="914">
      <c r="A914" s="70"/>
      <c r="B914" s="79"/>
      <c r="C914" s="79"/>
      <c r="D914" s="78"/>
      <c r="E914" s="71"/>
      <c r="F914" s="70"/>
      <c r="G914" s="70"/>
      <c r="H914" s="70"/>
      <c r="I914" s="70"/>
      <c r="J914" s="70"/>
      <c r="K914" s="70"/>
      <c r="L914" s="70"/>
      <c r="M914" s="70"/>
      <c r="N914" s="70"/>
      <c r="O914" s="70"/>
      <c r="P914" s="70"/>
      <c r="Q914" s="70"/>
      <c r="R914" s="70"/>
      <c r="S914" s="70"/>
      <c r="T914" s="70"/>
      <c r="U914" s="70"/>
      <c r="V914" s="70"/>
      <c r="W914" s="70"/>
      <c r="X914" s="70"/>
      <c r="Y914" s="70"/>
      <c r="Z914" s="70"/>
    </row>
    <row r="915">
      <c r="A915" s="70"/>
      <c r="B915" s="79"/>
      <c r="C915" s="79"/>
      <c r="D915" s="78"/>
      <c r="E915" s="71"/>
      <c r="F915" s="70"/>
      <c r="G915" s="70"/>
      <c r="H915" s="70"/>
      <c r="I915" s="70"/>
      <c r="J915" s="70"/>
      <c r="K915" s="70"/>
      <c r="L915" s="70"/>
      <c r="M915" s="70"/>
      <c r="N915" s="70"/>
      <c r="O915" s="70"/>
      <c r="P915" s="70"/>
      <c r="Q915" s="70"/>
      <c r="R915" s="70"/>
      <c r="S915" s="70"/>
      <c r="T915" s="70"/>
      <c r="U915" s="70"/>
      <c r="V915" s="70"/>
      <c r="W915" s="70"/>
      <c r="X915" s="70"/>
      <c r="Y915" s="70"/>
      <c r="Z915" s="70"/>
    </row>
    <row r="916">
      <c r="A916" s="70"/>
      <c r="B916" s="79"/>
      <c r="C916" s="79"/>
      <c r="D916" s="78"/>
      <c r="E916" s="71"/>
      <c r="F916" s="70"/>
      <c r="G916" s="70"/>
      <c r="H916" s="70"/>
      <c r="I916" s="70"/>
      <c r="J916" s="70"/>
      <c r="K916" s="70"/>
      <c r="L916" s="70"/>
      <c r="M916" s="70"/>
      <c r="N916" s="70"/>
      <c r="O916" s="70"/>
      <c r="P916" s="70"/>
      <c r="Q916" s="70"/>
      <c r="R916" s="70"/>
      <c r="S916" s="70"/>
      <c r="T916" s="70"/>
      <c r="U916" s="70"/>
      <c r="V916" s="70"/>
      <c r="W916" s="70"/>
      <c r="X916" s="70"/>
      <c r="Y916" s="70"/>
      <c r="Z916" s="70"/>
    </row>
    <row r="917">
      <c r="A917" s="70"/>
      <c r="B917" s="79"/>
      <c r="C917" s="79"/>
      <c r="D917" s="78"/>
      <c r="E917" s="71"/>
      <c r="F917" s="70"/>
      <c r="G917" s="70"/>
      <c r="H917" s="70"/>
      <c r="I917" s="70"/>
      <c r="J917" s="70"/>
      <c r="K917" s="70"/>
      <c r="L917" s="70"/>
      <c r="M917" s="70"/>
      <c r="N917" s="70"/>
      <c r="O917" s="70"/>
      <c r="P917" s="70"/>
      <c r="Q917" s="70"/>
      <c r="R917" s="70"/>
      <c r="S917" s="70"/>
      <c r="T917" s="70"/>
      <c r="U917" s="70"/>
      <c r="V917" s="70"/>
      <c r="W917" s="70"/>
      <c r="X917" s="70"/>
      <c r="Y917" s="70"/>
      <c r="Z917" s="70"/>
    </row>
    <row r="918">
      <c r="A918" s="70"/>
      <c r="B918" s="79"/>
      <c r="C918" s="79"/>
      <c r="D918" s="78"/>
      <c r="E918" s="71"/>
      <c r="F918" s="70"/>
      <c r="G918" s="70"/>
      <c r="H918" s="70"/>
      <c r="I918" s="70"/>
      <c r="J918" s="70"/>
      <c r="K918" s="70"/>
      <c r="L918" s="70"/>
      <c r="M918" s="70"/>
      <c r="N918" s="70"/>
      <c r="O918" s="70"/>
      <c r="P918" s="70"/>
      <c r="Q918" s="70"/>
      <c r="R918" s="70"/>
      <c r="S918" s="70"/>
      <c r="T918" s="70"/>
      <c r="U918" s="70"/>
      <c r="V918" s="70"/>
      <c r="W918" s="70"/>
      <c r="X918" s="70"/>
      <c r="Y918" s="70"/>
      <c r="Z918" s="70"/>
    </row>
    <row r="919">
      <c r="A919" s="70"/>
      <c r="B919" s="79"/>
      <c r="C919" s="79"/>
      <c r="D919" s="78"/>
      <c r="E919" s="71"/>
      <c r="F919" s="70"/>
      <c r="G919" s="70"/>
      <c r="H919" s="70"/>
      <c r="I919" s="70"/>
      <c r="J919" s="70"/>
      <c r="K919" s="70"/>
      <c r="L919" s="70"/>
      <c r="M919" s="70"/>
      <c r="N919" s="70"/>
      <c r="O919" s="70"/>
      <c r="P919" s="70"/>
      <c r="Q919" s="70"/>
      <c r="R919" s="70"/>
      <c r="S919" s="70"/>
      <c r="T919" s="70"/>
      <c r="U919" s="70"/>
      <c r="V919" s="70"/>
      <c r="W919" s="70"/>
      <c r="X919" s="70"/>
      <c r="Y919" s="70"/>
      <c r="Z919" s="70"/>
    </row>
    <row r="920">
      <c r="A920" s="70"/>
      <c r="B920" s="79"/>
      <c r="C920" s="79"/>
      <c r="D920" s="78"/>
      <c r="E920" s="71"/>
      <c r="F920" s="70"/>
      <c r="G920" s="70"/>
      <c r="H920" s="70"/>
      <c r="I920" s="70"/>
      <c r="J920" s="70"/>
      <c r="K920" s="70"/>
      <c r="L920" s="70"/>
      <c r="M920" s="70"/>
      <c r="N920" s="70"/>
      <c r="O920" s="70"/>
      <c r="P920" s="70"/>
      <c r="Q920" s="70"/>
      <c r="R920" s="70"/>
      <c r="S920" s="70"/>
      <c r="T920" s="70"/>
      <c r="U920" s="70"/>
      <c r="V920" s="70"/>
      <c r="W920" s="70"/>
      <c r="X920" s="70"/>
      <c r="Y920" s="70"/>
      <c r="Z920" s="70"/>
    </row>
    <row r="921">
      <c r="A921" s="70"/>
      <c r="B921" s="79"/>
      <c r="C921" s="79"/>
      <c r="D921" s="78"/>
      <c r="E921" s="71"/>
      <c r="F921" s="70"/>
      <c r="G921" s="70"/>
      <c r="H921" s="70"/>
      <c r="I921" s="70"/>
      <c r="J921" s="70"/>
      <c r="K921" s="70"/>
      <c r="L921" s="70"/>
      <c r="M921" s="70"/>
      <c r="N921" s="70"/>
      <c r="O921" s="70"/>
      <c r="P921" s="70"/>
      <c r="Q921" s="70"/>
      <c r="R921" s="70"/>
      <c r="S921" s="70"/>
      <c r="T921" s="70"/>
      <c r="U921" s="70"/>
      <c r="V921" s="70"/>
      <c r="W921" s="70"/>
      <c r="X921" s="70"/>
      <c r="Y921" s="70"/>
      <c r="Z921" s="70"/>
    </row>
    <row r="922">
      <c r="A922" s="70"/>
      <c r="B922" s="79"/>
      <c r="C922" s="79"/>
      <c r="D922" s="78"/>
      <c r="E922" s="71"/>
      <c r="F922" s="70"/>
      <c r="G922" s="70"/>
      <c r="H922" s="70"/>
      <c r="I922" s="70"/>
      <c r="J922" s="70"/>
      <c r="K922" s="70"/>
      <c r="L922" s="70"/>
      <c r="M922" s="70"/>
      <c r="N922" s="70"/>
      <c r="O922" s="70"/>
      <c r="P922" s="70"/>
      <c r="Q922" s="70"/>
      <c r="R922" s="70"/>
      <c r="S922" s="70"/>
      <c r="T922" s="70"/>
      <c r="U922" s="70"/>
      <c r="V922" s="70"/>
      <c r="W922" s="70"/>
      <c r="X922" s="70"/>
      <c r="Y922" s="70"/>
      <c r="Z922" s="70"/>
    </row>
    <row r="923">
      <c r="A923" s="70"/>
      <c r="B923" s="79"/>
      <c r="C923" s="79"/>
      <c r="D923" s="78"/>
      <c r="E923" s="71"/>
      <c r="F923" s="70"/>
      <c r="G923" s="70"/>
      <c r="H923" s="70"/>
      <c r="I923" s="70"/>
      <c r="J923" s="70"/>
      <c r="K923" s="70"/>
      <c r="L923" s="70"/>
      <c r="M923" s="70"/>
      <c r="N923" s="70"/>
      <c r="O923" s="70"/>
      <c r="P923" s="70"/>
      <c r="Q923" s="70"/>
      <c r="R923" s="70"/>
      <c r="S923" s="70"/>
      <c r="T923" s="70"/>
      <c r="U923" s="70"/>
      <c r="V923" s="70"/>
      <c r="W923" s="70"/>
      <c r="X923" s="70"/>
      <c r="Y923" s="70"/>
      <c r="Z923" s="70"/>
    </row>
    <row r="924">
      <c r="A924" s="70"/>
      <c r="B924" s="79"/>
      <c r="C924" s="79"/>
      <c r="D924" s="78"/>
      <c r="E924" s="71"/>
      <c r="F924" s="70"/>
      <c r="G924" s="70"/>
      <c r="H924" s="70"/>
      <c r="I924" s="70"/>
      <c r="J924" s="70"/>
      <c r="K924" s="70"/>
      <c r="L924" s="70"/>
      <c r="M924" s="70"/>
      <c r="N924" s="70"/>
      <c r="O924" s="70"/>
      <c r="P924" s="70"/>
      <c r="Q924" s="70"/>
      <c r="R924" s="70"/>
      <c r="S924" s="70"/>
      <c r="T924" s="70"/>
      <c r="U924" s="70"/>
      <c r="V924" s="70"/>
      <c r="W924" s="70"/>
      <c r="X924" s="70"/>
      <c r="Y924" s="70"/>
      <c r="Z924" s="70"/>
    </row>
    <row r="925">
      <c r="A925" s="70"/>
      <c r="B925" s="79"/>
      <c r="C925" s="79"/>
      <c r="D925" s="78"/>
      <c r="E925" s="71"/>
      <c r="F925" s="70"/>
      <c r="G925" s="70"/>
      <c r="H925" s="70"/>
      <c r="I925" s="70"/>
      <c r="J925" s="70"/>
      <c r="K925" s="70"/>
      <c r="L925" s="70"/>
      <c r="M925" s="70"/>
      <c r="N925" s="70"/>
      <c r="O925" s="70"/>
      <c r="P925" s="70"/>
      <c r="Q925" s="70"/>
      <c r="R925" s="70"/>
      <c r="S925" s="70"/>
      <c r="T925" s="70"/>
      <c r="U925" s="70"/>
      <c r="V925" s="70"/>
      <c r="W925" s="70"/>
      <c r="X925" s="70"/>
      <c r="Y925" s="70"/>
      <c r="Z925" s="70"/>
    </row>
    <row r="926">
      <c r="A926" s="70"/>
      <c r="B926" s="79"/>
      <c r="C926" s="79"/>
      <c r="D926" s="78"/>
      <c r="E926" s="71"/>
      <c r="F926" s="70"/>
      <c r="G926" s="70"/>
      <c r="H926" s="70"/>
      <c r="I926" s="70"/>
      <c r="J926" s="70"/>
      <c r="K926" s="70"/>
      <c r="L926" s="70"/>
      <c r="M926" s="70"/>
      <c r="N926" s="70"/>
      <c r="O926" s="70"/>
      <c r="P926" s="70"/>
      <c r="Q926" s="70"/>
      <c r="R926" s="70"/>
      <c r="S926" s="70"/>
      <c r="T926" s="70"/>
      <c r="U926" s="70"/>
      <c r="V926" s="70"/>
      <c r="W926" s="70"/>
      <c r="X926" s="70"/>
      <c r="Y926" s="70"/>
      <c r="Z926" s="70"/>
    </row>
    <row r="927">
      <c r="A927" s="70"/>
      <c r="B927" s="79"/>
      <c r="C927" s="79"/>
      <c r="D927" s="78"/>
      <c r="E927" s="71"/>
      <c r="F927" s="70"/>
      <c r="G927" s="70"/>
      <c r="H927" s="70"/>
      <c r="I927" s="70"/>
      <c r="J927" s="70"/>
      <c r="K927" s="70"/>
      <c r="L927" s="70"/>
      <c r="M927" s="70"/>
      <c r="N927" s="70"/>
      <c r="O927" s="70"/>
      <c r="P927" s="70"/>
      <c r="Q927" s="70"/>
      <c r="R927" s="70"/>
      <c r="S927" s="70"/>
      <c r="T927" s="70"/>
      <c r="U927" s="70"/>
      <c r="V927" s="70"/>
      <c r="W927" s="70"/>
      <c r="X927" s="70"/>
      <c r="Y927" s="70"/>
      <c r="Z927" s="70"/>
    </row>
    <row r="928">
      <c r="A928" s="70"/>
      <c r="B928" s="79"/>
      <c r="C928" s="79"/>
      <c r="D928" s="78"/>
      <c r="E928" s="71"/>
      <c r="F928" s="70"/>
      <c r="G928" s="70"/>
      <c r="H928" s="70"/>
      <c r="I928" s="70"/>
      <c r="J928" s="70"/>
      <c r="K928" s="70"/>
      <c r="L928" s="70"/>
      <c r="M928" s="70"/>
      <c r="N928" s="70"/>
      <c r="O928" s="70"/>
      <c r="P928" s="70"/>
      <c r="Q928" s="70"/>
      <c r="R928" s="70"/>
      <c r="S928" s="70"/>
      <c r="T928" s="70"/>
      <c r="U928" s="70"/>
      <c r="V928" s="70"/>
      <c r="W928" s="70"/>
      <c r="X928" s="70"/>
      <c r="Y928" s="70"/>
      <c r="Z928" s="70"/>
    </row>
    <row r="929">
      <c r="A929" s="70"/>
      <c r="B929" s="79"/>
      <c r="C929" s="79"/>
      <c r="D929" s="78"/>
      <c r="E929" s="71"/>
      <c r="F929" s="70"/>
      <c r="G929" s="70"/>
      <c r="H929" s="70"/>
      <c r="I929" s="70"/>
      <c r="J929" s="70"/>
      <c r="K929" s="70"/>
      <c r="L929" s="70"/>
      <c r="M929" s="70"/>
      <c r="N929" s="70"/>
      <c r="O929" s="70"/>
      <c r="P929" s="70"/>
      <c r="Q929" s="70"/>
      <c r="R929" s="70"/>
      <c r="S929" s="70"/>
      <c r="T929" s="70"/>
      <c r="U929" s="70"/>
      <c r="V929" s="70"/>
      <c r="W929" s="70"/>
      <c r="X929" s="70"/>
      <c r="Y929" s="70"/>
      <c r="Z929" s="70"/>
    </row>
    <row r="930">
      <c r="A930" s="70"/>
      <c r="B930" s="79"/>
      <c r="C930" s="79"/>
      <c r="D930" s="78"/>
      <c r="E930" s="71"/>
      <c r="F930" s="70"/>
      <c r="G930" s="70"/>
      <c r="H930" s="70"/>
      <c r="I930" s="70"/>
      <c r="J930" s="70"/>
      <c r="K930" s="70"/>
      <c r="L930" s="70"/>
      <c r="M930" s="70"/>
      <c r="N930" s="70"/>
      <c r="O930" s="70"/>
      <c r="P930" s="70"/>
      <c r="Q930" s="70"/>
      <c r="R930" s="70"/>
      <c r="S930" s="70"/>
      <c r="T930" s="70"/>
      <c r="U930" s="70"/>
      <c r="V930" s="70"/>
      <c r="W930" s="70"/>
      <c r="X930" s="70"/>
      <c r="Y930" s="70"/>
      <c r="Z930" s="70"/>
    </row>
    <row r="931">
      <c r="A931" s="70"/>
      <c r="B931" s="79"/>
      <c r="C931" s="79"/>
      <c r="D931" s="78"/>
      <c r="E931" s="71"/>
      <c r="F931" s="70"/>
      <c r="G931" s="70"/>
      <c r="H931" s="70"/>
      <c r="I931" s="70"/>
      <c r="J931" s="70"/>
      <c r="K931" s="70"/>
      <c r="L931" s="70"/>
      <c r="M931" s="70"/>
      <c r="N931" s="70"/>
      <c r="O931" s="70"/>
      <c r="P931" s="70"/>
      <c r="Q931" s="70"/>
      <c r="R931" s="70"/>
      <c r="S931" s="70"/>
      <c r="T931" s="70"/>
      <c r="U931" s="70"/>
      <c r="V931" s="70"/>
      <c r="W931" s="70"/>
      <c r="X931" s="70"/>
      <c r="Y931" s="70"/>
      <c r="Z931" s="70"/>
    </row>
    <row r="932">
      <c r="A932" s="70"/>
      <c r="B932" s="79"/>
      <c r="C932" s="79"/>
      <c r="D932" s="78"/>
      <c r="E932" s="71"/>
      <c r="F932" s="70"/>
      <c r="G932" s="70"/>
      <c r="H932" s="70"/>
      <c r="I932" s="70"/>
      <c r="J932" s="70"/>
      <c r="K932" s="70"/>
      <c r="L932" s="70"/>
      <c r="M932" s="70"/>
      <c r="N932" s="70"/>
      <c r="O932" s="70"/>
      <c r="P932" s="70"/>
      <c r="Q932" s="70"/>
      <c r="R932" s="70"/>
      <c r="S932" s="70"/>
      <c r="T932" s="70"/>
      <c r="U932" s="70"/>
      <c r="V932" s="70"/>
      <c r="W932" s="70"/>
      <c r="X932" s="70"/>
      <c r="Y932" s="70"/>
      <c r="Z932" s="70"/>
    </row>
    <row r="933">
      <c r="A933" s="70"/>
      <c r="B933" s="79"/>
      <c r="C933" s="79"/>
      <c r="D933" s="78"/>
      <c r="E933" s="71"/>
      <c r="F933" s="70"/>
      <c r="G933" s="70"/>
      <c r="H933" s="70"/>
      <c r="I933" s="70"/>
      <c r="J933" s="70"/>
      <c r="K933" s="70"/>
      <c r="L933" s="70"/>
      <c r="M933" s="70"/>
      <c r="N933" s="70"/>
      <c r="O933" s="70"/>
      <c r="P933" s="70"/>
      <c r="Q933" s="70"/>
      <c r="R933" s="70"/>
      <c r="S933" s="70"/>
      <c r="T933" s="70"/>
      <c r="U933" s="70"/>
      <c r="V933" s="70"/>
      <c r="W933" s="70"/>
      <c r="X933" s="70"/>
      <c r="Y933" s="70"/>
      <c r="Z933" s="70"/>
    </row>
    <row r="934">
      <c r="A934" s="70"/>
      <c r="B934" s="79"/>
      <c r="C934" s="79"/>
      <c r="D934" s="78"/>
      <c r="E934" s="71"/>
      <c r="F934" s="70"/>
      <c r="G934" s="70"/>
      <c r="H934" s="70"/>
      <c r="I934" s="70"/>
      <c r="J934" s="70"/>
      <c r="K934" s="70"/>
      <c r="L934" s="70"/>
      <c r="M934" s="70"/>
      <c r="N934" s="70"/>
      <c r="O934" s="70"/>
      <c r="P934" s="70"/>
      <c r="Q934" s="70"/>
      <c r="R934" s="70"/>
      <c r="S934" s="70"/>
      <c r="T934" s="70"/>
      <c r="U934" s="70"/>
      <c r="V934" s="70"/>
      <c r="W934" s="70"/>
      <c r="X934" s="70"/>
      <c r="Y934" s="70"/>
      <c r="Z934" s="70"/>
    </row>
    <row r="935">
      <c r="A935" s="70"/>
      <c r="B935" s="79"/>
      <c r="C935" s="79"/>
      <c r="D935" s="78"/>
      <c r="E935" s="71"/>
      <c r="F935" s="70"/>
      <c r="G935" s="70"/>
      <c r="H935" s="70"/>
      <c r="I935" s="70"/>
      <c r="J935" s="70"/>
      <c r="K935" s="70"/>
      <c r="L935" s="70"/>
      <c r="M935" s="70"/>
      <c r="N935" s="70"/>
      <c r="O935" s="70"/>
      <c r="P935" s="70"/>
      <c r="Q935" s="70"/>
      <c r="R935" s="70"/>
      <c r="S935" s="70"/>
      <c r="T935" s="70"/>
      <c r="U935" s="70"/>
      <c r="V935" s="70"/>
      <c r="W935" s="70"/>
      <c r="X935" s="70"/>
      <c r="Y935" s="70"/>
      <c r="Z935" s="70"/>
    </row>
    <row r="936">
      <c r="A936" s="70"/>
      <c r="B936" s="79"/>
      <c r="C936" s="79"/>
      <c r="D936" s="78"/>
      <c r="E936" s="71"/>
      <c r="F936" s="70"/>
      <c r="G936" s="70"/>
      <c r="H936" s="70"/>
      <c r="I936" s="70"/>
      <c r="J936" s="70"/>
      <c r="K936" s="70"/>
      <c r="L936" s="70"/>
      <c r="M936" s="70"/>
      <c r="N936" s="70"/>
      <c r="O936" s="70"/>
      <c r="P936" s="70"/>
      <c r="Q936" s="70"/>
      <c r="R936" s="70"/>
      <c r="S936" s="70"/>
      <c r="T936" s="70"/>
      <c r="U936" s="70"/>
      <c r="V936" s="70"/>
      <c r="W936" s="70"/>
      <c r="X936" s="70"/>
      <c r="Y936" s="70"/>
      <c r="Z936" s="70"/>
    </row>
    <row r="937">
      <c r="A937" s="70"/>
      <c r="B937" s="79"/>
      <c r="C937" s="79"/>
      <c r="D937" s="78"/>
      <c r="E937" s="71"/>
      <c r="F937" s="70"/>
      <c r="G937" s="70"/>
      <c r="H937" s="70"/>
      <c r="I937" s="70"/>
      <c r="J937" s="70"/>
      <c r="K937" s="70"/>
      <c r="L937" s="70"/>
      <c r="M937" s="70"/>
      <c r="N937" s="70"/>
      <c r="O937" s="70"/>
      <c r="P937" s="70"/>
      <c r="Q937" s="70"/>
      <c r="R937" s="70"/>
      <c r="S937" s="70"/>
      <c r="T937" s="70"/>
      <c r="U937" s="70"/>
      <c r="V937" s="70"/>
      <c r="W937" s="70"/>
      <c r="X937" s="70"/>
      <c r="Y937" s="70"/>
      <c r="Z937" s="70"/>
    </row>
    <row r="938">
      <c r="A938" s="70"/>
      <c r="B938" s="79"/>
      <c r="C938" s="79"/>
      <c r="D938" s="78"/>
      <c r="E938" s="71"/>
      <c r="F938" s="70"/>
      <c r="G938" s="70"/>
      <c r="H938" s="70"/>
      <c r="I938" s="70"/>
      <c r="J938" s="70"/>
      <c r="K938" s="70"/>
      <c r="L938" s="70"/>
      <c r="M938" s="70"/>
      <c r="N938" s="70"/>
      <c r="O938" s="70"/>
      <c r="P938" s="70"/>
      <c r="Q938" s="70"/>
      <c r="R938" s="70"/>
      <c r="S938" s="70"/>
      <c r="T938" s="70"/>
      <c r="U938" s="70"/>
      <c r="V938" s="70"/>
      <c r="W938" s="70"/>
      <c r="X938" s="70"/>
      <c r="Y938" s="70"/>
      <c r="Z938" s="70"/>
    </row>
    <row r="939">
      <c r="A939" s="70"/>
      <c r="B939" s="79"/>
      <c r="C939" s="79"/>
      <c r="D939" s="78"/>
      <c r="E939" s="71"/>
      <c r="F939" s="70"/>
      <c r="G939" s="70"/>
      <c r="H939" s="70"/>
      <c r="I939" s="70"/>
      <c r="J939" s="70"/>
      <c r="K939" s="70"/>
      <c r="L939" s="70"/>
      <c r="M939" s="70"/>
      <c r="N939" s="70"/>
      <c r="O939" s="70"/>
      <c r="P939" s="70"/>
      <c r="Q939" s="70"/>
      <c r="R939" s="70"/>
      <c r="S939" s="70"/>
      <c r="T939" s="70"/>
      <c r="U939" s="70"/>
      <c r="V939" s="70"/>
      <c r="W939" s="70"/>
      <c r="X939" s="70"/>
      <c r="Y939" s="70"/>
      <c r="Z939" s="70"/>
    </row>
    <row r="940">
      <c r="A940" s="70"/>
      <c r="B940" s="79"/>
      <c r="C940" s="79"/>
      <c r="D940" s="78"/>
      <c r="E940" s="71"/>
      <c r="F940" s="70"/>
      <c r="G940" s="70"/>
      <c r="H940" s="70"/>
      <c r="I940" s="70"/>
      <c r="J940" s="70"/>
      <c r="K940" s="70"/>
      <c r="L940" s="70"/>
      <c r="M940" s="70"/>
      <c r="N940" s="70"/>
      <c r="O940" s="70"/>
      <c r="P940" s="70"/>
      <c r="Q940" s="70"/>
      <c r="R940" s="70"/>
      <c r="S940" s="70"/>
      <c r="T940" s="70"/>
      <c r="U940" s="70"/>
      <c r="V940" s="70"/>
      <c r="W940" s="70"/>
      <c r="X940" s="70"/>
      <c r="Y940" s="70"/>
      <c r="Z940" s="70"/>
    </row>
    <row r="941">
      <c r="A941" s="70"/>
      <c r="B941" s="79"/>
      <c r="C941" s="79"/>
      <c r="D941" s="78"/>
      <c r="E941" s="71"/>
      <c r="F941" s="70"/>
      <c r="G941" s="70"/>
      <c r="H941" s="70"/>
      <c r="I941" s="70"/>
      <c r="J941" s="70"/>
      <c r="K941" s="70"/>
      <c r="L941" s="70"/>
      <c r="M941" s="70"/>
      <c r="N941" s="70"/>
      <c r="O941" s="70"/>
      <c r="P941" s="70"/>
      <c r="Q941" s="70"/>
      <c r="R941" s="70"/>
      <c r="S941" s="70"/>
      <c r="T941" s="70"/>
      <c r="U941" s="70"/>
      <c r="V941" s="70"/>
      <c r="W941" s="70"/>
      <c r="X941" s="70"/>
      <c r="Y941" s="70"/>
      <c r="Z941" s="70"/>
    </row>
    <row r="942">
      <c r="A942" s="70"/>
      <c r="B942" s="79"/>
      <c r="C942" s="79"/>
      <c r="D942" s="78"/>
      <c r="E942" s="71"/>
      <c r="F942" s="70"/>
      <c r="G942" s="70"/>
      <c r="H942" s="70"/>
      <c r="I942" s="70"/>
      <c r="J942" s="70"/>
      <c r="K942" s="70"/>
      <c r="L942" s="70"/>
      <c r="M942" s="70"/>
      <c r="N942" s="70"/>
      <c r="O942" s="70"/>
      <c r="P942" s="70"/>
      <c r="Q942" s="70"/>
      <c r="R942" s="70"/>
      <c r="S942" s="70"/>
      <c r="T942" s="70"/>
      <c r="U942" s="70"/>
      <c r="V942" s="70"/>
      <c r="W942" s="70"/>
      <c r="X942" s="70"/>
      <c r="Y942" s="70"/>
      <c r="Z942" s="70"/>
    </row>
    <row r="943">
      <c r="A943" s="70"/>
      <c r="B943" s="79"/>
      <c r="C943" s="79"/>
      <c r="D943" s="78"/>
      <c r="E943" s="71"/>
      <c r="F943" s="70"/>
      <c r="G943" s="70"/>
      <c r="H943" s="70"/>
      <c r="I943" s="70"/>
      <c r="J943" s="70"/>
      <c r="K943" s="70"/>
      <c r="L943" s="70"/>
      <c r="M943" s="70"/>
      <c r="N943" s="70"/>
      <c r="O943" s="70"/>
      <c r="P943" s="70"/>
      <c r="Q943" s="70"/>
      <c r="R943" s="70"/>
      <c r="S943" s="70"/>
      <c r="T943" s="70"/>
      <c r="U943" s="70"/>
      <c r="V943" s="70"/>
      <c r="W943" s="70"/>
      <c r="X943" s="70"/>
      <c r="Y943" s="70"/>
      <c r="Z943" s="70"/>
    </row>
    <row r="944">
      <c r="A944" s="70"/>
      <c r="B944" s="79"/>
      <c r="C944" s="79"/>
      <c r="D944" s="78"/>
      <c r="E944" s="71"/>
      <c r="F944" s="70"/>
      <c r="G944" s="70"/>
      <c r="H944" s="70"/>
      <c r="I944" s="70"/>
      <c r="J944" s="70"/>
      <c r="K944" s="70"/>
      <c r="L944" s="70"/>
      <c r="M944" s="70"/>
      <c r="N944" s="70"/>
      <c r="O944" s="70"/>
      <c r="P944" s="70"/>
      <c r="Q944" s="70"/>
      <c r="R944" s="70"/>
      <c r="S944" s="70"/>
      <c r="T944" s="70"/>
      <c r="U944" s="70"/>
      <c r="V944" s="70"/>
      <c r="W944" s="70"/>
      <c r="X944" s="70"/>
      <c r="Y944" s="70"/>
      <c r="Z944" s="70"/>
    </row>
    <row r="945">
      <c r="A945" s="70"/>
      <c r="B945" s="79"/>
      <c r="C945" s="79"/>
      <c r="D945" s="78"/>
      <c r="E945" s="71"/>
      <c r="F945" s="70"/>
      <c r="G945" s="70"/>
      <c r="H945" s="70"/>
      <c r="I945" s="70"/>
      <c r="J945" s="70"/>
      <c r="K945" s="70"/>
      <c r="L945" s="70"/>
      <c r="M945" s="70"/>
      <c r="N945" s="70"/>
      <c r="O945" s="70"/>
      <c r="P945" s="70"/>
      <c r="Q945" s="70"/>
      <c r="R945" s="70"/>
      <c r="S945" s="70"/>
      <c r="T945" s="70"/>
      <c r="U945" s="70"/>
      <c r="V945" s="70"/>
      <c r="W945" s="70"/>
      <c r="X945" s="70"/>
      <c r="Y945" s="70"/>
      <c r="Z945" s="70"/>
    </row>
    <row r="946">
      <c r="A946" s="70"/>
      <c r="B946" s="79"/>
      <c r="C946" s="79"/>
      <c r="D946" s="78"/>
      <c r="E946" s="71"/>
      <c r="F946" s="70"/>
      <c r="G946" s="70"/>
      <c r="H946" s="70"/>
      <c r="I946" s="70"/>
      <c r="J946" s="70"/>
      <c r="K946" s="70"/>
      <c r="L946" s="70"/>
      <c r="M946" s="70"/>
      <c r="N946" s="70"/>
      <c r="O946" s="70"/>
      <c r="P946" s="70"/>
      <c r="Q946" s="70"/>
      <c r="R946" s="70"/>
      <c r="S946" s="70"/>
      <c r="T946" s="70"/>
      <c r="U946" s="70"/>
      <c r="V946" s="70"/>
      <c r="W946" s="70"/>
      <c r="X946" s="70"/>
      <c r="Y946" s="70"/>
      <c r="Z946" s="70"/>
    </row>
    <row r="947">
      <c r="A947" s="70"/>
      <c r="B947" s="79"/>
      <c r="C947" s="79"/>
      <c r="D947" s="78"/>
      <c r="E947" s="71"/>
      <c r="F947" s="70"/>
      <c r="G947" s="70"/>
      <c r="H947" s="70"/>
      <c r="I947" s="70"/>
      <c r="J947" s="70"/>
      <c r="K947" s="70"/>
      <c r="L947" s="70"/>
      <c r="M947" s="70"/>
      <c r="N947" s="70"/>
      <c r="O947" s="70"/>
      <c r="P947" s="70"/>
      <c r="Q947" s="70"/>
      <c r="R947" s="70"/>
      <c r="S947" s="70"/>
      <c r="T947" s="70"/>
      <c r="U947" s="70"/>
      <c r="V947" s="70"/>
      <c r="W947" s="70"/>
      <c r="X947" s="70"/>
      <c r="Y947" s="70"/>
      <c r="Z947" s="70"/>
    </row>
    <row r="948">
      <c r="A948" s="70"/>
      <c r="B948" s="79"/>
      <c r="C948" s="79"/>
      <c r="D948" s="78"/>
      <c r="E948" s="71"/>
      <c r="F948" s="70"/>
      <c r="G948" s="70"/>
      <c r="H948" s="70"/>
      <c r="I948" s="70"/>
      <c r="J948" s="70"/>
      <c r="K948" s="70"/>
      <c r="L948" s="70"/>
      <c r="M948" s="70"/>
      <c r="N948" s="70"/>
      <c r="O948" s="70"/>
      <c r="P948" s="70"/>
      <c r="Q948" s="70"/>
      <c r="R948" s="70"/>
      <c r="S948" s="70"/>
      <c r="T948" s="70"/>
      <c r="U948" s="70"/>
      <c r="V948" s="70"/>
      <c r="W948" s="70"/>
      <c r="X948" s="70"/>
      <c r="Y948" s="70"/>
      <c r="Z948" s="70"/>
    </row>
    <row r="949">
      <c r="A949" s="70"/>
      <c r="B949" s="79"/>
      <c r="C949" s="79"/>
      <c r="D949" s="78"/>
      <c r="E949" s="71"/>
      <c r="F949" s="70"/>
      <c r="G949" s="70"/>
      <c r="H949" s="70"/>
      <c r="I949" s="70"/>
      <c r="J949" s="70"/>
      <c r="K949" s="70"/>
      <c r="L949" s="70"/>
      <c r="M949" s="70"/>
      <c r="N949" s="70"/>
      <c r="O949" s="70"/>
      <c r="P949" s="70"/>
      <c r="Q949" s="70"/>
      <c r="R949" s="70"/>
      <c r="S949" s="70"/>
      <c r="T949" s="70"/>
      <c r="U949" s="70"/>
      <c r="V949" s="70"/>
      <c r="W949" s="70"/>
      <c r="X949" s="70"/>
      <c r="Y949" s="70"/>
      <c r="Z949" s="70"/>
    </row>
    <row r="950">
      <c r="A950" s="70"/>
      <c r="B950" s="79"/>
      <c r="C950" s="79"/>
      <c r="D950" s="78"/>
      <c r="E950" s="71"/>
      <c r="F950" s="70"/>
      <c r="G950" s="70"/>
      <c r="H950" s="70"/>
      <c r="I950" s="70"/>
      <c r="J950" s="70"/>
      <c r="K950" s="70"/>
      <c r="L950" s="70"/>
      <c r="M950" s="70"/>
      <c r="N950" s="70"/>
      <c r="O950" s="70"/>
      <c r="P950" s="70"/>
      <c r="Q950" s="70"/>
      <c r="R950" s="70"/>
      <c r="S950" s="70"/>
      <c r="T950" s="70"/>
      <c r="U950" s="70"/>
      <c r="V950" s="70"/>
      <c r="W950" s="70"/>
      <c r="X950" s="70"/>
      <c r="Y950" s="70"/>
      <c r="Z950" s="70"/>
    </row>
    <row r="951">
      <c r="A951" s="70"/>
      <c r="B951" s="79"/>
      <c r="C951" s="79"/>
      <c r="D951" s="78"/>
      <c r="E951" s="71"/>
      <c r="F951" s="70"/>
      <c r="G951" s="70"/>
      <c r="H951" s="70"/>
      <c r="I951" s="70"/>
      <c r="J951" s="70"/>
      <c r="K951" s="70"/>
      <c r="L951" s="70"/>
      <c r="M951" s="70"/>
      <c r="N951" s="70"/>
      <c r="O951" s="70"/>
      <c r="P951" s="70"/>
      <c r="Q951" s="70"/>
      <c r="R951" s="70"/>
      <c r="S951" s="70"/>
      <c r="T951" s="70"/>
      <c r="U951" s="70"/>
      <c r="V951" s="70"/>
      <c r="W951" s="70"/>
      <c r="X951" s="70"/>
      <c r="Y951" s="70"/>
      <c r="Z951" s="70"/>
    </row>
    <row r="952">
      <c r="A952" s="70"/>
      <c r="B952" s="79"/>
      <c r="C952" s="79"/>
      <c r="D952" s="78"/>
      <c r="E952" s="71"/>
      <c r="F952" s="70"/>
      <c r="G952" s="70"/>
      <c r="H952" s="70"/>
      <c r="I952" s="70"/>
      <c r="J952" s="70"/>
      <c r="K952" s="70"/>
      <c r="L952" s="70"/>
      <c r="M952" s="70"/>
      <c r="N952" s="70"/>
      <c r="O952" s="70"/>
      <c r="P952" s="70"/>
      <c r="Q952" s="70"/>
      <c r="R952" s="70"/>
      <c r="S952" s="70"/>
      <c r="T952" s="70"/>
      <c r="U952" s="70"/>
      <c r="V952" s="70"/>
      <c r="W952" s="70"/>
      <c r="X952" s="70"/>
      <c r="Y952" s="70"/>
      <c r="Z952" s="70"/>
    </row>
    <row r="953">
      <c r="A953" s="70"/>
      <c r="B953" s="79"/>
      <c r="C953" s="79"/>
      <c r="D953" s="78"/>
      <c r="E953" s="71"/>
      <c r="F953" s="70"/>
      <c r="G953" s="70"/>
      <c r="H953" s="70"/>
      <c r="I953" s="70"/>
      <c r="J953" s="70"/>
      <c r="K953" s="70"/>
      <c r="L953" s="70"/>
      <c r="M953" s="70"/>
      <c r="N953" s="70"/>
      <c r="O953" s="70"/>
      <c r="P953" s="70"/>
      <c r="Q953" s="70"/>
      <c r="R953" s="70"/>
      <c r="S953" s="70"/>
      <c r="T953" s="70"/>
      <c r="U953" s="70"/>
      <c r="V953" s="70"/>
      <c r="W953" s="70"/>
      <c r="X953" s="70"/>
      <c r="Y953" s="70"/>
      <c r="Z953" s="70"/>
    </row>
    <row r="954">
      <c r="A954" s="70"/>
      <c r="B954" s="79"/>
      <c r="C954" s="79"/>
      <c r="D954" s="78"/>
      <c r="E954" s="71"/>
      <c r="F954" s="70"/>
      <c r="G954" s="70"/>
      <c r="H954" s="70"/>
      <c r="I954" s="70"/>
      <c r="J954" s="70"/>
      <c r="K954" s="70"/>
      <c r="L954" s="70"/>
      <c r="M954" s="70"/>
      <c r="N954" s="70"/>
      <c r="O954" s="70"/>
      <c r="P954" s="70"/>
      <c r="Q954" s="70"/>
      <c r="R954" s="70"/>
      <c r="S954" s="70"/>
      <c r="T954" s="70"/>
      <c r="U954" s="70"/>
      <c r="V954" s="70"/>
      <c r="W954" s="70"/>
      <c r="X954" s="70"/>
      <c r="Y954" s="70"/>
      <c r="Z954" s="70"/>
    </row>
    <row r="955">
      <c r="A955" s="70"/>
      <c r="B955" s="79"/>
      <c r="C955" s="79"/>
      <c r="D955" s="78"/>
      <c r="E955" s="71"/>
      <c r="F955" s="70"/>
      <c r="G955" s="70"/>
      <c r="H955" s="70"/>
      <c r="I955" s="70"/>
      <c r="J955" s="70"/>
      <c r="K955" s="70"/>
      <c r="L955" s="70"/>
      <c r="M955" s="70"/>
      <c r="N955" s="70"/>
      <c r="O955" s="70"/>
      <c r="P955" s="70"/>
      <c r="Q955" s="70"/>
      <c r="R955" s="70"/>
      <c r="S955" s="70"/>
      <c r="T955" s="70"/>
      <c r="U955" s="70"/>
      <c r="V955" s="70"/>
      <c r="W955" s="70"/>
      <c r="X955" s="70"/>
      <c r="Y955" s="70"/>
      <c r="Z955" s="70"/>
    </row>
    <row r="956">
      <c r="A956" s="70"/>
      <c r="B956" s="79"/>
      <c r="C956" s="79"/>
      <c r="D956" s="78"/>
      <c r="E956" s="71"/>
      <c r="F956" s="70"/>
      <c r="G956" s="70"/>
      <c r="H956" s="70"/>
      <c r="I956" s="70"/>
      <c r="J956" s="70"/>
      <c r="K956" s="70"/>
      <c r="L956" s="70"/>
      <c r="M956" s="70"/>
      <c r="N956" s="70"/>
      <c r="O956" s="70"/>
      <c r="P956" s="70"/>
      <c r="Q956" s="70"/>
      <c r="R956" s="70"/>
      <c r="S956" s="70"/>
      <c r="T956" s="70"/>
      <c r="U956" s="70"/>
      <c r="V956" s="70"/>
      <c r="W956" s="70"/>
      <c r="X956" s="70"/>
      <c r="Y956" s="70"/>
      <c r="Z956" s="70"/>
    </row>
    <row r="957">
      <c r="A957" s="70"/>
      <c r="B957" s="79"/>
      <c r="C957" s="79"/>
      <c r="D957" s="78"/>
      <c r="E957" s="71"/>
      <c r="F957" s="70"/>
      <c r="G957" s="70"/>
      <c r="H957" s="70"/>
      <c r="I957" s="70"/>
      <c r="J957" s="70"/>
      <c r="K957" s="70"/>
      <c r="L957" s="70"/>
      <c r="M957" s="70"/>
      <c r="N957" s="70"/>
      <c r="O957" s="70"/>
      <c r="P957" s="70"/>
      <c r="Q957" s="70"/>
      <c r="R957" s="70"/>
      <c r="S957" s="70"/>
      <c r="T957" s="70"/>
      <c r="U957" s="70"/>
      <c r="V957" s="70"/>
      <c r="W957" s="70"/>
      <c r="X957" s="70"/>
      <c r="Y957" s="70"/>
      <c r="Z957" s="70"/>
    </row>
    <row r="958">
      <c r="A958" s="70"/>
      <c r="B958" s="79"/>
      <c r="C958" s="79"/>
      <c r="D958" s="78"/>
      <c r="E958" s="71"/>
      <c r="F958" s="70"/>
      <c r="G958" s="70"/>
      <c r="H958" s="70"/>
      <c r="I958" s="70"/>
      <c r="J958" s="70"/>
      <c r="K958" s="70"/>
      <c r="L958" s="70"/>
      <c r="M958" s="70"/>
      <c r="N958" s="70"/>
      <c r="O958" s="70"/>
      <c r="P958" s="70"/>
      <c r="Q958" s="70"/>
      <c r="R958" s="70"/>
      <c r="S958" s="70"/>
      <c r="T958" s="70"/>
      <c r="U958" s="70"/>
      <c r="V958" s="70"/>
      <c r="W958" s="70"/>
      <c r="X958" s="70"/>
      <c r="Y958" s="70"/>
      <c r="Z958" s="70"/>
    </row>
    <row r="959">
      <c r="A959" s="70"/>
      <c r="B959" s="79"/>
      <c r="C959" s="79"/>
      <c r="D959" s="78"/>
      <c r="E959" s="71"/>
      <c r="F959" s="70"/>
      <c r="G959" s="70"/>
      <c r="H959" s="70"/>
      <c r="I959" s="70"/>
      <c r="J959" s="70"/>
      <c r="K959" s="70"/>
      <c r="L959" s="70"/>
      <c r="M959" s="70"/>
      <c r="N959" s="70"/>
      <c r="O959" s="70"/>
      <c r="P959" s="70"/>
      <c r="Q959" s="70"/>
      <c r="R959" s="70"/>
      <c r="S959" s="70"/>
      <c r="T959" s="70"/>
      <c r="U959" s="70"/>
      <c r="V959" s="70"/>
      <c r="W959" s="70"/>
      <c r="X959" s="70"/>
      <c r="Y959" s="70"/>
      <c r="Z959" s="70"/>
    </row>
    <row r="960">
      <c r="A960" s="70"/>
      <c r="B960" s="79"/>
      <c r="C960" s="79"/>
      <c r="D960" s="78"/>
      <c r="E960" s="71"/>
      <c r="F960" s="70"/>
      <c r="G960" s="70"/>
      <c r="H960" s="70"/>
      <c r="I960" s="70"/>
      <c r="J960" s="70"/>
      <c r="K960" s="70"/>
      <c r="L960" s="70"/>
      <c r="M960" s="70"/>
      <c r="N960" s="70"/>
      <c r="O960" s="70"/>
      <c r="P960" s="70"/>
      <c r="Q960" s="70"/>
      <c r="R960" s="70"/>
      <c r="S960" s="70"/>
      <c r="T960" s="70"/>
      <c r="U960" s="70"/>
      <c r="V960" s="70"/>
      <c r="W960" s="70"/>
      <c r="X960" s="70"/>
      <c r="Y960" s="70"/>
      <c r="Z960" s="70"/>
    </row>
    <row r="961">
      <c r="A961" s="70"/>
      <c r="B961" s="79"/>
      <c r="C961" s="79"/>
      <c r="D961" s="78"/>
      <c r="E961" s="71"/>
      <c r="F961" s="70"/>
      <c r="G961" s="70"/>
      <c r="H961" s="70"/>
      <c r="I961" s="70"/>
      <c r="J961" s="70"/>
      <c r="K961" s="70"/>
      <c r="L961" s="70"/>
      <c r="M961" s="70"/>
      <c r="N961" s="70"/>
      <c r="O961" s="70"/>
      <c r="P961" s="70"/>
      <c r="Q961" s="70"/>
      <c r="R961" s="70"/>
      <c r="S961" s="70"/>
      <c r="T961" s="70"/>
      <c r="U961" s="70"/>
      <c r="V961" s="70"/>
      <c r="W961" s="70"/>
      <c r="X961" s="70"/>
      <c r="Y961" s="70"/>
      <c r="Z961" s="70"/>
    </row>
    <row r="962">
      <c r="A962" s="70"/>
      <c r="B962" s="79"/>
      <c r="C962" s="79"/>
      <c r="D962" s="78"/>
      <c r="E962" s="71"/>
      <c r="F962" s="70"/>
      <c r="G962" s="70"/>
      <c r="H962" s="70"/>
      <c r="I962" s="70"/>
      <c r="J962" s="70"/>
      <c r="K962" s="70"/>
      <c r="L962" s="70"/>
      <c r="M962" s="70"/>
      <c r="N962" s="70"/>
      <c r="O962" s="70"/>
      <c r="P962" s="70"/>
      <c r="Q962" s="70"/>
      <c r="R962" s="70"/>
      <c r="S962" s="70"/>
      <c r="T962" s="70"/>
      <c r="U962" s="70"/>
      <c r="V962" s="70"/>
      <c r="W962" s="70"/>
      <c r="X962" s="70"/>
      <c r="Y962" s="70"/>
      <c r="Z962" s="70"/>
    </row>
    <row r="963">
      <c r="A963" s="70"/>
      <c r="B963" s="79"/>
      <c r="C963" s="79"/>
      <c r="D963" s="78"/>
      <c r="E963" s="71"/>
      <c r="F963" s="70"/>
      <c r="G963" s="70"/>
      <c r="H963" s="70"/>
      <c r="I963" s="70"/>
      <c r="J963" s="70"/>
      <c r="K963" s="70"/>
      <c r="L963" s="70"/>
      <c r="M963" s="70"/>
      <c r="N963" s="70"/>
      <c r="O963" s="70"/>
      <c r="P963" s="70"/>
      <c r="Q963" s="70"/>
      <c r="R963" s="70"/>
      <c r="S963" s="70"/>
      <c r="T963" s="70"/>
      <c r="U963" s="70"/>
      <c r="V963" s="70"/>
      <c r="W963" s="70"/>
      <c r="X963" s="70"/>
      <c r="Y963" s="70"/>
      <c r="Z963" s="70"/>
    </row>
    <row r="964">
      <c r="A964" s="70"/>
      <c r="B964" s="79"/>
      <c r="C964" s="79"/>
      <c r="D964" s="78"/>
      <c r="E964" s="71"/>
      <c r="F964" s="70"/>
      <c r="G964" s="70"/>
      <c r="H964" s="70"/>
      <c r="I964" s="70"/>
      <c r="J964" s="70"/>
      <c r="K964" s="70"/>
      <c r="L964" s="70"/>
      <c r="M964" s="70"/>
      <c r="N964" s="70"/>
      <c r="O964" s="70"/>
      <c r="P964" s="70"/>
      <c r="Q964" s="70"/>
      <c r="R964" s="70"/>
      <c r="S964" s="70"/>
      <c r="T964" s="70"/>
      <c r="U964" s="70"/>
      <c r="V964" s="70"/>
      <c r="W964" s="70"/>
      <c r="X964" s="70"/>
      <c r="Y964" s="70"/>
      <c r="Z964" s="70"/>
    </row>
    <row r="965">
      <c r="A965" s="70"/>
      <c r="B965" s="79"/>
      <c r="C965" s="79"/>
      <c r="D965" s="78"/>
      <c r="E965" s="71"/>
      <c r="F965" s="70"/>
      <c r="G965" s="70"/>
      <c r="H965" s="70"/>
      <c r="I965" s="70"/>
      <c r="J965" s="70"/>
      <c r="K965" s="70"/>
      <c r="L965" s="70"/>
      <c r="M965" s="70"/>
      <c r="N965" s="70"/>
      <c r="O965" s="70"/>
      <c r="P965" s="70"/>
      <c r="Q965" s="70"/>
      <c r="R965" s="70"/>
      <c r="S965" s="70"/>
      <c r="T965" s="70"/>
      <c r="U965" s="70"/>
      <c r="V965" s="70"/>
      <c r="W965" s="70"/>
      <c r="X965" s="70"/>
      <c r="Y965" s="70"/>
      <c r="Z965" s="70"/>
    </row>
    <row r="966">
      <c r="A966" s="70"/>
      <c r="B966" s="79"/>
      <c r="C966" s="79"/>
      <c r="D966" s="78"/>
      <c r="E966" s="71"/>
      <c r="F966" s="70"/>
      <c r="G966" s="70"/>
      <c r="H966" s="70"/>
      <c r="I966" s="70"/>
      <c r="J966" s="70"/>
      <c r="K966" s="70"/>
      <c r="L966" s="70"/>
      <c r="M966" s="70"/>
      <c r="N966" s="70"/>
      <c r="O966" s="70"/>
      <c r="P966" s="70"/>
      <c r="Q966" s="70"/>
      <c r="R966" s="70"/>
      <c r="S966" s="70"/>
      <c r="T966" s="70"/>
      <c r="U966" s="70"/>
      <c r="V966" s="70"/>
      <c r="W966" s="70"/>
      <c r="X966" s="70"/>
      <c r="Y966" s="70"/>
      <c r="Z966" s="70"/>
    </row>
    <row r="967">
      <c r="A967" s="70"/>
      <c r="B967" s="79"/>
      <c r="C967" s="79"/>
      <c r="D967" s="78"/>
      <c r="E967" s="71"/>
      <c r="F967" s="70"/>
      <c r="G967" s="70"/>
      <c r="H967" s="70"/>
      <c r="I967" s="70"/>
      <c r="J967" s="70"/>
      <c r="K967" s="70"/>
      <c r="L967" s="70"/>
      <c r="M967" s="70"/>
      <c r="N967" s="70"/>
      <c r="O967" s="70"/>
      <c r="P967" s="70"/>
      <c r="Q967" s="70"/>
      <c r="R967" s="70"/>
      <c r="S967" s="70"/>
      <c r="T967" s="70"/>
      <c r="U967" s="70"/>
      <c r="V967" s="70"/>
      <c r="W967" s="70"/>
      <c r="X967" s="70"/>
      <c r="Y967" s="70"/>
      <c r="Z967" s="70"/>
    </row>
    <row r="968">
      <c r="A968" s="70"/>
      <c r="B968" s="79"/>
      <c r="C968" s="79"/>
      <c r="D968" s="78"/>
      <c r="E968" s="71"/>
      <c r="F968" s="70"/>
      <c r="G968" s="70"/>
      <c r="H968" s="70"/>
      <c r="I968" s="70"/>
      <c r="J968" s="70"/>
      <c r="K968" s="70"/>
      <c r="L968" s="70"/>
      <c r="M968" s="70"/>
      <c r="N968" s="70"/>
      <c r="O968" s="70"/>
      <c r="P968" s="70"/>
      <c r="Q968" s="70"/>
      <c r="R968" s="70"/>
      <c r="S968" s="70"/>
      <c r="T968" s="70"/>
      <c r="U968" s="70"/>
      <c r="V968" s="70"/>
      <c r="W968" s="70"/>
      <c r="X968" s="70"/>
      <c r="Y968" s="70"/>
      <c r="Z968" s="70"/>
    </row>
    <row r="969">
      <c r="A969" s="70"/>
      <c r="B969" s="79"/>
      <c r="C969" s="79"/>
      <c r="D969" s="78"/>
      <c r="E969" s="71"/>
      <c r="F969" s="70"/>
      <c r="G969" s="70"/>
      <c r="H969" s="70"/>
      <c r="I969" s="70"/>
      <c r="J969" s="70"/>
      <c r="K969" s="70"/>
      <c r="L969" s="70"/>
      <c r="M969" s="70"/>
      <c r="N969" s="70"/>
      <c r="O969" s="70"/>
      <c r="P969" s="70"/>
      <c r="Q969" s="70"/>
      <c r="R969" s="70"/>
      <c r="S969" s="70"/>
      <c r="T969" s="70"/>
      <c r="U969" s="70"/>
      <c r="V969" s="70"/>
      <c r="W969" s="70"/>
      <c r="X969" s="70"/>
      <c r="Y969" s="70"/>
      <c r="Z969" s="70"/>
    </row>
    <row r="970">
      <c r="A970" s="70"/>
      <c r="B970" s="79"/>
      <c r="C970" s="79"/>
      <c r="D970" s="78"/>
      <c r="E970" s="71"/>
      <c r="F970" s="70"/>
      <c r="G970" s="70"/>
      <c r="H970" s="70"/>
      <c r="I970" s="70"/>
      <c r="J970" s="70"/>
      <c r="K970" s="70"/>
      <c r="L970" s="70"/>
      <c r="M970" s="70"/>
      <c r="N970" s="70"/>
      <c r="O970" s="70"/>
      <c r="P970" s="70"/>
      <c r="Q970" s="70"/>
      <c r="R970" s="70"/>
      <c r="S970" s="70"/>
      <c r="T970" s="70"/>
      <c r="U970" s="70"/>
      <c r="V970" s="70"/>
      <c r="W970" s="70"/>
      <c r="X970" s="70"/>
      <c r="Y970" s="70"/>
      <c r="Z970" s="70"/>
    </row>
    <row r="971">
      <c r="A971" s="70"/>
      <c r="B971" s="79"/>
      <c r="C971" s="79"/>
      <c r="D971" s="78"/>
      <c r="E971" s="71"/>
      <c r="F971" s="70"/>
      <c r="G971" s="70"/>
      <c r="H971" s="70"/>
      <c r="I971" s="70"/>
      <c r="J971" s="70"/>
      <c r="K971" s="70"/>
      <c r="L971" s="70"/>
      <c r="M971" s="70"/>
      <c r="N971" s="70"/>
      <c r="O971" s="70"/>
      <c r="P971" s="70"/>
      <c r="Q971" s="70"/>
      <c r="R971" s="70"/>
      <c r="S971" s="70"/>
      <c r="T971" s="70"/>
      <c r="U971" s="70"/>
      <c r="V971" s="70"/>
      <c r="W971" s="70"/>
      <c r="X971" s="70"/>
      <c r="Y971" s="70"/>
      <c r="Z971" s="70"/>
    </row>
    <row r="972">
      <c r="A972" s="70"/>
      <c r="B972" s="79"/>
      <c r="C972" s="79"/>
      <c r="D972" s="78"/>
      <c r="E972" s="71"/>
      <c r="F972" s="70"/>
      <c r="G972" s="70"/>
      <c r="H972" s="70"/>
      <c r="I972" s="70"/>
      <c r="J972" s="70"/>
      <c r="K972" s="70"/>
      <c r="L972" s="70"/>
      <c r="M972" s="70"/>
      <c r="N972" s="70"/>
      <c r="O972" s="70"/>
      <c r="P972" s="70"/>
      <c r="Q972" s="70"/>
      <c r="R972" s="70"/>
      <c r="S972" s="70"/>
      <c r="T972" s="70"/>
      <c r="U972" s="70"/>
      <c r="V972" s="70"/>
      <c r="W972" s="70"/>
      <c r="X972" s="70"/>
      <c r="Y972" s="70"/>
      <c r="Z972" s="70"/>
    </row>
    <row r="973">
      <c r="A973" s="70"/>
      <c r="B973" s="79"/>
      <c r="C973" s="79"/>
      <c r="D973" s="78"/>
      <c r="E973" s="71"/>
      <c r="F973" s="70"/>
      <c r="G973" s="70"/>
      <c r="H973" s="70"/>
      <c r="I973" s="70"/>
      <c r="J973" s="70"/>
      <c r="K973" s="70"/>
      <c r="L973" s="70"/>
      <c r="M973" s="70"/>
      <c r="N973" s="70"/>
      <c r="O973" s="70"/>
      <c r="P973" s="70"/>
      <c r="Q973" s="70"/>
      <c r="R973" s="70"/>
      <c r="S973" s="70"/>
      <c r="T973" s="70"/>
      <c r="U973" s="70"/>
      <c r="V973" s="70"/>
      <c r="W973" s="70"/>
      <c r="X973" s="70"/>
      <c r="Y973" s="70"/>
      <c r="Z973" s="70"/>
    </row>
    <row r="974">
      <c r="A974" s="70"/>
      <c r="B974" s="79"/>
      <c r="C974" s="79"/>
      <c r="D974" s="78"/>
      <c r="E974" s="71"/>
      <c r="F974" s="70"/>
      <c r="G974" s="70"/>
      <c r="H974" s="70"/>
      <c r="I974" s="70"/>
      <c r="J974" s="70"/>
      <c r="K974" s="70"/>
      <c r="L974" s="70"/>
      <c r="M974" s="70"/>
      <c r="N974" s="70"/>
      <c r="O974" s="70"/>
      <c r="P974" s="70"/>
      <c r="Q974" s="70"/>
      <c r="R974" s="70"/>
      <c r="S974" s="70"/>
      <c r="T974" s="70"/>
      <c r="U974" s="70"/>
      <c r="V974" s="70"/>
      <c r="W974" s="70"/>
      <c r="X974" s="70"/>
      <c r="Y974" s="70"/>
      <c r="Z974" s="70"/>
    </row>
    <row r="975">
      <c r="A975" s="70"/>
      <c r="B975" s="79"/>
      <c r="C975" s="79"/>
      <c r="D975" s="78"/>
      <c r="E975" s="71"/>
      <c r="F975" s="70"/>
      <c r="G975" s="70"/>
      <c r="H975" s="70"/>
      <c r="I975" s="70"/>
      <c r="J975" s="70"/>
      <c r="K975" s="70"/>
      <c r="L975" s="70"/>
      <c r="M975" s="70"/>
      <c r="N975" s="70"/>
      <c r="O975" s="70"/>
      <c r="P975" s="70"/>
      <c r="Q975" s="70"/>
      <c r="R975" s="70"/>
      <c r="S975" s="70"/>
      <c r="T975" s="70"/>
      <c r="U975" s="70"/>
      <c r="V975" s="70"/>
      <c r="W975" s="70"/>
      <c r="X975" s="70"/>
      <c r="Y975" s="70"/>
      <c r="Z975" s="70"/>
    </row>
    <row r="976">
      <c r="A976" s="70"/>
      <c r="B976" s="79"/>
      <c r="C976" s="79"/>
      <c r="D976" s="78"/>
      <c r="E976" s="71"/>
      <c r="F976" s="70"/>
      <c r="G976" s="70"/>
      <c r="H976" s="70"/>
      <c r="I976" s="70"/>
      <c r="J976" s="70"/>
      <c r="K976" s="70"/>
      <c r="L976" s="70"/>
      <c r="M976" s="70"/>
      <c r="N976" s="70"/>
      <c r="O976" s="70"/>
      <c r="P976" s="70"/>
      <c r="Q976" s="70"/>
      <c r="R976" s="70"/>
      <c r="S976" s="70"/>
      <c r="T976" s="70"/>
      <c r="U976" s="70"/>
      <c r="V976" s="70"/>
      <c r="W976" s="70"/>
      <c r="X976" s="70"/>
      <c r="Y976" s="70"/>
      <c r="Z976" s="70"/>
    </row>
    <row r="977">
      <c r="A977" s="70"/>
      <c r="B977" s="79"/>
      <c r="C977" s="79"/>
      <c r="D977" s="78"/>
      <c r="E977" s="71"/>
      <c r="F977" s="70"/>
      <c r="G977" s="70"/>
      <c r="H977" s="70"/>
      <c r="I977" s="70"/>
      <c r="J977" s="70"/>
      <c r="K977" s="70"/>
      <c r="L977" s="70"/>
      <c r="M977" s="70"/>
      <c r="N977" s="70"/>
      <c r="O977" s="70"/>
      <c r="P977" s="70"/>
      <c r="Q977" s="70"/>
      <c r="R977" s="70"/>
      <c r="S977" s="70"/>
      <c r="T977" s="70"/>
      <c r="U977" s="70"/>
      <c r="V977" s="70"/>
      <c r="W977" s="70"/>
      <c r="X977" s="70"/>
      <c r="Y977" s="70"/>
      <c r="Z977" s="70"/>
    </row>
    <row r="978">
      <c r="A978" s="70"/>
      <c r="B978" s="79"/>
      <c r="C978" s="79"/>
      <c r="D978" s="78"/>
      <c r="E978" s="71"/>
      <c r="F978" s="70"/>
      <c r="G978" s="70"/>
      <c r="H978" s="70"/>
      <c r="I978" s="70"/>
      <c r="J978" s="70"/>
      <c r="K978" s="70"/>
      <c r="L978" s="70"/>
      <c r="M978" s="70"/>
      <c r="N978" s="70"/>
      <c r="O978" s="70"/>
      <c r="P978" s="70"/>
      <c r="Q978" s="70"/>
      <c r="R978" s="70"/>
      <c r="S978" s="70"/>
      <c r="T978" s="70"/>
      <c r="U978" s="70"/>
      <c r="V978" s="70"/>
      <c r="W978" s="70"/>
      <c r="X978" s="70"/>
      <c r="Y978" s="70"/>
      <c r="Z978" s="70"/>
    </row>
    <row r="979">
      <c r="A979" s="70"/>
      <c r="B979" s="79"/>
      <c r="C979" s="79"/>
      <c r="D979" s="78"/>
      <c r="E979" s="71"/>
      <c r="F979" s="70"/>
      <c r="G979" s="70"/>
      <c r="H979" s="70"/>
      <c r="I979" s="70"/>
      <c r="J979" s="70"/>
      <c r="K979" s="70"/>
      <c r="L979" s="70"/>
      <c r="M979" s="70"/>
      <c r="N979" s="70"/>
      <c r="O979" s="70"/>
      <c r="P979" s="70"/>
      <c r="Q979" s="70"/>
      <c r="R979" s="70"/>
      <c r="S979" s="70"/>
      <c r="T979" s="70"/>
      <c r="U979" s="70"/>
      <c r="V979" s="70"/>
      <c r="W979" s="70"/>
      <c r="X979" s="70"/>
      <c r="Y979" s="70"/>
      <c r="Z979" s="70"/>
    </row>
    <row r="980">
      <c r="A980" s="70"/>
      <c r="B980" s="79"/>
      <c r="C980" s="79"/>
      <c r="D980" s="78"/>
      <c r="E980" s="71"/>
      <c r="F980" s="70"/>
      <c r="G980" s="70"/>
      <c r="H980" s="70"/>
      <c r="I980" s="70"/>
      <c r="J980" s="70"/>
      <c r="K980" s="70"/>
      <c r="L980" s="70"/>
      <c r="M980" s="70"/>
      <c r="N980" s="70"/>
      <c r="O980" s="70"/>
      <c r="P980" s="70"/>
      <c r="Q980" s="70"/>
      <c r="R980" s="70"/>
      <c r="S980" s="70"/>
      <c r="T980" s="70"/>
      <c r="U980" s="70"/>
      <c r="V980" s="70"/>
      <c r="W980" s="70"/>
      <c r="X980" s="70"/>
      <c r="Y980" s="70"/>
      <c r="Z980" s="70"/>
    </row>
    <row r="981">
      <c r="A981" s="70"/>
      <c r="B981" s="79"/>
      <c r="C981" s="79"/>
      <c r="D981" s="78"/>
      <c r="E981" s="71"/>
      <c r="F981" s="70"/>
      <c r="G981" s="70"/>
      <c r="H981" s="70"/>
      <c r="I981" s="70"/>
      <c r="J981" s="70"/>
      <c r="K981" s="70"/>
      <c r="L981" s="70"/>
      <c r="M981" s="70"/>
      <c r="N981" s="70"/>
      <c r="O981" s="70"/>
      <c r="P981" s="70"/>
      <c r="Q981" s="70"/>
      <c r="R981" s="70"/>
      <c r="S981" s="70"/>
      <c r="T981" s="70"/>
      <c r="U981" s="70"/>
      <c r="V981" s="70"/>
      <c r="W981" s="70"/>
      <c r="X981" s="70"/>
      <c r="Y981" s="70"/>
      <c r="Z981" s="70"/>
    </row>
    <row r="982">
      <c r="A982" s="70"/>
      <c r="B982" s="79"/>
      <c r="C982" s="79"/>
      <c r="D982" s="78"/>
      <c r="E982" s="71"/>
      <c r="F982" s="70"/>
      <c r="G982" s="70"/>
      <c r="H982" s="70"/>
      <c r="I982" s="70"/>
      <c r="J982" s="70"/>
      <c r="K982" s="70"/>
      <c r="L982" s="70"/>
      <c r="M982" s="70"/>
      <c r="N982" s="70"/>
      <c r="O982" s="70"/>
      <c r="P982" s="70"/>
      <c r="Q982" s="70"/>
      <c r="R982" s="70"/>
      <c r="S982" s="70"/>
      <c r="T982" s="70"/>
      <c r="U982" s="70"/>
      <c r="V982" s="70"/>
      <c r="W982" s="70"/>
      <c r="X982" s="70"/>
      <c r="Y982" s="70"/>
      <c r="Z982" s="70"/>
    </row>
    <row r="983">
      <c r="A983" s="70"/>
      <c r="B983" s="79"/>
      <c r="C983" s="79"/>
      <c r="D983" s="78"/>
      <c r="E983" s="71"/>
      <c r="F983" s="70"/>
      <c r="G983" s="70"/>
      <c r="H983" s="70"/>
      <c r="I983" s="70"/>
      <c r="J983" s="70"/>
      <c r="K983" s="70"/>
      <c r="L983" s="70"/>
      <c r="M983" s="70"/>
      <c r="N983" s="70"/>
      <c r="O983" s="70"/>
      <c r="P983" s="70"/>
      <c r="Q983" s="70"/>
      <c r="R983" s="70"/>
      <c r="S983" s="70"/>
      <c r="T983" s="70"/>
      <c r="U983" s="70"/>
      <c r="V983" s="70"/>
      <c r="W983" s="70"/>
      <c r="X983" s="70"/>
      <c r="Y983" s="70"/>
      <c r="Z983" s="70"/>
    </row>
    <row r="984">
      <c r="A984" s="70"/>
      <c r="B984" s="79"/>
      <c r="C984" s="79"/>
      <c r="D984" s="78"/>
      <c r="E984" s="71"/>
      <c r="F984" s="70"/>
      <c r="G984" s="70"/>
      <c r="H984" s="70"/>
      <c r="I984" s="70"/>
      <c r="J984" s="70"/>
      <c r="K984" s="70"/>
      <c r="L984" s="70"/>
      <c r="M984" s="70"/>
      <c r="N984" s="70"/>
      <c r="O984" s="70"/>
      <c r="P984" s="70"/>
      <c r="Q984" s="70"/>
      <c r="R984" s="70"/>
      <c r="S984" s="70"/>
      <c r="T984" s="70"/>
      <c r="U984" s="70"/>
      <c r="V984" s="70"/>
      <c r="W984" s="70"/>
      <c r="X984" s="70"/>
      <c r="Y984" s="70"/>
      <c r="Z984" s="70"/>
    </row>
    <row r="985">
      <c r="A985" s="70"/>
      <c r="B985" s="79"/>
      <c r="C985" s="79"/>
      <c r="D985" s="78"/>
      <c r="E985" s="71"/>
      <c r="F985" s="70"/>
      <c r="G985" s="70"/>
      <c r="H985" s="70"/>
      <c r="I985" s="70"/>
      <c r="J985" s="70"/>
      <c r="K985" s="70"/>
      <c r="L985" s="70"/>
      <c r="M985" s="70"/>
      <c r="N985" s="70"/>
      <c r="O985" s="70"/>
      <c r="P985" s="70"/>
      <c r="Q985" s="70"/>
      <c r="R985" s="70"/>
      <c r="S985" s="70"/>
      <c r="T985" s="70"/>
      <c r="U985" s="70"/>
      <c r="V985" s="70"/>
      <c r="W985" s="70"/>
      <c r="X985" s="70"/>
      <c r="Y985" s="70"/>
      <c r="Z985" s="70"/>
    </row>
    <row r="986">
      <c r="A986" s="70"/>
      <c r="B986" s="79"/>
      <c r="C986" s="79"/>
      <c r="D986" s="78"/>
      <c r="E986" s="71"/>
      <c r="F986" s="70"/>
      <c r="G986" s="70"/>
      <c r="H986" s="70"/>
      <c r="I986" s="70"/>
      <c r="J986" s="70"/>
      <c r="K986" s="70"/>
      <c r="L986" s="70"/>
      <c r="M986" s="70"/>
      <c r="N986" s="70"/>
      <c r="O986" s="70"/>
      <c r="P986" s="70"/>
      <c r="Q986" s="70"/>
      <c r="R986" s="70"/>
      <c r="S986" s="70"/>
      <c r="T986" s="70"/>
      <c r="U986" s="70"/>
      <c r="V986" s="70"/>
      <c r="W986" s="70"/>
      <c r="X986" s="70"/>
      <c r="Y986" s="70"/>
      <c r="Z986" s="70"/>
    </row>
    <row r="987">
      <c r="A987" s="70"/>
      <c r="B987" s="79"/>
      <c r="C987" s="79"/>
      <c r="D987" s="78"/>
      <c r="E987" s="71"/>
      <c r="F987" s="70"/>
      <c r="G987" s="70"/>
      <c r="H987" s="70"/>
      <c r="I987" s="70"/>
      <c r="J987" s="70"/>
      <c r="K987" s="70"/>
      <c r="L987" s="70"/>
      <c r="M987" s="70"/>
      <c r="N987" s="70"/>
      <c r="O987" s="70"/>
      <c r="P987" s="70"/>
      <c r="Q987" s="70"/>
      <c r="R987" s="70"/>
      <c r="S987" s="70"/>
      <c r="T987" s="70"/>
      <c r="U987" s="70"/>
      <c r="V987" s="70"/>
      <c r="W987" s="70"/>
      <c r="X987" s="70"/>
      <c r="Y987" s="70"/>
      <c r="Z987" s="70"/>
    </row>
    <row r="988">
      <c r="A988" s="70"/>
      <c r="B988" s="79"/>
      <c r="C988" s="79"/>
      <c r="D988" s="78"/>
      <c r="E988" s="71"/>
      <c r="F988" s="70"/>
      <c r="G988" s="70"/>
      <c r="H988" s="70"/>
      <c r="I988" s="70"/>
      <c r="J988" s="70"/>
      <c r="K988" s="70"/>
      <c r="L988" s="70"/>
      <c r="M988" s="70"/>
      <c r="N988" s="70"/>
      <c r="O988" s="70"/>
      <c r="P988" s="70"/>
      <c r="Q988" s="70"/>
      <c r="R988" s="70"/>
      <c r="S988" s="70"/>
      <c r="T988" s="70"/>
      <c r="U988" s="70"/>
      <c r="V988" s="70"/>
      <c r="W988" s="70"/>
      <c r="X988" s="70"/>
      <c r="Y988" s="70"/>
      <c r="Z988" s="70"/>
    </row>
    <row r="989">
      <c r="A989" s="70"/>
      <c r="B989" s="79"/>
      <c r="C989" s="79"/>
      <c r="D989" s="78"/>
      <c r="E989" s="71"/>
      <c r="F989" s="70"/>
      <c r="G989" s="70"/>
      <c r="H989" s="70"/>
      <c r="I989" s="70"/>
      <c r="J989" s="70"/>
      <c r="K989" s="70"/>
      <c r="L989" s="70"/>
      <c r="M989" s="70"/>
      <c r="N989" s="70"/>
      <c r="O989" s="70"/>
      <c r="P989" s="70"/>
      <c r="Q989" s="70"/>
      <c r="R989" s="70"/>
      <c r="S989" s="70"/>
      <c r="T989" s="70"/>
      <c r="U989" s="70"/>
      <c r="V989" s="70"/>
      <c r="W989" s="70"/>
      <c r="X989" s="70"/>
      <c r="Y989" s="70"/>
      <c r="Z989" s="70"/>
    </row>
    <row r="990">
      <c r="A990" s="70"/>
      <c r="B990" s="79"/>
      <c r="C990" s="79"/>
      <c r="D990" s="78"/>
      <c r="E990" s="71"/>
      <c r="F990" s="70"/>
      <c r="G990" s="70"/>
      <c r="H990" s="70"/>
      <c r="I990" s="70"/>
      <c r="J990" s="70"/>
      <c r="K990" s="70"/>
      <c r="L990" s="70"/>
      <c r="M990" s="70"/>
      <c r="N990" s="70"/>
      <c r="O990" s="70"/>
      <c r="P990" s="70"/>
      <c r="Q990" s="70"/>
      <c r="R990" s="70"/>
      <c r="S990" s="70"/>
      <c r="T990" s="70"/>
      <c r="U990" s="70"/>
      <c r="V990" s="70"/>
      <c r="W990" s="70"/>
      <c r="X990" s="70"/>
      <c r="Y990" s="70"/>
      <c r="Z990" s="70"/>
    </row>
    <row r="991">
      <c r="A991" s="70"/>
      <c r="B991" s="79"/>
      <c r="C991" s="79"/>
      <c r="D991" s="78"/>
      <c r="E991" s="71"/>
      <c r="F991" s="70"/>
      <c r="G991" s="70"/>
      <c r="H991" s="70"/>
      <c r="I991" s="70"/>
      <c r="J991" s="70"/>
      <c r="K991" s="70"/>
      <c r="L991" s="70"/>
      <c r="M991" s="70"/>
      <c r="N991" s="70"/>
      <c r="O991" s="70"/>
      <c r="P991" s="70"/>
      <c r="Q991" s="70"/>
      <c r="R991" s="70"/>
      <c r="S991" s="70"/>
      <c r="T991" s="70"/>
      <c r="U991" s="70"/>
      <c r="V991" s="70"/>
      <c r="W991" s="70"/>
      <c r="X991" s="70"/>
      <c r="Y991" s="70"/>
      <c r="Z991" s="70"/>
    </row>
    <row r="992">
      <c r="A992" s="70"/>
      <c r="B992" s="79"/>
      <c r="C992" s="79"/>
      <c r="D992" s="78"/>
      <c r="E992" s="71"/>
      <c r="F992" s="70"/>
      <c r="G992" s="70"/>
      <c r="H992" s="70"/>
      <c r="I992" s="70"/>
      <c r="J992" s="70"/>
      <c r="K992" s="70"/>
      <c r="L992" s="70"/>
      <c r="M992" s="70"/>
      <c r="N992" s="70"/>
      <c r="O992" s="70"/>
      <c r="P992" s="70"/>
      <c r="Q992" s="70"/>
      <c r="R992" s="70"/>
      <c r="S992" s="70"/>
      <c r="T992" s="70"/>
      <c r="U992" s="70"/>
      <c r="V992" s="70"/>
      <c r="W992" s="70"/>
      <c r="X992" s="70"/>
      <c r="Y992" s="70"/>
      <c r="Z992" s="70"/>
    </row>
    <row r="993">
      <c r="A993" s="70"/>
      <c r="B993" s="79"/>
      <c r="C993" s="79"/>
      <c r="D993" s="78"/>
      <c r="E993" s="71"/>
      <c r="F993" s="70"/>
      <c r="G993" s="70"/>
      <c r="H993" s="70"/>
      <c r="I993" s="70"/>
      <c r="J993" s="70"/>
      <c r="K993" s="70"/>
      <c r="L993" s="70"/>
      <c r="M993" s="70"/>
      <c r="N993" s="70"/>
      <c r="O993" s="70"/>
      <c r="P993" s="70"/>
      <c r="Q993" s="70"/>
      <c r="R993" s="70"/>
      <c r="S993" s="70"/>
      <c r="T993" s="70"/>
      <c r="U993" s="70"/>
      <c r="V993" s="70"/>
      <c r="W993" s="70"/>
      <c r="X993" s="70"/>
      <c r="Y993" s="70"/>
      <c r="Z993" s="70"/>
    </row>
    <row r="994">
      <c r="A994" s="70"/>
      <c r="B994" s="79"/>
      <c r="C994" s="79"/>
      <c r="D994" s="78"/>
      <c r="E994" s="71"/>
      <c r="F994" s="70"/>
      <c r="G994" s="70"/>
      <c r="H994" s="70"/>
      <c r="I994" s="70"/>
      <c r="J994" s="70"/>
      <c r="K994" s="70"/>
      <c r="L994" s="70"/>
      <c r="M994" s="70"/>
      <c r="N994" s="70"/>
      <c r="O994" s="70"/>
      <c r="P994" s="70"/>
      <c r="Q994" s="70"/>
      <c r="R994" s="70"/>
      <c r="S994" s="70"/>
      <c r="T994" s="70"/>
      <c r="U994" s="70"/>
      <c r="V994" s="70"/>
      <c r="W994" s="70"/>
      <c r="X994" s="70"/>
      <c r="Y994" s="70"/>
      <c r="Z994" s="70"/>
    </row>
    <row r="995">
      <c r="A995" s="70"/>
      <c r="B995" s="79"/>
      <c r="C995" s="79"/>
      <c r="D995" s="78"/>
      <c r="E995" s="71"/>
      <c r="F995" s="70"/>
      <c r="G995" s="70"/>
      <c r="H995" s="70"/>
      <c r="I995" s="70"/>
      <c r="J995" s="70"/>
      <c r="K995" s="70"/>
      <c r="L995" s="70"/>
      <c r="M995" s="70"/>
      <c r="N995" s="70"/>
      <c r="O995" s="70"/>
      <c r="P995" s="70"/>
      <c r="Q995" s="70"/>
      <c r="R995" s="70"/>
      <c r="S995" s="70"/>
      <c r="T995" s="70"/>
      <c r="U995" s="70"/>
      <c r="V995" s="70"/>
      <c r="W995" s="70"/>
      <c r="X995" s="70"/>
      <c r="Y995" s="70"/>
      <c r="Z995" s="70"/>
    </row>
    <row r="996">
      <c r="A996" s="70"/>
      <c r="B996" s="79"/>
      <c r="C996" s="79"/>
      <c r="D996" s="78"/>
      <c r="E996" s="71"/>
      <c r="F996" s="70"/>
      <c r="G996" s="70"/>
      <c r="H996" s="70"/>
      <c r="I996" s="70"/>
      <c r="J996" s="70"/>
      <c r="K996" s="70"/>
      <c r="L996" s="70"/>
      <c r="M996" s="70"/>
      <c r="N996" s="70"/>
      <c r="O996" s="70"/>
      <c r="P996" s="70"/>
      <c r="Q996" s="70"/>
      <c r="R996" s="70"/>
      <c r="S996" s="70"/>
      <c r="T996" s="70"/>
      <c r="U996" s="70"/>
      <c r="V996" s="70"/>
      <c r="W996" s="70"/>
      <c r="X996" s="70"/>
      <c r="Y996" s="70"/>
      <c r="Z996" s="70"/>
    </row>
    <row r="997">
      <c r="A997" s="70"/>
      <c r="B997" s="79"/>
      <c r="C997" s="79"/>
      <c r="D997" s="78"/>
      <c r="E997" s="71"/>
      <c r="F997" s="70"/>
      <c r="G997" s="70"/>
      <c r="H997" s="70"/>
      <c r="I997" s="70"/>
      <c r="J997" s="70"/>
      <c r="K997" s="70"/>
      <c r="L997" s="70"/>
      <c r="M997" s="70"/>
      <c r="N997" s="70"/>
      <c r="O997" s="70"/>
      <c r="P997" s="70"/>
      <c r="Q997" s="70"/>
      <c r="R997" s="70"/>
      <c r="S997" s="70"/>
      <c r="T997" s="70"/>
      <c r="U997" s="70"/>
      <c r="V997" s="70"/>
      <c r="W997" s="70"/>
      <c r="X997" s="70"/>
      <c r="Y997" s="70"/>
      <c r="Z997" s="70"/>
    </row>
    <row r="998">
      <c r="A998" s="70"/>
      <c r="B998" s="79"/>
      <c r="C998" s="79"/>
      <c r="D998" s="78"/>
      <c r="E998" s="71"/>
      <c r="F998" s="70"/>
      <c r="G998" s="70"/>
      <c r="H998" s="70"/>
      <c r="I998" s="70"/>
      <c r="J998" s="70"/>
      <c r="K998" s="70"/>
      <c r="L998" s="70"/>
      <c r="M998" s="70"/>
      <c r="N998" s="70"/>
      <c r="O998" s="70"/>
      <c r="P998" s="70"/>
      <c r="Q998" s="70"/>
      <c r="R998" s="70"/>
      <c r="S998" s="70"/>
      <c r="T998" s="70"/>
      <c r="U998" s="70"/>
      <c r="V998" s="70"/>
      <c r="W998" s="70"/>
      <c r="X998" s="70"/>
      <c r="Y998" s="70"/>
      <c r="Z998" s="70"/>
    </row>
    <row r="999">
      <c r="A999" s="70"/>
      <c r="B999" s="79"/>
      <c r="C999" s="79"/>
      <c r="D999" s="78"/>
      <c r="E999" s="71"/>
      <c r="F999" s="70"/>
      <c r="G999" s="70"/>
      <c r="H999" s="70"/>
      <c r="I999" s="70"/>
      <c r="J999" s="70"/>
      <c r="K999" s="70"/>
      <c r="L999" s="70"/>
      <c r="M999" s="70"/>
      <c r="N999" s="70"/>
      <c r="O999" s="70"/>
      <c r="P999" s="70"/>
      <c r="Q999" s="70"/>
      <c r="R999" s="70"/>
      <c r="S999" s="70"/>
      <c r="T999" s="70"/>
      <c r="U999" s="70"/>
      <c r="V999" s="70"/>
      <c r="W999" s="70"/>
      <c r="X999" s="70"/>
      <c r="Y999" s="70"/>
      <c r="Z999" s="70"/>
    </row>
    <row r="1000">
      <c r="A1000" s="70"/>
      <c r="B1000" s="79"/>
      <c r="C1000" s="79"/>
      <c r="D1000" s="78"/>
      <c r="E1000" s="71"/>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autoFilter ref="$C$1:$C$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2" max="2" width="35.0"/>
    <col customWidth="1" min="3" max="3" width="34.0"/>
    <col customWidth="1" min="4" max="4" width="27.29"/>
    <col customWidth="1" min="5" max="5" width="28.86"/>
    <col customWidth="1" min="6" max="6" width="18.29"/>
  </cols>
  <sheetData>
    <row r="1">
      <c r="A1" s="81" t="s">
        <v>2607</v>
      </c>
      <c r="B1" s="82" t="s">
        <v>2608</v>
      </c>
      <c r="C1" s="81" t="s">
        <v>2609</v>
      </c>
      <c r="D1" s="75" t="s">
        <v>2610</v>
      </c>
      <c r="E1" s="75" t="s">
        <v>2608</v>
      </c>
      <c r="F1" s="75" t="s">
        <v>2611</v>
      </c>
      <c r="G1" s="42"/>
      <c r="H1" s="42"/>
      <c r="I1" s="42"/>
      <c r="J1" s="42"/>
      <c r="K1" s="42"/>
      <c r="L1" s="42"/>
      <c r="M1" s="42"/>
      <c r="N1" s="42"/>
      <c r="O1" s="42"/>
      <c r="P1" s="42"/>
      <c r="Q1" s="42"/>
      <c r="R1" s="42"/>
      <c r="S1" s="42"/>
      <c r="T1" s="42"/>
      <c r="U1" s="42"/>
      <c r="V1" s="42"/>
      <c r="W1" s="42"/>
      <c r="X1" s="42"/>
      <c r="Y1" s="42"/>
      <c r="Z1" s="42"/>
    </row>
    <row r="2">
      <c r="A2" s="6" t="s">
        <v>2612</v>
      </c>
      <c r="B2" s="10" t="s">
        <v>2613</v>
      </c>
      <c r="C2" s="6" t="s">
        <v>2614</v>
      </c>
      <c r="D2" s="42"/>
      <c r="E2" s="42"/>
      <c r="F2" s="42"/>
      <c r="G2" s="42"/>
      <c r="H2" s="42"/>
      <c r="I2" s="42"/>
      <c r="J2" s="42"/>
      <c r="K2" s="42"/>
      <c r="L2" s="42"/>
      <c r="M2" s="42"/>
      <c r="N2" s="42"/>
      <c r="O2" s="42"/>
      <c r="P2" s="42"/>
      <c r="Q2" s="42"/>
      <c r="R2" s="42"/>
      <c r="S2" s="42"/>
      <c r="T2" s="42"/>
      <c r="U2" s="42"/>
      <c r="V2" s="42"/>
      <c r="W2" s="42"/>
      <c r="X2" s="42"/>
      <c r="Y2" s="42"/>
      <c r="Z2" s="42"/>
    </row>
    <row r="3">
      <c r="A3" s="6" t="s">
        <v>2615</v>
      </c>
      <c r="B3" s="10" t="s">
        <v>2616</v>
      </c>
      <c r="C3" s="6" t="s">
        <v>2617</v>
      </c>
      <c r="D3" s="42"/>
      <c r="E3" s="42"/>
      <c r="F3" s="42"/>
      <c r="G3" s="42"/>
      <c r="H3" s="42"/>
      <c r="I3" s="42"/>
      <c r="J3" s="42"/>
      <c r="K3" s="42"/>
      <c r="L3" s="42"/>
      <c r="M3" s="42"/>
      <c r="N3" s="42"/>
      <c r="O3" s="42"/>
      <c r="P3" s="42"/>
      <c r="Q3" s="42"/>
      <c r="R3" s="42"/>
      <c r="S3" s="42"/>
      <c r="T3" s="42"/>
      <c r="U3" s="42"/>
      <c r="V3" s="42"/>
      <c r="W3" s="42"/>
      <c r="X3" s="42"/>
      <c r="Y3" s="42"/>
      <c r="Z3" s="42"/>
    </row>
    <row r="4">
      <c r="A4" s="6" t="s">
        <v>31</v>
      </c>
      <c r="B4" s="10" t="s">
        <v>2618</v>
      </c>
      <c r="C4" s="6" t="s">
        <v>2619</v>
      </c>
      <c r="D4" s="42"/>
      <c r="E4" s="42"/>
      <c r="F4" s="42"/>
      <c r="G4" s="42"/>
      <c r="H4" s="42"/>
      <c r="I4" s="42"/>
      <c r="J4" s="42"/>
      <c r="K4" s="42"/>
      <c r="L4" s="42"/>
      <c r="M4" s="42"/>
      <c r="N4" s="42"/>
      <c r="O4" s="42"/>
      <c r="P4" s="42"/>
      <c r="Q4" s="42"/>
      <c r="R4" s="42"/>
      <c r="S4" s="42"/>
      <c r="T4" s="42"/>
      <c r="U4" s="42"/>
      <c r="V4" s="42"/>
      <c r="W4" s="42"/>
      <c r="X4" s="42"/>
      <c r="Y4" s="42"/>
      <c r="Z4" s="42"/>
    </row>
    <row r="5">
      <c r="A5" s="6" t="s">
        <v>52</v>
      </c>
      <c r="B5" s="10" t="s">
        <v>2620</v>
      </c>
      <c r="C5" s="6" t="s">
        <v>2621</v>
      </c>
      <c r="D5" s="42"/>
      <c r="E5" s="42"/>
      <c r="F5" s="42"/>
      <c r="G5" s="42"/>
      <c r="H5" s="42"/>
      <c r="I5" s="42"/>
      <c r="J5" s="42"/>
      <c r="K5" s="42"/>
      <c r="L5" s="42"/>
      <c r="M5" s="42"/>
      <c r="N5" s="42"/>
      <c r="O5" s="42"/>
      <c r="P5" s="42"/>
      <c r="Q5" s="42"/>
      <c r="R5" s="42"/>
      <c r="S5" s="42"/>
      <c r="T5" s="42"/>
      <c r="U5" s="42"/>
      <c r="V5" s="42"/>
      <c r="W5" s="42"/>
      <c r="X5" s="42"/>
      <c r="Y5" s="42"/>
      <c r="Z5" s="42"/>
    </row>
    <row r="6">
      <c r="A6" s="6" t="s">
        <v>22</v>
      </c>
      <c r="B6" s="10" t="s">
        <v>2622</v>
      </c>
      <c r="C6" s="6" t="s">
        <v>2623</v>
      </c>
      <c r="D6" s="42"/>
      <c r="E6" s="42"/>
      <c r="F6" s="42"/>
      <c r="G6" s="42"/>
      <c r="H6" s="42"/>
      <c r="I6" s="42"/>
      <c r="J6" s="42"/>
      <c r="K6" s="42"/>
      <c r="L6" s="42"/>
      <c r="M6" s="42"/>
      <c r="N6" s="42"/>
      <c r="O6" s="42"/>
      <c r="P6" s="42"/>
      <c r="Q6" s="42"/>
      <c r="R6" s="42"/>
      <c r="S6" s="42"/>
      <c r="T6" s="42"/>
      <c r="U6" s="42"/>
      <c r="V6" s="42"/>
      <c r="W6" s="42"/>
      <c r="X6" s="42"/>
      <c r="Y6" s="42"/>
      <c r="Z6" s="42"/>
    </row>
    <row r="7">
      <c r="A7" s="6" t="s">
        <v>23</v>
      </c>
      <c r="B7" s="10" t="s">
        <v>2624</v>
      </c>
      <c r="C7" s="6" t="s">
        <v>2625</v>
      </c>
      <c r="D7" s="42"/>
      <c r="E7" s="42"/>
      <c r="F7" s="42"/>
      <c r="G7" s="42"/>
      <c r="H7" s="42"/>
      <c r="I7" s="42"/>
      <c r="J7" s="42"/>
      <c r="K7" s="42"/>
      <c r="L7" s="42"/>
      <c r="M7" s="42"/>
      <c r="N7" s="42"/>
      <c r="O7" s="42"/>
      <c r="P7" s="42"/>
      <c r="Q7" s="42"/>
      <c r="R7" s="42"/>
      <c r="S7" s="42"/>
      <c r="T7" s="42"/>
      <c r="U7" s="42"/>
      <c r="V7" s="42"/>
      <c r="W7" s="42"/>
      <c r="X7" s="42"/>
      <c r="Y7" s="42"/>
      <c r="Z7" s="42"/>
    </row>
    <row r="8">
      <c r="A8" s="6" t="s">
        <v>39</v>
      </c>
      <c r="B8" s="10" t="s">
        <v>2626</v>
      </c>
      <c r="C8" s="6" t="s">
        <v>2627</v>
      </c>
      <c r="D8" s="42"/>
      <c r="E8" s="42"/>
      <c r="F8" s="42"/>
      <c r="G8" s="42"/>
      <c r="H8" s="42"/>
      <c r="I8" s="42"/>
      <c r="J8" s="42"/>
      <c r="K8" s="42"/>
      <c r="L8" s="42"/>
      <c r="M8" s="42"/>
      <c r="N8" s="42"/>
      <c r="O8" s="42"/>
      <c r="P8" s="42"/>
      <c r="Q8" s="42"/>
      <c r="R8" s="42"/>
      <c r="S8" s="42"/>
      <c r="T8" s="42"/>
      <c r="U8" s="42"/>
      <c r="V8" s="42"/>
      <c r="W8" s="42"/>
      <c r="X8" s="42"/>
      <c r="Y8" s="42"/>
      <c r="Z8" s="42"/>
    </row>
    <row r="9">
      <c r="A9" s="6" t="s">
        <v>2628</v>
      </c>
      <c r="B9" s="10" t="s">
        <v>2629</v>
      </c>
      <c r="C9" s="6" t="s">
        <v>2630</v>
      </c>
      <c r="D9" s="42"/>
      <c r="E9" s="42"/>
      <c r="F9" s="42"/>
      <c r="G9" s="42"/>
      <c r="H9" s="42"/>
      <c r="I9" s="42"/>
      <c r="J9" s="42"/>
      <c r="K9" s="42"/>
      <c r="L9" s="42"/>
      <c r="M9" s="42"/>
      <c r="N9" s="42"/>
      <c r="O9" s="42"/>
      <c r="P9" s="42"/>
      <c r="Q9" s="42"/>
      <c r="R9" s="42"/>
      <c r="S9" s="42"/>
      <c r="T9" s="42"/>
      <c r="U9" s="42"/>
      <c r="V9" s="42"/>
      <c r="W9" s="42"/>
      <c r="X9" s="42"/>
      <c r="Y9" s="42"/>
      <c r="Z9" s="42"/>
    </row>
    <row r="10">
      <c r="A10" s="6" t="s">
        <v>75</v>
      </c>
      <c r="B10" s="10" t="s">
        <v>2631</v>
      </c>
      <c r="C10" s="6" t="s">
        <v>2632</v>
      </c>
      <c r="D10" s="42"/>
      <c r="E10" s="42"/>
      <c r="F10" s="42"/>
      <c r="G10" s="42"/>
      <c r="H10" s="42"/>
      <c r="I10" s="42"/>
      <c r="J10" s="42"/>
      <c r="K10" s="42"/>
      <c r="L10" s="42"/>
      <c r="M10" s="42"/>
      <c r="N10" s="42"/>
      <c r="O10" s="42"/>
      <c r="P10" s="42"/>
      <c r="Q10" s="42"/>
      <c r="R10" s="42"/>
      <c r="S10" s="42"/>
      <c r="T10" s="42"/>
      <c r="U10" s="42"/>
      <c r="V10" s="42"/>
      <c r="W10" s="42"/>
      <c r="X10" s="42"/>
      <c r="Y10" s="42"/>
      <c r="Z10" s="42"/>
    </row>
    <row r="11">
      <c r="A11" s="83"/>
      <c r="B11" s="21"/>
      <c r="C11" s="83"/>
      <c r="D11" s="42"/>
      <c r="E11" s="42"/>
      <c r="F11" s="42"/>
      <c r="G11" s="42"/>
      <c r="H11" s="42"/>
      <c r="I11" s="42"/>
      <c r="J11" s="42"/>
      <c r="K11" s="42"/>
      <c r="L11" s="42"/>
      <c r="M11" s="42"/>
      <c r="N11" s="42"/>
      <c r="O11" s="42"/>
      <c r="P11" s="42"/>
      <c r="Q11" s="42"/>
      <c r="R11" s="42"/>
      <c r="S11" s="42"/>
      <c r="T11" s="42"/>
      <c r="U11" s="42"/>
      <c r="V11" s="42"/>
      <c r="W11" s="42"/>
      <c r="X11" s="42"/>
      <c r="Y11" s="42"/>
      <c r="Z11" s="42"/>
    </row>
    <row r="12">
      <c r="A12" s="83"/>
      <c r="B12" s="21"/>
      <c r="C12" s="83"/>
      <c r="D12" s="42"/>
      <c r="E12" s="42"/>
      <c r="F12" s="42"/>
      <c r="G12" s="42"/>
      <c r="H12" s="42"/>
      <c r="I12" s="42"/>
      <c r="J12" s="42"/>
      <c r="K12" s="42"/>
      <c r="L12" s="42"/>
      <c r="M12" s="42"/>
      <c r="N12" s="42"/>
      <c r="O12" s="42"/>
      <c r="P12" s="42"/>
      <c r="Q12" s="42"/>
      <c r="R12" s="42"/>
      <c r="S12" s="42"/>
      <c r="T12" s="42"/>
      <c r="U12" s="42"/>
      <c r="V12" s="42"/>
      <c r="W12" s="42"/>
      <c r="X12" s="42"/>
      <c r="Y12" s="42"/>
      <c r="Z12" s="42"/>
    </row>
    <row r="13">
      <c r="A13" s="6" t="s">
        <v>2633</v>
      </c>
      <c r="B13" s="21"/>
      <c r="C13" s="83"/>
      <c r="D13" s="42"/>
      <c r="E13" s="42"/>
      <c r="F13" s="42"/>
      <c r="G13" s="42"/>
      <c r="H13" s="42"/>
      <c r="I13" s="42"/>
      <c r="J13" s="42"/>
      <c r="K13" s="42"/>
      <c r="L13" s="42"/>
      <c r="M13" s="42"/>
      <c r="N13" s="42"/>
      <c r="O13" s="42"/>
      <c r="P13" s="42"/>
      <c r="Q13" s="42"/>
      <c r="R13" s="42"/>
      <c r="S13" s="42"/>
      <c r="T13" s="42"/>
      <c r="U13" s="42"/>
      <c r="V13" s="42"/>
      <c r="W13" s="42"/>
      <c r="X13" s="42"/>
      <c r="Y13" s="42"/>
      <c r="Z13" s="42"/>
    </row>
    <row r="14">
      <c r="A14" s="6" t="s">
        <v>2634</v>
      </c>
      <c r="B14" s="21"/>
      <c r="C14" s="83"/>
      <c r="D14" s="42"/>
      <c r="E14" s="42"/>
      <c r="F14" s="42"/>
      <c r="G14" s="42"/>
      <c r="H14" s="42"/>
      <c r="I14" s="42"/>
      <c r="J14" s="42"/>
      <c r="K14" s="42"/>
      <c r="L14" s="42"/>
      <c r="M14" s="42"/>
      <c r="N14" s="42"/>
      <c r="O14" s="42"/>
      <c r="P14" s="42"/>
      <c r="Q14" s="42"/>
      <c r="R14" s="42"/>
      <c r="S14" s="42"/>
      <c r="T14" s="42"/>
      <c r="U14" s="42"/>
      <c r="V14" s="42"/>
      <c r="W14" s="42"/>
      <c r="X14" s="42"/>
      <c r="Y14" s="42"/>
      <c r="Z14" s="42"/>
    </row>
    <row r="15">
      <c r="A15" s="6" t="s">
        <v>2635</v>
      </c>
      <c r="B15" s="21"/>
      <c r="C15" s="83"/>
      <c r="D15" s="42"/>
      <c r="E15" s="42"/>
      <c r="F15" s="42"/>
      <c r="G15" s="42"/>
      <c r="H15" s="42"/>
      <c r="I15" s="42"/>
      <c r="J15" s="42"/>
      <c r="K15" s="42"/>
      <c r="L15" s="42"/>
      <c r="M15" s="42"/>
      <c r="N15" s="42"/>
      <c r="O15" s="42"/>
      <c r="P15" s="42"/>
      <c r="Q15" s="42"/>
      <c r="R15" s="42"/>
      <c r="S15" s="42"/>
      <c r="T15" s="42"/>
      <c r="U15" s="42"/>
      <c r="V15" s="42"/>
      <c r="W15" s="42"/>
      <c r="X15" s="42"/>
      <c r="Y15" s="42"/>
      <c r="Z15" s="42"/>
    </row>
    <row r="16">
      <c r="A16" s="83"/>
      <c r="B16" s="21"/>
      <c r="C16" s="83"/>
      <c r="D16" s="42"/>
      <c r="E16" s="42"/>
      <c r="F16" s="42"/>
      <c r="G16" s="42"/>
      <c r="H16" s="42"/>
      <c r="I16" s="42"/>
      <c r="J16" s="42"/>
      <c r="K16" s="42"/>
      <c r="L16" s="42"/>
      <c r="M16" s="42"/>
      <c r="N16" s="42"/>
      <c r="O16" s="42"/>
      <c r="P16" s="42"/>
      <c r="Q16" s="42"/>
      <c r="R16" s="42"/>
      <c r="S16" s="42"/>
      <c r="T16" s="42"/>
      <c r="U16" s="42"/>
      <c r="V16" s="42"/>
      <c r="W16" s="42"/>
      <c r="X16" s="42"/>
      <c r="Y16" s="42"/>
      <c r="Z16" s="42"/>
    </row>
    <row r="17">
      <c r="A17" s="83"/>
      <c r="B17" s="21"/>
      <c r="C17" s="83"/>
      <c r="D17" s="42"/>
      <c r="E17" s="42"/>
      <c r="F17" s="42"/>
      <c r="G17" s="42"/>
      <c r="H17" s="42"/>
      <c r="I17" s="42"/>
      <c r="J17" s="42"/>
      <c r="K17" s="42"/>
      <c r="L17" s="42"/>
      <c r="M17" s="42"/>
      <c r="N17" s="42"/>
      <c r="O17" s="42"/>
      <c r="P17" s="42"/>
      <c r="Q17" s="42"/>
      <c r="R17" s="42"/>
      <c r="S17" s="42"/>
      <c r="T17" s="42"/>
      <c r="U17" s="42"/>
      <c r="V17" s="42"/>
      <c r="W17" s="42"/>
      <c r="X17" s="42"/>
      <c r="Y17" s="42"/>
      <c r="Z17" s="42"/>
    </row>
    <row r="18">
      <c r="A18" s="83"/>
      <c r="B18" s="21"/>
      <c r="C18" s="83"/>
      <c r="D18" s="42"/>
      <c r="E18" s="42"/>
      <c r="F18" s="42"/>
      <c r="G18" s="42"/>
      <c r="H18" s="42"/>
      <c r="I18" s="42"/>
      <c r="J18" s="42"/>
      <c r="K18" s="42"/>
      <c r="L18" s="42"/>
      <c r="M18" s="42"/>
      <c r="N18" s="42"/>
      <c r="O18" s="42"/>
      <c r="P18" s="42"/>
      <c r="Q18" s="42"/>
      <c r="R18" s="42"/>
      <c r="S18" s="42"/>
      <c r="T18" s="42"/>
      <c r="U18" s="42"/>
      <c r="V18" s="42"/>
      <c r="W18" s="42"/>
      <c r="X18" s="42"/>
      <c r="Y18" s="42"/>
      <c r="Z18" s="42"/>
    </row>
    <row r="19">
      <c r="A19" s="6"/>
      <c r="B19" s="21"/>
      <c r="C19" s="83"/>
      <c r="D19" s="42"/>
      <c r="E19" s="42"/>
      <c r="F19" s="42"/>
      <c r="G19" s="42"/>
      <c r="H19" s="42"/>
      <c r="I19" s="42"/>
      <c r="J19" s="42"/>
      <c r="K19" s="42"/>
      <c r="L19" s="42"/>
      <c r="M19" s="42"/>
      <c r="N19" s="42"/>
      <c r="O19" s="42"/>
      <c r="P19" s="42"/>
      <c r="Q19" s="42"/>
      <c r="R19" s="42"/>
      <c r="S19" s="42"/>
      <c r="T19" s="42"/>
      <c r="U19" s="42"/>
      <c r="V19" s="42"/>
      <c r="W19" s="42"/>
      <c r="X19" s="42"/>
      <c r="Y19" s="42"/>
      <c r="Z19" s="42"/>
    </row>
    <row r="20">
      <c r="A20" s="83"/>
      <c r="B20" s="21"/>
      <c r="C20" s="83"/>
      <c r="D20" s="42"/>
      <c r="E20" s="42"/>
      <c r="F20" s="42"/>
      <c r="G20" s="42"/>
      <c r="H20" s="42"/>
      <c r="I20" s="42"/>
      <c r="J20" s="42"/>
      <c r="K20" s="42"/>
      <c r="L20" s="42"/>
      <c r="M20" s="42"/>
      <c r="N20" s="42"/>
      <c r="O20" s="42"/>
      <c r="P20" s="42"/>
      <c r="Q20" s="42"/>
      <c r="R20" s="42"/>
      <c r="S20" s="42"/>
      <c r="T20" s="42"/>
      <c r="U20" s="42"/>
      <c r="V20" s="42"/>
      <c r="W20" s="42"/>
      <c r="X20" s="42"/>
      <c r="Y20" s="42"/>
      <c r="Z20" s="42"/>
    </row>
    <row r="21">
      <c r="A21" s="83"/>
      <c r="B21" s="21"/>
      <c r="C21" s="83"/>
      <c r="D21" s="42"/>
      <c r="E21" s="42"/>
      <c r="F21" s="42"/>
      <c r="G21" s="42"/>
      <c r="H21" s="42"/>
      <c r="I21" s="42"/>
      <c r="J21" s="42"/>
      <c r="K21" s="42"/>
      <c r="L21" s="42"/>
      <c r="M21" s="42"/>
      <c r="N21" s="42"/>
      <c r="O21" s="42"/>
      <c r="P21" s="42"/>
      <c r="Q21" s="42"/>
      <c r="R21" s="42"/>
      <c r="S21" s="42"/>
      <c r="T21" s="42"/>
      <c r="U21" s="42"/>
      <c r="V21" s="42"/>
      <c r="W21" s="42"/>
      <c r="X21" s="42"/>
      <c r="Y21" s="42"/>
      <c r="Z21" s="42"/>
    </row>
    <row r="22">
      <c r="A22" s="83"/>
      <c r="B22" s="21"/>
      <c r="C22" s="83"/>
      <c r="D22" s="42"/>
      <c r="E22" s="42"/>
      <c r="F22" s="42"/>
      <c r="G22" s="42"/>
      <c r="H22" s="42"/>
      <c r="I22" s="42"/>
      <c r="J22" s="42"/>
      <c r="K22" s="42"/>
      <c r="L22" s="42"/>
      <c r="M22" s="42"/>
      <c r="N22" s="42"/>
      <c r="O22" s="42"/>
      <c r="P22" s="42"/>
      <c r="Q22" s="42"/>
      <c r="R22" s="42"/>
      <c r="S22" s="42"/>
      <c r="T22" s="42"/>
      <c r="U22" s="42"/>
      <c r="V22" s="42"/>
      <c r="W22" s="42"/>
      <c r="X22" s="42"/>
      <c r="Y22" s="42"/>
      <c r="Z22" s="42"/>
    </row>
    <row r="23">
      <c r="A23" s="83"/>
      <c r="B23" s="21"/>
      <c r="C23" s="83"/>
      <c r="D23" s="42"/>
      <c r="E23" s="42"/>
      <c r="F23" s="42"/>
      <c r="G23" s="42"/>
      <c r="H23" s="42"/>
      <c r="I23" s="42"/>
      <c r="J23" s="42"/>
      <c r="K23" s="42"/>
      <c r="L23" s="42"/>
      <c r="M23" s="42"/>
      <c r="N23" s="42"/>
      <c r="O23" s="42"/>
      <c r="P23" s="42"/>
      <c r="Q23" s="42"/>
      <c r="R23" s="42"/>
      <c r="S23" s="42"/>
      <c r="T23" s="42"/>
      <c r="U23" s="42"/>
      <c r="V23" s="42"/>
      <c r="W23" s="42"/>
      <c r="X23" s="42"/>
      <c r="Y23" s="42"/>
      <c r="Z23" s="42"/>
    </row>
    <row r="24">
      <c r="A24" s="83"/>
      <c r="B24" s="21"/>
      <c r="C24" s="83"/>
      <c r="D24" s="42"/>
      <c r="E24" s="42"/>
      <c r="F24" s="42"/>
      <c r="G24" s="42"/>
      <c r="H24" s="42"/>
      <c r="I24" s="42"/>
      <c r="J24" s="42"/>
      <c r="K24" s="42"/>
      <c r="L24" s="42"/>
      <c r="M24" s="42"/>
      <c r="N24" s="42"/>
      <c r="O24" s="42"/>
      <c r="P24" s="42"/>
      <c r="Q24" s="42"/>
      <c r="R24" s="42"/>
      <c r="S24" s="42"/>
      <c r="T24" s="42"/>
      <c r="U24" s="42"/>
      <c r="V24" s="42"/>
      <c r="W24" s="42"/>
      <c r="X24" s="42"/>
      <c r="Y24" s="42"/>
      <c r="Z24" s="42"/>
    </row>
    <row r="25">
      <c r="A25" s="83"/>
      <c r="B25" s="21"/>
      <c r="C25" s="83"/>
      <c r="D25" s="42"/>
      <c r="E25" s="42"/>
      <c r="F25" s="42"/>
      <c r="G25" s="42"/>
      <c r="H25" s="42"/>
      <c r="I25" s="42"/>
      <c r="J25" s="42"/>
      <c r="K25" s="42"/>
      <c r="L25" s="42"/>
      <c r="M25" s="42"/>
      <c r="N25" s="42"/>
      <c r="O25" s="42"/>
      <c r="P25" s="42"/>
      <c r="Q25" s="42"/>
      <c r="R25" s="42"/>
      <c r="S25" s="42"/>
      <c r="T25" s="42"/>
      <c r="U25" s="42"/>
      <c r="V25" s="42"/>
      <c r="W25" s="42"/>
      <c r="X25" s="42"/>
      <c r="Y25" s="42"/>
      <c r="Z25" s="42"/>
    </row>
    <row r="26">
      <c r="A26" s="83"/>
      <c r="B26" s="21"/>
      <c r="C26" s="83"/>
      <c r="D26" s="42"/>
      <c r="E26" s="42"/>
      <c r="F26" s="42"/>
      <c r="G26" s="42"/>
      <c r="H26" s="42"/>
      <c r="I26" s="42"/>
      <c r="J26" s="42"/>
      <c r="K26" s="42"/>
      <c r="L26" s="42"/>
      <c r="M26" s="42"/>
      <c r="N26" s="42"/>
      <c r="O26" s="42"/>
      <c r="P26" s="42"/>
      <c r="Q26" s="42"/>
      <c r="R26" s="42"/>
      <c r="S26" s="42"/>
      <c r="T26" s="42"/>
      <c r="U26" s="42"/>
      <c r="V26" s="42"/>
      <c r="W26" s="42"/>
      <c r="X26" s="42"/>
      <c r="Y26" s="42"/>
      <c r="Z26" s="42"/>
    </row>
    <row r="27">
      <c r="A27" s="83"/>
      <c r="B27" s="21"/>
      <c r="C27" s="83"/>
      <c r="D27" s="42"/>
      <c r="E27" s="42"/>
      <c r="F27" s="42"/>
      <c r="G27" s="42"/>
      <c r="H27" s="42"/>
      <c r="I27" s="42"/>
      <c r="J27" s="42"/>
      <c r="K27" s="42"/>
      <c r="L27" s="42"/>
      <c r="M27" s="42"/>
      <c r="N27" s="42"/>
      <c r="O27" s="42"/>
      <c r="P27" s="42"/>
      <c r="Q27" s="42"/>
      <c r="R27" s="42"/>
      <c r="S27" s="42"/>
      <c r="T27" s="42"/>
      <c r="U27" s="42"/>
      <c r="V27" s="42"/>
      <c r="W27" s="42"/>
      <c r="X27" s="42"/>
      <c r="Y27" s="42"/>
      <c r="Z27" s="42"/>
    </row>
    <row r="28">
      <c r="A28" s="83"/>
      <c r="B28" s="21"/>
      <c r="C28" s="83"/>
      <c r="D28" s="42"/>
      <c r="E28" s="42"/>
      <c r="F28" s="42"/>
      <c r="G28" s="42"/>
      <c r="H28" s="42"/>
      <c r="I28" s="42"/>
      <c r="J28" s="42"/>
      <c r="K28" s="42"/>
      <c r="L28" s="42"/>
      <c r="M28" s="42"/>
      <c r="N28" s="42"/>
      <c r="O28" s="42"/>
      <c r="P28" s="42"/>
      <c r="Q28" s="42"/>
      <c r="R28" s="42"/>
      <c r="S28" s="42"/>
      <c r="T28" s="42"/>
      <c r="U28" s="42"/>
      <c r="V28" s="42"/>
      <c r="W28" s="42"/>
      <c r="X28" s="42"/>
      <c r="Y28" s="42"/>
      <c r="Z28" s="42"/>
    </row>
    <row r="29">
      <c r="A29" s="83"/>
      <c r="B29" s="21"/>
      <c r="C29" s="83"/>
      <c r="D29" s="42"/>
      <c r="E29" s="42"/>
      <c r="F29" s="42"/>
      <c r="G29" s="42"/>
      <c r="H29" s="42"/>
      <c r="I29" s="42"/>
      <c r="J29" s="42"/>
      <c r="K29" s="42"/>
      <c r="L29" s="42"/>
      <c r="M29" s="42"/>
      <c r="N29" s="42"/>
      <c r="O29" s="42"/>
      <c r="P29" s="42"/>
      <c r="Q29" s="42"/>
      <c r="R29" s="42"/>
      <c r="S29" s="42"/>
      <c r="T29" s="42"/>
      <c r="U29" s="42"/>
      <c r="V29" s="42"/>
      <c r="W29" s="42"/>
      <c r="X29" s="42"/>
      <c r="Y29" s="42"/>
      <c r="Z29" s="42"/>
    </row>
    <row r="30">
      <c r="A30" s="83"/>
      <c r="B30" s="21"/>
      <c r="C30" s="83"/>
      <c r="D30" s="42"/>
      <c r="E30" s="42"/>
      <c r="F30" s="42"/>
      <c r="G30" s="42"/>
      <c r="H30" s="42"/>
      <c r="I30" s="42"/>
      <c r="J30" s="42"/>
      <c r="K30" s="42"/>
      <c r="L30" s="42"/>
      <c r="M30" s="42"/>
      <c r="N30" s="42"/>
      <c r="O30" s="42"/>
      <c r="P30" s="42"/>
      <c r="Q30" s="42"/>
      <c r="R30" s="42"/>
      <c r="S30" s="42"/>
      <c r="T30" s="42"/>
      <c r="U30" s="42"/>
      <c r="V30" s="42"/>
      <c r="W30" s="42"/>
      <c r="X30" s="42"/>
      <c r="Y30" s="42"/>
      <c r="Z30" s="42"/>
    </row>
    <row r="31">
      <c r="A31" s="83"/>
      <c r="B31" s="21"/>
      <c r="C31" s="83"/>
      <c r="D31" s="42"/>
      <c r="E31" s="42"/>
      <c r="F31" s="42"/>
      <c r="G31" s="42"/>
      <c r="H31" s="42"/>
      <c r="I31" s="42"/>
      <c r="J31" s="42"/>
      <c r="K31" s="42"/>
      <c r="L31" s="42"/>
      <c r="M31" s="42"/>
      <c r="N31" s="42"/>
      <c r="O31" s="42"/>
      <c r="P31" s="42"/>
      <c r="Q31" s="42"/>
      <c r="R31" s="42"/>
      <c r="S31" s="42"/>
      <c r="T31" s="42"/>
      <c r="U31" s="42"/>
      <c r="V31" s="42"/>
      <c r="W31" s="42"/>
      <c r="X31" s="42"/>
      <c r="Y31" s="42"/>
      <c r="Z31" s="42"/>
    </row>
    <row r="32">
      <c r="A32" s="83"/>
      <c r="B32" s="21"/>
      <c r="C32" s="83"/>
      <c r="D32" s="42"/>
      <c r="E32" s="42"/>
      <c r="F32" s="42"/>
      <c r="G32" s="42"/>
      <c r="H32" s="42"/>
      <c r="I32" s="42"/>
      <c r="J32" s="42"/>
      <c r="K32" s="42"/>
      <c r="L32" s="42"/>
      <c r="M32" s="42"/>
      <c r="N32" s="42"/>
      <c r="O32" s="42"/>
      <c r="P32" s="42"/>
      <c r="Q32" s="42"/>
      <c r="R32" s="42"/>
      <c r="S32" s="42"/>
      <c r="T32" s="42"/>
      <c r="U32" s="42"/>
      <c r="V32" s="42"/>
      <c r="W32" s="42"/>
      <c r="X32" s="42"/>
      <c r="Y32" s="42"/>
      <c r="Z32" s="42"/>
    </row>
    <row r="33">
      <c r="A33" s="83"/>
      <c r="B33" s="21"/>
      <c r="C33" s="83"/>
      <c r="D33" s="42"/>
      <c r="E33" s="42"/>
      <c r="F33" s="42"/>
      <c r="G33" s="42"/>
      <c r="H33" s="42"/>
      <c r="I33" s="42"/>
      <c r="J33" s="42"/>
      <c r="K33" s="42"/>
      <c r="L33" s="42"/>
      <c r="M33" s="42"/>
      <c r="N33" s="42"/>
      <c r="O33" s="42"/>
      <c r="P33" s="42"/>
      <c r="Q33" s="42"/>
      <c r="R33" s="42"/>
      <c r="S33" s="42"/>
      <c r="T33" s="42"/>
      <c r="U33" s="42"/>
      <c r="V33" s="42"/>
      <c r="W33" s="42"/>
      <c r="X33" s="42"/>
      <c r="Y33" s="42"/>
      <c r="Z33" s="42"/>
    </row>
    <row r="34">
      <c r="A34" s="83"/>
      <c r="B34" s="21"/>
      <c r="C34" s="83"/>
      <c r="D34" s="42"/>
      <c r="E34" s="42"/>
      <c r="F34" s="42"/>
      <c r="G34" s="42"/>
      <c r="H34" s="42"/>
      <c r="I34" s="42"/>
      <c r="J34" s="42"/>
      <c r="K34" s="42"/>
      <c r="L34" s="42"/>
      <c r="M34" s="42"/>
      <c r="N34" s="42"/>
      <c r="O34" s="42"/>
      <c r="P34" s="42"/>
      <c r="Q34" s="42"/>
      <c r="R34" s="42"/>
      <c r="S34" s="42"/>
      <c r="T34" s="42"/>
      <c r="U34" s="42"/>
      <c r="V34" s="42"/>
      <c r="W34" s="42"/>
      <c r="X34" s="42"/>
      <c r="Y34" s="42"/>
      <c r="Z34" s="42"/>
    </row>
    <row r="35">
      <c r="A35" s="83"/>
      <c r="B35" s="21"/>
      <c r="C35" s="83"/>
      <c r="D35" s="42"/>
      <c r="E35" s="42"/>
      <c r="F35" s="42"/>
      <c r="G35" s="42"/>
      <c r="H35" s="42"/>
      <c r="I35" s="42"/>
      <c r="J35" s="42"/>
      <c r="K35" s="42"/>
      <c r="L35" s="42"/>
      <c r="M35" s="42"/>
      <c r="N35" s="42"/>
      <c r="O35" s="42"/>
      <c r="P35" s="42"/>
      <c r="Q35" s="42"/>
      <c r="R35" s="42"/>
      <c r="S35" s="42"/>
      <c r="T35" s="42"/>
      <c r="U35" s="42"/>
      <c r="V35" s="42"/>
      <c r="W35" s="42"/>
      <c r="X35" s="42"/>
      <c r="Y35" s="42"/>
      <c r="Z35" s="42"/>
    </row>
    <row r="36">
      <c r="A36" s="83"/>
      <c r="B36" s="21"/>
      <c r="C36" s="83"/>
      <c r="D36" s="42"/>
      <c r="E36" s="42"/>
      <c r="F36" s="42"/>
      <c r="G36" s="42"/>
      <c r="H36" s="42"/>
      <c r="I36" s="42"/>
      <c r="J36" s="42"/>
      <c r="K36" s="42"/>
      <c r="L36" s="42"/>
      <c r="M36" s="42"/>
      <c r="N36" s="42"/>
      <c r="O36" s="42"/>
      <c r="P36" s="42"/>
      <c r="Q36" s="42"/>
      <c r="R36" s="42"/>
      <c r="S36" s="42"/>
      <c r="T36" s="42"/>
      <c r="U36" s="42"/>
      <c r="V36" s="42"/>
      <c r="W36" s="42"/>
      <c r="X36" s="42"/>
      <c r="Y36" s="42"/>
      <c r="Z36" s="42"/>
    </row>
    <row r="37">
      <c r="A37" s="83"/>
      <c r="B37" s="21"/>
      <c r="C37" s="83"/>
      <c r="D37" s="42"/>
      <c r="E37" s="42"/>
      <c r="F37" s="42"/>
      <c r="G37" s="42"/>
      <c r="H37" s="42"/>
      <c r="I37" s="42"/>
      <c r="J37" s="42"/>
      <c r="K37" s="42"/>
      <c r="L37" s="42"/>
      <c r="M37" s="42"/>
      <c r="N37" s="42"/>
      <c r="O37" s="42"/>
      <c r="P37" s="42"/>
      <c r="Q37" s="42"/>
      <c r="R37" s="42"/>
      <c r="S37" s="42"/>
      <c r="T37" s="42"/>
      <c r="U37" s="42"/>
      <c r="V37" s="42"/>
      <c r="W37" s="42"/>
      <c r="X37" s="42"/>
      <c r="Y37" s="42"/>
      <c r="Z37" s="42"/>
    </row>
    <row r="38">
      <c r="A38" s="83"/>
      <c r="B38" s="21"/>
      <c r="C38" s="83"/>
      <c r="D38" s="42"/>
      <c r="E38" s="42"/>
      <c r="F38" s="42"/>
      <c r="G38" s="42"/>
      <c r="H38" s="42"/>
      <c r="I38" s="42"/>
      <c r="J38" s="42"/>
      <c r="K38" s="42"/>
      <c r="L38" s="42"/>
      <c r="M38" s="42"/>
      <c r="N38" s="42"/>
      <c r="O38" s="42"/>
      <c r="P38" s="42"/>
      <c r="Q38" s="42"/>
      <c r="R38" s="42"/>
      <c r="S38" s="42"/>
      <c r="T38" s="42"/>
      <c r="U38" s="42"/>
      <c r="V38" s="42"/>
      <c r="W38" s="42"/>
      <c r="X38" s="42"/>
      <c r="Y38" s="42"/>
      <c r="Z38" s="42"/>
    </row>
    <row r="39">
      <c r="A39" s="83"/>
      <c r="B39" s="21"/>
      <c r="C39" s="83"/>
      <c r="D39" s="42"/>
      <c r="E39" s="42"/>
      <c r="F39" s="42"/>
      <c r="G39" s="42"/>
      <c r="H39" s="42"/>
      <c r="I39" s="42"/>
      <c r="J39" s="42"/>
      <c r="K39" s="42"/>
      <c r="L39" s="42"/>
      <c r="M39" s="42"/>
      <c r="N39" s="42"/>
      <c r="O39" s="42"/>
      <c r="P39" s="42"/>
      <c r="Q39" s="42"/>
      <c r="R39" s="42"/>
      <c r="S39" s="42"/>
      <c r="T39" s="42"/>
      <c r="U39" s="42"/>
      <c r="V39" s="42"/>
      <c r="W39" s="42"/>
      <c r="X39" s="42"/>
      <c r="Y39" s="42"/>
      <c r="Z39" s="42"/>
    </row>
    <row r="40">
      <c r="A40" s="83"/>
      <c r="B40" s="21"/>
      <c r="C40" s="83"/>
      <c r="D40" s="42"/>
      <c r="E40" s="42"/>
      <c r="F40" s="42"/>
      <c r="G40" s="42"/>
      <c r="H40" s="42"/>
      <c r="I40" s="42"/>
      <c r="J40" s="42"/>
      <c r="K40" s="42"/>
      <c r="L40" s="42"/>
      <c r="M40" s="42"/>
      <c r="N40" s="42"/>
      <c r="O40" s="42"/>
      <c r="P40" s="42"/>
      <c r="Q40" s="42"/>
      <c r="R40" s="42"/>
      <c r="S40" s="42"/>
      <c r="T40" s="42"/>
      <c r="U40" s="42"/>
      <c r="V40" s="42"/>
      <c r="W40" s="42"/>
      <c r="X40" s="42"/>
      <c r="Y40" s="42"/>
      <c r="Z40" s="42"/>
    </row>
    <row r="41">
      <c r="A41" s="83"/>
      <c r="B41" s="21"/>
      <c r="C41" s="83"/>
      <c r="D41" s="42"/>
      <c r="E41" s="42"/>
      <c r="F41" s="42"/>
      <c r="G41" s="42"/>
      <c r="H41" s="42"/>
      <c r="I41" s="42"/>
      <c r="J41" s="42"/>
      <c r="K41" s="42"/>
      <c r="L41" s="42"/>
      <c r="M41" s="42"/>
      <c r="N41" s="42"/>
      <c r="O41" s="42"/>
      <c r="P41" s="42"/>
      <c r="Q41" s="42"/>
      <c r="R41" s="42"/>
      <c r="S41" s="42"/>
      <c r="T41" s="42"/>
      <c r="U41" s="42"/>
      <c r="V41" s="42"/>
      <c r="W41" s="42"/>
      <c r="X41" s="42"/>
      <c r="Y41" s="42"/>
      <c r="Z41" s="42"/>
    </row>
    <row r="42">
      <c r="A42" s="83"/>
      <c r="B42" s="21"/>
      <c r="C42" s="83"/>
      <c r="D42" s="42"/>
      <c r="E42" s="42"/>
      <c r="F42" s="42"/>
      <c r="G42" s="42"/>
      <c r="H42" s="42"/>
      <c r="I42" s="42"/>
      <c r="J42" s="42"/>
      <c r="K42" s="42"/>
      <c r="L42" s="42"/>
      <c r="M42" s="42"/>
      <c r="N42" s="42"/>
      <c r="O42" s="42"/>
      <c r="P42" s="42"/>
      <c r="Q42" s="42"/>
      <c r="R42" s="42"/>
      <c r="S42" s="42"/>
      <c r="T42" s="42"/>
      <c r="U42" s="42"/>
      <c r="V42" s="42"/>
      <c r="W42" s="42"/>
      <c r="X42" s="42"/>
      <c r="Y42" s="42"/>
      <c r="Z42" s="42"/>
    </row>
    <row r="43">
      <c r="A43" s="83"/>
      <c r="B43" s="21"/>
      <c r="C43" s="83"/>
      <c r="D43" s="42"/>
      <c r="E43" s="42"/>
      <c r="F43" s="42"/>
      <c r="G43" s="42"/>
      <c r="H43" s="42"/>
      <c r="I43" s="42"/>
      <c r="J43" s="42"/>
      <c r="K43" s="42"/>
      <c r="L43" s="42"/>
      <c r="M43" s="42"/>
      <c r="N43" s="42"/>
      <c r="O43" s="42"/>
      <c r="P43" s="42"/>
      <c r="Q43" s="42"/>
      <c r="R43" s="42"/>
      <c r="S43" s="42"/>
      <c r="T43" s="42"/>
      <c r="U43" s="42"/>
      <c r="V43" s="42"/>
      <c r="W43" s="42"/>
      <c r="X43" s="42"/>
      <c r="Y43" s="42"/>
      <c r="Z43" s="42"/>
    </row>
    <row r="44">
      <c r="A44" s="83"/>
      <c r="B44" s="21"/>
      <c r="C44" s="83"/>
      <c r="D44" s="42"/>
      <c r="E44" s="42"/>
      <c r="F44" s="42"/>
      <c r="G44" s="42"/>
      <c r="H44" s="42"/>
      <c r="I44" s="42"/>
      <c r="J44" s="42"/>
      <c r="K44" s="42"/>
      <c r="L44" s="42"/>
      <c r="M44" s="42"/>
      <c r="N44" s="42"/>
      <c r="O44" s="42"/>
      <c r="P44" s="42"/>
      <c r="Q44" s="42"/>
      <c r="R44" s="42"/>
      <c r="S44" s="42"/>
      <c r="T44" s="42"/>
      <c r="U44" s="42"/>
      <c r="V44" s="42"/>
      <c r="W44" s="42"/>
      <c r="X44" s="42"/>
      <c r="Y44" s="42"/>
      <c r="Z44" s="42"/>
    </row>
    <row r="45">
      <c r="A45" s="83"/>
      <c r="B45" s="21"/>
      <c r="C45" s="83"/>
      <c r="D45" s="42"/>
      <c r="E45" s="42"/>
      <c r="F45" s="42"/>
      <c r="G45" s="42"/>
      <c r="H45" s="42"/>
      <c r="I45" s="42"/>
      <c r="J45" s="42"/>
      <c r="K45" s="42"/>
      <c r="L45" s="42"/>
      <c r="M45" s="42"/>
      <c r="N45" s="42"/>
      <c r="O45" s="42"/>
      <c r="P45" s="42"/>
      <c r="Q45" s="42"/>
      <c r="R45" s="42"/>
      <c r="S45" s="42"/>
      <c r="T45" s="42"/>
      <c r="U45" s="42"/>
      <c r="V45" s="42"/>
      <c r="W45" s="42"/>
      <c r="X45" s="42"/>
      <c r="Y45" s="42"/>
      <c r="Z45" s="42"/>
    </row>
    <row r="46">
      <c r="A46" s="83"/>
      <c r="B46" s="21"/>
      <c r="C46" s="83"/>
      <c r="D46" s="42"/>
      <c r="E46" s="42"/>
      <c r="F46" s="42"/>
      <c r="G46" s="42"/>
      <c r="H46" s="42"/>
      <c r="I46" s="42"/>
      <c r="J46" s="42"/>
      <c r="K46" s="42"/>
      <c r="L46" s="42"/>
      <c r="M46" s="42"/>
      <c r="N46" s="42"/>
      <c r="O46" s="42"/>
      <c r="P46" s="42"/>
      <c r="Q46" s="42"/>
      <c r="R46" s="42"/>
      <c r="S46" s="42"/>
      <c r="T46" s="42"/>
      <c r="U46" s="42"/>
      <c r="V46" s="42"/>
      <c r="W46" s="42"/>
      <c r="X46" s="42"/>
      <c r="Y46" s="42"/>
      <c r="Z46" s="42"/>
    </row>
    <row r="47">
      <c r="A47" s="83"/>
      <c r="B47" s="21"/>
      <c r="C47" s="83"/>
      <c r="D47" s="42"/>
      <c r="E47" s="42"/>
      <c r="F47" s="42"/>
      <c r="G47" s="42"/>
      <c r="H47" s="42"/>
      <c r="I47" s="42"/>
      <c r="J47" s="42"/>
      <c r="K47" s="42"/>
      <c r="L47" s="42"/>
      <c r="M47" s="42"/>
      <c r="N47" s="42"/>
      <c r="O47" s="42"/>
      <c r="P47" s="42"/>
      <c r="Q47" s="42"/>
      <c r="R47" s="42"/>
      <c r="S47" s="42"/>
      <c r="T47" s="42"/>
      <c r="U47" s="42"/>
      <c r="V47" s="42"/>
      <c r="W47" s="42"/>
      <c r="X47" s="42"/>
      <c r="Y47" s="42"/>
      <c r="Z47" s="42"/>
    </row>
    <row r="48">
      <c r="A48" s="83"/>
      <c r="B48" s="21"/>
      <c r="C48" s="83"/>
      <c r="D48" s="42"/>
      <c r="E48" s="42"/>
      <c r="F48" s="42"/>
      <c r="G48" s="42"/>
      <c r="H48" s="42"/>
      <c r="I48" s="42"/>
      <c r="J48" s="42"/>
      <c r="K48" s="42"/>
      <c r="L48" s="42"/>
      <c r="M48" s="42"/>
      <c r="N48" s="42"/>
      <c r="O48" s="42"/>
      <c r="P48" s="42"/>
      <c r="Q48" s="42"/>
      <c r="R48" s="42"/>
      <c r="S48" s="42"/>
      <c r="T48" s="42"/>
      <c r="U48" s="42"/>
      <c r="V48" s="42"/>
      <c r="W48" s="42"/>
      <c r="X48" s="42"/>
      <c r="Y48" s="42"/>
      <c r="Z48" s="42"/>
    </row>
    <row r="49">
      <c r="A49" s="83"/>
      <c r="B49" s="21"/>
      <c r="C49" s="83"/>
      <c r="D49" s="42"/>
      <c r="E49" s="42"/>
      <c r="F49" s="42"/>
      <c r="G49" s="42"/>
      <c r="H49" s="42"/>
      <c r="I49" s="42"/>
      <c r="J49" s="42"/>
      <c r="K49" s="42"/>
      <c r="L49" s="42"/>
      <c r="M49" s="42"/>
      <c r="N49" s="42"/>
      <c r="O49" s="42"/>
      <c r="P49" s="42"/>
      <c r="Q49" s="42"/>
      <c r="R49" s="42"/>
      <c r="S49" s="42"/>
      <c r="T49" s="42"/>
      <c r="U49" s="42"/>
      <c r="V49" s="42"/>
      <c r="W49" s="42"/>
      <c r="X49" s="42"/>
      <c r="Y49" s="42"/>
      <c r="Z49" s="42"/>
    </row>
    <row r="50">
      <c r="A50" s="83"/>
      <c r="B50" s="21"/>
      <c r="C50" s="83"/>
      <c r="D50" s="42"/>
      <c r="E50" s="42"/>
      <c r="F50" s="42"/>
      <c r="G50" s="42"/>
      <c r="H50" s="42"/>
      <c r="I50" s="42"/>
      <c r="J50" s="42"/>
      <c r="K50" s="42"/>
      <c r="L50" s="42"/>
      <c r="M50" s="42"/>
      <c r="N50" s="42"/>
      <c r="O50" s="42"/>
      <c r="P50" s="42"/>
      <c r="Q50" s="42"/>
      <c r="R50" s="42"/>
      <c r="S50" s="42"/>
      <c r="T50" s="42"/>
      <c r="U50" s="42"/>
      <c r="V50" s="42"/>
      <c r="W50" s="42"/>
      <c r="X50" s="42"/>
      <c r="Y50" s="42"/>
      <c r="Z50" s="42"/>
    </row>
    <row r="51">
      <c r="A51" s="83"/>
      <c r="B51" s="21"/>
      <c r="C51" s="83"/>
      <c r="D51" s="42"/>
      <c r="E51" s="42"/>
      <c r="F51" s="42"/>
      <c r="G51" s="42"/>
      <c r="H51" s="42"/>
      <c r="I51" s="42"/>
      <c r="J51" s="42"/>
      <c r="K51" s="42"/>
      <c r="L51" s="42"/>
      <c r="M51" s="42"/>
      <c r="N51" s="42"/>
      <c r="O51" s="42"/>
      <c r="P51" s="42"/>
      <c r="Q51" s="42"/>
      <c r="R51" s="42"/>
      <c r="S51" s="42"/>
      <c r="T51" s="42"/>
      <c r="U51" s="42"/>
      <c r="V51" s="42"/>
      <c r="W51" s="42"/>
      <c r="X51" s="42"/>
      <c r="Y51" s="42"/>
      <c r="Z51" s="42"/>
    </row>
    <row r="52">
      <c r="A52" s="83"/>
      <c r="B52" s="21"/>
      <c r="C52" s="83"/>
      <c r="D52" s="42"/>
      <c r="E52" s="42"/>
      <c r="F52" s="42"/>
      <c r="G52" s="42"/>
      <c r="H52" s="42"/>
      <c r="I52" s="42"/>
      <c r="J52" s="42"/>
      <c r="K52" s="42"/>
      <c r="L52" s="42"/>
      <c r="M52" s="42"/>
      <c r="N52" s="42"/>
      <c r="O52" s="42"/>
      <c r="P52" s="42"/>
      <c r="Q52" s="42"/>
      <c r="R52" s="42"/>
      <c r="S52" s="42"/>
      <c r="T52" s="42"/>
      <c r="U52" s="42"/>
      <c r="V52" s="42"/>
      <c r="W52" s="42"/>
      <c r="X52" s="42"/>
      <c r="Y52" s="42"/>
      <c r="Z52" s="42"/>
    </row>
    <row r="53">
      <c r="A53" s="83"/>
      <c r="B53" s="21"/>
      <c r="C53" s="83"/>
      <c r="D53" s="42"/>
      <c r="E53" s="42"/>
      <c r="F53" s="42"/>
      <c r="G53" s="42"/>
      <c r="H53" s="42"/>
      <c r="I53" s="42"/>
      <c r="J53" s="42"/>
      <c r="K53" s="42"/>
      <c r="L53" s="42"/>
      <c r="M53" s="42"/>
      <c r="N53" s="42"/>
      <c r="O53" s="42"/>
      <c r="P53" s="42"/>
      <c r="Q53" s="42"/>
      <c r="R53" s="42"/>
      <c r="S53" s="42"/>
      <c r="T53" s="42"/>
      <c r="U53" s="42"/>
      <c r="V53" s="42"/>
      <c r="W53" s="42"/>
      <c r="X53" s="42"/>
      <c r="Y53" s="42"/>
      <c r="Z53" s="42"/>
    </row>
    <row r="54">
      <c r="A54" s="83"/>
      <c r="B54" s="21"/>
      <c r="C54" s="83"/>
      <c r="D54" s="42"/>
      <c r="E54" s="42"/>
      <c r="F54" s="42"/>
      <c r="G54" s="42"/>
      <c r="H54" s="42"/>
      <c r="I54" s="42"/>
      <c r="J54" s="42"/>
      <c r="K54" s="42"/>
      <c r="L54" s="42"/>
      <c r="M54" s="42"/>
      <c r="N54" s="42"/>
      <c r="O54" s="42"/>
      <c r="P54" s="42"/>
      <c r="Q54" s="42"/>
      <c r="R54" s="42"/>
      <c r="S54" s="42"/>
      <c r="T54" s="42"/>
      <c r="U54" s="42"/>
      <c r="V54" s="42"/>
      <c r="W54" s="42"/>
      <c r="X54" s="42"/>
      <c r="Y54" s="42"/>
      <c r="Z54" s="42"/>
    </row>
    <row r="55">
      <c r="A55" s="83"/>
      <c r="B55" s="21"/>
      <c r="C55" s="83"/>
      <c r="D55" s="42"/>
      <c r="E55" s="42"/>
      <c r="F55" s="42"/>
      <c r="G55" s="42"/>
      <c r="H55" s="42"/>
      <c r="I55" s="42"/>
      <c r="J55" s="42"/>
      <c r="K55" s="42"/>
      <c r="L55" s="42"/>
      <c r="M55" s="42"/>
      <c r="N55" s="42"/>
      <c r="O55" s="42"/>
      <c r="P55" s="42"/>
      <c r="Q55" s="42"/>
      <c r="R55" s="42"/>
      <c r="S55" s="42"/>
      <c r="T55" s="42"/>
      <c r="U55" s="42"/>
      <c r="V55" s="42"/>
      <c r="W55" s="42"/>
      <c r="X55" s="42"/>
      <c r="Y55" s="42"/>
      <c r="Z55" s="42"/>
    </row>
    <row r="56">
      <c r="A56" s="83"/>
      <c r="B56" s="21"/>
      <c r="C56" s="83"/>
      <c r="D56" s="42"/>
      <c r="E56" s="42"/>
      <c r="F56" s="42"/>
      <c r="G56" s="42"/>
      <c r="H56" s="42"/>
      <c r="I56" s="42"/>
      <c r="J56" s="42"/>
      <c r="K56" s="42"/>
      <c r="L56" s="42"/>
      <c r="M56" s="42"/>
      <c r="N56" s="42"/>
      <c r="O56" s="42"/>
      <c r="P56" s="42"/>
      <c r="Q56" s="42"/>
      <c r="R56" s="42"/>
      <c r="S56" s="42"/>
      <c r="T56" s="42"/>
      <c r="U56" s="42"/>
      <c r="V56" s="42"/>
      <c r="W56" s="42"/>
      <c r="X56" s="42"/>
      <c r="Y56" s="42"/>
      <c r="Z56" s="42"/>
    </row>
    <row r="57">
      <c r="A57" s="83"/>
      <c r="B57" s="21"/>
      <c r="C57" s="83"/>
      <c r="D57" s="42"/>
      <c r="E57" s="42"/>
      <c r="F57" s="42"/>
      <c r="G57" s="42"/>
      <c r="H57" s="42"/>
      <c r="I57" s="42"/>
      <c r="J57" s="42"/>
      <c r="K57" s="42"/>
      <c r="L57" s="42"/>
      <c r="M57" s="42"/>
      <c r="N57" s="42"/>
      <c r="O57" s="42"/>
      <c r="P57" s="42"/>
      <c r="Q57" s="42"/>
      <c r="R57" s="42"/>
      <c r="S57" s="42"/>
      <c r="T57" s="42"/>
      <c r="U57" s="42"/>
      <c r="V57" s="42"/>
      <c r="W57" s="42"/>
      <c r="X57" s="42"/>
      <c r="Y57" s="42"/>
      <c r="Z57" s="42"/>
    </row>
    <row r="58">
      <c r="A58" s="83"/>
      <c r="B58" s="21"/>
      <c r="C58" s="83"/>
      <c r="D58" s="42"/>
      <c r="E58" s="42"/>
      <c r="F58" s="42"/>
      <c r="G58" s="42"/>
      <c r="H58" s="42"/>
      <c r="I58" s="42"/>
      <c r="J58" s="42"/>
      <c r="K58" s="42"/>
      <c r="L58" s="42"/>
      <c r="M58" s="42"/>
      <c r="N58" s="42"/>
      <c r="O58" s="42"/>
      <c r="P58" s="42"/>
      <c r="Q58" s="42"/>
      <c r="R58" s="42"/>
      <c r="S58" s="42"/>
      <c r="T58" s="42"/>
      <c r="U58" s="42"/>
      <c r="V58" s="42"/>
      <c r="W58" s="42"/>
      <c r="X58" s="42"/>
      <c r="Y58" s="42"/>
      <c r="Z58" s="42"/>
    </row>
    <row r="59">
      <c r="A59" s="83"/>
      <c r="B59" s="21"/>
      <c r="C59" s="83"/>
      <c r="D59" s="42"/>
      <c r="E59" s="42"/>
      <c r="F59" s="42"/>
      <c r="G59" s="42"/>
      <c r="H59" s="42"/>
      <c r="I59" s="42"/>
      <c r="J59" s="42"/>
      <c r="K59" s="42"/>
      <c r="L59" s="42"/>
      <c r="M59" s="42"/>
      <c r="N59" s="42"/>
      <c r="O59" s="42"/>
      <c r="P59" s="42"/>
      <c r="Q59" s="42"/>
      <c r="R59" s="42"/>
      <c r="S59" s="42"/>
      <c r="T59" s="42"/>
      <c r="U59" s="42"/>
      <c r="V59" s="42"/>
      <c r="W59" s="42"/>
      <c r="X59" s="42"/>
      <c r="Y59" s="42"/>
      <c r="Z59" s="42"/>
    </row>
    <row r="60">
      <c r="A60" s="83"/>
      <c r="B60" s="21"/>
      <c r="C60" s="83"/>
      <c r="D60" s="42"/>
      <c r="E60" s="42"/>
      <c r="F60" s="42"/>
      <c r="G60" s="42"/>
      <c r="H60" s="42"/>
      <c r="I60" s="42"/>
      <c r="J60" s="42"/>
      <c r="K60" s="42"/>
      <c r="L60" s="42"/>
      <c r="M60" s="42"/>
      <c r="N60" s="42"/>
      <c r="O60" s="42"/>
      <c r="P60" s="42"/>
      <c r="Q60" s="42"/>
      <c r="R60" s="42"/>
      <c r="S60" s="42"/>
      <c r="T60" s="42"/>
      <c r="U60" s="42"/>
      <c r="V60" s="42"/>
      <c r="W60" s="42"/>
      <c r="X60" s="42"/>
      <c r="Y60" s="42"/>
      <c r="Z60" s="42"/>
    </row>
    <row r="61">
      <c r="A61" s="83"/>
      <c r="B61" s="21"/>
      <c r="C61" s="83"/>
      <c r="D61" s="42"/>
      <c r="E61" s="42"/>
      <c r="F61" s="42"/>
      <c r="G61" s="42"/>
      <c r="H61" s="42"/>
      <c r="I61" s="42"/>
      <c r="J61" s="42"/>
      <c r="K61" s="42"/>
      <c r="L61" s="42"/>
      <c r="M61" s="42"/>
      <c r="N61" s="42"/>
      <c r="O61" s="42"/>
      <c r="P61" s="42"/>
      <c r="Q61" s="42"/>
      <c r="R61" s="42"/>
      <c r="S61" s="42"/>
      <c r="T61" s="42"/>
      <c r="U61" s="42"/>
      <c r="V61" s="42"/>
      <c r="W61" s="42"/>
      <c r="X61" s="42"/>
      <c r="Y61" s="42"/>
      <c r="Z61" s="42"/>
    </row>
    <row r="62">
      <c r="A62" s="83"/>
      <c r="B62" s="21"/>
      <c r="C62" s="83"/>
      <c r="D62" s="42"/>
      <c r="E62" s="42"/>
      <c r="F62" s="42"/>
      <c r="G62" s="42"/>
      <c r="H62" s="42"/>
      <c r="I62" s="42"/>
      <c r="J62" s="42"/>
      <c r="K62" s="42"/>
      <c r="L62" s="42"/>
      <c r="M62" s="42"/>
      <c r="N62" s="42"/>
      <c r="O62" s="42"/>
      <c r="P62" s="42"/>
      <c r="Q62" s="42"/>
      <c r="R62" s="42"/>
      <c r="S62" s="42"/>
      <c r="T62" s="42"/>
      <c r="U62" s="42"/>
      <c r="V62" s="42"/>
      <c r="W62" s="42"/>
      <c r="X62" s="42"/>
      <c r="Y62" s="42"/>
      <c r="Z62" s="42"/>
    </row>
    <row r="63">
      <c r="A63" s="83"/>
      <c r="B63" s="21"/>
      <c r="C63" s="83"/>
      <c r="D63" s="42"/>
      <c r="E63" s="42"/>
      <c r="F63" s="42"/>
      <c r="G63" s="42"/>
      <c r="H63" s="42"/>
      <c r="I63" s="42"/>
      <c r="J63" s="42"/>
      <c r="K63" s="42"/>
      <c r="L63" s="42"/>
      <c r="M63" s="42"/>
      <c r="N63" s="42"/>
      <c r="O63" s="42"/>
      <c r="P63" s="42"/>
      <c r="Q63" s="42"/>
      <c r="R63" s="42"/>
      <c r="S63" s="42"/>
      <c r="T63" s="42"/>
      <c r="U63" s="42"/>
      <c r="V63" s="42"/>
      <c r="W63" s="42"/>
      <c r="X63" s="42"/>
      <c r="Y63" s="42"/>
      <c r="Z63" s="42"/>
    </row>
    <row r="64">
      <c r="A64" s="83"/>
      <c r="B64" s="21"/>
      <c r="C64" s="83"/>
      <c r="D64" s="42"/>
      <c r="E64" s="42"/>
      <c r="F64" s="42"/>
      <c r="G64" s="42"/>
      <c r="H64" s="42"/>
      <c r="I64" s="42"/>
      <c r="J64" s="42"/>
      <c r="K64" s="42"/>
      <c r="L64" s="42"/>
      <c r="M64" s="42"/>
      <c r="N64" s="42"/>
      <c r="O64" s="42"/>
      <c r="P64" s="42"/>
      <c r="Q64" s="42"/>
      <c r="R64" s="42"/>
      <c r="S64" s="42"/>
      <c r="T64" s="42"/>
      <c r="U64" s="42"/>
      <c r="V64" s="42"/>
      <c r="W64" s="42"/>
      <c r="X64" s="42"/>
      <c r="Y64" s="42"/>
      <c r="Z64" s="42"/>
    </row>
    <row r="65">
      <c r="A65" s="83"/>
      <c r="B65" s="21"/>
      <c r="C65" s="83"/>
      <c r="D65" s="42"/>
      <c r="E65" s="42"/>
      <c r="F65" s="42"/>
      <c r="G65" s="42"/>
      <c r="H65" s="42"/>
      <c r="I65" s="42"/>
      <c r="J65" s="42"/>
      <c r="K65" s="42"/>
      <c r="L65" s="42"/>
      <c r="M65" s="42"/>
      <c r="N65" s="42"/>
      <c r="O65" s="42"/>
      <c r="P65" s="42"/>
      <c r="Q65" s="42"/>
      <c r="R65" s="42"/>
      <c r="S65" s="42"/>
      <c r="T65" s="42"/>
      <c r="U65" s="42"/>
      <c r="V65" s="42"/>
      <c r="W65" s="42"/>
      <c r="X65" s="42"/>
      <c r="Y65" s="42"/>
      <c r="Z65" s="42"/>
    </row>
    <row r="66">
      <c r="A66" s="83"/>
      <c r="B66" s="21"/>
      <c r="C66" s="83"/>
      <c r="D66" s="42"/>
      <c r="E66" s="42"/>
      <c r="F66" s="42"/>
      <c r="G66" s="42"/>
      <c r="H66" s="42"/>
      <c r="I66" s="42"/>
      <c r="J66" s="42"/>
      <c r="K66" s="42"/>
      <c r="L66" s="42"/>
      <c r="M66" s="42"/>
      <c r="N66" s="42"/>
      <c r="O66" s="42"/>
      <c r="P66" s="42"/>
      <c r="Q66" s="42"/>
      <c r="R66" s="42"/>
      <c r="S66" s="42"/>
      <c r="T66" s="42"/>
      <c r="U66" s="42"/>
      <c r="V66" s="42"/>
      <c r="W66" s="42"/>
      <c r="X66" s="42"/>
      <c r="Y66" s="42"/>
      <c r="Z66" s="42"/>
    </row>
    <row r="67">
      <c r="A67" s="83"/>
      <c r="B67" s="21"/>
      <c r="C67" s="83"/>
      <c r="D67" s="42"/>
      <c r="E67" s="42"/>
      <c r="F67" s="42"/>
      <c r="G67" s="42"/>
      <c r="H67" s="42"/>
      <c r="I67" s="42"/>
      <c r="J67" s="42"/>
      <c r="K67" s="42"/>
      <c r="L67" s="42"/>
      <c r="M67" s="42"/>
      <c r="N67" s="42"/>
      <c r="O67" s="42"/>
      <c r="P67" s="42"/>
      <c r="Q67" s="42"/>
      <c r="R67" s="42"/>
      <c r="S67" s="42"/>
      <c r="T67" s="42"/>
      <c r="U67" s="42"/>
      <c r="V67" s="42"/>
      <c r="W67" s="42"/>
      <c r="X67" s="42"/>
      <c r="Y67" s="42"/>
      <c r="Z67" s="42"/>
    </row>
    <row r="68">
      <c r="A68" s="83"/>
      <c r="B68" s="21"/>
      <c r="C68" s="83"/>
      <c r="D68" s="42"/>
      <c r="E68" s="42"/>
      <c r="F68" s="42"/>
      <c r="G68" s="42"/>
      <c r="H68" s="42"/>
      <c r="I68" s="42"/>
      <c r="J68" s="42"/>
      <c r="K68" s="42"/>
      <c r="L68" s="42"/>
      <c r="M68" s="42"/>
      <c r="N68" s="42"/>
      <c r="O68" s="42"/>
      <c r="P68" s="42"/>
      <c r="Q68" s="42"/>
      <c r="R68" s="42"/>
      <c r="S68" s="42"/>
      <c r="T68" s="42"/>
      <c r="U68" s="42"/>
      <c r="V68" s="42"/>
      <c r="W68" s="42"/>
      <c r="X68" s="42"/>
      <c r="Y68" s="42"/>
      <c r="Z68" s="42"/>
    </row>
    <row r="69">
      <c r="A69" s="83"/>
      <c r="B69" s="21"/>
      <c r="C69" s="83"/>
      <c r="D69" s="42"/>
      <c r="E69" s="42"/>
      <c r="F69" s="42"/>
      <c r="G69" s="42"/>
      <c r="H69" s="42"/>
      <c r="I69" s="42"/>
      <c r="J69" s="42"/>
      <c r="K69" s="42"/>
      <c r="L69" s="42"/>
      <c r="M69" s="42"/>
      <c r="N69" s="42"/>
      <c r="O69" s="42"/>
      <c r="P69" s="42"/>
      <c r="Q69" s="42"/>
      <c r="R69" s="42"/>
      <c r="S69" s="42"/>
      <c r="T69" s="42"/>
      <c r="U69" s="42"/>
      <c r="V69" s="42"/>
      <c r="W69" s="42"/>
      <c r="X69" s="42"/>
      <c r="Y69" s="42"/>
      <c r="Z69" s="42"/>
    </row>
    <row r="70">
      <c r="A70" s="83"/>
      <c r="B70" s="21"/>
      <c r="C70" s="83"/>
      <c r="D70" s="42"/>
      <c r="E70" s="42"/>
      <c r="F70" s="42"/>
      <c r="G70" s="42"/>
      <c r="H70" s="42"/>
      <c r="I70" s="42"/>
      <c r="J70" s="42"/>
      <c r="K70" s="42"/>
      <c r="L70" s="42"/>
      <c r="M70" s="42"/>
      <c r="N70" s="42"/>
      <c r="O70" s="42"/>
      <c r="P70" s="42"/>
      <c r="Q70" s="42"/>
      <c r="R70" s="42"/>
      <c r="S70" s="42"/>
      <c r="T70" s="42"/>
      <c r="U70" s="42"/>
      <c r="V70" s="42"/>
      <c r="W70" s="42"/>
      <c r="X70" s="42"/>
      <c r="Y70" s="42"/>
      <c r="Z70" s="42"/>
    </row>
    <row r="71">
      <c r="A71" s="83"/>
      <c r="B71" s="21"/>
      <c r="C71" s="83"/>
      <c r="D71" s="42"/>
      <c r="E71" s="42"/>
      <c r="F71" s="42"/>
      <c r="G71" s="42"/>
      <c r="H71" s="42"/>
      <c r="I71" s="42"/>
      <c r="J71" s="42"/>
      <c r="K71" s="42"/>
      <c r="L71" s="42"/>
      <c r="M71" s="42"/>
      <c r="N71" s="42"/>
      <c r="O71" s="42"/>
      <c r="P71" s="42"/>
      <c r="Q71" s="42"/>
      <c r="R71" s="42"/>
      <c r="S71" s="42"/>
      <c r="T71" s="42"/>
      <c r="U71" s="42"/>
      <c r="V71" s="42"/>
      <c r="W71" s="42"/>
      <c r="X71" s="42"/>
      <c r="Y71" s="42"/>
      <c r="Z71" s="42"/>
    </row>
    <row r="72">
      <c r="A72" s="83"/>
      <c r="B72" s="21"/>
      <c r="C72" s="83"/>
      <c r="D72" s="42"/>
      <c r="E72" s="42"/>
      <c r="F72" s="42"/>
      <c r="G72" s="42"/>
      <c r="H72" s="42"/>
      <c r="I72" s="42"/>
      <c r="J72" s="42"/>
      <c r="K72" s="42"/>
      <c r="L72" s="42"/>
      <c r="M72" s="42"/>
      <c r="N72" s="42"/>
      <c r="O72" s="42"/>
      <c r="P72" s="42"/>
      <c r="Q72" s="42"/>
      <c r="R72" s="42"/>
      <c r="S72" s="42"/>
      <c r="T72" s="42"/>
      <c r="U72" s="42"/>
      <c r="V72" s="42"/>
      <c r="W72" s="42"/>
      <c r="X72" s="42"/>
      <c r="Y72" s="42"/>
      <c r="Z72" s="42"/>
    </row>
    <row r="73">
      <c r="A73" s="83"/>
      <c r="B73" s="21"/>
      <c r="C73" s="83"/>
      <c r="D73" s="42"/>
      <c r="E73" s="42"/>
      <c r="F73" s="42"/>
      <c r="G73" s="42"/>
      <c r="H73" s="42"/>
      <c r="I73" s="42"/>
      <c r="J73" s="42"/>
      <c r="K73" s="42"/>
      <c r="L73" s="42"/>
      <c r="M73" s="42"/>
      <c r="N73" s="42"/>
      <c r="O73" s="42"/>
      <c r="P73" s="42"/>
      <c r="Q73" s="42"/>
      <c r="R73" s="42"/>
      <c r="S73" s="42"/>
      <c r="T73" s="42"/>
      <c r="U73" s="42"/>
      <c r="V73" s="42"/>
      <c r="W73" s="42"/>
      <c r="X73" s="42"/>
      <c r="Y73" s="42"/>
      <c r="Z73" s="42"/>
    </row>
    <row r="74">
      <c r="A74" s="83"/>
      <c r="B74" s="21"/>
      <c r="C74" s="83"/>
      <c r="D74" s="42"/>
      <c r="E74" s="42"/>
      <c r="F74" s="42"/>
      <c r="G74" s="42"/>
      <c r="H74" s="42"/>
      <c r="I74" s="42"/>
      <c r="J74" s="42"/>
      <c r="K74" s="42"/>
      <c r="L74" s="42"/>
      <c r="M74" s="42"/>
      <c r="N74" s="42"/>
      <c r="O74" s="42"/>
      <c r="P74" s="42"/>
      <c r="Q74" s="42"/>
      <c r="R74" s="42"/>
      <c r="S74" s="42"/>
      <c r="T74" s="42"/>
      <c r="U74" s="42"/>
      <c r="V74" s="42"/>
      <c r="W74" s="42"/>
      <c r="X74" s="42"/>
      <c r="Y74" s="42"/>
      <c r="Z74" s="42"/>
    </row>
    <row r="75">
      <c r="A75" s="83"/>
      <c r="B75" s="21"/>
      <c r="C75" s="83"/>
      <c r="D75" s="42"/>
      <c r="E75" s="42"/>
      <c r="F75" s="42"/>
      <c r="G75" s="42"/>
      <c r="H75" s="42"/>
      <c r="I75" s="42"/>
      <c r="J75" s="42"/>
      <c r="K75" s="42"/>
      <c r="L75" s="42"/>
      <c r="M75" s="42"/>
      <c r="N75" s="42"/>
      <c r="O75" s="42"/>
      <c r="P75" s="42"/>
      <c r="Q75" s="42"/>
      <c r="R75" s="42"/>
      <c r="S75" s="42"/>
      <c r="T75" s="42"/>
      <c r="U75" s="42"/>
      <c r="V75" s="42"/>
      <c r="W75" s="42"/>
      <c r="X75" s="42"/>
      <c r="Y75" s="42"/>
      <c r="Z75" s="42"/>
    </row>
    <row r="76">
      <c r="A76" s="83"/>
      <c r="B76" s="21"/>
      <c r="C76" s="83"/>
      <c r="D76" s="42"/>
      <c r="E76" s="42"/>
      <c r="F76" s="42"/>
      <c r="G76" s="42"/>
      <c r="H76" s="42"/>
      <c r="I76" s="42"/>
      <c r="J76" s="42"/>
      <c r="K76" s="42"/>
      <c r="L76" s="42"/>
      <c r="M76" s="42"/>
      <c r="N76" s="42"/>
      <c r="O76" s="42"/>
      <c r="P76" s="42"/>
      <c r="Q76" s="42"/>
      <c r="R76" s="42"/>
      <c r="S76" s="42"/>
      <c r="T76" s="42"/>
      <c r="U76" s="42"/>
      <c r="V76" s="42"/>
      <c r="W76" s="42"/>
      <c r="X76" s="42"/>
      <c r="Y76" s="42"/>
      <c r="Z76" s="42"/>
    </row>
    <row r="77">
      <c r="A77" s="83"/>
      <c r="B77" s="21"/>
      <c r="C77" s="83"/>
      <c r="D77" s="42"/>
      <c r="E77" s="42"/>
      <c r="F77" s="42"/>
      <c r="G77" s="42"/>
      <c r="H77" s="42"/>
      <c r="I77" s="42"/>
      <c r="J77" s="42"/>
      <c r="K77" s="42"/>
      <c r="L77" s="42"/>
      <c r="M77" s="42"/>
      <c r="N77" s="42"/>
      <c r="O77" s="42"/>
      <c r="P77" s="42"/>
      <c r="Q77" s="42"/>
      <c r="R77" s="42"/>
      <c r="S77" s="42"/>
      <c r="T77" s="42"/>
      <c r="U77" s="42"/>
      <c r="V77" s="42"/>
      <c r="W77" s="42"/>
      <c r="X77" s="42"/>
      <c r="Y77" s="42"/>
      <c r="Z77" s="42"/>
    </row>
    <row r="78">
      <c r="A78" s="83"/>
      <c r="B78" s="21"/>
      <c r="C78" s="83"/>
      <c r="D78" s="42"/>
      <c r="E78" s="42"/>
      <c r="F78" s="42"/>
      <c r="G78" s="42"/>
      <c r="H78" s="42"/>
      <c r="I78" s="42"/>
      <c r="J78" s="42"/>
      <c r="K78" s="42"/>
      <c r="L78" s="42"/>
      <c r="M78" s="42"/>
      <c r="N78" s="42"/>
      <c r="O78" s="42"/>
      <c r="P78" s="42"/>
      <c r="Q78" s="42"/>
      <c r="R78" s="42"/>
      <c r="S78" s="42"/>
      <c r="T78" s="42"/>
      <c r="U78" s="42"/>
      <c r="V78" s="42"/>
      <c r="W78" s="42"/>
      <c r="X78" s="42"/>
      <c r="Y78" s="42"/>
      <c r="Z78" s="42"/>
    </row>
    <row r="79">
      <c r="A79" s="83"/>
      <c r="B79" s="21"/>
      <c r="C79" s="83"/>
      <c r="D79" s="42"/>
      <c r="E79" s="42"/>
      <c r="F79" s="42"/>
      <c r="G79" s="42"/>
      <c r="H79" s="42"/>
      <c r="I79" s="42"/>
      <c r="J79" s="42"/>
      <c r="K79" s="42"/>
      <c r="L79" s="42"/>
      <c r="M79" s="42"/>
      <c r="N79" s="42"/>
      <c r="O79" s="42"/>
      <c r="P79" s="42"/>
      <c r="Q79" s="42"/>
      <c r="R79" s="42"/>
      <c r="S79" s="42"/>
      <c r="T79" s="42"/>
      <c r="U79" s="42"/>
      <c r="V79" s="42"/>
      <c r="W79" s="42"/>
      <c r="X79" s="42"/>
      <c r="Y79" s="42"/>
      <c r="Z79" s="42"/>
    </row>
    <row r="80">
      <c r="A80" s="83"/>
      <c r="B80" s="21"/>
      <c r="C80" s="83"/>
      <c r="D80" s="42"/>
      <c r="E80" s="42"/>
      <c r="F80" s="42"/>
      <c r="G80" s="42"/>
      <c r="H80" s="42"/>
      <c r="I80" s="42"/>
      <c r="J80" s="42"/>
      <c r="K80" s="42"/>
      <c r="L80" s="42"/>
      <c r="M80" s="42"/>
      <c r="N80" s="42"/>
      <c r="O80" s="42"/>
      <c r="P80" s="42"/>
      <c r="Q80" s="42"/>
      <c r="R80" s="42"/>
      <c r="S80" s="42"/>
      <c r="T80" s="42"/>
      <c r="U80" s="42"/>
      <c r="V80" s="42"/>
      <c r="W80" s="42"/>
      <c r="X80" s="42"/>
      <c r="Y80" s="42"/>
      <c r="Z80" s="42"/>
    </row>
    <row r="81">
      <c r="A81" s="83"/>
      <c r="B81" s="21"/>
      <c r="C81" s="83"/>
      <c r="D81" s="42"/>
      <c r="E81" s="42"/>
      <c r="F81" s="42"/>
      <c r="G81" s="42"/>
      <c r="H81" s="42"/>
      <c r="I81" s="42"/>
      <c r="J81" s="42"/>
      <c r="K81" s="42"/>
      <c r="L81" s="42"/>
      <c r="M81" s="42"/>
      <c r="N81" s="42"/>
      <c r="O81" s="42"/>
      <c r="P81" s="42"/>
      <c r="Q81" s="42"/>
      <c r="R81" s="42"/>
      <c r="S81" s="42"/>
      <c r="T81" s="42"/>
      <c r="U81" s="42"/>
      <c r="V81" s="42"/>
      <c r="W81" s="42"/>
      <c r="X81" s="42"/>
      <c r="Y81" s="42"/>
      <c r="Z81" s="42"/>
    </row>
    <row r="82">
      <c r="A82" s="83"/>
      <c r="B82" s="21"/>
      <c r="C82" s="83"/>
      <c r="D82" s="42"/>
      <c r="E82" s="42"/>
      <c r="F82" s="42"/>
      <c r="G82" s="42"/>
      <c r="H82" s="42"/>
      <c r="I82" s="42"/>
      <c r="J82" s="42"/>
      <c r="K82" s="42"/>
      <c r="L82" s="42"/>
      <c r="M82" s="42"/>
      <c r="N82" s="42"/>
      <c r="O82" s="42"/>
      <c r="P82" s="42"/>
      <c r="Q82" s="42"/>
      <c r="R82" s="42"/>
      <c r="S82" s="42"/>
      <c r="T82" s="42"/>
      <c r="U82" s="42"/>
      <c r="V82" s="42"/>
      <c r="W82" s="42"/>
      <c r="X82" s="42"/>
      <c r="Y82" s="42"/>
      <c r="Z82" s="42"/>
    </row>
    <row r="83">
      <c r="A83" s="83"/>
      <c r="B83" s="21"/>
      <c r="C83" s="83"/>
      <c r="D83" s="42"/>
      <c r="E83" s="42"/>
      <c r="F83" s="42"/>
      <c r="G83" s="42"/>
      <c r="H83" s="42"/>
      <c r="I83" s="42"/>
      <c r="J83" s="42"/>
      <c r="K83" s="42"/>
      <c r="L83" s="42"/>
      <c r="M83" s="42"/>
      <c r="N83" s="42"/>
      <c r="O83" s="42"/>
      <c r="P83" s="42"/>
      <c r="Q83" s="42"/>
      <c r="R83" s="42"/>
      <c r="S83" s="42"/>
      <c r="T83" s="42"/>
      <c r="U83" s="42"/>
      <c r="V83" s="42"/>
      <c r="W83" s="42"/>
      <c r="X83" s="42"/>
      <c r="Y83" s="42"/>
      <c r="Z83" s="42"/>
    </row>
    <row r="84">
      <c r="A84" s="83"/>
      <c r="B84" s="21"/>
      <c r="C84" s="83"/>
      <c r="D84" s="42"/>
      <c r="E84" s="42"/>
      <c r="F84" s="42"/>
      <c r="G84" s="42"/>
      <c r="H84" s="42"/>
      <c r="I84" s="42"/>
      <c r="J84" s="42"/>
      <c r="K84" s="42"/>
      <c r="L84" s="42"/>
      <c r="M84" s="42"/>
      <c r="N84" s="42"/>
      <c r="O84" s="42"/>
      <c r="P84" s="42"/>
      <c r="Q84" s="42"/>
      <c r="R84" s="42"/>
      <c r="S84" s="42"/>
      <c r="T84" s="42"/>
      <c r="U84" s="42"/>
      <c r="V84" s="42"/>
      <c r="W84" s="42"/>
      <c r="X84" s="42"/>
      <c r="Y84" s="42"/>
      <c r="Z84" s="42"/>
    </row>
    <row r="85">
      <c r="A85" s="83"/>
      <c r="B85" s="21"/>
      <c r="C85" s="83"/>
      <c r="D85" s="42"/>
      <c r="E85" s="42"/>
      <c r="F85" s="42"/>
      <c r="G85" s="42"/>
      <c r="H85" s="42"/>
      <c r="I85" s="42"/>
      <c r="J85" s="42"/>
      <c r="K85" s="42"/>
      <c r="L85" s="42"/>
      <c r="M85" s="42"/>
      <c r="N85" s="42"/>
      <c r="O85" s="42"/>
      <c r="P85" s="42"/>
      <c r="Q85" s="42"/>
      <c r="R85" s="42"/>
      <c r="S85" s="42"/>
      <c r="T85" s="42"/>
      <c r="U85" s="42"/>
      <c r="V85" s="42"/>
      <c r="W85" s="42"/>
      <c r="X85" s="42"/>
      <c r="Y85" s="42"/>
      <c r="Z85" s="42"/>
    </row>
    <row r="86">
      <c r="A86" s="83"/>
      <c r="B86" s="21"/>
      <c r="C86" s="83"/>
      <c r="D86" s="42"/>
      <c r="E86" s="42"/>
      <c r="F86" s="42"/>
      <c r="G86" s="42"/>
      <c r="H86" s="42"/>
      <c r="I86" s="42"/>
      <c r="J86" s="42"/>
      <c r="K86" s="42"/>
      <c r="L86" s="42"/>
      <c r="M86" s="42"/>
      <c r="N86" s="42"/>
      <c r="O86" s="42"/>
      <c r="P86" s="42"/>
      <c r="Q86" s="42"/>
      <c r="R86" s="42"/>
      <c r="S86" s="42"/>
      <c r="T86" s="42"/>
      <c r="U86" s="42"/>
      <c r="V86" s="42"/>
      <c r="W86" s="42"/>
      <c r="X86" s="42"/>
      <c r="Y86" s="42"/>
      <c r="Z86" s="42"/>
    </row>
    <row r="87">
      <c r="A87" s="83"/>
      <c r="B87" s="21"/>
      <c r="C87" s="83"/>
      <c r="D87" s="42"/>
      <c r="E87" s="42"/>
      <c r="F87" s="42"/>
      <c r="G87" s="42"/>
      <c r="H87" s="42"/>
      <c r="I87" s="42"/>
      <c r="J87" s="42"/>
      <c r="K87" s="42"/>
      <c r="L87" s="42"/>
      <c r="M87" s="42"/>
      <c r="N87" s="42"/>
      <c r="O87" s="42"/>
      <c r="P87" s="42"/>
      <c r="Q87" s="42"/>
      <c r="R87" s="42"/>
      <c r="S87" s="42"/>
      <c r="T87" s="42"/>
      <c r="U87" s="42"/>
      <c r="V87" s="42"/>
      <c r="W87" s="42"/>
      <c r="X87" s="42"/>
      <c r="Y87" s="42"/>
      <c r="Z87" s="42"/>
    </row>
    <row r="88">
      <c r="A88" s="83"/>
      <c r="B88" s="21"/>
      <c r="C88" s="83"/>
      <c r="D88" s="42"/>
      <c r="E88" s="42"/>
      <c r="F88" s="42"/>
      <c r="G88" s="42"/>
      <c r="H88" s="42"/>
      <c r="I88" s="42"/>
      <c r="J88" s="42"/>
      <c r="K88" s="42"/>
      <c r="L88" s="42"/>
      <c r="M88" s="42"/>
      <c r="N88" s="42"/>
      <c r="O88" s="42"/>
      <c r="P88" s="42"/>
      <c r="Q88" s="42"/>
      <c r="R88" s="42"/>
      <c r="S88" s="42"/>
      <c r="T88" s="42"/>
      <c r="U88" s="42"/>
      <c r="V88" s="42"/>
      <c r="W88" s="42"/>
      <c r="X88" s="42"/>
      <c r="Y88" s="42"/>
      <c r="Z88" s="42"/>
    </row>
    <row r="89">
      <c r="A89" s="83"/>
      <c r="B89" s="21"/>
      <c r="C89" s="83"/>
      <c r="D89" s="42"/>
      <c r="E89" s="42"/>
      <c r="F89" s="42"/>
      <c r="G89" s="42"/>
      <c r="H89" s="42"/>
      <c r="I89" s="42"/>
      <c r="J89" s="42"/>
      <c r="K89" s="42"/>
      <c r="L89" s="42"/>
      <c r="M89" s="42"/>
      <c r="N89" s="42"/>
      <c r="O89" s="42"/>
      <c r="P89" s="42"/>
      <c r="Q89" s="42"/>
      <c r="R89" s="42"/>
      <c r="S89" s="42"/>
      <c r="T89" s="42"/>
      <c r="U89" s="42"/>
      <c r="V89" s="42"/>
      <c r="W89" s="42"/>
      <c r="X89" s="42"/>
      <c r="Y89" s="42"/>
      <c r="Z89" s="42"/>
    </row>
    <row r="90">
      <c r="A90" s="83"/>
      <c r="B90" s="21"/>
      <c r="C90" s="83"/>
      <c r="D90" s="42"/>
      <c r="E90" s="42"/>
      <c r="F90" s="42"/>
      <c r="G90" s="42"/>
      <c r="H90" s="42"/>
      <c r="I90" s="42"/>
      <c r="J90" s="42"/>
      <c r="K90" s="42"/>
      <c r="L90" s="42"/>
      <c r="M90" s="42"/>
      <c r="N90" s="42"/>
      <c r="O90" s="42"/>
      <c r="P90" s="42"/>
      <c r="Q90" s="42"/>
      <c r="R90" s="42"/>
      <c r="S90" s="42"/>
      <c r="T90" s="42"/>
      <c r="U90" s="42"/>
      <c r="V90" s="42"/>
      <c r="W90" s="42"/>
      <c r="X90" s="42"/>
      <c r="Y90" s="42"/>
      <c r="Z90" s="42"/>
    </row>
    <row r="91">
      <c r="A91" s="83"/>
      <c r="B91" s="21"/>
      <c r="C91" s="83"/>
      <c r="D91" s="42"/>
      <c r="E91" s="42"/>
      <c r="F91" s="42"/>
      <c r="G91" s="42"/>
      <c r="H91" s="42"/>
      <c r="I91" s="42"/>
      <c r="J91" s="42"/>
      <c r="K91" s="42"/>
      <c r="L91" s="42"/>
      <c r="M91" s="42"/>
      <c r="N91" s="42"/>
      <c r="O91" s="42"/>
      <c r="P91" s="42"/>
      <c r="Q91" s="42"/>
      <c r="R91" s="42"/>
      <c r="S91" s="42"/>
      <c r="T91" s="42"/>
      <c r="U91" s="42"/>
      <c r="V91" s="42"/>
      <c r="W91" s="42"/>
      <c r="X91" s="42"/>
      <c r="Y91" s="42"/>
      <c r="Z91" s="42"/>
    </row>
    <row r="92">
      <c r="A92" s="83"/>
      <c r="B92" s="21"/>
      <c r="C92" s="83"/>
      <c r="D92" s="42"/>
      <c r="E92" s="42"/>
      <c r="F92" s="42"/>
      <c r="G92" s="42"/>
      <c r="H92" s="42"/>
      <c r="I92" s="42"/>
      <c r="J92" s="42"/>
      <c r="K92" s="42"/>
      <c r="L92" s="42"/>
      <c r="M92" s="42"/>
      <c r="N92" s="42"/>
      <c r="O92" s="42"/>
      <c r="P92" s="42"/>
      <c r="Q92" s="42"/>
      <c r="R92" s="42"/>
      <c r="S92" s="42"/>
      <c r="T92" s="42"/>
      <c r="U92" s="42"/>
      <c r="V92" s="42"/>
      <c r="W92" s="42"/>
      <c r="X92" s="42"/>
      <c r="Y92" s="42"/>
      <c r="Z92" s="42"/>
    </row>
    <row r="93">
      <c r="A93" s="83"/>
      <c r="B93" s="21"/>
      <c r="C93" s="83"/>
      <c r="D93" s="42"/>
      <c r="E93" s="42"/>
      <c r="F93" s="42"/>
      <c r="G93" s="42"/>
      <c r="H93" s="42"/>
      <c r="I93" s="42"/>
      <c r="J93" s="42"/>
      <c r="K93" s="42"/>
      <c r="L93" s="42"/>
      <c r="M93" s="42"/>
      <c r="N93" s="42"/>
      <c r="O93" s="42"/>
      <c r="P93" s="42"/>
      <c r="Q93" s="42"/>
      <c r="R93" s="42"/>
      <c r="S93" s="42"/>
      <c r="T93" s="42"/>
      <c r="U93" s="42"/>
      <c r="V93" s="42"/>
      <c r="W93" s="42"/>
      <c r="X93" s="42"/>
      <c r="Y93" s="42"/>
      <c r="Z93" s="42"/>
    </row>
    <row r="94">
      <c r="A94" s="83"/>
      <c r="B94" s="21"/>
      <c r="C94" s="83"/>
      <c r="D94" s="42"/>
      <c r="E94" s="42"/>
      <c r="F94" s="42"/>
      <c r="G94" s="42"/>
      <c r="H94" s="42"/>
      <c r="I94" s="42"/>
      <c r="J94" s="42"/>
      <c r="K94" s="42"/>
      <c r="L94" s="42"/>
      <c r="M94" s="42"/>
      <c r="N94" s="42"/>
      <c r="O94" s="42"/>
      <c r="P94" s="42"/>
      <c r="Q94" s="42"/>
      <c r="R94" s="42"/>
      <c r="S94" s="42"/>
      <c r="T94" s="42"/>
      <c r="U94" s="42"/>
      <c r="V94" s="42"/>
      <c r="W94" s="42"/>
      <c r="X94" s="42"/>
      <c r="Y94" s="42"/>
      <c r="Z94" s="42"/>
    </row>
    <row r="95">
      <c r="A95" s="83"/>
      <c r="B95" s="21"/>
      <c r="C95" s="83"/>
      <c r="D95" s="42"/>
      <c r="E95" s="42"/>
      <c r="F95" s="42"/>
      <c r="G95" s="42"/>
      <c r="H95" s="42"/>
      <c r="I95" s="42"/>
      <c r="J95" s="42"/>
      <c r="K95" s="42"/>
      <c r="L95" s="42"/>
      <c r="M95" s="42"/>
      <c r="N95" s="42"/>
      <c r="O95" s="42"/>
      <c r="P95" s="42"/>
      <c r="Q95" s="42"/>
      <c r="R95" s="42"/>
      <c r="S95" s="42"/>
      <c r="T95" s="42"/>
      <c r="U95" s="42"/>
      <c r="V95" s="42"/>
      <c r="W95" s="42"/>
      <c r="X95" s="42"/>
      <c r="Y95" s="42"/>
      <c r="Z95" s="42"/>
    </row>
    <row r="96">
      <c r="A96" s="83"/>
      <c r="B96" s="21"/>
      <c r="C96" s="83"/>
      <c r="D96" s="42"/>
      <c r="E96" s="42"/>
      <c r="F96" s="42"/>
      <c r="G96" s="42"/>
      <c r="H96" s="42"/>
      <c r="I96" s="42"/>
      <c r="J96" s="42"/>
      <c r="K96" s="42"/>
      <c r="L96" s="42"/>
      <c r="M96" s="42"/>
      <c r="N96" s="42"/>
      <c r="O96" s="42"/>
      <c r="P96" s="42"/>
      <c r="Q96" s="42"/>
      <c r="R96" s="42"/>
      <c r="S96" s="42"/>
      <c r="T96" s="42"/>
      <c r="U96" s="42"/>
      <c r="V96" s="42"/>
      <c r="W96" s="42"/>
      <c r="X96" s="42"/>
      <c r="Y96" s="42"/>
      <c r="Z96" s="42"/>
    </row>
    <row r="97">
      <c r="A97" s="83"/>
      <c r="B97" s="21"/>
      <c r="C97" s="83"/>
      <c r="D97" s="42"/>
      <c r="E97" s="42"/>
      <c r="F97" s="42"/>
      <c r="G97" s="42"/>
      <c r="H97" s="42"/>
      <c r="I97" s="42"/>
      <c r="J97" s="42"/>
      <c r="K97" s="42"/>
      <c r="L97" s="42"/>
      <c r="M97" s="42"/>
      <c r="N97" s="42"/>
      <c r="O97" s="42"/>
      <c r="P97" s="42"/>
      <c r="Q97" s="42"/>
      <c r="R97" s="42"/>
      <c r="S97" s="42"/>
      <c r="T97" s="42"/>
      <c r="U97" s="42"/>
      <c r="V97" s="42"/>
      <c r="W97" s="42"/>
      <c r="X97" s="42"/>
      <c r="Y97" s="42"/>
      <c r="Z97" s="42"/>
    </row>
    <row r="98">
      <c r="A98" s="83"/>
      <c r="B98" s="21"/>
      <c r="C98" s="83"/>
      <c r="D98" s="42"/>
      <c r="E98" s="42"/>
      <c r="F98" s="42"/>
      <c r="G98" s="42"/>
      <c r="H98" s="42"/>
      <c r="I98" s="42"/>
      <c r="J98" s="42"/>
      <c r="K98" s="42"/>
      <c r="L98" s="42"/>
      <c r="M98" s="42"/>
      <c r="N98" s="42"/>
      <c r="O98" s="42"/>
      <c r="P98" s="42"/>
      <c r="Q98" s="42"/>
      <c r="R98" s="42"/>
      <c r="S98" s="42"/>
      <c r="T98" s="42"/>
      <c r="U98" s="42"/>
      <c r="V98" s="42"/>
      <c r="W98" s="42"/>
      <c r="X98" s="42"/>
      <c r="Y98" s="42"/>
      <c r="Z98" s="42"/>
    </row>
    <row r="99">
      <c r="A99" s="83"/>
      <c r="B99" s="21"/>
      <c r="C99" s="83"/>
      <c r="D99" s="42"/>
      <c r="E99" s="42"/>
      <c r="F99" s="42"/>
      <c r="G99" s="42"/>
      <c r="H99" s="42"/>
      <c r="I99" s="42"/>
      <c r="J99" s="42"/>
      <c r="K99" s="42"/>
      <c r="L99" s="42"/>
      <c r="M99" s="42"/>
      <c r="N99" s="42"/>
      <c r="O99" s="42"/>
      <c r="P99" s="42"/>
      <c r="Q99" s="42"/>
      <c r="R99" s="42"/>
      <c r="S99" s="42"/>
      <c r="T99" s="42"/>
      <c r="U99" s="42"/>
      <c r="V99" s="42"/>
      <c r="W99" s="42"/>
      <c r="X99" s="42"/>
      <c r="Y99" s="42"/>
      <c r="Z99" s="42"/>
    </row>
    <row r="100">
      <c r="A100" s="83"/>
      <c r="B100" s="21"/>
      <c r="C100" s="83"/>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83"/>
      <c r="B101" s="21"/>
      <c r="C101" s="83"/>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83"/>
      <c r="B102" s="21"/>
      <c r="C102" s="83"/>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83"/>
      <c r="B103" s="21"/>
      <c r="C103" s="83"/>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83"/>
      <c r="B104" s="21"/>
      <c r="C104" s="83"/>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83"/>
      <c r="B105" s="21"/>
      <c r="C105" s="83"/>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83"/>
      <c r="B106" s="21"/>
      <c r="C106" s="83"/>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83"/>
      <c r="B107" s="21"/>
      <c r="C107" s="83"/>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83"/>
      <c r="B108" s="21"/>
      <c r="C108" s="83"/>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83"/>
      <c r="B109" s="21"/>
      <c r="C109" s="83"/>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83"/>
      <c r="B110" s="21"/>
      <c r="C110" s="83"/>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83"/>
      <c r="B111" s="21"/>
      <c r="C111" s="83"/>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83"/>
      <c r="B112" s="21"/>
      <c r="C112" s="83"/>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83"/>
      <c r="B113" s="21"/>
      <c r="C113" s="83"/>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83"/>
      <c r="B114" s="21"/>
      <c r="C114" s="83"/>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83"/>
      <c r="B115" s="21"/>
      <c r="C115" s="83"/>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83"/>
      <c r="B116" s="21"/>
      <c r="C116" s="83"/>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83"/>
      <c r="B117" s="21"/>
      <c r="C117" s="83"/>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83"/>
      <c r="B118" s="21"/>
      <c r="C118" s="83"/>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83"/>
      <c r="B119" s="21"/>
      <c r="C119" s="83"/>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83"/>
      <c r="B120" s="21"/>
      <c r="C120" s="83"/>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83"/>
      <c r="B121" s="21"/>
      <c r="C121" s="83"/>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83"/>
      <c r="B122" s="21"/>
      <c r="C122" s="83"/>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83"/>
      <c r="B123" s="21"/>
      <c r="C123" s="83"/>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83"/>
      <c r="B124" s="21"/>
      <c r="C124" s="83"/>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83"/>
      <c r="B125" s="21"/>
      <c r="C125" s="83"/>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83"/>
      <c r="B126" s="21"/>
      <c r="C126" s="83"/>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83"/>
      <c r="B127" s="21"/>
      <c r="C127" s="83"/>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83"/>
      <c r="B128" s="21"/>
      <c r="C128" s="83"/>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83"/>
      <c r="B129" s="21"/>
      <c r="C129" s="83"/>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83"/>
      <c r="B130" s="21"/>
      <c r="C130" s="83"/>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83"/>
      <c r="B131" s="21"/>
      <c r="C131" s="83"/>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83"/>
      <c r="B132" s="21"/>
      <c r="C132" s="83"/>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83"/>
      <c r="B133" s="21"/>
      <c r="C133" s="83"/>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83"/>
      <c r="B134" s="21"/>
      <c r="C134" s="83"/>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83"/>
      <c r="B135" s="21"/>
      <c r="C135" s="83"/>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83"/>
      <c r="B136" s="21"/>
      <c r="C136" s="83"/>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83"/>
      <c r="B137" s="21"/>
      <c r="C137" s="83"/>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83"/>
      <c r="B138" s="21"/>
      <c r="C138" s="83"/>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83"/>
      <c r="B139" s="21"/>
      <c r="C139" s="83"/>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83"/>
      <c r="B140" s="21"/>
      <c r="C140" s="83"/>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83"/>
      <c r="B141" s="21"/>
      <c r="C141" s="83"/>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83"/>
      <c r="B142" s="21"/>
      <c r="C142" s="83"/>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83"/>
      <c r="B143" s="21"/>
      <c r="C143" s="83"/>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83"/>
      <c r="B144" s="21"/>
      <c r="C144" s="83"/>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83"/>
      <c r="B145" s="21"/>
      <c r="C145" s="83"/>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83"/>
      <c r="B146" s="21"/>
      <c r="C146" s="83"/>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83"/>
      <c r="B147" s="21"/>
      <c r="C147" s="83"/>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83"/>
      <c r="B148" s="21"/>
      <c r="C148" s="83"/>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83"/>
      <c r="B149" s="21"/>
      <c r="C149" s="83"/>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83"/>
      <c r="B150" s="21"/>
      <c r="C150" s="83"/>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83"/>
      <c r="B151" s="21"/>
      <c r="C151" s="83"/>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83"/>
      <c r="B152" s="21"/>
      <c r="C152" s="83"/>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83"/>
      <c r="B153" s="21"/>
      <c r="C153" s="83"/>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83"/>
      <c r="B154" s="21"/>
      <c r="C154" s="83"/>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83"/>
      <c r="B155" s="21"/>
      <c r="C155" s="83"/>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83"/>
      <c r="B156" s="21"/>
      <c r="C156" s="83"/>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83"/>
      <c r="B157" s="21"/>
      <c r="C157" s="83"/>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83"/>
      <c r="B158" s="21"/>
      <c r="C158" s="83"/>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83"/>
      <c r="B159" s="21"/>
      <c r="C159" s="83"/>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83"/>
      <c r="B160" s="21"/>
      <c r="C160" s="83"/>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83"/>
      <c r="B161" s="21"/>
      <c r="C161" s="83"/>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83"/>
      <c r="B162" s="21"/>
      <c r="C162" s="83"/>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83"/>
      <c r="B163" s="21"/>
      <c r="C163" s="83"/>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83"/>
      <c r="B164" s="21"/>
      <c r="C164" s="83"/>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83"/>
      <c r="B165" s="21"/>
      <c r="C165" s="83"/>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83"/>
      <c r="B166" s="21"/>
      <c r="C166" s="83"/>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83"/>
      <c r="B167" s="21"/>
      <c r="C167" s="83"/>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83"/>
      <c r="B168" s="21"/>
      <c r="C168" s="83"/>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83"/>
      <c r="B169" s="21"/>
      <c r="C169" s="83"/>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83"/>
      <c r="B170" s="21"/>
      <c r="C170" s="83"/>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83"/>
      <c r="B171" s="21"/>
      <c r="C171" s="83"/>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83"/>
      <c r="B172" s="21"/>
      <c r="C172" s="83"/>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83"/>
      <c r="B173" s="21"/>
      <c r="C173" s="83"/>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83"/>
      <c r="B174" s="21"/>
      <c r="C174" s="83"/>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83"/>
      <c r="B175" s="21"/>
      <c r="C175" s="83"/>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83"/>
      <c r="B176" s="21"/>
      <c r="C176" s="83"/>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83"/>
      <c r="B177" s="21"/>
      <c r="C177" s="83"/>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83"/>
      <c r="B178" s="21"/>
      <c r="C178" s="83"/>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83"/>
      <c r="B179" s="21"/>
      <c r="C179" s="83"/>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83"/>
      <c r="B180" s="21"/>
      <c r="C180" s="83"/>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83"/>
      <c r="B181" s="21"/>
      <c r="C181" s="83"/>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83"/>
      <c r="B182" s="21"/>
      <c r="C182" s="83"/>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83"/>
      <c r="B183" s="21"/>
      <c r="C183" s="83"/>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83"/>
      <c r="B184" s="21"/>
      <c r="C184" s="83"/>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83"/>
      <c r="B185" s="21"/>
      <c r="C185" s="83"/>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83"/>
      <c r="B186" s="21"/>
      <c r="C186" s="83"/>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83"/>
      <c r="B187" s="21"/>
      <c r="C187" s="83"/>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83"/>
      <c r="B188" s="21"/>
      <c r="C188" s="83"/>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83"/>
      <c r="B189" s="21"/>
      <c r="C189" s="83"/>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83"/>
      <c r="B190" s="21"/>
      <c r="C190" s="83"/>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83"/>
      <c r="B191" s="21"/>
      <c r="C191" s="83"/>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83"/>
      <c r="B192" s="21"/>
      <c r="C192" s="83"/>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83"/>
      <c r="B193" s="21"/>
      <c r="C193" s="83"/>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83"/>
      <c r="B194" s="21"/>
      <c r="C194" s="83"/>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83"/>
      <c r="B195" s="21"/>
      <c r="C195" s="83"/>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83"/>
      <c r="B196" s="21"/>
      <c r="C196" s="83"/>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83"/>
      <c r="B197" s="21"/>
      <c r="C197" s="83"/>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83"/>
      <c r="B198" s="21"/>
      <c r="C198" s="83"/>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83"/>
      <c r="B199" s="21"/>
      <c r="C199" s="83"/>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83"/>
      <c r="B200" s="21"/>
      <c r="C200" s="83"/>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83"/>
      <c r="B201" s="21"/>
      <c r="C201" s="83"/>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83"/>
      <c r="B202" s="21"/>
      <c r="C202" s="83"/>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83"/>
      <c r="B203" s="21"/>
      <c r="C203" s="83"/>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83"/>
      <c r="B204" s="21"/>
      <c r="C204" s="83"/>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83"/>
      <c r="B205" s="21"/>
      <c r="C205" s="83"/>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83"/>
      <c r="B206" s="21"/>
      <c r="C206" s="83"/>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83"/>
      <c r="B207" s="21"/>
      <c r="C207" s="83"/>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83"/>
      <c r="B208" s="21"/>
      <c r="C208" s="83"/>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83"/>
      <c r="B209" s="21"/>
      <c r="C209" s="83"/>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83"/>
      <c r="B210" s="21"/>
      <c r="C210" s="83"/>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83"/>
      <c r="B211" s="21"/>
      <c r="C211" s="83"/>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83"/>
      <c r="B212" s="21"/>
      <c r="C212" s="83"/>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83"/>
      <c r="B213" s="21"/>
      <c r="C213" s="83"/>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83"/>
      <c r="B214" s="21"/>
      <c r="C214" s="83"/>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83"/>
      <c r="B215" s="21"/>
      <c r="C215" s="83"/>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83"/>
      <c r="B216" s="21"/>
      <c r="C216" s="83"/>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83"/>
      <c r="B217" s="21"/>
      <c r="C217" s="83"/>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83"/>
      <c r="B218" s="21"/>
      <c r="C218" s="83"/>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83"/>
      <c r="B219" s="21"/>
      <c r="C219" s="83"/>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83"/>
      <c r="B220" s="21"/>
      <c r="C220" s="83"/>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83"/>
      <c r="B221" s="21"/>
      <c r="C221" s="83"/>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83"/>
      <c r="B222" s="21"/>
      <c r="C222" s="83"/>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83"/>
      <c r="B223" s="21"/>
      <c r="C223" s="83"/>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83"/>
      <c r="B224" s="21"/>
      <c r="C224" s="83"/>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83"/>
      <c r="B225" s="21"/>
      <c r="C225" s="83"/>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83"/>
      <c r="B226" s="21"/>
      <c r="C226" s="83"/>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83"/>
      <c r="B227" s="21"/>
      <c r="C227" s="83"/>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83"/>
      <c r="B228" s="21"/>
      <c r="C228" s="83"/>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83"/>
      <c r="B229" s="21"/>
      <c r="C229" s="83"/>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83"/>
      <c r="B230" s="21"/>
      <c r="C230" s="83"/>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83"/>
      <c r="B231" s="21"/>
      <c r="C231" s="83"/>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83"/>
      <c r="B232" s="21"/>
      <c r="C232" s="83"/>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83"/>
      <c r="B233" s="21"/>
      <c r="C233" s="83"/>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83"/>
      <c r="B234" s="21"/>
      <c r="C234" s="83"/>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83"/>
      <c r="B235" s="21"/>
      <c r="C235" s="83"/>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83"/>
      <c r="B236" s="21"/>
      <c r="C236" s="83"/>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83"/>
      <c r="B237" s="21"/>
      <c r="C237" s="83"/>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83"/>
      <c r="B238" s="21"/>
      <c r="C238" s="83"/>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83"/>
      <c r="B239" s="21"/>
      <c r="C239" s="83"/>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83"/>
      <c r="B240" s="21"/>
      <c r="C240" s="83"/>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83"/>
      <c r="B241" s="21"/>
      <c r="C241" s="83"/>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83"/>
      <c r="B242" s="21"/>
      <c r="C242" s="83"/>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83"/>
      <c r="B243" s="21"/>
      <c r="C243" s="83"/>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83"/>
      <c r="B244" s="21"/>
      <c r="C244" s="83"/>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83"/>
      <c r="B245" s="21"/>
      <c r="C245" s="83"/>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83"/>
      <c r="B246" s="21"/>
      <c r="C246" s="83"/>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83"/>
      <c r="B247" s="21"/>
      <c r="C247" s="83"/>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83"/>
      <c r="B248" s="21"/>
      <c r="C248" s="83"/>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83"/>
      <c r="B249" s="21"/>
      <c r="C249" s="83"/>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83"/>
      <c r="B250" s="21"/>
      <c r="C250" s="83"/>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83"/>
      <c r="B251" s="21"/>
      <c r="C251" s="83"/>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83"/>
      <c r="B252" s="21"/>
      <c r="C252" s="83"/>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83"/>
      <c r="B253" s="21"/>
      <c r="C253" s="83"/>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83"/>
      <c r="B254" s="21"/>
      <c r="C254" s="83"/>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83"/>
      <c r="B255" s="21"/>
      <c r="C255" s="83"/>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83"/>
      <c r="B256" s="21"/>
      <c r="C256" s="83"/>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83"/>
      <c r="B257" s="21"/>
      <c r="C257" s="83"/>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83"/>
      <c r="B258" s="21"/>
      <c r="C258" s="83"/>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83"/>
      <c r="B259" s="21"/>
      <c r="C259" s="83"/>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83"/>
      <c r="B260" s="21"/>
      <c r="C260" s="83"/>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83"/>
      <c r="B261" s="21"/>
      <c r="C261" s="83"/>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83"/>
      <c r="B262" s="21"/>
      <c r="C262" s="83"/>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83"/>
      <c r="B263" s="21"/>
      <c r="C263" s="83"/>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83"/>
      <c r="B264" s="21"/>
      <c r="C264" s="83"/>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83"/>
      <c r="B265" s="21"/>
      <c r="C265" s="83"/>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83"/>
      <c r="B266" s="21"/>
      <c r="C266" s="83"/>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83"/>
      <c r="B267" s="21"/>
      <c r="C267" s="83"/>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83"/>
      <c r="B268" s="21"/>
      <c r="C268" s="83"/>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83"/>
      <c r="B269" s="21"/>
      <c r="C269" s="83"/>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83"/>
      <c r="B270" s="21"/>
      <c r="C270" s="83"/>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83"/>
      <c r="B271" s="21"/>
      <c r="C271" s="83"/>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83"/>
      <c r="B272" s="21"/>
      <c r="C272" s="83"/>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83"/>
      <c r="B273" s="21"/>
      <c r="C273" s="83"/>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83"/>
      <c r="B274" s="21"/>
      <c r="C274" s="83"/>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83"/>
      <c r="B275" s="21"/>
      <c r="C275" s="83"/>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83"/>
      <c r="B276" s="21"/>
      <c r="C276" s="83"/>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83"/>
      <c r="B277" s="21"/>
      <c r="C277" s="83"/>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83"/>
      <c r="B278" s="21"/>
      <c r="C278" s="83"/>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83"/>
      <c r="B279" s="21"/>
      <c r="C279" s="83"/>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83"/>
      <c r="B280" s="21"/>
      <c r="C280" s="83"/>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83"/>
      <c r="B281" s="21"/>
      <c r="C281" s="83"/>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83"/>
      <c r="B282" s="21"/>
      <c r="C282" s="83"/>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83"/>
      <c r="B283" s="21"/>
      <c r="C283" s="83"/>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83"/>
      <c r="B284" s="21"/>
      <c r="C284" s="83"/>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83"/>
      <c r="B285" s="21"/>
      <c r="C285" s="83"/>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83"/>
      <c r="B286" s="21"/>
      <c r="C286" s="83"/>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83"/>
      <c r="B287" s="21"/>
      <c r="C287" s="83"/>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83"/>
      <c r="B288" s="21"/>
      <c r="C288" s="83"/>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83"/>
      <c r="B289" s="21"/>
      <c r="C289" s="83"/>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83"/>
      <c r="B290" s="21"/>
      <c r="C290" s="83"/>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83"/>
      <c r="B291" s="21"/>
      <c r="C291" s="83"/>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83"/>
      <c r="B292" s="21"/>
      <c r="C292" s="83"/>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83"/>
      <c r="B293" s="21"/>
      <c r="C293" s="83"/>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83"/>
      <c r="B294" s="21"/>
      <c r="C294" s="83"/>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83"/>
      <c r="B295" s="21"/>
      <c r="C295" s="83"/>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83"/>
      <c r="B296" s="21"/>
      <c r="C296" s="83"/>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83"/>
      <c r="B297" s="21"/>
      <c r="C297" s="83"/>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83"/>
      <c r="B298" s="21"/>
      <c r="C298" s="83"/>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83"/>
      <c r="B299" s="21"/>
      <c r="C299" s="83"/>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83"/>
      <c r="B300" s="21"/>
      <c r="C300" s="83"/>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83"/>
      <c r="B301" s="21"/>
      <c r="C301" s="83"/>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83"/>
      <c r="B302" s="21"/>
      <c r="C302" s="83"/>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83"/>
      <c r="B303" s="21"/>
      <c r="C303" s="83"/>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83"/>
      <c r="B304" s="21"/>
      <c r="C304" s="83"/>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83"/>
      <c r="B305" s="21"/>
      <c r="C305" s="83"/>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83"/>
      <c r="B306" s="21"/>
      <c r="C306" s="83"/>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83"/>
      <c r="B307" s="21"/>
      <c r="C307" s="83"/>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83"/>
      <c r="B308" s="21"/>
      <c r="C308" s="83"/>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83"/>
      <c r="B309" s="21"/>
      <c r="C309" s="83"/>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83"/>
      <c r="B310" s="21"/>
      <c r="C310" s="83"/>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83"/>
      <c r="B311" s="21"/>
      <c r="C311" s="83"/>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83"/>
      <c r="B312" s="21"/>
      <c r="C312" s="83"/>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83"/>
      <c r="B313" s="21"/>
      <c r="C313" s="83"/>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83"/>
      <c r="B314" s="21"/>
      <c r="C314" s="83"/>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83"/>
      <c r="B315" s="21"/>
      <c r="C315" s="83"/>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83"/>
      <c r="B316" s="21"/>
      <c r="C316" s="83"/>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83"/>
      <c r="B317" s="21"/>
      <c r="C317" s="83"/>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83"/>
      <c r="B318" s="21"/>
      <c r="C318" s="83"/>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83"/>
      <c r="B319" s="21"/>
      <c r="C319" s="83"/>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83"/>
      <c r="B320" s="21"/>
      <c r="C320" s="83"/>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83"/>
      <c r="B321" s="21"/>
      <c r="C321" s="83"/>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83"/>
      <c r="B322" s="21"/>
      <c r="C322" s="83"/>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83"/>
      <c r="B323" s="21"/>
      <c r="C323" s="83"/>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83"/>
      <c r="B324" s="21"/>
      <c r="C324" s="83"/>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83"/>
      <c r="B325" s="21"/>
      <c r="C325" s="83"/>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83"/>
      <c r="B326" s="21"/>
      <c r="C326" s="83"/>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83"/>
      <c r="B327" s="21"/>
      <c r="C327" s="83"/>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83"/>
      <c r="B328" s="21"/>
      <c r="C328" s="83"/>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83"/>
      <c r="B329" s="21"/>
      <c r="C329" s="83"/>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83"/>
      <c r="B330" s="21"/>
      <c r="C330" s="83"/>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83"/>
      <c r="B331" s="21"/>
      <c r="C331" s="83"/>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83"/>
      <c r="B332" s="21"/>
      <c r="C332" s="83"/>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83"/>
      <c r="B333" s="21"/>
      <c r="C333" s="83"/>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83"/>
      <c r="B334" s="21"/>
      <c r="C334" s="83"/>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83"/>
      <c r="B335" s="21"/>
      <c r="C335" s="83"/>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83"/>
      <c r="B336" s="21"/>
      <c r="C336" s="83"/>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83"/>
      <c r="B337" s="21"/>
      <c r="C337" s="83"/>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83"/>
      <c r="B338" s="21"/>
      <c r="C338" s="83"/>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83"/>
      <c r="B339" s="21"/>
      <c r="C339" s="83"/>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83"/>
      <c r="B340" s="21"/>
      <c r="C340" s="83"/>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83"/>
      <c r="B341" s="21"/>
      <c r="C341" s="83"/>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83"/>
      <c r="B342" s="21"/>
      <c r="C342" s="83"/>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83"/>
      <c r="B343" s="21"/>
      <c r="C343" s="83"/>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83"/>
      <c r="B344" s="21"/>
      <c r="C344" s="83"/>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83"/>
      <c r="B345" s="21"/>
      <c r="C345" s="83"/>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83"/>
      <c r="B346" s="21"/>
      <c r="C346" s="83"/>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83"/>
      <c r="B347" s="21"/>
      <c r="C347" s="83"/>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83"/>
      <c r="B348" s="21"/>
      <c r="C348" s="83"/>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83"/>
      <c r="B349" s="21"/>
      <c r="C349" s="83"/>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83"/>
      <c r="B350" s="21"/>
      <c r="C350" s="83"/>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83"/>
      <c r="B351" s="21"/>
      <c r="C351" s="83"/>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83"/>
      <c r="B352" s="21"/>
      <c r="C352" s="83"/>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83"/>
      <c r="B353" s="21"/>
      <c r="C353" s="83"/>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83"/>
      <c r="B354" s="21"/>
      <c r="C354" s="83"/>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83"/>
      <c r="B355" s="21"/>
      <c r="C355" s="83"/>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83"/>
      <c r="B356" s="21"/>
      <c r="C356" s="83"/>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83"/>
      <c r="B357" s="21"/>
      <c r="C357" s="83"/>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83"/>
      <c r="B358" s="21"/>
      <c r="C358" s="83"/>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83"/>
      <c r="B359" s="21"/>
      <c r="C359" s="83"/>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83"/>
      <c r="B360" s="21"/>
      <c r="C360" s="83"/>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83"/>
      <c r="B361" s="21"/>
      <c r="C361" s="83"/>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83"/>
      <c r="B362" s="21"/>
      <c r="C362" s="83"/>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83"/>
      <c r="B363" s="21"/>
      <c r="C363" s="83"/>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83"/>
      <c r="B364" s="21"/>
      <c r="C364" s="83"/>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83"/>
      <c r="B365" s="21"/>
      <c r="C365" s="83"/>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83"/>
      <c r="B366" s="21"/>
      <c r="C366" s="83"/>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83"/>
      <c r="B367" s="21"/>
      <c r="C367" s="83"/>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83"/>
      <c r="B368" s="21"/>
      <c r="C368" s="83"/>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83"/>
      <c r="B369" s="21"/>
      <c r="C369" s="83"/>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83"/>
      <c r="B370" s="21"/>
      <c r="C370" s="83"/>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83"/>
      <c r="B371" s="21"/>
      <c r="C371" s="83"/>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83"/>
      <c r="B372" s="21"/>
      <c r="C372" s="83"/>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83"/>
      <c r="B373" s="21"/>
      <c r="C373" s="83"/>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83"/>
      <c r="B374" s="21"/>
      <c r="C374" s="83"/>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83"/>
      <c r="B375" s="21"/>
      <c r="C375" s="83"/>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83"/>
      <c r="B376" s="21"/>
      <c r="C376" s="83"/>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83"/>
      <c r="B377" s="21"/>
      <c r="C377" s="83"/>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83"/>
      <c r="B378" s="21"/>
      <c r="C378" s="83"/>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83"/>
      <c r="B379" s="21"/>
      <c r="C379" s="83"/>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83"/>
      <c r="B380" s="21"/>
      <c r="C380" s="83"/>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83"/>
      <c r="B381" s="21"/>
      <c r="C381" s="83"/>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83"/>
      <c r="B382" s="21"/>
      <c r="C382" s="83"/>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83"/>
      <c r="B383" s="21"/>
      <c r="C383" s="83"/>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83"/>
      <c r="B384" s="21"/>
      <c r="C384" s="83"/>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83"/>
      <c r="B385" s="21"/>
      <c r="C385" s="83"/>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83"/>
      <c r="B386" s="21"/>
      <c r="C386" s="83"/>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83"/>
      <c r="B387" s="21"/>
      <c r="C387" s="83"/>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83"/>
      <c r="B388" s="21"/>
      <c r="C388" s="83"/>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83"/>
      <c r="B389" s="21"/>
      <c r="C389" s="83"/>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83"/>
      <c r="B390" s="21"/>
      <c r="C390" s="83"/>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83"/>
      <c r="B391" s="21"/>
      <c r="C391" s="83"/>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83"/>
      <c r="B392" s="21"/>
      <c r="C392" s="83"/>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83"/>
      <c r="B393" s="21"/>
      <c r="C393" s="83"/>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83"/>
      <c r="B394" s="21"/>
      <c r="C394" s="83"/>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83"/>
      <c r="B395" s="21"/>
      <c r="C395" s="83"/>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83"/>
      <c r="B396" s="21"/>
      <c r="C396" s="83"/>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83"/>
      <c r="B397" s="21"/>
      <c r="C397" s="83"/>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83"/>
      <c r="B398" s="21"/>
      <c r="C398" s="83"/>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83"/>
      <c r="B399" s="21"/>
      <c r="C399" s="83"/>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83"/>
      <c r="B400" s="21"/>
      <c r="C400" s="83"/>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83"/>
      <c r="B401" s="21"/>
      <c r="C401" s="83"/>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83"/>
      <c r="B402" s="21"/>
      <c r="C402" s="83"/>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83"/>
      <c r="B403" s="21"/>
      <c r="C403" s="83"/>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83"/>
      <c r="B404" s="21"/>
      <c r="C404" s="83"/>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83"/>
      <c r="B405" s="21"/>
      <c r="C405" s="83"/>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83"/>
      <c r="B406" s="21"/>
      <c r="C406" s="83"/>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83"/>
      <c r="B407" s="21"/>
      <c r="C407" s="83"/>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83"/>
      <c r="B408" s="21"/>
      <c r="C408" s="83"/>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83"/>
      <c r="B409" s="21"/>
      <c r="C409" s="83"/>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83"/>
      <c r="B410" s="21"/>
      <c r="C410" s="83"/>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83"/>
      <c r="B411" s="21"/>
      <c r="C411" s="83"/>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83"/>
      <c r="B412" s="21"/>
      <c r="C412" s="83"/>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83"/>
      <c r="B413" s="21"/>
      <c r="C413" s="83"/>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83"/>
      <c r="B414" s="21"/>
      <c r="C414" s="83"/>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83"/>
      <c r="B415" s="21"/>
      <c r="C415" s="83"/>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83"/>
      <c r="B416" s="21"/>
      <c r="C416" s="83"/>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83"/>
      <c r="B417" s="21"/>
      <c r="C417" s="83"/>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83"/>
      <c r="B418" s="21"/>
      <c r="C418" s="83"/>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83"/>
      <c r="B419" s="21"/>
      <c r="C419" s="83"/>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83"/>
      <c r="B420" s="21"/>
      <c r="C420" s="83"/>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83"/>
      <c r="B421" s="21"/>
      <c r="C421" s="83"/>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83"/>
      <c r="B422" s="21"/>
      <c r="C422" s="83"/>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83"/>
      <c r="B423" s="21"/>
      <c r="C423" s="83"/>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83"/>
      <c r="B424" s="21"/>
      <c r="C424" s="83"/>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83"/>
      <c r="B425" s="21"/>
      <c r="C425" s="83"/>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83"/>
      <c r="B426" s="21"/>
      <c r="C426" s="83"/>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83"/>
      <c r="B427" s="21"/>
      <c r="C427" s="83"/>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83"/>
      <c r="B428" s="21"/>
      <c r="C428" s="83"/>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83"/>
      <c r="B429" s="21"/>
      <c r="C429" s="83"/>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83"/>
      <c r="B430" s="21"/>
      <c r="C430" s="83"/>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83"/>
      <c r="B431" s="21"/>
      <c r="C431" s="83"/>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83"/>
      <c r="B432" s="21"/>
      <c r="C432" s="83"/>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83"/>
      <c r="B433" s="21"/>
      <c r="C433" s="83"/>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83"/>
      <c r="B434" s="21"/>
      <c r="C434" s="83"/>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83"/>
      <c r="B435" s="21"/>
      <c r="C435" s="83"/>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83"/>
      <c r="B436" s="21"/>
      <c r="C436" s="83"/>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83"/>
      <c r="B437" s="21"/>
      <c r="C437" s="83"/>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83"/>
      <c r="B438" s="21"/>
      <c r="C438" s="83"/>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83"/>
      <c r="B439" s="21"/>
      <c r="C439" s="83"/>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83"/>
      <c r="B440" s="21"/>
      <c r="C440" s="83"/>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83"/>
      <c r="B441" s="21"/>
      <c r="C441" s="83"/>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83"/>
      <c r="B442" s="21"/>
      <c r="C442" s="83"/>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83"/>
      <c r="B443" s="21"/>
      <c r="C443" s="83"/>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83"/>
      <c r="B444" s="21"/>
      <c r="C444" s="83"/>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83"/>
      <c r="B445" s="21"/>
      <c r="C445" s="83"/>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83"/>
      <c r="B446" s="21"/>
      <c r="C446" s="83"/>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83"/>
      <c r="B447" s="21"/>
      <c r="C447" s="83"/>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83"/>
      <c r="B448" s="21"/>
      <c r="C448" s="83"/>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83"/>
      <c r="B449" s="21"/>
      <c r="C449" s="83"/>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83"/>
      <c r="B450" s="21"/>
      <c r="C450" s="83"/>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83"/>
      <c r="B451" s="21"/>
      <c r="C451" s="83"/>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83"/>
      <c r="B452" s="21"/>
      <c r="C452" s="83"/>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83"/>
      <c r="B453" s="21"/>
      <c r="C453" s="83"/>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83"/>
      <c r="B454" s="21"/>
      <c r="C454" s="83"/>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83"/>
      <c r="B455" s="21"/>
      <c r="C455" s="83"/>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83"/>
      <c r="B456" s="21"/>
      <c r="C456" s="83"/>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83"/>
      <c r="B457" s="21"/>
      <c r="C457" s="83"/>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83"/>
      <c r="B458" s="21"/>
      <c r="C458" s="83"/>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83"/>
      <c r="B459" s="21"/>
      <c r="C459" s="83"/>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83"/>
      <c r="B460" s="21"/>
      <c r="C460" s="83"/>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83"/>
      <c r="B461" s="21"/>
      <c r="C461" s="83"/>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83"/>
      <c r="B462" s="21"/>
      <c r="C462" s="83"/>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83"/>
      <c r="B463" s="21"/>
      <c r="C463" s="83"/>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83"/>
      <c r="B464" s="21"/>
      <c r="C464" s="83"/>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83"/>
      <c r="B465" s="21"/>
      <c r="C465" s="83"/>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83"/>
      <c r="B466" s="21"/>
      <c r="C466" s="83"/>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83"/>
      <c r="B467" s="21"/>
      <c r="C467" s="83"/>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83"/>
      <c r="B468" s="21"/>
      <c r="C468" s="83"/>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83"/>
      <c r="B469" s="21"/>
      <c r="C469" s="83"/>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83"/>
      <c r="B470" s="21"/>
      <c r="C470" s="83"/>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83"/>
      <c r="B471" s="21"/>
      <c r="C471" s="83"/>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83"/>
      <c r="B472" s="21"/>
      <c r="C472" s="83"/>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83"/>
      <c r="B473" s="21"/>
      <c r="C473" s="83"/>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83"/>
      <c r="B474" s="21"/>
      <c r="C474" s="83"/>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83"/>
      <c r="B475" s="21"/>
      <c r="C475" s="83"/>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83"/>
      <c r="B476" s="21"/>
      <c r="C476" s="83"/>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83"/>
      <c r="B477" s="21"/>
      <c r="C477" s="83"/>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83"/>
      <c r="B478" s="21"/>
      <c r="C478" s="83"/>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83"/>
      <c r="B479" s="21"/>
      <c r="C479" s="83"/>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83"/>
      <c r="B480" s="21"/>
      <c r="C480" s="83"/>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83"/>
      <c r="B481" s="21"/>
      <c r="C481" s="83"/>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83"/>
      <c r="B482" s="21"/>
      <c r="C482" s="83"/>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83"/>
      <c r="B483" s="21"/>
      <c r="C483" s="83"/>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83"/>
      <c r="B484" s="21"/>
      <c r="C484" s="83"/>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83"/>
      <c r="B485" s="21"/>
      <c r="C485" s="83"/>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83"/>
      <c r="B486" s="21"/>
      <c r="C486" s="83"/>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83"/>
      <c r="B487" s="21"/>
      <c r="C487" s="83"/>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83"/>
      <c r="B488" s="21"/>
      <c r="C488" s="83"/>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83"/>
      <c r="B489" s="21"/>
      <c r="C489" s="83"/>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83"/>
      <c r="B490" s="21"/>
      <c r="C490" s="83"/>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83"/>
      <c r="B491" s="21"/>
      <c r="C491" s="83"/>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83"/>
      <c r="B492" s="21"/>
      <c r="C492" s="83"/>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83"/>
      <c r="B493" s="21"/>
      <c r="C493" s="83"/>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83"/>
      <c r="B494" s="21"/>
      <c r="C494" s="83"/>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83"/>
      <c r="B495" s="21"/>
      <c r="C495" s="83"/>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83"/>
      <c r="B496" s="21"/>
      <c r="C496" s="83"/>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83"/>
      <c r="B497" s="21"/>
      <c r="C497" s="83"/>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83"/>
      <c r="B498" s="21"/>
      <c r="C498" s="83"/>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83"/>
      <c r="B499" s="21"/>
      <c r="C499" s="83"/>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83"/>
      <c r="B500" s="21"/>
      <c r="C500" s="83"/>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83"/>
      <c r="B501" s="21"/>
      <c r="C501" s="83"/>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83"/>
      <c r="B502" s="21"/>
      <c r="C502" s="83"/>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83"/>
      <c r="B503" s="21"/>
      <c r="C503" s="83"/>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83"/>
      <c r="B504" s="21"/>
      <c r="C504" s="83"/>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83"/>
      <c r="B505" s="21"/>
      <c r="C505" s="83"/>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83"/>
      <c r="B506" s="21"/>
      <c r="C506" s="83"/>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83"/>
      <c r="B507" s="21"/>
      <c r="C507" s="83"/>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83"/>
      <c r="B508" s="21"/>
      <c r="C508" s="83"/>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83"/>
      <c r="B509" s="21"/>
      <c r="C509" s="83"/>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83"/>
      <c r="B510" s="21"/>
      <c r="C510" s="83"/>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83"/>
      <c r="B511" s="21"/>
      <c r="C511" s="83"/>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83"/>
      <c r="B512" s="21"/>
      <c r="C512" s="83"/>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83"/>
      <c r="B513" s="21"/>
      <c r="C513" s="83"/>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83"/>
      <c r="B514" s="21"/>
      <c r="C514" s="83"/>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83"/>
      <c r="B515" s="21"/>
      <c r="C515" s="83"/>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83"/>
      <c r="B516" s="21"/>
      <c r="C516" s="83"/>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83"/>
      <c r="B517" s="21"/>
      <c r="C517" s="83"/>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83"/>
      <c r="B518" s="21"/>
      <c r="C518" s="83"/>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83"/>
      <c r="B519" s="21"/>
      <c r="C519" s="83"/>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83"/>
      <c r="B520" s="21"/>
      <c r="C520" s="83"/>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83"/>
      <c r="B521" s="21"/>
      <c r="C521" s="83"/>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83"/>
      <c r="B522" s="21"/>
      <c r="C522" s="83"/>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83"/>
      <c r="B523" s="21"/>
      <c r="C523" s="83"/>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83"/>
      <c r="B524" s="21"/>
      <c r="C524" s="83"/>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83"/>
      <c r="B525" s="21"/>
      <c r="C525" s="83"/>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83"/>
      <c r="B526" s="21"/>
      <c r="C526" s="83"/>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83"/>
      <c r="B527" s="21"/>
      <c r="C527" s="83"/>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83"/>
      <c r="B528" s="21"/>
      <c r="C528" s="83"/>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83"/>
      <c r="B529" s="21"/>
      <c r="C529" s="83"/>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83"/>
      <c r="B530" s="21"/>
      <c r="C530" s="83"/>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83"/>
      <c r="B531" s="21"/>
      <c r="C531" s="83"/>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83"/>
      <c r="B532" s="21"/>
      <c r="C532" s="83"/>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83"/>
      <c r="B533" s="21"/>
      <c r="C533" s="83"/>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83"/>
      <c r="B534" s="21"/>
      <c r="C534" s="83"/>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83"/>
      <c r="B535" s="21"/>
      <c r="C535" s="83"/>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83"/>
      <c r="B536" s="21"/>
      <c r="C536" s="83"/>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83"/>
      <c r="B537" s="21"/>
      <c r="C537" s="83"/>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83"/>
      <c r="B538" s="21"/>
      <c r="C538" s="83"/>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83"/>
      <c r="B539" s="21"/>
      <c r="C539" s="83"/>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83"/>
      <c r="B540" s="21"/>
      <c r="C540" s="83"/>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83"/>
      <c r="B541" s="21"/>
      <c r="C541" s="83"/>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83"/>
      <c r="B542" s="21"/>
      <c r="C542" s="83"/>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83"/>
      <c r="B543" s="21"/>
      <c r="C543" s="83"/>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83"/>
      <c r="B544" s="21"/>
      <c r="C544" s="83"/>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83"/>
      <c r="B545" s="21"/>
      <c r="C545" s="83"/>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83"/>
      <c r="B546" s="21"/>
      <c r="C546" s="83"/>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83"/>
      <c r="B547" s="21"/>
      <c r="C547" s="83"/>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83"/>
      <c r="B548" s="21"/>
      <c r="C548" s="83"/>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83"/>
      <c r="B549" s="21"/>
      <c r="C549" s="83"/>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83"/>
      <c r="B550" s="21"/>
      <c r="C550" s="83"/>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83"/>
      <c r="B551" s="21"/>
      <c r="C551" s="83"/>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83"/>
      <c r="B552" s="21"/>
      <c r="C552" s="83"/>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83"/>
      <c r="B553" s="21"/>
      <c r="C553" s="83"/>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83"/>
      <c r="B554" s="21"/>
      <c r="C554" s="83"/>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83"/>
      <c r="B555" s="21"/>
      <c r="C555" s="83"/>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83"/>
      <c r="B556" s="21"/>
      <c r="C556" s="83"/>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83"/>
      <c r="B557" s="21"/>
      <c r="C557" s="83"/>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83"/>
      <c r="B558" s="21"/>
      <c r="C558" s="83"/>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83"/>
      <c r="B559" s="21"/>
      <c r="C559" s="83"/>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83"/>
      <c r="B560" s="21"/>
      <c r="C560" s="83"/>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83"/>
      <c r="B561" s="21"/>
      <c r="C561" s="83"/>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83"/>
      <c r="B562" s="21"/>
      <c r="C562" s="83"/>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83"/>
      <c r="B563" s="21"/>
      <c r="C563" s="83"/>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83"/>
      <c r="B564" s="21"/>
      <c r="C564" s="83"/>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83"/>
      <c r="B565" s="21"/>
      <c r="C565" s="83"/>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83"/>
      <c r="B566" s="21"/>
      <c r="C566" s="83"/>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83"/>
      <c r="B567" s="21"/>
      <c r="C567" s="83"/>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83"/>
      <c r="B568" s="21"/>
      <c r="C568" s="83"/>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83"/>
      <c r="B569" s="21"/>
      <c r="C569" s="83"/>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83"/>
      <c r="B570" s="21"/>
      <c r="C570" s="83"/>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83"/>
      <c r="B571" s="21"/>
      <c r="C571" s="83"/>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83"/>
      <c r="B572" s="21"/>
      <c r="C572" s="83"/>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83"/>
      <c r="B573" s="21"/>
      <c r="C573" s="83"/>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83"/>
      <c r="B574" s="21"/>
      <c r="C574" s="83"/>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83"/>
      <c r="B575" s="21"/>
      <c r="C575" s="83"/>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83"/>
      <c r="B576" s="21"/>
      <c r="C576" s="83"/>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83"/>
      <c r="B577" s="21"/>
      <c r="C577" s="83"/>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83"/>
      <c r="B578" s="21"/>
      <c r="C578" s="83"/>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83"/>
      <c r="B579" s="21"/>
      <c r="C579" s="83"/>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83"/>
      <c r="B580" s="21"/>
      <c r="C580" s="83"/>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83"/>
      <c r="B581" s="21"/>
      <c r="C581" s="83"/>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83"/>
      <c r="B582" s="21"/>
      <c r="C582" s="83"/>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83"/>
      <c r="B583" s="21"/>
      <c r="C583" s="83"/>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83"/>
      <c r="B584" s="21"/>
      <c r="C584" s="83"/>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83"/>
      <c r="B585" s="21"/>
      <c r="C585" s="83"/>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83"/>
      <c r="B586" s="21"/>
      <c r="C586" s="83"/>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83"/>
      <c r="B587" s="21"/>
      <c r="C587" s="83"/>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83"/>
      <c r="B588" s="21"/>
      <c r="C588" s="83"/>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83"/>
      <c r="B589" s="21"/>
      <c r="C589" s="83"/>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83"/>
      <c r="B590" s="21"/>
      <c r="C590" s="83"/>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83"/>
      <c r="B591" s="21"/>
      <c r="C591" s="83"/>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83"/>
      <c r="B592" s="21"/>
      <c r="C592" s="83"/>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83"/>
      <c r="B593" s="21"/>
      <c r="C593" s="83"/>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83"/>
      <c r="B594" s="21"/>
      <c r="C594" s="83"/>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83"/>
      <c r="B595" s="21"/>
      <c r="C595" s="83"/>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83"/>
      <c r="B596" s="21"/>
      <c r="C596" s="83"/>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83"/>
      <c r="B597" s="21"/>
      <c r="C597" s="83"/>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83"/>
      <c r="B598" s="21"/>
      <c r="C598" s="83"/>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83"/>
      <c r="B599" s="21"/>
      <c r="C599" s="83"/>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83"/>
      <c r="B600" s="21"/>
      <c r="C600" s="83"/>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83"/>
      <c r="B601" s="21"/>
      <c r="C601" s="83"/>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83"/>
      <c r="B602" s="21"/>
      <c r="C602" s="83"/>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83"/>
      <c r="B603" s="21"/>
      <c r="C603" s="83"/>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83"/>
      <c r="B604" s="21"/>
      <c r="C604" s="83"/>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83"/>
      <c r="B605" s="21"/>
      <c r="C605" s="83"/>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83"/>
      <c r="B606" s="21"/>
      <c r="C606" s="83"/>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83"/>
      <c r="B607" s="21"/>
      <c r="C607" s="83"/>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83"/>
      <c r="B608" s="21"/>
      <c r="C608" s="83"/>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83"/>
      <c r="B609" s="21"/>
      <c r="C609" s="83"/>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83"/>
      <c r="B610" s="21"/>
      <c r="C610" s="83"/>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83"/>
      <c r="B611" s="21"/>
      <c r="C611" s="83"/>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83"/>
      <c r="B612" s="21"/>
      <c r="C612" s="83"/>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83"/>
      <c r="B613" s="21"/>
      <c r="C613" s="83"/>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83"/>
      <c r="B614" s="21"/>
      <c r="C614" s="83"/>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83"/>
      <c r="B615" s="21"/>
      <c r="C615" s="83"/>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83"/>
      <c r="B616" s="21"/>
      <c r="C616" s="83"/>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83"/>
      <c r="B617" s="21"/>
      <c r="C617" s="83"/>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83"/>
      <c r="B618" s="21"/>
      <c r="C618" s="83"/>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83"/>
      <c r="B619" s="21"/>
      <c r="C619" s="83"/>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83"/>
      <c r="B620" s="21"/>
      <c r="C620" s="83"/>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83"/>
      <c r="B621" s="21"/>
      <c r="C621" s="83"/>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83"/>
      <c r="B622" s="21"/>
      <c r="C622" s="83"/>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83"/>
      <c r="B623" s="21"/>
      <c r="C623" s="83"/>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83"/>
      <c r="B624" s="21"/>
      <c r="C624" s="83"/>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83"/>
      <c r="B625" s="21"/>
      <c r="C625" s="83"/>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83"/>
      <c r="B626" s="21"/>
      <c r="C626" s="83"/>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83"/>
      <c r="B627" s="21"/>
      <c r="C627" s="83"/>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83"/>
      <c r="B628" s="21"/>
      <c r="C628" s="83"/>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83"/>
      <c r="B629" s="21"/>
      <c r="C629" s="83"/>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83"/>
      <c r="B630" s="21"/>
      <c r="C630" s="83"/>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83"/>
      <c r="B631" s="21"/>
      <c r="C631" s="83"/>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83"/>
      <c r="B632" s="21"/>
      <c r="C632" s="83"/>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83"/>
      <c r="B633" s="21"/>
      <c r="C633" s="83"/>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83"/>
      <c r="B634" s="21"/>
      <c r="C634" s="83"/>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83"/>
      <c r="B635" s="21"/>
      <c r="C635" s="83"/>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83"/>
      <c r="B636" s="21"/>
      <c r="C636" s="83"/>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83"/>
      <c r="B637" s="21"/>
      <c r="C637" s="83"/>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83"/>
      <c r="B638" s="21"/>
      <c r="C638" s="83"/>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83"/>
      <c r="B639" s="21"/>
      <c r="C639" s="83"/>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83"/>
      <c r="B640" s="21"/>
      <c r="C640" s="83"/>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83"/>
      <c r="B641" s="21"/>
      <c r="C641" s="83"/>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83"/>
      <c r="B642" s="21"/>
      <c r="C642" s="83"/>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83"/>
      <c r="B643" s="21"/>
      <c r="C643" s="83"/>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83"/>
      <c r="B644" s="21"/>
      <c r="C644" s="83"/>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83"/>
      <c r="B645" s="21"/>
      <c r="C645" s="83"/>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83"/>
      <c r="B646" s="21"/>
      <c r="C646" s="83"/>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83"/>
      <c r="B647" s="21"/>
      <c r="C647" s="83"/>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83"/>
      <c r="B648" s="21"/>
      <c r="C648" s="83"/>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83"/>
      <c r="B649" s="21"/>
      <c r="C649" s="83"/>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83"/>
      <c r="B650" s="21"/>
      <c r="C650" s="83"/>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83"/>
      <c r="B651" s="21"/>
      <c r="C651" s="83"/>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83"/>
      <c r="B652" s="21"/>
      <c r="C652" s="83"/>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83"/>
      <c r="B653" s="21"/>
      <c r="C653" s="83"/>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83"/>
      <c r="B654" s="21"/>
      <c r="C654" s="83"/>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83"/>
      <c r="B655" s="21"/>
      <c r="C655" s="83"/>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83"/>
      <c r="B656" s="21"/>
      <c r="C656" s="83"/>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83"/>
      <c r="B657" s="21"/>
      <c r="C657" s="83"/>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83"/>
      <c r="B658" s="21"/>
      <c r="C658" s="83"/>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83"/>
      <c r="B659" s="21"/>
      <c r="C659" s="83"/>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83"/>
      <c r="B660" s="21"/>
      <c r="C660" s="83"/>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83"/>
      <c r="B661" s="21"/>
      <c r="C661" s="83"/>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83"/>
      <c r="B662" s="21"/>
      <c r="C662" s="83"/>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83"/>
      <c r="B663" s="21"/>
      <c r="C663" s="83"/>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83"/>
      <c r="B664" s="21"/>
      <c r="C664" s="83"/>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83"/>
      <c r="B665" s="21"/>
      <c r="C665" s="83"/>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83"/>
      <c r="B666" s="21"/>
      <c r="C666" s="83"/>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83"/>
      <c r="B667" s="21"/>
      <c r="C667" s="83"/>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83"/>
      <c r="B668" s="21"/>
      <c r="C668" s="83"/>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83"/>
      <c r="B669" s="21"/>
      <c r="C669" s="83"/>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83"/>
      <c r="B670" s="21"/>
      <c r="C670" s="83"/>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83"/>
      <c r="B671" s="21"/>
      <c r="C671" s="83"/>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83"/>
      <c r="B672" s="21"/>
      <c r="C672" s="83"/>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83"/>
      <c r="B673" s="21"/>
      <c r="C673" s="83"/>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83"/>
      <c r="B674" s="21"/>
      <c r="C674" s="83"/>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83"/>
      <c r="B675" s="21"/>
      <c r="C675" s="83"/>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83"/>
      <c r="B676" s="21"/>
      <c r="C676" s="83"/>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83"/>
      <c r="B677" s="21"/>
      <c r="C677" s="83"/>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83"/>
      <c r="B678" s="21"/>
      <c r="C678" s="83"/>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83"/>
      <c r="B679" s="21"/>
      <c r="C679" s="83"/>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83"/>
      <c r="B680" s="21"/>
      <c r="C680" s="83"/>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83"/>
      <c r="B681" s="21"/>
      <c r="C681" s="83"/>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83"/>
      <c r="B682" s="21"/>
      <c r="C682" s="83"/>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83"/>
      <c r="B683" s="21"/>
      <c r="C683" s="83"/>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83"/>
      <c r="B684" s="21"/>
      <c r="C684" s="83"/>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83"/>
      <c r="B685" s="21"/>
      <c r="C685" s="83"/>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83"/>
      <c r="B686" s="21"/>
      <c r="C686" s="83"/>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83"/>
      <c r="B687" s="21"/>
      <c r="C687" s="83"/>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83"/>
      <c r="B688" s="21"/>
      <c r="C688" s="83"/>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83"/>
      <c r="B689" s="21"/>
      <c r="C689" s="83"/>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83"/>
      <c r="B690" s="21"/>
      <c r="C690" s="83"/>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83"/>
      <c r="B691" s="21"/>
      <c r="C691" s="83"/>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83"/>
      <c r="B692" s="21"/>
      <c r="C692" s="83"/>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83"/>
      <c r="B693" s="21"/>
      <c r="C693" s="83"/>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83"/>
      <c r="B694" s="21"/>
      <c r="C694" s="83"/>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83"/>
      <c r="B695" s="21"/>
      <c r="C695" s="83"/>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83"/>
      <c r="B696" s="21"/>
      <c r="C696" s="83"/>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83"/>
      <c r="B697" s="21"/>
      <c r="C697" s="83"/>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83"/>
      <c r="B698" s="21"/>
      <c r="C698" s="83"/>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83"/>
      <c r="B699" s="21"/>
      <c r="C699" s="83"/>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83"/>
      <c r="B700" s="21"/>
      <c r="C700" s="83"/>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83"/>
      <c r="B701" s="21"/>
      <c r="C701" s="83"/>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83"/>
      <c r="B702" s="21"/>
      <c r="C702" s="83"/>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83"/>
      <c r="B703" s="21"/>
      <c r="C703" s="83"/>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83"/>
      <c r="B704" s="21"/>
      <c r="C704" s="83"/>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83"/>
      <c r="B705" s="21"/>
      <c r="C705" s="83"/>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83"/>
      <c r="B706" s="21"/>
      <c r="C706" s="83"/>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83"/>
      <c r="B707" s="21"/>
      <c r="C707" s="83"/>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83"/>
      <c r="B708" s="21"/>
      <c r="C708" s="83"/>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83"/>
      <c r="B709" s="21"/>
      <c r="C709" s="83"/>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83"/>
      <c r="B710" s="21"/>
      <c r="C710" s="83"/>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83"/>
      <c r="B711" s="21"/>
      <c r="C711" s="83"/>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83"/>
      <c r="B712" s="21"/>
      <c r="C712" s="83"/>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83"/>
      <c r="B713" s="21"/>
      <c r="C713" s="83"/>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83"/>
      <c r="B714" s="21"/>
      <c r="C714" s="83"/>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83"/>
      <c r="B715" s="21"/>
      <c r="C715" s="83"/>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83"/>
      <c r="B716" s="21"/>
      <c r="C716" s="83"/>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83"/>
      <c r="B717" s="21"/>
      <c r="C717" s="83"/>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83"/>
      <c r="B718" s="21"/>
      <c r="C718" s="83"/>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83"/>
      <c r="B719" s="21"/>
      <c r="C719" s="83"/>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83"/>
      <c r="B720" s="21"/>
      <c r="C720" s="83"/>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83"/>
      <c r="B721" s="21"/>
      <c r="C721" s="83"/>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83"/>
      <c r="B722" s="21"/>
      <c r="C722" s="83"/>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83"/>
      <c r="B723" s="21"/>
      <c r="C723" s="83"/>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83"/>
      <c r="B724" s="21"/>
      <c r="C724" s="83"/>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83"/>
      <c r="B725" s="21"/>
      <c r="C725" s="83"/>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83"/>
      <c r="B726" s="21"/>
      <c r="C726" s="83"/>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83"/>
      <c r="B727" s="21"/>
      <c r="C727" s="83"/>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83"/>
      <c r="B728" s="21"/>
      <c r="C728" s="83"/>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83"/>
      <c r="B729" s="21"/>
      <c r="C729" s="83"/>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83"/>
      <c r="B730" s="21"/>
      <c r="C730" s="83"/>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83"/>
      <c r="B731" s="21"/>
      <c r="C731" s="83"/>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83"/>
      <c r="B732" s="21"/>
      <c r="C732" s="83"/>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83"/>
      <c r="B733" s="21"/>
      <c r="C733" s="83"/>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83"/>
      <c r="B734" s="21"/>
      <c r="C734" s="83"/>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83"/>
      <c r="B735" s="21"/>
      <c r="C735" s="83"/>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83"/>
      <c r="B736" s="21"/>
      <c r="C736" s="83"/>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83"/>
      <c r="B737" s="21"/>
      <c r="C737" s="83"/>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83"/>
      <c r="B738" s="21"/>
      <c r="C738" s="83"/>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83"/>
      <c r="B739" s="21"/>
      <c r="C739" s="83"/>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83"/>
      <c r="B740" s="21"/>
      <c r="C740" s="83"/>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83"/>
      <c r="B741" s="21"/>
      <c r="C741" s="83"/>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83"/>
      <c r="B742" s="21"/>
      <c r="C742" s="83"/>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83"/>
      <c r="B743" s="21"/>
      <c r="C743" s="83"/>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83"/>
      <c r="B744" s="21"/>
      <c r="C744" s="83"/>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83"/>
      <c r="B745" s="21"/>
      <c r="C745" s="83"/>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83"/>
      <c r="B746" s="21"/>
      <c r="C746" s="83"/>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83"/>
      <c r="B747" s="21"/>
      <c r="C747" s="83"/>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83"/>
      <c r="B748" s="21"/>
      <c r="C748" s="83"/>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83"/>
      <c r="B749" s="21"/>
      <c r="C749" s="83"/>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83"/>
      <c r="B750" s="21"/>
      <c r="C750" s="83"/>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83"/>
      <c r="B751" s="21"/>
      <c r="C751" s="83"/>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83"/>
      <c r="B752" s="21"/>
      <c r="C752" s="83"/>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83"/>
      <c r="B753" s="21"/>
      <c r="C753" s="83"/>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83"/>
      <c r="B754" s="21"/>
      <c r="C754" s="83"/>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83"/>
      <c r="B755" s="21"/>
      <c r="C755" s="83"/>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83"/>
      <c r="B756" s="21"/>
      <c r="C756" s="83"/>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83"/>
      <c r="B757" s="21"/>
      <c r="C757" s="83"/>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83"/>
      <c r="B758" s="21"/>
      <c r="C758" s="83"/>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83"/>
      <c r="B759" s="21"/>
      <c r="C759" s="83"/>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83"/>
      <c r="B760" s="21"/>
      <c r="C760" s="83"/>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83"/>
      <c r="B761" s="21"/>
      <c r="C761" s="83"/>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83"/>
      <c r="B762" s="21"/>
      <c r="C762" s="83"/>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83"/>
      <c r="B763" s="21"/>
      <c r="C763" s="83"/>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83"/>
      <c r="B764" s="21"/>
      <c r="C764" s="83"/>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83"/>
      <c r="B765" s="21"/>
      <c r="C765" s="83"/>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83"/>
      <c r="B766" s="21"/>
      <c r="C766" s="83"/>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83"/>
      <c r="B767" s="21"/>
      <c r="C767" s="83"/>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83"/>
      <c r="B768" s="21"/>
      <c r="C768" s="83"/>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83"/>
      <c r="B769" s="21"/>
      <c r="C769" s="83"/>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83"/>
      <c r="B770" s="21"/>
      <c r="C770" s="83"/>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83"/>
      <c r="B771" s="21"/>
      <c r="C771" s="83"/>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83"/>
      <c r="B772" s="21"/>
      <c r="C772" s="83"/>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83"/>
      <c r="B773" s="21"/>
      <c r="C773" s="83"/>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83"/>
      <c r="B774" s="21"/>
      <c r="C774" s="83"/>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83"/>
      <c r="B775" s="21"/>
      <c r="C775" s="83"/>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83"/>
      <c r="B776" s="21"/>
      <c r="C776" s="83"/>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83"/>
      <c r="B777" s="21"/>
      <c r="C777" s="83"/>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83"/>
      <c r="B778" s="21"/>
      <c r="C778" s="83"/>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83"/>
      <c r="B779" s="21"/>
      <c r="C779" s="83"/>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83"/>
      <c r="B780" s="21"/>
      <c r="C780" s="83"/>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83"/>
      <c r="B781" s="21"/>
      <c r="C781" s="83"/>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83"/>
      <c r="B782" s="21"/>
      <c r="C782" s="83"/>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83"/>
      <c r="B783" s="21"/>
      <c r="C783" s="83"/>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83"/>
      <c r="B784" s="21"/>
      <c r="C784" s="83"/>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83"/>
      <c r="B785" s="21"/>
      <c r="C785" s="83"/>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83"/>
      <c r="B786" s="21"/>
      <c r="C786" s="83"/>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83"/>
      <c r="B787" s="21"/>
      <c r="C787" s="83"/>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83"/>
      <c r="B788" s="21"/>
      <c r="C788" s="83"/>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83"/>
      <c r="B789" s="21"/>
      <c r="C789" s="83"/>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83"/>
      <c r="B790" s="21"/>
      <c r="C790" s="83"/>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83"/>
      <c r="B791" s="21"/>
      <c r="C791" s="83"/>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83"/>
      <c r="B792" s="21"/>
      <c r="C792" s="83"/>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83"/>
      <c r="B793" s="21"/>
      <c r="C793" s="83"/>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83"/>
      <c r="B794" s="21"/>
      <c r="C794" s="83"/>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83"/>
      <c r="B795" s="21"/>
      <c r="C795" s="83"/>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83"/>
      <c r="B796" s="21"/>
      <c r="C796" s="83"/>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83"/>
      <c r="B797" s="21"/>
      <c r="C797" s="83"/>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83"/>
      <c r="B798" s="21"/>
      <c r="C798" s="83"/>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83"/>
      <c r="B799" s="21"/>
      <c r="C799" s="83"/>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83"/>
      <c r="B800" s="21"/>
      <c r="C800" s="83"/>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83"/>
      <c r="B801" s="21"/>
      <c r="C801" s="83"/>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83"/>
      <c r="B802" s="21"/>
      <c r="C802" s="83"/>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83"/>
      <c r="B803" s="21"/>
      <c r="C803" s="83"/>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83"/>
      <c r="B804" s="21"/>
      <c r="C804" s="83"/>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83"/>
      <c r="B805" s="21"/>
      <c r="C805" s="83"/>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83"/>
      <c r="B806" s="21"/>
      <c r="C806" s="83"/>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83"/>
      <c r="B807" s="21"/>
      <c r="C807" s="83"/>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83"/>
      <c r="B808" s="21"/>
      <c r="C808" s="83"/>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83"/>
      <c r="B809" s="21"/>
      <c r="C809" s="83"/>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83"/>
      <c r="B810" s="21"/>
      <c r="C810" s="83"/>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83"/>
      <c r="B811" s="21"/>
      <c r="C811" s="83"/>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83"/>
      <c r="B812" s="21"/>
      <c r="C812" s="83"/>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83"/>
      <c r="B813" s="21"/>
      <c r="C813" s="83"/>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83"/>
      <c r="B814" s="21"/>
      <c r="C814" s="83"/>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83"/>
      <c r="B815" s="21"/>
      <c r="C815" s="83"/>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83"/>
      <c r="B816" s="21"/>
      <c r="C816" s="83"/>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83"/>
      <c r="B817" s="21"/>
      <c r="C817" s="83"/>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83"/>
      <c r="B818" s="21"/>
      <c r="C818" s="83"/>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83"/>
      <c r="B819" s="21"/>
      <c r="C819" s="83"/>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83"/>
      <c r="B820" s="21"/>
      <c r="C820" s="83"/>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83"/>
      <c r="B821" s="21"/>
      <c r="C821" s="83"/>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83"/>
      <c r="B822" s="21"/>
      <c r="C822" s="83"/>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83"/>
      <c r="B823" s="21"/>
      <c r="C823" s="83"/>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83"/>
      <c r="B824" s="21"/>
      <c r="C824" s="83"/>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83"/>
      <c r="B825" s="21"/>
      <c r="C825" s="83"/>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83"/>
      <c r="B826" s="21"/>
      <c r="C826" s="83"/>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83"/>
      <c r="B827" s="21"/>
      <c r="C827" s="83"/>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83"/>
      <c r="B828" s="21"/>
      <c r="C828" s="83"/>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83"/>
      <c r="B829" s="21"/>
      <c r="C829" s="83"/>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83"/>
      <c r="B830" s="21"/>
      <c r="C830" s="83"/>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83"/>
      <c r="B831" s="21"/>
      <c r="C831" s="83"/>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83"/>
      <c r="B832" s="21"/>
      <c r="C832" s="83"/>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83"/>
      <c r="B833" s="21"/>
      <c r="C833" s="83"/>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83"/>
      <c r="B834" s="21"/>
      <c r="C834" s="83"/>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83"/>
      <c r="B835" s="21"/>
      <c r="C835" s="83"/>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83"/>
      <c r="B836" s="21"/>
      <c r="C836" s="83"/>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83"/>
      <c r="B837" s="21"/>
      <c r="C837" s="83"/>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83"/>
      <c r="B838" s="21"/>
      <c r="C838" s="83"/>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83"/>
      <c r="B839" s="21"/>
      <c r="C839" s="83"/>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83"/>
      <c r="B840" s="21"/>
      <c r="C840" s="83"/>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83"/>
      <c r="B841" s="21"/>
      <c r="C841" s="83"/>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83"/>
      <c r="B842" s="21"/>
      <c r="C842" s="83"/>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83"/>
      <c r="B843" s="21"/>
      <c r="C843" s="83"/>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83"/>
      <c r="B844" s="21"/>
      <c r="C844" s="83"/>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83"/>
      <c r="B845" s="21"/>
      <c r="C845" s="83"/>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83"/>
      <c r="B846" s="21"/>
      <c r="C846" s="83"/>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83"/>
      <c r="B847" s="21"/>
      <c r="C847" s="83"/>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83"/>
      <c r="B848" s="21"/>
      <c r="C848" s="83"/>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83"/>
      <c r="B849" s="21"/>
      <c r="C849" s="83"/>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83"/>
      <c r="B850" s="21"/>
      <c r="C850" s="83"/>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83"/>
      <c r="B851" s="21"/>
      <c r="C851" s="83"/>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83"/>
      <c r="B852" s="21"/>
      <c r="C852" s="83"/>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83"/>
      <c r="B853" s="21"/>
      <c r="C853" s="83"/>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83"/>
      <c r="B854" s="21"/>
      <c r="C854" s="83"/>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83"/>
      <c r="B855" s="21"/>
      <c r="C855" s="83"/>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83"/>
      <c r="B856" s="21"/>
      <c r="C856" s="83"/>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83"/>
      <c r="B857" s="21"/>
      <c r="C857" s="83"/>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83"/>
      <c r="B858" s="21"/>
      <c r="C858" s="83"/>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83"/>
      <c r="B859" s="21"/>
      <c r="C859" s="83"/>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83"/>
      <c r="B860" s="21"/>
      <c r="C860" s="83"/>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83"/>
      <c r="B861" s="21"/>
      <c r="C861" s="83"/>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83"/>
      <c r="B862" s="21"/>
      <c r="C862" s="83"/>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83"/>
      <c r="B863" s="21"/>
      <c r="C863" s="83"/>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83"/>
      <c r="B864" s="21"/>
      <c r="C864" s="83"/>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83"/>
      <c r="B865" s="21"/>
      <c r="C865" s="83"/>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83"/>
      <c r="B866" s="21"/>
      <c r="C866" s="83"/>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83"/>
      <c r="B867" s="21"/>
      <c r="C867" s="83"/>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83"/>
      <c r="B868" s="21"/>
      <c r="C868" s="83"/>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83"/>
      <c r="B869" s="21"/>
      <c r="C869" s="83"/>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83"/>
      <c r="B870" s="21"/>
      <c r="C870" s="83"/>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83"/>
      <c r="B871" s="21"/>
      <c r="C871" s="83"/>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83"/>
      <c r="B872" s="21"/>
      <c r="C872" s="83"/>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83"/>
      <c r="B873" s="21"/>
      <c r="C873" s="83"/>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83"/>
      <c r="B874" s="21"/>
      <c r="C874" s="83"/>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83"/>
      <c r="B875" s="21"/>
      <c r="C875" s="83"/>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83"/>
      <c r="B876" s="21"/>
      <c r="C876" s="83"/>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83"/>
      <c r="B877" s="21"/>
      <c r="C877" s="83"/>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83"/>
      <c r="B878" s="21"/>
      <c r="C878" s="83"/>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83"/>
      <c r="B879" s="21"/>
      <c r="C879" s="83"/>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83"/>
      <c r="B880" s="21"/>
      <c r="C880" s="83"/>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83"/>
      <c r="B881" s="21"/>
      <c r="C881" s="83"/>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83"/>
      <c r="B882" s="21"/>
      <c r="C882" s="83"/>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83"/>
      <c r="B883" s="21"/>
      <c r="C883" s="83"/>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83"/>
      <c r="B884" s="21"/>
      <c r="C884" s="83"/>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83"/>
      <c r="B885" s="21"/>
      <c r="C885" s="83"/>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83"/>
      <c r="B886" s="21"/>
      <c r="C886" s="83"/>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83"/>
      <c r="B887" s="21"/>
      <c r="C887" s="83"/>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83"/>
      <c r="B888" s="21"/>
      <c r="C888" s="83"/>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83"/>
      <c r="B889" s="21"/>
      <c r="C889" s="83"/>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83"/>
      <c r="B890" s="21"/>
      <c r="C890" s="83"/>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83"/>
      <c r="B891" s="21"/>
      <c r="C891" s="83"/>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83"/>
      <c r="B892" s="21"/>
      <c r="C892" s="83"/>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83"/>
      <c r="B893" s="21"/>
      <c r="C893" s="83"/>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83"/>
      <c r="B894" s="21"/>
      <c r="C894" s="83"/>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83"/>
      <c r="B895" s="21"/>
      <c r="C895" s="83"/>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83"/>
      <c r="B896" s="21"/>
      <c r="C896" s="83"/>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83"/>
      <c r="B897" s="21"/>
      <c r="C897" s="83"/>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83"/>
      <c r="B898" s="21"/>
      <c r="C898" s="83"/>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83"/>
      <c r="B899" s="21"/>
      <c r="C899" s="83"/>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83"/>
      <c r="B900" s="21"/>
      <c r="C900" s="83"/>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83"/>
      <c r="B901" s="21"/>
      <c r="C901" s="83"/>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83"/>
      <c r="B902" s="21"/>
      <c r="C902" s="83"/>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83"/>
      <c r="B903" s="21"/>
      <c r="C903" s="83"/>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83"/>
      <c r="B904" s="21"/>
      <c r="C904" s="83"/>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83"/>
      <c r="B905" s="21"/>
      <c r="C905" s="83"/>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83"/>
      <c r="B906" s="21"/>
      <c r="C906" s="83"/>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83"/>
      <c r="B907" s="21"/>
      <c r="C907" s="83"/>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83"/>
      <c r="B908" s="21"/>
      <c r="C908" s="83"/>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83"/>
      <c r="B909" s="21"/>
      <c r="C909" s="83"/>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83"/>
      <c r="B910" s="21"/>
      <c r="C910" s="83"/>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83"/>
      <c r="B911" s="21"/>
      <c r="C911" s="83"/>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83"/>
      <c r="B912" s="21"/>
      <c r="C912" s="83"/>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83"/>
      <c r="B913" s="21"/>
      <c r="C913" s="83"/>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83"/>
      <c r="B914" s="21"/>
      <c r="C914" s="83"/>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83"/>
      <c r="B915" s="21"/>
      <c r="C915" s="83"/>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83"/>
      <c r="B916" s="21"/>
      <c r="C916" s="83"/>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83"/>
      <c r="B917" s="21"/>
      <c r="C917" s="83"/>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83"/>
      <c r="B918" s="21"/>
      <c r="C918" s="83"/>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83"/>
      <c r="B919" s="21"/>
      <c r="C919" s="83"/>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83"/>
      <c r="B920" s="21"/>
      <c r="C920" s="83"/>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83"/>
      <c r="B921" s="21"/>
      <c r="C921" s="83"/>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83"/>
      <c r="B922" s="21"/>
      <c r="C922" s="83"/>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83"/>
      <c r="B923" s="21"/>
      <c r="C923" s="83"/>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83"/>
      <c r="B924" s="21"/>
      <c r="C924" s="83"/>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83"/>
      <c r="B925" s="21"/>
      <c r="C925" s="83"/>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83"/>
      <c r="B926" s="21"/>
      <c r="C926" s="83"/>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83"/>
      <c r="B927" s="21"/>
      <c r="C927" s="83"/>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83"/>
      <c r="B928" s="21"/>
      <c r="C928" s="83"/>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83"/>
      <c r="B929" s="21"/>
      <c r="C929" s="83"/>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83"/>
      <c r="B930" s="21"/>
      <c r="C930" s="83"/>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83"/>
      <c r="B931" s="21"/>
      <c r="C931" s="83"/>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83"/>
      <c r="B932" s="21"/>
      <c r="C932" s="83"/>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83"/>
      <c r="B933" s="21"/>
      <c r="C933" s="83"/>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83"/>
      <c r="B934" s="21"/>
      <c r="C934" s="83"/>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83"/>
      <c r="B935" s="21"/>
      <c r="C935" s="83"/>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83"/>
      <c r="B936" s="21"/>
      <c r="C936" s="83"/>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83"/>
      <c r="B937" s="21"/>
      <c r="C937" s="83"/>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83"/>
      <c r="B938" s="21"/>
      <c r="C938" s="83"/>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83"/>
      <c r="B939" s="21"/>
      <c r="C939" s="83"/>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83"/>
      <c r="B940" s="21"/>
      <c r="C940" s="83"/>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83"/>
      <c r="B941" s="21"/>
      <c r="C941" s="83"/>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83"/>
      <c r="B942" s="21"/>
      <c r="C942" s="83"/>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83"/>
      <c r="B943" s="21"/>
      <c r="C943" s="83"/>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83"/>
      <c r="B944" s="21"/>
      <c r="C944" s="83"/>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83"/>
      <c r="B945" s="21"/>
      <c r="C945" s="83"/>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83"/>
      <c r="B946" s="21"/>
      <c r="C946" s="83"/>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83"/>
      <c r="B947" s="21"/>
      <c r="C947" s="83"/>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83"/>
      <c r="B948" s="21"/>
      <c r="C948" s="83"/>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83"/>
      <c r="B949" s="21"/>
      <c r="C949" s="83"/>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83"/>
      <c r="B950" s="21"/>
      <c r="C950" s="83"/>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83"/>
      <c r="B951" s="21"/>
      <c r="C951" s="83"/>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83"/>
      <c r="B952" s="21"/>
      <c r="C952" s="83"/>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83"/>
      <c r="B953" s="21"/>
      <c r="C953" s="83"/>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83"/>
      <c r="B954" s="21"/>
      <c r="C954" s="83"/>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83"/>
      <c r="B955" s="21"/>
      <c r="C955" s="83"/>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83"/>
      <c r="B956" s="21"/>
      <c r="C956" s="83"/>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83"/>
      <c r="B957" s="21"/>
      <c r="C957" s="83"/>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83"/>
      <c r="B958" s="21"/>
      <c r="C958" s="83"/>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83"/>
      <c r="B959" s="21"/>
      <c r="C959" s="83"/>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83"/>
      <c r="B960" s="21"/>
      <c r="C960" s="83"/>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83"/>
      <c r="B961" s="21"/>
      <c r="C961" s="83"/>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83"/>
      <c r="B962" s="21"/>
      <c r="C962" s="83"/>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83"/>
      <c r="B963" s="21"/>
      <c r="C963" s="83"/>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83"/>
      <c r="B964" s="21"/>
      <c r="C964" s="83"/>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83"/>
      <c r="B965" s="21"/>
      <c r="C965" s="83"/>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83"/>
      <c r="B966" s="21"/>
      <c r="C966" s="83"/>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83"/>
      <c r="B967" s="21"/>
      <c r="C967" s="83"/>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83"/>
      <c r="B968" s="21"/>
      <c r="C968" s="83"/>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83"/>
      <c r="B969" s="21"/>
      <c r="C969" s="83"/>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83"/>
      <c r="B970" s="21"/>
      <c r="C970" s="83"/>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83"/>
      <c r="B971" s="21"/>
      <c r="C971" s="83"/>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83"/>
      <c r="B972" s="21"/>
      <c r="C972" s="83"/>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83"/>
      <c r="B973" s="21"/>
      <c r="C973" s="83"/>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83"/>
      <c r="B974" s="21"/>
      <c r="C974" s="83"/>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83"/>
      <c r="B975" s="21"/>
      <c r="C975" s="83"/>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83"/>
      <c r="B976" s="21"/>
      <c r="C976" s="83"/>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83"/>
      <c r="B977" s="21"/>
      <c r="C977" s="83"/>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83"/>
      <c r="B978" s="21"/>
      <c r="C978" s="83"/>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83"/>
      <c r="B979" s="21"/>
      <c r="C979" s="83"/>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83"/>
      <c r="B980" s="21"/>
      <c r="C980" s="83"/>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83"/>
      <c r="B981" s="21"/>
      <c r="C981" s="83"/>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83"/>
      <c r="B982" s="21"/>
      <c r="C982" s="83"/>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83"/>
      <c r="B983" s="21"/>
      <c r="C983" s="83"/>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83"/>
      <c r="B984" s="21"/>
      <c r="C984" s="83"/>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83"/>
      <c r="B985" s="21"/>
      <c r="C985" s="83"/>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83"/>
      <c r="B986" s="21"/>
      <c r="C986" s="83"/>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83"/>
      <c r="B987" s="21"/>
      <c r="C987" s="83"/>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83"/>
      <c r="B988" s="21"/>
      <c r="C988" s="83"/>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83"/>
      <c r="B989" s="21"/>
      <c r="C989" s="83"/>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83"/>
      <c r="B990" s="21"/>
      <c r="C990" s="83"/>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83"/>
      <c r="B991" s="21"/>
      <c r="C991" s="83"/>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83"/>
      <c r="B992" s="21"/>
      <c r="C992" s="83"/>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83"/>
      <c r="B993" s="21"/>
      <c r="C993" s="83"/>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83"/>
      <c r="B994" s="21"/>
      <c r="C994" s="83"/>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83"/>
      <c r="B995" s="21"/>
      <c r="C995" s="83"/>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83"/>
      <c r="B996" s="21"/>
      <c r="C996" s="83"/>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83"/>
      <c r="B997" s="21"/>
      <c r="C997" s="83"/>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83"/>
      <c r="B998" s="21"/>
      <c r="C998" s="83"/>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83"/>
      <c r="B999" s="21"/>
      <c r="C999" s="83"/>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83"/>
      <c r="B1000" s="21"/>
      <c r="C1000" s="83"/>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3" width="19.0"/>
    <col customWidth="1" min="4" max="4" width="46.57"/>
    <col customWidth="1" min="5" max="5" width="39.14"/>
    <col customWidth="1" min="6" max="6" width="24.14"/>
    <col customWidth="1" min="7" max="9" width="25.71"/>
    <col customWidth="1" min="10" max="11" width="20.14"/>
    <col customWidth="1" min="12" max="14" width="25.71"/>
    <col customWidth="1" min="15" max="15" width="46.86"/>
    <col customWidth="1" min="16" max="16" width="27.29"/>
    <col customWidth="1" min="17" max="29" width="8.71"/>
  </cols>
  <sheetData>
    <row r="1">
      <c r="A1" s="1" t="s">
        <v>0</v>
      </c>
      <c r="B1" s="2" t="s">
        <v>1</v>
      </c>
      <c r="C1" s="2" t="s">
        <v>2</v>
      </c>
      <c r="D1" s="3" t="s">
        <v>3</v>
      </c>
      <c r="E1" s="2" t="s">
        <v>7</v>
      </c>
      <c r="F1" s="3" t="s">
        <v>8</v>
      </c>
      <c r="G1" s="3" t="s">
        <v>9</v>
      </c>
      <c r="H1" s="3" t="s">
        <v>10</v>
      </c>
      <c r="I1" s="3" t="s">
        <v>11</v>
      </c>
      <c r="J1" s="68" t="s">
        <v>2636</v>
      </c>
      <c r="K1" s="68" t="s">
        <v>2</v>
      </c>
      <c r="L1" s="82" t="s">
        <v>2637</v>
      </c>
      <c r="M1" s="82" t="s">
        <v>2638</v>
      </c>
      <c r="N1" s="82" t="s">
        <v>2639</v>
      </c>
      <c r="O1" s="82" t="s">
        <v>2640</v>
      </c>
      <c r="P1" s="3" t="s">
        <v>12</v>
      </c>
      <c r="Q1" s="2"/>
      <c r="R1" s="2"/>
      <c r="S1" s="2"/>
      <c r="T1" s="2"/>
      <c r="U1" s="2"/>
      <c r="V1" s="2"/>
      <c r="W1" s="2"/>
      <c r="X1" s="2"/>
      <c r="Y1" s="2"/>
      <c r="Z1" s="2"/>
      <c r="AA1" s="2"/>
      <c r="AB1" s="2"/>
      <c r="AC1" s="2"/>
    </row>
    <row r="2" ht="114.75" hidden="1" customHeight="1">
      <c r="A2" s="4" t="s">
        <v>13</v>
      </c>
      <c r="B2" s="5" t="s">
        <v>14</v>
      </c>
      <c r="C2" s="5" t="s">
        <v>15</v>
      </c>
      <c r="D2" s="5" t="s">
        <v>16</v>
      </c>
      <c r="E2" s="5" t="s">
        <v>19</v>
      </c>
      <c r="F2" s="5" t="s">
        <v>20</v>
      </c>
      <c r="G2" s="5"/>
      <c r="H2" s="5" t="s">
        <v>22</v>
      </c>
      <c r="I2" s="5"/>
      <c r="J2" s="78" t="s">
        <v>133</v>
      </c>
      <c r="K2" s="74" t="s">
        <v>15</v>
      </c>
      <c r="L2" s="10" t="s">
        <v>20</v>
      </c>
      <c r="M2" s="5" t="s">
        <v>51</v>
      </c>
      <c r="N2" s="10" t="s">
        <v>22</v>
      </c>
      <c r="O2" s="84" t="s">
        <v>30</v>
      </c>
      <c r="P2" s="7" t="str">
        <f t="shared" ref="P2:P196" si="1">IF(COUNTIF($A$2:A2, A2)&gt;1, "Dublet", "OK")</f>
        <v>OK</v>
      </c>
      <c r="Q2" s="7"/>
      <c r="R2" s="7"/>
      <c r="S2" s="7"/>
      <c r="T2" s="7"/>
      <c r="U2" s="7"/>
      <c r="V2" s="7"/>
      <c r="W2" s="7"/>
      <c r="X2" s="7"/>
      <c r="Y2" s="7"/>
      <c r="Z2" s="7"/>
      <c r="AA2" s="7"/>
      <c r="AB2" s="7"/>
      <c r="AC2" s="7"/>
    </row>
    <row r="3" hidden="1">
      <c r="A3" s="8" t="s">
        <v>24</v>
      </c>
      <c r="B3" s="5" t="s">
        <v>14</v>
      </c>
      <c r="C3" s="5" t="s">
        <v>15</v>
      </c>
      <c r="D3" s="5" t="s">
        <v>25</v>
      </c>
      <c r="E3" s="6" t="s">
        <v>27</v>
      </c>
      <c r="F3" s="5" t="s">
        <v>29</v>
      </c>
      <c r="G3" s="5"/>
      <c r="H3" s="5" t="s">
        <v>30</v>
      </c>
      <c r="I3" s="5"/>
      <c r="J3" s="78" t="s">
        <v>133</v>
      </c>
      <c r="K3" s="74"/>
      <c r="L3" s="85"/>
      <c r="M3" s="5"/>
      <c r="N3" s="85"/>
      <c r="O3" s="86"/>
      <c r="P3" s="7" t="str">
        <f t="shared" si="1"/>
        <v>OK</v>
      </c>
      <c r="Q3" s="7"/>
      <c r="R3" s="7"/>
      <c r="S3" s="7"/>
      <c r="T3" s="7"/>
      <c r="U3" s="7"/>
      <c r="V3" s="7"/>
      <c r="W3" s="7"/>
      <c r="X3" s="7"/>
      <c r="Y3" s="7"/>
      <c r="Z3" s="7"/>
      <c r="AA3" s="7"/>
      <c r="AB3" s="7"/>
      <c r="AC3" s="7"/>
    </row>
    <row r="4" hidden="1">
      <c r="A4" s="8" t="s">
        <v>32</v>
      </c>
      <c r="B4" s="5" t="s">
        <v>14</v>
      </c>
      <c r="C4" s="5" t="s">
        <v>15</v>
      </c>
      <c r="D4" s="5" t="s">
        <v>33</v>
      </c>
      <c r="E4" s="6" t="s">
        <v>36</v>
      </c>
      <c r="F4" s="5" t="s">
        <v>37</v>
      </c>
      <c r="G4" s="5"/>
      <c r="H4" s="5" t="s">
        <v>23</v>
      </c>
      <c r="I4" s="5"/>
      <c r="J4" s="78" t="s">
        <v>133</v>
      </c>
      <c r="K4" s="78"/>
      <c r="L4" s="85"/>
      <c r="M4" s="5"/>
      <c r="N4" s="85"/>
      <c r="O4" s="22"/>
      <c r="P4" s="7" t="str">
        <f t="shared" si="1"/>
        <v>OK</v>
      </c>
      <c r="Q4" s="7"/>
      <c r="R4" s="7"/>
      <c r="S4" s="7"/>
      <c r="T4" s="7"/>
      <c r="U4" s="7"/>
      <c r="V4" s="7"/>
      <c r="W4" s="7"/>
      <c r="X4" s="7"/>
      <c r="Y4" s="7"/>
      <c r="Z4" s="7"/>
      <c r="AA4" s="7"/>
      <c r="AB4" s="7"/>
      <c r="AC4" s="7"/>
    </row>
    <row r="5" hidden="1">
      <c r="A5" s="8" t="s">
        <v>40</v>
      </c>
      <c r="B5" s="5" t="s">
        <v>14</v>
      </c>
      <c r="C5" s="5" t="s">
        <v>15</v>
      </c>
      <c r="D5" s="5" t="s">
        <v>41</v>
      </c>
      <c r="E5" s="6" t="s">
        <v>43</v>
      </c>
      <c r="F5" s="5" t="s">
        <v>45</v>
      </c>
      <c r="G5" s="5"/>
      <c r="H5" s="5" t="s">
        <v>39</v>
      </c>
      <c r="I5" s="5"/>
      <c r="J5" s="78" t="s">
        <v>133</v>
      </c>
      <c r="K5" s="74" t="s">
        <v>15</v>
      </c>
      <c r="L5" s="10" t="s">
        <v>45</v>
      </c>
      <c r="M5" s="5" t="s">
        <v>20</v>
      </c>
      <c r="N5" s="10" t="s">
        <v>39</v>
      </c>
      <c r="O5" s="84" t="s">
        <v>68</v>
      </c>
      <c r="P5" s="7" t="str">
        <f t="shared" si="1"/>
        <v>OK</v>
      </c>
      <c r="Q5" s="7"/>
      <c r="R5" s="7"/>
      <c r="S5" s="7"/>
      <c r="T5" s="7"/>
      <c r="U5" s="7"/>
      <c r="V5" s="7"/>
      <c r="W5" s="7"/>
      <c r="X5" s="7"/>
      <c r="Y5" s="7"/>
      <c r="Z5" s="7"/>
      <c r="AA5" s="7"/>
      <c r="AB5" s="7"/>
      <c r="AC5" s="7"/>
    </row>
    <row r="6" hidden="1">
      <c r="A6" s="8" t="s">
        <v>46</v>
      </c>
      <c r="B6" s="5" t="s">
        <v>14</v>
      </c>
      <c r="C6" s="5" t="s">
        <v>15</v>
      </c>
      <c r="D6" s="5" t="s">
        <v>47</v>
      </c>
      <c r="E6" s="6" t="s">
        <v>50</v>
      </c>
      <c r="F6" s="5" t="s">
        <v>51</v>
      </c>
      <c r="G6" s="5"/>
      <c r="H6" s="5" t="s">
        <v>52</v>
      </c>
      <c r="I6" s="5"/>
      <c r="J6" s="78" t="s">
        <v>133</v>
      </c>
      <c r="K6" s="78"/>
      <c r="L6" s="85"/>
      <c r="M6" s="5"/>
      <c r="N6" s="85"/>
      <c r="O6" s="22"/>
      <c r="P6" s="7" t="str">
        <f t="shared" si="1"/>
        <v>OK</v>
      </c>
      <c r="Q6" s="7"/>
      <c r="R6" s="7"/>
      <c r="S6" s="7"/>
      <c r="T6" s="7"/>
      <c r="U6" s="7"/>
      <c r="V6" s="7"/>
      <c r="W6" s="7"/>
      <c r="X6" s="7"/>
      <c r="Y6" s="7"/>
      <c r="Z6" s="7"/>
      <c r="AA6" s="7"/>
      <c r="AB6" s="7"/>
      <c r="AC6" s="7"/>
    </row>
    <row r="7" hidden="1">
      <c r="A7" s="8" t="s">
        <v>53</v>
      </c>
      <c r="B7" s="5" t="s">
        <v>14</v>
      </c>
      <c r="C7" s="5" t="s">
        <v>15</v>
      </c>
      <c r="D7" s="5" t="s">
        <v>54</v>
      </c>
      <c r="E7" s="6" t="s">
        <v>57</v>
      </c>
      <c r="F7" s="5" t="s">
        <v>45</v>
      </c>
      <c r="G7" s="5"/>
      <c r="H7" s="5" t="s">
        <v>30</v>
      </c>
      <c r="I7" s="5"/>
      <c r="J7" s="78" t="s">
        <v>133</v>
      </c>
      <c r="K7" s="78"/>
      <c r="L7" s="85"/>
      <c r="M7" s="5"/>
      <c r="N7" s="85"/>
      <c r="O7" s="22"/>
      <c r="P7" s="7" t="str">
        <f t="shared" si="1"/>
        <v>OK</v>
      </c>
      <c r="Q7" s="7"/>
      <c r="R7" s="7"/>
      <c r="S7" s="7"/>
      <c r="T7" s="7"/>
      <c r="U7" s="7"/>
      <c r="V7" s="7"/>
      <c r="W7" s="7"/>
      <c r="X7" s="7"/>
      <c r="Y7" s="7"/>
      <c r="Z7" s="7"/>
      <c r="AA7" s="7"/>
      <c r="AB7" s="7"/>
      <c r="AC7" s="7"/>
    </row>
    <row r="8" hidden="1">
      <c r="A8" s="8" t="s">
        <v>58</v>
      </c>
      <c r="B8" s="5" t="s">
        <v>14</v>
      </c>
      <c r="C8" s="5" t="s">
        <v>15</v>
      </c>
      <c r="D8" s="5" t="s">
        <v>59</v>
      </c>
      <c r="E8" s="6" t="s">
        <v>62</v>
      </c>
      <c r="F8" s="5" t="s">
        <v>20</v>
      </c>
      <c r="G8" s="5"/>
      <c r="H8" s="5" t="s">
        <v>31</v>
      </c>
      <c r="I8" s="5"/>
      <c r="J8" s="78" t="s">
        <v>133</v>
      </c>
      <c r="K8" s="78"/>
      <c r="L8" s="85"/>
      <c r="M8" s="5"/>
      <c r="N8" s="85"/>
      <c r="O8" s="22"/>
      <c r="P8" s="7" t="str">
        <f t="shared" si="1"/>
        <v>OK</v>
      </c>
      <c r="Q8" s="7"/>
      <c r="R8" s="7"/>
      <c r="S8" s="7"/>
      <c r="T8" s="7"/>
      <c r="U8" s="7"/>
      <c r="V8" s="7"/>
      <c r="W8" s="7"/>
      <c r="X8" s="7"/>
      <c r="Y8" s="7"/>
      <c r="Z8" s="7"/>
      <c r="AA8" s="7"/>
      <c r="AB8" s="7"/>
      <c r="AC8" s="7"/>
    </row>
    <row r="9" hidden="1">
      <c r="A9" s="8" t="s">
        <v>63</v>
      </c>
      <c r="B9" s="5" t="s">
        <v>14</v>
      </c>
      <c r="C9" s="5" t="s">
        <v>15</v>
      </c>
      <c r="D9" s="5" t="s">
        <v>64</v>
      </c>
      <c r="E9" s="6" t="s">
        <v>67</v>
      </c>
      <c r="F9" s="5" t="s">
        <v>45</v>
      </c>
      <c r="G9" s="5"/>
      <c r="H9" s="5" t="s">
        <v>68</v>
      </c>
      <c r="I9" s="5"/>
      <c r="J9" s="78" t="s">
        <v>133</v>
      </c>
      <c r="K9" s="78"/>
      <c r="L9" s="85"/>
      <c r="M9" s="5"/>
      <c r="N9" s="85"/>
      <c r="O9" s="22"/>
      <c r="P9" s="7" t="str">
        <f t="shared" si="1"/>
        <v>OK</v>
      </c>
      <c r="Q9" s="7"/>
      <c r="R9" s="7"/>
      <c r="S9" s="7"/>
      <c r="T9" s="7"/>
      <c r="U9" s="7"/>
      <c r="V9" s="7"/>
      <c r="W9" s="7"/>
      <c r="X9" s="7"/>
      <c r="Y9" s="7"/>
      <c r="Z9" s="7"/>
      <c r="AA9" s="7"/>
      <c r="AB9" s="7"/>
      <c r="AC9" s="7"/>
    </row>
    <row r="10" hidden="1">
      <c r="A10" s="8" t="s">
        <v>69</v>
      </c>
      <c r="B10" s="5" t="s">
        <v>14</v>
      </c>
      <c r="C10" s="5" t="s">
        <v>15</v>
      </c>
      <c r="D10" s="5" t="s">
        <v>70</v>
      </c>
      <c r="E10" s="6" t="s">
        <v>73</v>
      </c>
      <c r="F10" s="5" t="s">
        <v>37</v>
      </c>
      <c r="G10" s="5"/>
      <c r="H10" s="5" t="s">
        <v>23</v>
      </c>
      <c r="I10" s="5"/>
      <c r="J10" s="78" t="s">
        <v>133</v>
      </c>
      <c r="K10" s="74" t="s">
        <v>15</v>
      </c>
      <c r="L10" s="10" t="s">
        <v>37</v>
      </c>
      <c r="M10" s="5" t="s">
        <v>38</v>
      </c>
      <c r="N10" s="10" t="s">
        <v>23</v>
      </c>
      <c r="O10" s="84" t="s">
        <v>75</v>
      </c>
      <c r="P10" s="7" t="str">
        <f t="shared" si="1"/>
        <v>OK</v>
      </c>
      <c r="Q10" s="7"/>
      <c r="R10" s="7"/>
      <c r="S10" s="7"/>
      <c r="T10" s="7"/>
      <c r="U10" s="7"/>
      <c r="V10" s="7"/>
      <c r="W10" s="7"/>
      <c r="X10" s="7"/>
      <c r="Y10" s="7"/>
      <c r="Z10" s="7"/>
      <c r="AA10" s="7"/>
      <c r="AB10" s="7"/>
      <c r="AC10" s="7"/>
    </row>
    <row r="11" hidden="1">
      <c r="A11" s="8" t="s">
        <v>76</v>
      </c>
      <c r="B11" s="5" t="s">
        <v>14</v>
      </c>
      <c r="C11" s="5" t="s">
        <v>15</v>
      </c>
      <c r="D11" s="5" t="s">
        <v>77</v>
      </c>
      <c r="E11" s="6" t="s">
        <v>80</v>
      </c>
      <c r="F11" s="5" t="s">
        <v>45</v>
      </c>
      <c r="G11" s="5"/>
      <c r="H11" s="5" t="s">
        <v>30</v>
      </c>
      <c r="I11" s="5"/>
      <c r="J11" s="78" t="s">
        <v>133</v>
      </c>
      <c r="K11" s="78"/>
      <c r="L11" s="85"/>
      <c r="M11" s="5"/>
      <c r="N11" s="85"/>
      <c r="O11" s="22"/>
      <c r="P11" s="7" t="str">
        <f t="shared" si="1"/>
        <v>OK</v>
      </c>
      <c r="Q11" s="7"/>
      <c r="R11" s="7"/>
      <c r="S11" s="7"/>
      <c r="T11" s="7"/>
      <c r="U11" s="7"/>
      <c r="V11" s="7"/>
      <c r="W11" s="7"/>
      <c r="X11" s="7"/>
      <c r="Y11" s="7"/>
      <c r="Z11" s="7"/>
      <c r="AA11" s="7"/>
      <c r="AB11" s="7"/>
      <c r="AC11" s="7"/>
    </row>
    <row r="12" hidden="1">
      <c r="A12" s="8" t="s">
        <v>81</v>
      </c>
      <c r="B12" s="5" t="s">
        <v>14</v>
      </c>
      <c r="C12" s="5" t="s">
        <v>15</v>
      </c>
      <c r="D12" s="5" t="s">
        <v>82</v>
      </c>
      <c r="E12" s="6" t="s">
        <v>85</v>
      </c>
      <c r="F12" s="5" t="s">
        <v>45</v>
      </c>
      <c r="G12" s="5"/>
      <c r="H12" s="5" t="s">
        <v>22</v>
      </c>
      <c r="I12" s="5"/>
      <c r="J12" s="78" t="s">
        <v>133</v>
      </c>
      <c r="K12" s="74" t="s">
        <v>15</v>
      </c>
      <c r="L12" s="10" t="s">
        <v>45</v>
      </c>
      <c r="M12" s="5" t="s">
        <v>21</v>
      </c>
      <c r="N12" s="10" t="s">
        <v>22</v>
      </c>
      <c r="O12" s="84" t="s">
        <v>52</v>
      </c>
      <c r="P12" s="7" t="str">
        <f t="shared" si="1"/>
        <v>OK</v>
      </c>
      <c r="Q12" s="7"/>
      <c r="R12" s="7"/>
      <c r="S12" s="7"/>
      <c r="T12" s="7"/>
      <c r="U12" s="7"/>
      <c r="V12" s="7"/>
      <c r="W12" s="7"/>
      <c r="X12" s="7"/>
      <c r="Y12" s="7"/>
      <c r="Z12" s="7"/>
      <c r="AA12" s="7"/>
      <c r="AB12" s="7"/>
      <c r="AC12" s="7"/>
    </row>
    <row r="13" hidden="1">
      <c r="A13" s="8" t="s">
        <v>86</v>
      </c>
      <c r="B13" s="5" t="s">
        <v>14</v>
      </c>
      <c r="C13" s="5" t="s">
        <v>15</v>
      </c>
      <c r="D13" s="5" t="s">
        <v>87</v>
      </c>
      <c r="E13" s="6" t="s">
        <v>90</v>
      </c>
      <c r="F13" s="5" t="s">
        <v>45</v>
      </c>
      <c r="G13" s="5"/>
      <c r="H13" s="5" t="s">
        <v>22</v>
      </c>
      <c r="I13" s="5"/>
      <c r="J13" s="78" t="s">
        <v>133</v>
      </c>
      <c r="K13" s="78"/>
      <c r="L13" s="85"/>
      <c r="M13" s="5"/>
      <c r="N13" s="85"/>
      <c r="O13" s="22"/>
      <c r="P13" s="7" t="str">
        <f t="shared" si="1"/>
        <v>OK</v>
      </c>
      <c r="Q13" s="7"/>
      <c r="R13" s="7"/>
      <c r="S13" s="7"/>
      <c r="T13" s="7"/>
      <c r="U13" s="7"/>
      <c r="V13" s="7"/>
      <c r="W13" s="7"/>
      <c r="X13" s="7"/>
      <c r="Y13" s="7"/>
      <c r="Z13" s="7"/>
      <c r="AA13" s="7"/>
      <c r="AB13" s="7"/>
      <c r="AC13" s="7"/>
    </row>
    <row r="14" hidden="1">
      <c r="A14" s="8" t="s">
        <v>91</v>
      </c>
      <c r="B14" s="5" t="s">
        <v>14</v>
      </c>
      <c r="C14" s="5" t="s">
        <v>15</v>
      </c>
      <c r="D14" s="5" t="s">
        <v>92</v>
      </c>
      <c r="E14" s="6" t="s">
        <v>95</v>
      </c>
      <c r="F14" s="5" t="s">
        <v>45</v>
      </c>
      <c r="G14" s="5"/>
      <c r="H14" s="5" t="s">
        <v>31</v>
      </c>
      <c r="I14" s="5"/>
      <c r="J14" s="78" t="s">
        <v>133</v>
      </c>
      <c r="K14" s="74" t="s">
        <v>15</v>
      </c>
      <c r="L14" s="10" t="s">
        <v>51</v>
      </c>
      <c r="M14" s="5" t="s">
        <v>45</v>
      </c>
      <c r="N14" s="10" t="s">
        <v>30</v>
      </c>
      <c r="O14" s="84" t="s">
        <v>31</v>
      </c>
      <c r="P14" s="7" t="str">
        <f t="shared" si="1"/>
        <v>OK</v>
      </c>
      <c r="Q14" s="7"/>
      <c r="R14" s="7"/>
      <c r="S14" s="7"/>
      <c r="T14" s="7"/>
      <c r="U14" s="7"/>
      <c r="V14" s="7"/>
      <c r="W14" s="7"/>
      <c r="X14" s="7"/>
      <c r="Y14" s="7"/>
      <c r="Z14" s="7"/>
      <c r="AA14" s="7"/>
      <c r="AB14" s="7"/>
      <c r="AC14" s="7"/>
    </row>
    <row r="15" hidden="1">
      <c r="A15" s="8" t="s">
        <v>96</v>
      </c>
      <c r="B15" s="5" t="s">
        <v>14</v>
      </c>
      <c r="C15" s="5" t="s">
        <v>15</v>
      </c>
      <c r="D15" s="5" t="s">
        <v>97</v>
      </c>
      <c r="E15" s="6" t="s">
        <v>100</v>
      </c>
      <c r="F15" s="5" t="s">
        <v>37</v>
      </c>
      <c r="G15" s="5"/>
      <c r="H15" s="5" t="s">
        <v>75</v>
      </c>
      <c r="I15" s="5"/>
      <c r="J15" s="78" t="s">
        <v>133</v>
      </c>
      <c r="K15" s="78"/>
      <c r="L15" s="85"/>
      <c r="M15" s="5"/>
      <c r="N15" s="85"/>
      <c r="O15" s="22"/>
      <c r="P15" s="7" t="str">
        <f t="shared" si="1"/>
        <v>OK</v>
      </c>
      <c r="Q15" s="7"/>
      <c r="R15" s="7"/>
      <c r="S15" s="7"/>
      <c r="T15" s="7"/>
      <c r="U15" s="7"/>
      <c r="V15" s="7"/>
      <c r="W15" s="7"/>
      <c r="X15" s="7"/>
      <c r="Y15" s="7"/>
      <c r="Z15" s="7"/>
      <c r="AA15" s="7"/>
      <c r="AB15" s="7"/>
      <c r="AC15" s="7"/>
    </row>
    <row r="16" hidden="1">
      <c r="A16" s="8" t="s">
        <v>101</v>
      </c>
      <c r="B16" s="5" t="s">
        <v>14</v>
      </c>
      <c r="C16" s="5" t="s">
        <v>15</v>
      </c>
      <c r="D16" s="5" t="s">
        <v>102</v>
      </c>
      <c r="E16" s="6" t="s">
        <v>105</v>
      </c>
      <c r="F16" s="5" t="s">
        <v>37</v>
      </c>
      <c r="G16" s="5"/>
      <c r="H16" s="5" t="s">
        <v>39</v>
      </c>
      <c r="I16" s="5"/>
      <c r="J16" s="78" t="s">
        <v>133</v>
      </c>
      <c r="K16" s="78"/>
      <c r="L16" s="85"/>
      <c r="M16" s="5"/>
      <c r="N16" s="85"/>
      <c r="O16" s="22"/>
      <c r="P16" s="7" t="str">
        <f t="shared" si="1"/>
        <v>OK</v>
      </c>
      <c r="Q16" s="7"/>
      <c r="R16" s="7"/>
      <c r="S16" s="7"/>
      <c r="T16" s="7"/>
      <c r="U16" s="7"/>
      <c r="V16" s="7"/>
      <c r="W16" s="7"/>
      <c r="X16" s="7"/>
      <c r="Y16" s="7"/>
      <c r="Z16" s="7"/>
      <c r="AA16" s="7"/>
      <c r="AB16" s="7"/>
      <c r="AC16" s="7"/>
    </row>
    <row r="17" hidden="1">
      <c r="A17" s="8" t="s">
        <v>106</v>
      </c>
      <c r="B17" s="5" t="s">
        <v>14</v>
      </c>
      <c r="C17" s="5" t="s">
        <v>15</v>
      </c>
      <c r="D17" s="5" t="s">
        <v>107</v>
      </c>
      <c r="E17" s="6" t="s">
        <v>110</v>
      </c>
      <c r="F17" s="5" t="s">
        <v>45</v>
      </c>
      <c r="G17" s="5"/>
      <c r="H17" s="5" t="s">
        <v>23</v>
      </c>
      <c r="I17" s="5"/>
      <c r="J17" s="78" t="s">
        <v>133</v>
      </c>
      <c r="K17" s="78"/>
      <c r="L17" s="85"/>
      <c r="M17" s="5"/>
      <c r="N17" s="85"/>
      <c r="O17" s="22"/>
      <c r="P17" s="7" t="str">
        <f t="shared" si="1"/>
        <v>OK</v>
      </c>
      <c r="Q17" s="7"/>
      <c r="R17" s="7"/>
      <c r="S17" s="7"/>
      <c r="T17" s="7"/>
      <c r="U17" s="7"/>
      <c r="V17" s="7"/>
      <c r="W17" s="7"/>
      <c r="X17" s="7"/>
      <c r="Y17" s="7"/>
      <c r="Z17" s="7"/>
      <c r="AA17" s="7"/>
      <c r="AB17" s="7"/>
      <c r="AC17" s="7"/>
    </row>
    <row r="18" hidden="1">
      <c r="A18" s="8" t="s">
        <v>112</v>
      </c>
      <c r="B18" s="5" t="s">
        <v>14</v>
      </c>
      <c r="C18" s="5" t="s">
        <v>15</v>
      </c>
      <c r="D18" s="5" t="s">
        <v>113</v>
      </c>
      <c r="E18" s="6" t="s">
        <v>116</v>
      </c>
      <c r="F18" s="5" t="s">
        <v>45</v>
      </c>
      <c r="G18" s="5"/>
      <c r="H18" s="5" t="s">
        <v>30</v>
      </c>
      <c r="I18" s="5"/>
      <c r="J18" s="78" t="s">
        <v>133</v>
      </c>
      <c r="K18" s="74" t="s">
        <v>15</v>
      </c>
      <c r="L18" s="10" t="s">
        <v>45</v>
      </c>
      <c r="M18" s="5" t="s">
        <v>51</v>
      </c>
      <c r="N18" s="10" t="s">
        <v>30</v>
      </c>
      <c r="O18" s="84" t="s">
        <v>22</v>
      </c>
      <c r="P18" s="7" t="str">
        <f t="shared" si="1"/>
        <v>OK</v>
      </c>
      <c r="Q18" s="7"/>
      <c r="R18" s="7"/>
      <c r="S18" s="7"/>
      <c r="T18" s="7"/>
      <c r="U18" s="7"/>
      <c r="V18" s="7"/>
      <c r="W18" s="7"/>
      <c r="X18" s="7"/>
      <c r="Y18" s="7"/>
      <c r="Z18" s="7"/>
      <c r="AA18" s="7"/>
      <c r="AB18" s="7"/>
      <c r="AC18" s="7"/>
    </row>
    <row r="19" hidden="1">
      <c r="A19" s="8" t="s">
        <v>117</v>
      </c>
      <c r="B19" s="5" t="s">
        <v>14</v>
      </c>
      <c r="C19" s="5" t="s">
        <v>15</v>
      </c>
      <c r="D19" s="5" t="s">
        <v>118</v>
      </c>
      <c r="E19" s="6" t="s">
        <v>121</v>
      </c>
      <c r="F19" s="5" t="s">
        <v>45</v>
      </c>
      <c r="G19" s="5"/>
      <c r="H19" s="5" t="s">
        <v>30</v>
      </c>
      <c r="I19" s="5"/>
      <c r="J19" s="78" t="s">
        <v>133</v>
      </c>
      <c r="K19" s="78"/>
      <c r="L19" s="85"/>
      <c r="M19" s="5"/>
      <c r="N19" s="85"/>
      <c r="O19" s="22"/>
      <c r="P19" s="7" t="str">
        <f t="shared" si="1"/>
        <v>OK</v>
      </c>
      <c r="Q19" s="7"/>
      <c r="R19" s="7"/>
      <c r="S19" s="7"/>
      <c r="T19" s="7"/>
      <c r="U19" s="7"/>
      <c r="V19" s="7"/>
      <c r="W19" s="7"/>
      <c r="X19" s="7"/>
      <c r="Y19" s="7"/>
      <c r="Z19" s="7"/>
      <c r="AA19" s="7"/>
      <c r="AB19" s="7"/>
      <c r="AC19" s="7"/>
    </row>
    <row r="20" hidden="1">
      <c r="A20" s="8" t="s">
        <v>122</v>
      </c>
      <c r="B20" s="5" t="s">
        <v>14</v>
      </c>
      <c r="C20" s="5" t="s">
        <v>15</v>
      </c>
      <c r="D20" s="5" t="s">
        <v>123</v>
      </c>
      <c r="E20" s="6" t="s">
        <v>126</v>
      </c>
      <c r="F20" s="5" t="s">
        <v>20</v>
      </c>
      <c r="G20" s="5"/>
      <c r="H20" s="5" t="s">
        <v>23</v>
      </c>
      <c r="I20" s="5"/>
      <c r="J20" s="78" t="s">
        <v>133</v>
      </c>
      <c r="K20" s="78"/>
      <c r="L20" s="85"/>
      <c r="M20" s="5"/>
      <c r="N20" s="85"/>
      <c r="O20" s="22"/>
      <c r="P20" s="7" t="str">
        <f t="shared" si="1"/>
        <v>OK</v>
      </c>
      <c r="Q20" s="7"/>
      <c r="R20" s="7"/>
      <c r="S20" s="7"/>
      <c r="T20" s="7"/>
      <c r="U20" s="7"/>
      <c r="V20" s="7"/>
      <c r="W20" s="7"/>
      <c r="X20" s="7"/>
      <c r="Y20" s="7"/>
      <c r="Z20" s="7"/>
      <c r="AA20" s="7"/>
      <c r="AB20" s="7"/>
      <c r="AC20" s="7"/>
    </row>
    <row r="21" ht="15.75" hidden="1" customHeight="1">
      <c r="A21" s="8" t="s">
        <v>127</v>
      </c>
      <c r="B21" s="5" t="s">
        <v>14</v>
      </c>
      <c r="C21" s="5" t="s">
        <v>15</v>
      </c>
      <c r="D21" s="5" t="s">
        <v>128</v>
      </c>
      <c r="E21" s="6" t="s">
        <v>131</v>
      </c>
      <c r="F21" s="5" t="s">
        <v>45</v>
      </c>
      <c r="G21" s="5"/>
      <c r="H21" s="5" t="s">
        <v>68</v>
      </c>
      <c r="I21" s="5"/>
      <c r="J21" s="78" t="s">
        <v>14</v>
      </c>
      <c r="K21" s="78"/>
      <c r="L21" s="85"/>
      <c r="M21" s="5"/>
      <c r="N21" s="85"/>
      <c r="O21" s="22"/>
      <c r="P21" s="7" t="str">
        <f t="shared" si="1"/>
        <v>OK</v>
      </c>
      <c r="Q21" s="7"/>
      <c r="R21" s="7"/>
      <c r="S21" s="7"/>
      <c r="T21" s="7"/>
      <c r="U21" s="7"/>
      <c r="V21" s="7"/>
      <c r="W21" s="7"/>
      <c r="X21" s="7"/>
      <c r="Y21" s="7"/>
      <c r="Z21" s="7"/>
      <c r="AA21" s="7"/>
      <c r="AB21" s="7"/>
      <c r="AC21" s="7"/>
    </row>
    <row r="22" ht="15.75" customHeight="1">
      <c r="A22" s="8" t="s">
        <v>132</v>
      </c>
      <c r="B22" s="5" t="s">
        <v>133</v>
      </c>
      <c r="C22" s="5" t="s">
        <v>15</v>
      </c>
      <c r="D22" s="5" t="s">
        <v>134</v>
      </c>
      <c r="E22" s="5" t="s">
        <v>136</v>
      </c>
      <c r="F22" s="5" t="s">
        <v>51</v>
      </c>
      <c r="G22" s="5"/>
      <c r="H22" s="5" t="s">
        <v>30</v>
      </c>
      <c r="I22" s="5"/>
      <c r="J22" s="78" t="s">
        <v>14</v>
      </c>
      <c r="K22" s="78"/>
      <c r="L22" s="85"/>
      <c r="M22" s="5"/>
      <c r="N22" s="85"/>
      <c r="O22" s="22"/>
      <c r="P22" s="7" t="str">
        <f t="shared" si="1"/>
        <v>OK</v>
      </c>
      <c r="Q22" s="7"/>
      <c r="R22" s="7"/>
      <c r="S22" s="7"/>
      <c r="T22" s="7"/>
      <c r="U22" s="7"/>
      <c r="V22" s="7"/>
      <c r="W22" s="7"/>
      <c r="X22" s="7"/>
      <c r="Y22" s="7"/>
      <c r="Z22" s="7"/>
      <c r="AA22" s="7"/>
      <c r="AB22" s="7"/>
      <c r="AC22" s="7"/>
    </row>
    <row r="23" ht="15.75" customHeight="1">
      <c r="A23" s="8" t="s">
        <v>138</v>
      </c>
      <c r="B23" s="5" t="s">
        <v>133</v>
      </c>
      <c r="C23" s="5" t="s">
        <v>15</v>
      </c>
      <c r="D23" s="5" t="s">
        <v>139</v>
      </c>
      <c r="E23" s="5" t="s">
        <v>143</v>
      </c>
      <c r="F23" s="5" t="s">
        <v>38</v>
      </c>
      <c r="G23" s="5"/>
      <c r="H23" s="5" t="s">
        <v>30</v>
      </c>
      <c r="I23" s="5"/>
      <c r="J23" s="78" t="s">
        <v>14</v>
      </c>
      <c r="K23" s="78"/>
      <c r="L23" s="85"/>
      <c r="M23" s="5"/>
      <c r="N23" s="85"/>
      <c r="O23" s="22"/>
      <c r="P23" s="7" t="str">
        <f t="shared" si="1"/>
        <v>OK</v>
      </c>
      <c r="Q23" s="7"/>
      <c r="R23" s="7"/>
      <c r="S23" s="7"/>
      <c r="T23" s="7"/>
      <c r="U23" s="7"/>
      <c r="V23" s="7"/>
      <c r="W23" s="7"/>
      <c r="X23" s="7"/>
      <c r="Y23" s="7"/>
      <c r="Z23" s="7"/>
      <c r="AA23" s="7"/>
      <c r="AB23" s="7"/>
      <c r="AC23" s="7"/>
    </row>
    <row r="24" ht="15.75" customHeight="1">
      <c r="A24" s="8" t="s">
        <v>144</v>
      </c>
      <c r="B24" s="5" t="s">
        <v>133</v>
      </c>
      <c r="C24" s="5" t="s">
        <v>15</v>
      </c>
      <c r="D24" s="5" t="s">
        <v>145</v>
      </c>
      <c r="E24" s="5" t="s">
        <v>147</v>
      </c>
      <c r="F24" s="5" t="s">
        <v>29</v>
      </c>
      <c r="G24" s="5"/>
      <c r="H24" s="5" t="s">
        <v>30</v>
      </c>
      <c r="I24" s="5"/>
      <c r="J24" s="78" t="s">
        <v>14</v>
      </c>
      <c r="K24" s="78"/>
      <c r="L24" s="85"/>
      <c r="M24" s="5"/>
      <c r="N24" s="85"/>
      <c r="O24" s="22"/>
      <c r="P24" s="7" t="str">
        <f t="shared" si="1"/>
        <v>OK</v>
      </c>
      <c r="Q24" s="7"/>
      <c r="R24" s="7"/>
      <c r="S24" s="7"/>
      <c r="T24" s="7"/>
      <c r="U24" s="7"/>
      <c r="V24" s="7"/>
      <c r="W24" s="7"/>
      <c r="X24" s="7"/>
      <c r="Y24" s="7"/>
      <c r="Z24" s="7"/>
      <c r="AA24" s="7"/>
      <c r="AB24" s="7"/>
      <c r="AC24" s="7"/>
    </row>
    <row r="25" ht="15.75" customHeight="1">
      <c r="A25" s="8" t="s">
        <v>149</v>
      </c>
      <c r="B25" s="5" t="s">
        <v>133</v>
      </c>
      <c r="C25" s="5" t="s">
        <v>15</v>
      </c>
      <c r="D25" s="5" t="s">
        <v>150</v>
      </c>
      <c r="E25" s="5" t="s">
        <v>153</v>
      </c>
      <c r="F25" s="5" t="s">
        <v>38</v>
      </c>
      <c r="G25" s="5"/>
      <c r="H25" s="5" t="s">
        <v>22</v>
      </c>
      <c r="I25" s="5"/>
      <c r="J25" s="78" t="s">
        <v>14</v>
      </c>
      <c r="K25" s="78"/>
      <c r="L25" s="85"/>
      <c r="M25" s="5"/>
      <c r="N25" s="85"/>
      <c r="O25" s="22"/>
      <c r="P25" s="7" t="str">
        <f t="shared" si="1"/>
        <v>OK</v>
      </c>
      <c r="Q25" s="7"/>
      <c r="R25" s="7"/>
      <c r="S25" s="7"/>
      <c r="T25" s="7"/>
      <c r="U25" s="7"/>
      <c r="V25" s="7"/>
      <c r="W25" s="7"/>
      <c r="X25" s="7"/>
      <c r="Y25" s="7"/>
      <c r="Z25" s="7"/>
      <c r="AA25" s="7"/>
      <c r="AB25" s="7"/>
      <c r="AC25" s="7"/>
    </row>
    <row r="26" ht="15.75" customHeight="1">
      <c r="A26" s="8" t="s">
        <v>154</v>
      </c>
      <c r="B26" s="5" t="s">
        <v>133</v>
      </c>
      <c r="C26" s="5" t="s">
        <v>15</v>
      </c>
      <c r="D26" s="5" t="s">
        <v>155</v>
      </c>
      <c r="E26" s="5" t="s">
        <v>157</v>
      </c>
      <c r="F26" s="5" t="s">
        <v>38</v>
      </c>
      <c r="G26" s="5"/>
      <c r="H26" s="5" t="s">
        <v>30</v>
      </c>
      <c r="I26" s="5"/>
      <c r="J26" s="78" t="s">
        <v>14</v>
      </c>
      <c r="K26" s="78"/>
      <c r="L26" s="85"/>
      <c r="M26" s="5"/>
      <c r="N26" s="85"/>
      <c r="O26" s="22"/>
      <c r="P26" s="7" t="str">
        <f t="shared" si="1"/>
        <v>OK</v>
      </c>
      <c r="Q26" s="7"/>
      <c r="R26" s="7"/>
      <c r="S26" s="7"/>
      <c r="T26" s="7"/>
      <c r="U26" s="7"/>
      <c r="V26" s="7"/>
      <c r="W26" s="7"/>
      <c r="X26" s="7"/>
      <c r="Y26" s="7"/>
      <c r="Z26" s="7"/>
      <c r="AA26" s="7"/>
      <c r="AB26" s="7"/>
      <c r="AC26" s="7"/>
    </row>
    <row r="27" ht="15.75" customHeight="1">
      <c r="A27" s="8" t="s">
        <v>159</v>
      </c>
      <c r="B27" s="5" t="s">
        <v>133</v>
      </c>
      <c r="C27" s="5" t="s">
        <v>15</v>
      </c>
      <c r="D27" s="5" t="s">
        <v>160</v>
      </c>
      <c r="E27" s="5" t="s">
        <v>162</v>
      </c>
      <c r="F27" s="5" t="s">
        <v>29</v>
      </c>
      <c r="G27" s="5"/>
      <c r="H27" s="5" t="s">
        <v>23</v>
      </c>
      <c r="I27" s="5"/>
      <c r="J27" s="78" t="s">
        <v>14</v>
      </c>
      <c r="K27" s="78"/>
      <c r="L27" s="85"/>
      <c r="M27" s="5"/>
      <c r="N27" s="85"/>
      <c r="O27" s="22"/>
      <c r="P27" s="7" t="str">
        <f t="shared" si="1"/>
        <v>OK</v>
      </c>
      <c r="Q27" s="7"/>
      <c r="R27" s="7"/>
      <c r="S27" s="7"/>
      <c r="T27" s="7"/>
      <c r="U27" s="7"/>
      <c r="V27" s="7"/>
      <c r="W27" s="7"/>
      <c r="X27" s="7"/>
      <c r="Y27" s="7"/>
      <c r="Z27" s="7"/>
      <c r="AA27" s="7"/>
      <c r="AB27" s="7"/>
      <c r="AC27" s="7"/>
    </row>
    <row r="28" ht="15.75" customHeight="1">
      <c r="A28" s="8" t="s">
        <v>164</v>
      </c>
      <c r="B28" s="5" t="s">
        <v>133</v>
      </c>
      <c r="C28" s="5" t="s">
        <v>15</v>
      </c>
      <c r="D28" s="5" t="s">
        <v>165</v>
      </c>
      <c r="E28" s="5" t="s">
        <v>168</v>
      </c>
      <c r="F28" s="5" t="s">
        <v>51</v>
      </c>
      <c r="G28" s="5"/>
      <c r="H28" s="5" t="s">
        <v>31</v>
      </c>
      <c r="I28" s="5"/>
      <c r="J28" s="78" t="s">
        <v>14</v>
      </c>
      <c r="K28" s="78"/>
      <c r="L28" s="85"/>
      <c r="M28" s="5"/>
      <c r="N28" s="85"/>
      <c r="O28" s="22"/>
      <c r="P28" s="7" t="str">
        <f t="shared" si="1"/>
        <v>OK</v>
      </c>
      <c r="Q28" s="7"/>
      <c r="R28" s="7"/>
      <c r="S28" s="7"/>
      <c r="T28" s="7"/>
      <c r="U28" s="7"/>
      <c r="V28" s="7"/>
      <c r="W28" s="7"/>
      <c r="X28" s="7"/>
      <c r="Y28" s="7"/>
      <c r="Z28" s="7"/>
      <c r="AA28" s="7"/>
      <c r="AB28" s="7"/>
      <c r="AC28" s="7"/>
    </row>
    <row r="29" ht="15.75" customHeight="1">
      <c r="A29" s="8" t="s">
        <v>169</v>
      </c>
      <c r="B29" s="5" t="s">
        <v>133</v>
      </c>
      <c r="C29" s="5" t="s">
        <v>15</v>
      </c>
      <c r="D29" s="5" t="s">
        <v>170</v>
      </c>
      <c r="E29" s="5" t="s">
        <v>171</v>
      </c>
      <c r="F29" s="5" t="s">
        <v>51</v>
      </c>
      <c r="G29" s="5"/>
      <c r="H29" s="5" t="s">
        <v>22</v>
      </c>
      <c r="I29" s="5"/>
      <c r="J29" s="78" t="s">
        <v>14</v>
      </c>
      <c r="K29" s="78"/>
      <c r="L29" s="85"/>
      <c r="M29" s="5"/>
      <c r="N29" s="85"/>
      <c r="O29" s="22"/>
      <c r="P29" s="7" t="str">
        <f t="shared" si="1"/>
        <v>OK</v>
      </c>
      <c r="Q29" s="7"/>
      <c r="R29" s="7"/>
      <c r="S29" s="7"/>
      <c r="T29" s="7"/>
      <c r="U29" s="7"/>
      <c r="V29" s="7"/>
      <c r="W29" s="7"/>
      <c r="X29" s="7"/>
      <c r="Y29" s="7"/>
      <c r="Z29" s="7"/>
      <c r="AA29" s="7"/>
      <c r="AB29" s="7"/>
      <c r="AC29" s="7"/>
    </row>
    <row r="30" ht="15.75" customHeight="1">
      <c r="A30" s="8" t="s">
        <v>174</v>
      </c>
      <c r="B30" s="5" t="s">
        <v>133</v>
      </c>
      <c r="C30" s="5" t="s">
        <v>15</v>
      </c>
      <c r="D30" s="5" t="s">
        <v>175</v>
      </c>
      <c r="E30" s="5" t="s">
        <v>177</v>
      </c>
      <c r="F30" s="5" t="s">
        <v>37</v>
      </c>
      <c r="G30" s="5"/>
      <c r="H30" s="5" t="s">
        <v>75</v>
      </c>
      <c r="I30" s="5"/>
      <c r="J30" s="78" t="s">
        <v>14</v>
      </c>
      <c r="K30" s="78"/>
      <c r="L30" s="85"/>
      <c r="M30" s="5"/>
      <c r="N30" s="85"/>
      <c r="O30" s="22"/>
      <c r="P30" s="7" t="str">
        <f t="shared" si="1"/>
        <v>OK</v>
      </c>
      <c r="Q30" s="7"/>
      <c r="R30" s="7"/>
      <c r="S30" s="7"/>
      <c r="T30" s="7"/>
      <c r="U30" s="7"/>
      <c r="V30" s="7"/>
      <c r="W30" s="7"/>
      <c r="X30" s="7"/>
      <c r="Y30" s="7"/>
      <c r="Z30" s="7"/>
      <c r="AA30" s="7"/>
      <c r="AB30" s="7"/>
      <c r="AC30" s="7"/>
    </row>
    <row r="31" ht="15.75" customHeight="1">
      <c r="A31" s="8" t="s">
        <v>179</v>
      </c>
      <c r="B31" s="5" t="s">
        <v>133</v>
      </c>
      <c r="C31" s="5" t="s">
        <v>15</v>
      </c>
      <c r="D31" s="5" t="s">
        <v>180</v>
      </c>
      <c r="E31" s="5" t="s">
        <v>181</v>
      </c>
      <c r="F31" s="5" t="s">
        <v>38</v>
      </c>
      <c r="G31" s="5"/>
      <c r="H31" s="5" t="s">
        <v>68</v>
      </c>
      <c r="I31" s="5"/>
      <c r="J31" s="78" t="s">
        <v>14</v>
      </c>
      <c r="K31" s="78"/>
      <c r="L31" s="85"/>
      <c r="M31" s="5"/>
      <c r="N31" s="85"/>
      <c r="O31" s="22"/>
      <c r="P31" s="7" t="str">
        <f t="shared" si="1"/>
        <v>OK</v>
      </c>
      <c r="Q31" s="7"/>
      <c r="R31" s="7"/>
      <c r="S31" s="7"/>
      <c r="T31" s="7"/>
      <c r="U31" s="7"/>
      <c r="V31" s="7"/>
      <c r="W31" s="7"/>
      <c r="X31" s="7"/>
      <c r="Y31" s="7"/>
      <c r="Z31" s="7"/>
      <c r="AA31" s="7"/>
      <c r="AB31" s="7"/>
      <c r="AC31" s="7"/>
    </row>
    <row r="32" ht="15.75" customHeight="1">
      <c r="A32" s="8" t="s">
        <v>184</v>
      </c>
      <c r="B32" s="5" t="s">
        <v>133</v>
      </c>
      <c r="C32" s="5" t="s">
        <v>15</v>
      </c>
      <c r="D32" s="5" t="s">
        <v>185</v>
      </c>
      <c r="E32" s="5" t="s">
        <v>189</v>
      </c>
      <c r="F32" s="5" t="s">
        <v>37</v>
      </c>
      <c r="G32" s="5"/>
      <c r="H32" s="5" t="s">
        <v>75</v>
      </c>
      <c r="I32" s="5"/>
      <c r="J32" s="78" t="s">
        <v>14</v>
      </c>
      <c r="K32" s="78"/>
      <c r="L32" s="85"/>
      <c r="M32" s="5"/>
      <c r="N32" s="85"/>
      <c r="O32" s="22"/>
      <c r="P32" s="7" t="str">
        <f t="shared" si="1"/>
        <v>OK</v>
      </c>
      <c r="Q32" s="7"/>
      <c r="R32" s="7"/>
      <c r="S32" s="7"/>
      <c r="T32" s="7"/>
      <c r="U32" s="7"/>
      <c r="V32" s="7"/>
      <c r="W32" s="7"/>
      <c r="X32" s="7"/>
      <c r="Y32" s="7"/>
      <c r="Z32" s="7"/>
      <c r="AA32" s="7"/>
      <c r="AB32" s="7"/>
      <c r="AC32" s="7"/>
    </row>
    <row r="33" ht="15.75" customHeight="1">
      <c r="A33" s="8" t="s">
        <v>190</v>
      </c>
      <c r="B33" s="5" t="s">
        <v>133</v>
      </c>
      <c r="C33" s="5" t="s">
        <v>15</v>
      </c>
      <c r="D33" s="5" t="s">
        <v>191</v>
      </c>
      <c r="E33" s="5" t="s">
        <v>194</v>
      </c>
      <c r="F33" s="5" t="s">
        <v>20</v>
      </c>
      <c r="G33" s="5"/>
      <c r="H33" s="5" t="s">
        <v>75</v>
      </c>
      <c r="I33" s="5"/>
      <c r="J33" s="78" t="s">
        <v>14</v>
      </c>
      <c r="K33" s="78"/>
      <c r="L33" s="85"/>
      <c r="M33" s="5"/>
      <c r="N33" s="85"/>
      <c r="O33" s="22"/>
      <c r="P33" s="7" t="str">
        <f t="shared" si="1"/>
        <v>OK</v>
      </c>
      <c r="Q33" s="7"/>
      <c r="R33" s="7"/>
      <c r="S33" s="7"/>
      <c r="T33" s="7"/>
      <c r="U33" s="7"/>
      <c r="V33" s="7"/>
      <c r="W33" s="7"/>
      <c r="X33" s="7"/>
      <c r="Y33" s="7"/>
      <c r="Z33" s="7"/>
      <c r="AA33" s="7"/>
      <c r="AB33" s="7"/>
      <c r="AC33" s="7"/>
    </row>
    <row r="34" ht="15.75" customHeight="1">
      <c r="A34" s="8" t="s">
        <v>195</v>
      </c>
      <c r="B34" s="5" t="s">
        <v>133</v>
      </c>
      <c r="C34" s="5" t="s">
        <v>15</v>
      </c>
      <c r="D34" s="5" t="s">
        <v>196</v>
      </c>
      <c r="E34" s="9" t="s">
        <v>199</v>
      </c>
      <c r="F34" s="5" t="s">
        <v>45</v>
      </c>
      <c r="G34" s="5"/>
      <c r="H34" s="5" t="s">
        <v>111</v>
      </c>
      <c r="I34" s="5"/>
      <c r="J34" s="78" t="s">
        <v>14</v>
      </c>
      <c r="K34" s="78"/>
      <c r="L34" s="85"/>
      <c r="M34" s="5"/>
      <c r="N34" s="85"/>
      <c r="O34" s="22"/>
      <c r="P34" s="7" t="str">
        <f t="shared" si="1"/>
        <v>OK</v>
      </c>
      <c r="Q34" s="7"/>
      <c r="R34" s="7"/>
      <c r="S34" s="7"/>
      <c r="T34" s="7"/>
      <c r="U34" s="7"/>
      <c r="V34" s="7"/>
      <c r="W34" s="7"/>
      <c r="X34" s="7"/>
      <c r="Y34" s="7"/>
      <c r="Z34" s="7"/>
      <c r="AA34" s="7"/>
      <c r="AB34" s="7"/>
      <c r="AC34" s="7"/>
    </row>
    <row r="35" ht="15.75" customHeight="1">
      <c r="A35" s="8" t="s">
        <v>200</v>
      </c>
      <c r="B35" s="5" t="s">
        <v>133</v>
      </c>
      <c r="C35" s="5" t="s">
        <v>15</v>
      </c>
      <c r="D35" s="5" t="s">
        <v>201</v>
      </c>
      <c r="E35" s="5" t="s">
        <v>203</v>
      </c>
      <c r="F35" s="5" t="s">
        <v>29</v>
      </c>
      <c r="G35" s="5"/>
      <c r="H35" s="5" t="s">
        <v>23</v>
      </c>
      <c r="I35" s="5"/>
      <c r="J35" s="78" t="s">
        <v>14</v>
      </c>
      <c r="K35" s="78"/>
      <c r="L35" s="85"/>
      <c r="M35" s="5"/>
      <c r="N35" s="85"/>
      <c r="O35" s="22"/>
      <c r="P35" s="7" t="str">
        <f t="shared" si="1"/>
        <v>OK</v>
      </c>
      <c r="Q35" s="7"/>
      <c r="R35" s="7"/>
      <c r="S35" s="7"/>
      <c r="T35" s="7"/>
      <c r="U35" s="7"/>
      <c r="V35" s="7"/>
      <c r="W35" s="7"/>
      <c r="X35" s="7"/>
      <c r="Y35" s="7"/>
      <c r="Z35" s="7"/>
      <c r="AA35" s="7"/>
      <c r="AB35" s="7"/>
      <c r="AC35" s="7"/>
    </row>
    <row r="36" ht="15.75" customHeight="1">
      <c r="A36" s="8" t="s">
        <v>205</v>
      </c>
      <c r="B36" s="5" t="s">
        <v>133</v>
      </c>
      <c r="C36" s="5" t="s">
        <v>15</v>
      </c>
      <c r="D36" s="5" t="s">
        <v>206</v>
      </c>
      <c r="E36" s="5" t="s">
        <v>207</v>
      </c>
      <c r="F36" s="5" t="s">
        <v>51</v>
      </c>
      <c r="G36" s="5"/>
      <c r="H36" s="5" t="s">
        <v>30</v>
      </c>
      <c r="I36" s="5"/>
      <c r="J36" s="78" t="s">
        <v>14</v>
      </c>
      <c r="K36" s="78"/>
      <c r="L36" s="85"/>
      <c r="M36" s="5"/>
      <c r="N36" s="85"/>
      <c r="O36" s="22"/>
      <c r="P36" s="7" t="str">
        <f t="shared" si="1"/>
        <v>OK</v>
      </c>
      <c r="Q36" s="7"/>
      <c r="R36" s="7"/>
      <c r="S36" s="7"/>
      <c r="T36" s="7"/>
      <c r="U36" s="7"/>
      <c r="V36" s="7"/>
      <c r="W36" s="7"/>
      <c r="X36" s="7"/>
      <c r="Y36" s="7"/>
      <c r="Z36" s="7"/>
      <c r="AA36" s="7"/>
      <c r="AB36" s="7"/>
      <c r="AC36" s="7"/>
    </row>
    <row r="37" ht="15.75" customHeight="1">
      <c r="A37" s="8" t="s">
        <v>210</v>
      </c>
      <c r="B37" s="5" t="s">
        <v>133</v>
      </c>
      <c r="C37" s="5" t="s">
        <v>15</v>
      </c>
      <c r="D37" s="5" t="s">
        <v>211</v>
      </c>
      <c r="E37" s="5" t="s">
        <v>215</v>
      </c>
      <c r="F37" s="5" t="s">
        <v>51</v>
      </c>
      <c r="G37" s="5"/>
      <c r="H37" s="5" t="s">
        <v>30</v>
      </c>
      <c r="I37" s="5"/>
      <c r="J37" s="78" t="s">
        <v>14</v>
      </c>
      <c r="K37" s="78"/>
      <c r="L37" s="85"/>
      <c r="M37" s="5"/>
      <c r="N37" s="85"/>
      <c r="O37" s="22"/>
      <c r="P37" s="7" t="str">
        <f t="shared" si="1"/>
        <v>OK</v>
      </c>
      <c r="Q37" s="7"/>
      <c r="R37" s="7"/>
      <c r="S37" s="7"/>
      <c r="T37" s="7"/>
      <c r="U37" s="7"/>
      <c r="V37" s="7"/>
      <c r="W37" s="7"/>
      <c r="X37" s="7"/>
      <c r="Y37" s="7"/>
      <c r="Z37" s="7"/>
      <c r="AA37" s="7"/>
      <c r="AB37" s="7"/>
      <c r="AC37" s="7"/>
    </row>
    <row r="38" ht="15.75" customHeight="1">
      <c r="A38" s="8" t="s">
        <v>216</v>
      </c>
      <c r="B38" s="5" t="s">
        <v>133</v>
      </c>
      <c r="C38" s="5" t="s">
        <v>15</v>
      </c>
      <c r="D38" s="5" t="s">
        <v>217</v>
      </c>
      <c r="E38" s="5" t="s">
        <v>220</v>
      </c>
      <c r="F38" s="5" t="s">
        <v>38</v>
      </c>
      <c r="G38" s="5"/>
      <c r="H38" s="5" t="s">
        <v>52</v>
      </c>
      <c r="I38" s="5"/>
      <c r="J38" s="78" t="s">
        <v>14</v>
      </c>
      <c r="K38" s="78"/>
      <c r="L38" s="85"/>
      <c r="M38" s="5"/>
      <c r="N38" s="85"/>
      <c r="O38" s="22"/>
      <c r="P38" s="7" t="str">
        <f t="shared" si="1"/>
        <v>OK</v>
      </c>
      <c r="Q38" s="7"/>
      <c r="R38" s="7"/>
      <c r="S38" s="7"/>
      <c r="T38" s="7"/>
      <c r="U38" s="7"/>
      <c r="V38" s="7"/>
      <c r="W38" s="7"/>
      <c r="X38" s="7"/>
      <c r="Y38" s="7"/>
      <c r="Z38" s="7"/>
      <c r="AA38" s="7"/>
      <c r="AB38" s="7"/>
      <c r="AC38" s="7"/>
    </row>
    <row r="39" ht="15.75" customHeight="1">
      <c r="A39" s="8" t="s">
        <v>221</v>
      </c>
      <c r="B39" s="5" t="s">
        <v>133</v>
      </c>
      <c r="C39" s="5" t="s">
        <v>15</v>
      </c>
      <c r="D39" s="5" t="s">
        <v>222</v>
      </c>
      <c r="E39" s="5" t="s">
        <v>225</v>
      </c>
      <c r="F39" s="5" t="s">
        <v>45</v>
      </c>
      <c r="G39" s="5"/>
      <c r="H39" s="5" t="s">
        <v>52</v>
      </c>
      <c r="I39" s="5"/>
      <c r="J39" s="78" t="s">
        <v>14</v>
      </c>
      <c r="K39" s="78"/>
      <c r="L39" s="85"/>
      <c r="M39" s="5"/>
      <c r="N39" s="85"/>
      <c r="O39" s="22"/>
      <c r="P39" s="7" t="str">
        <f t="shared" si="1"/>
        <v>OK</v>
      </c>
      <c r="Q39" s="7"/>
      <c r="R39" s="7"/>
      <c r="S39" s="7"/>
      <c r="T39" s="7"/>
      <c r="U39" s="7"/>
      <c r="V39" s="7"/>
      <c r="W39" s="7"/>
      <c r="X39" s="7"/>
      <c r="Y39" s="7"/>
      <c r="Z39" s="7"/>
      <c r="AA39" s="7"/>
      <c r="AB39" s="7"/>
      <c r="AC39" s="7"/>
    </row>
    <row r="40" ht="15.75" customHeight="1">
      <c r="A40" s="8" t="s">
        <v>226</v>
      </c>
      <c r="B40" s="5" t="s">
        <v>133</v>
      </c>
      <c r="C40" s="5" t="s">
        <v>15</v>
      </c>
      <c r="D40" s="5" t="s">
        <v>227</v>
      </c>
      <c r="E40" s="5" t="s">
        <v>230</v>
      </c>
      <c r="F40" s="5" t="s">
        <v>51</v>
      </c>
      <c r="G40" s="5"/>
      <c r="H40" s="5" t="s">
        <v>23</v>
      </c>
      <c r="I40" s="5"/>
      <c r="J40" s="78" t="s">
        <v>14</v>
      </c>
      <c r="K40" s="78"/>
      <c r="L40" s="85"/>
      <c r="M40" s="5"/>
      <c r="N40" s="85"/>
      <c r="O40" s="22"/>
      <c r="P40" s="7" t="str">
        <f t="shared" si="1"/>
        <v>OK</v>
      </c>
      <c r="Q40" s="7"/>
      <c r="R40" s="7"/>
      <c r="S40" s="7"/>
      <c r="T40" s="7"/>
      <c r="U40" s="7"/>
      <c r="V40" s="7"/>
      <c r="W40" s="7"/>
      <c r="X40" s="7"/>
      <c r="Y40" s="7"/>
      <c r="Z40" s="7"/>
      <c r="AA40" s="7"/>
      <c r="AB40" s="7"/>
      <c r="AC40" s="7"/>
    </row>
    <row r="41" ht="15.75" customHeight="1">
      <c r="A41" s="8" t="s">
        <v>231</v>
      </c>
      <c r="B41" s="5" t="s">
        <v>133</v>
      </c>
      <c r="C41" s="5" t="s">
        <v>15</v>
      </c>
      <c r="D41" s="5" t="s">
        <v>232</v>
      </c>
      <c r="E41" s="5" t="s">
        <v>235</v>
      </c>
      <c r="F41" s="5" t="s">
        <v>51</v>
      </c>
      <c r="G41" s="5"/>
      <c r="H41" s="5" t="s">
        <v>52</v>
      </c>
      <c r="I41" s="5"/>
      <c r="J41" s="78" t="s">
        <v>14</v>
      </c>
      <c r="K41" s="78"/>
      <c r="L41" s="85"/>
      <c r="M41" s="5"/>
      <c r="N41" s="85"/>
      <c r="O41" s="22"/>
      <c r="P41" s="7" t="str">
        <f t="shared" si="1"/>
        <v>OK</v>
      </c>
      <c r="Q41" s="7"/>
      <c r="R41" s="7"/>
      <c r="S41" s="7"/>
      <c r="T41" s="7"/>
      <c r="U41" s="7"/>
      <c r="V41" s="7"/>
      <c r="W41" s="7"/>
      <c r="X41" s="7"/>
      <c r="Y41" s="7"/>
      <c r="Z41" s="7"/>
      <c r="AA41" s="7"/>
      <c r="AB41" s="7"/>
      <c r="AC41" s="7"/>
    </row>
    <row r="42" ht="15.75" customHeight="1">
      <c r="A42" s="8" t="s">
        <v>236</v>
      </c>
      <c r="B42" s="5" t="s">
        <v>133</v>
      </c>
      <c r="C42" s="5" t="s">
        <v>15</v>
      </c>
      <c r="D42" s="5" t="s">
        <v>2641</v>
      </c>
      <c r="E42" s="5" t="s">
        <v>239</v>
      </c>
      <c r="F42" s="5" t="s">
        <v>51</v>
      </c>
      <c r="G42" s="5"/>
      <c r="H42" s="5" t="s">
        <v>30</v>
      </c>
      <c r="I42" s="5"/>
      <c r="J42" s="78" t="s">
        <v>133</v>
      </c>
      <c r="K42" s="78"/>
      <c r="L42" s="85"/>
      <c r="M42" s="5"/>
      <c r="N42" s="85"/>
      <c r="O42" s="22"/>
      <c r="P42" s="7" t="str">
        <f t="shared" si="1"/>
        <v>OK</v>
      </c>
      <c r="Q42" s="7"/>
      <c r="R42" s="7"/>
      <c r="S42" s="7"/>
      <c r="T42" s="7"/>
      <c r="U42" s="7"/>
      <c r="V42" s="7"/>
      <c r="W42" s="7"/>
      <c r="X42" s="7"/>
      <c r="Y42" s="7"/>
      <c r="Z42" s="7"/>
      <c r="AA42" s="7"/>
      <c r="AB42" s="7"/>
      <c r="AC42" s="7"/>
    </row>
    <row r="43" ht="15.75" hidden="1" customHeight="1">
      <c r="A43" s="8" t="s">
        <v>241</v>
      </c>
      <c r="B43" s="5" t="s">
        <v>14</v>
      </c>
      <c r="C43" s="5" t="s">
        <v>15</v>
      </c>
      <c r="D43" s="5" t="s">
        <v>242</v>
      </c>
      <c r="E43" s="6" t="s">
        <v>245</v>
      </c>
      <c r="F43" s="5" t="s">
        <v>45</v>
      </c>
      <c r="G43" s="5"/>
      <c r="H43" s="5" t="s">
        <v>31</v>
      </c>
      <c r="I43" s="5"/>
      <c r="J43" s="78" t="s">
        <v>133</v>
      </c>
      <c r="K43" s="78"/>
      <c r="L43" s="85"/>
      <c r="M43" s="5"/>
      <c r="N43" s="85"/>
      <c r="O43" s="22"/>
      <c r="P43" s="7" t="str">
        <f t="shared" si="1"/>
        <v>OK</v>
      </c>
      <c r="Q43" s="7"/>
      <c r="R43" s="7"/>
      <c r="S43" s="7"/>
      <c r="T43" s="7"/>
      <c r="U43" s="7"/>
      <c r="V43" s="7"/>
      <c r="W43" s="7"/>
      <c r="X43" s="7"/>
      <c r="Y43" s="7"/>
      <c r="Z43" s="7"/>
      <c r="AA43" s="7"/>
      <c r="AB43" s="7"/>
      <c r="AC43" s="7"/>
    </row>
    <row r="44" ht="15.75" hidden="1" customHeight="1">
      <c r="A44" s="8" t="s">
        <v>246</v>
      </c>
      <c r="B44" s="5" t="s">
        <v>14</v>
      </c>
      <c r="C44" s="5" t="s">
        <v>15</v>
      </c>
      <c r="D44" s="5" t="s">
        <v>247</v>
      </c>
      <c r="E44" s="6" t="s">
        <v>250</v>
      </c>
      <c r="F44" s="5" t="s">
        <v>45</v>
      </c>
      <c r="G44" s="5"/>
      <c r="H44" s="5" t="s">
        <v>30</v>
      </c>
      <c r="I44" s="5"/>
      <c r="J44" s="78" t="s">
        <v>133</v>
      </c>
      <c r="K44" s="78"/>
      <c r="L44" s="85"/>
      <c r="M44" s="5"/>
      <c r="N44" s="85"/>
      <c r="O44" s="22"/>
      <c r="P44" s="7" t="str">
        <f t="shared" si="1"/>
        <v>OK</v>
      </c>
      <c r="Q44" s="7"/>
      <c r="R44" s="7"/>
      <c r="S44" s="7"/>
      <c r="T44" s="7"/>
      <c r="U44" s="7"/>
      <c r="V44" s="7"/>
      <c r="W44" s="7"/>
      <c r="X44" s="7"/>
      <c r="Y44" s="7"/>
      <c r="Z44" s="7"/>
      <c r="AA44" s="7"/>
      <c r="AB44" s="7"/>
      <c r="AC44" s="7"/>
    </row>
    <row r="45" ht="15.75" hidden="1" customHeight="1">
      <c r="A45" s="8" t="s">
        <v>251</v>
      </c>
      <c r="B45" s="5" t="s">
        <v>14</v>
      </c>
      <c r="C45" s="5" t="s">
        <v>15</v>
      </c>
      <c r="D45" s="5" t="s">
        <v>252</v>
      </c>
      <c r="E45" s="6" t="s">
        <v>255</v>
      </c>
      <c r="F45" s="5" t="s">
        <v>38</v>
      </c>
      <c r="G45" s="5"/>
      <c r="H45" s="5" t="s">
        <v>30</v>
      </c>
      <c r="I45" s="5"/>
      <c r="J45" s="78" t="s">
        <v>133</v>
      </c>
      <c r="K45" s="74" t="s">
        <v>15</v>
      </c>
      <c r="L45" s="10" t="s">
        <v>38</v>
      </c>
      <c r="M45" s="5" t="s">
        <v>51</v>
      </c>
      <c r="N45" s="10" t="s">
        <v>30</v>
      </c>
      <c r="O45" s="84" t="s">
        <v>22</v>
      </c>
      <c r="P45" s="7" t="str">
        <f t="shared" si="1"/>
        <v>OK</v>
      </c>
      <c r="Q45" s="7"/>
      <c r="R45" s="7"/>
      <c r="S45" s="7"/>
      <c r="T45" s="7"/>
      <c r="U45" s="7"/>
      <c r="V45" s="7"/>
      <c r="W45" s="7"/>
      <c r="X45" s="7"/>
      <c r="Y45" s="7"/>
      <c r="Z45" s="7"/>
      <c r="AA45" s="7"/>
      <c r="AB45" s="7"/>
      <c r="AC45" s="7"/>
    </row>
    <row r="46" ht="15.75" hidden="1" customHeight="1">
      <c r="A46" s="8" t="s">
        <v>256</v>
      </c>
      <c r="B46" s="5" t="s">
        <v>14</v>
      </c>
      <c r="C46" s="5" t="s">
        <v>15</v>
      </c>
      <c r="D46" s="5" t="s">
        <v>257</v>
      </c>
      <c r="E46" s="6" t="s">
        <v>260</v>
      </c>
      <c r="F46" s="5" t="s">
        <v>45</v>
      </c>
      <c r="G46" s="5"/>
      <c r="H46" s="5" t="s">
        <v>39</v>
      </c>
      <c r="I46" s="5"/>
      <c r="J46" s="78" t="s">
        <v>133</v>
      </c>
      <c r="K46" s="78"/>
      <c r="L46" s="85"/>
      <c r="M46" s="5"/>
      <c r="N46" s="85"/>
      <c r="O46" s="22"/>
      <c r="P46" s="7" t="str">
        <f t="shared" si="1"/>
        <v>OK</v>
      </c>
      <c r="Q46" s="7"/>
      <c r="R46" s="7"/>
      <c r="S46" s="7"/>
      <c r="T46" s="7"/>
      <c r="U46" s="7"/>
      <c r="V46" s="7"/>
      <c r="W46" s="7"/>
      <c r="X46" s="7"/>
      <c r="Y46" s="7"/>
      <c r="Z46" s="7"/>
      <c r="AA46" s="7"/>
      <c r="AB46" s="7"/>
      <c r="AC46" s="7"/>
    </row>
    <row r="47" ht="15.75" hidden="1" customHeight="1">
      <c r="A47" s="8" t="s">
        <v>261</v>
      </c>
      <c r="B47" s="5" t="s">
        <v>14</v>
      </c>
      <c r="C47" s="5" t="s">
        <v>15</v>
      </c>
      <c r="D47" s="5" t="s">
        <v>262</v>
      </c>
      <c r="E47" s="6" t="s">
        <v>264</v>
      </c>
      <c r="F47" s="5" t="s">
        <v>20</v>
      </c>
      <c r="G47" s="5"/>
      <c r="H47" s="5" t="s">
        <v>39</v>
      </c>
      <c r="I47" s="5"/>
      <c r="J47" s="78" t="s">
        <v>133</v>
      </c>
      <c r="K47" s="78"/>
      <c r="L47" s="85"/>
      <c r="M47" s="5"/>
      <c r="N47" s="85"/>
      <c r="O47" s="22"/>
      <c r="P47" s="7" t="str">
        <f t="shared" si="1"/>
        <v>OK</v>
      </c>
      <c r="Q47" s="7"/>
      <c r="R47" s="7"/>
      <c r="S47" s="7"/>
      <c r="T47" s="7"/>
      <c r="U47" s="7"/>
      <c r="V47" s="7"/>
      <c r="W47" s="7"/>
      <c r="X47" s="7"/>
      <c r="Y47" s="7"/>
      <c r="Z47" s="7"/>
      <c r="AA47" s="7"/>
      <c r="AB47" s="7"/>
      <c r="AC47" s="7"/>
    </row>
    <row r="48" ht="15.75" hidden="1" customHeight="1">
      <c r="A48" s="8" t="s">
        <v>266</v>
      </c>
      <c r="B48" s="5" t="s">
        <v>14</v>
      </c>
      <c r="C48" s="5" t="s">
        <v>15</v>
      </c>
      <c r="D48" s="5" t="s">
        <v>267</v>
      </c>
      <c r="E48" s="6" t="s">
        <v>269</v>
      </c>
      <c r="F48" s="5" t="s">
        <v>38</v>
      </c>
      <c r="G48" s="5"/>
      <c r="H48" s="5" t="s">
        <v>23</v>
      </c>
      <c r="I48" s="5"/>
      <c r="J48" s="78" t="s">
        <v>133</v>
      </c>
      <c r="K48" s="78"/>
      <c r="L48" s="85"/>
      <c r="M48" s="5"/>
      <c r="N48" s="85"/>
      <c r="O48" s="22"/>
      <c r="P48" s="7" t="str">
        <f t="shared" si="1"/>
        <v>OK</v>
      </c>
      <c r="Q48" s="7"/>
      <c r="R48" s="7"/>
      <c r="S48" s="7"/>
      <c r="T48" s="7"/>
      <c r="U48" s="7"/>
      <c r="V48" s="7"/>
      <c r="W48" s="7"/>
      <c r="X48" s="7"/>
      <c r="Y48" s="7"/>
      <c r="Z48" s="7"/>
      <c r="AA48" s="7"/>
      <c r="AB48" s="7"/>
      <c r="AC48" s="7"/>
    </row>
    <row r="49" ht="15.75" hidden="1" customHeight="1">
      <c r="A49" s="8" t="s">
        <v>271</v>
      </c>
      <c r="B49" s="5" t="s">
        <v>14</v>
      </c>
      <c r="C49" s="5" t="s">
        <v>15</v>
      </c>
      <c r="D49" s="5" t="s">
        <v>272</v>
      </c>
      <c r="E49" s="6" t="s">
        <v>273</v>
      </c>
      <c r="F49" s="5" t="s">
        <v>74</v>
      </c>
      <c r="G49" s="5"/>
      <c r="H49" s="5" t="s">
        <v>39</v>
      </c>
      <c r="I49" s="5"/>
      <c r="J49" s="78" t="s">
        <v>133</v>
      </c>
      <c r="K49" s="78"/>
      <c r="L49" s="85"/>
      <c r="M49" s="5"/>
      <c r="N49" s="85"/>
      <c r="O49" s="22"/>
      <c r="P49" s="7" t="str">
        <f t="shared" si="1"/>
        <v>OK</v>
      </c>
      <c r="Q49" s="7"/>
      <c r="R49" s="7"/>
      <c r="S49" s="7"/>
      <c r="T49" s="7"/>
      <c r="U49" s="7"/>
      <c r="V49" s="7"/>
      <c r="W49" s="7"/>
      <c r="X49" s="7"/>
      <c r="Y49" s="7"/>
      <c r="Z49" s="7"/>
      <c r="AA49" s="7"/>
      <c r="AB49" s="7"/>
      <c r="AC49" s="7"/>
    </row>
    <row r="50" ht="15.75" hidden="1" customHeight="1">
      <c r="A50" s="8" t="s">
        <v>276</v>
      </c>
      <c r="B50" s="5" t="s">
        <v>14</v>
      </c>
      <c r="C50" s="5" t="s">
        <v>15</v>
      </c>
      <c r="D50" s="5" t="s">
        <v>277</v>
      </c>
      <c r="E50" s="5" t="s">
        <v>278</v>
      </c>
      <c r="F50" s="5" t="s">
        <v>38</v>
      </c>
      <c r="G50" s="5"/>
      <c r="H50" s="5" t="s">
        <v>23</v>
      </c>
      <c r="I50" s="5"/>
      <c r="J50" s="78" t="s">
        <v>133</v>
      </c>
      <c r="K50" s="78"/>
      <c r="L50" s="85"/>
      <c r="M50" s="5"/>
      <c r="N50" s="85"/>
      <c r="O50" s="22"/>
      <c r="P50" s="7" t="str">
        <f t="shared" si="1"/>
        <v>OK</v>
      </c>
      <c r="Q50" s="7"/>
      <c r="R50" s="7"/>
      <c r="S50" s="7"/>
      <c r="T50" s="7"/>
      <c r="U50" s="7"/>
      <c r="V50" s="7"/>
      <c r="W50" s="7"/>
      <c r="X50" s="7"/>
      <c r="Y50" s="7"/>
      <c r="Z50" s="7"/>
      <c r="AA50" s="7"/>
      <c r="AB50" s="7"/>
      <c r="AC50" s="7"/>
    </row>
    <row r="51" ht="38.25" hidden="1" customHeight="1">
      <c r="A51" s="8" t="s">
        <v>281</v>
      </c>
      <c r="B51" s="5" t="s">
        <v>14</v>
      </c>
      <c r="C51" s="5" t="s">
        <v>15</v>
      </c>
      <c r="D51" s="5" t="s">
        <v>282</v>
      </c>
      <c r="E51" s="6" t="s">
        <v>283</v>
      </c>
      <c r="F51" s="5" t="s">
        <v>45</v>
      </c>
      <c r="G51" s="5"/>
      <c r="H51" s="5" t="s">
        <v>23</v>
      </c>
      <c r="I51" s="5"/>
      <c r="J51" s="78" t="s">
        <v>133</v>
      </c>
      <c r="K51" s="78"/>
      <c r="L51" s="85"/>
      <c r="M51" s="5"/>
      <c r="N51" s="85"/>
      <c r="O51" s="22"/>
      <c r="P51" s="7" t="str">
        <f t="shared" si="1"/>
        <v>OK</v>
      </c>
      <c r="Q51" s="7"/>
      <c r="R51" s="7"/>
      <c r="S51" s="7"/>
      <c r="T51" s="7"/>
      <c r="U51" s="7"/>
      <c r="V51" s="7"/>
      <c r="W51" s="7"/>
      <c r="X51" s="7"/>
      <c r="Y51" s="7"/>
      <c r="Z51" s="7"/>
      <c r="AA51" s="7"/>
      <c r="AB51" s="7"/>
      <c r="AC51" s="7"/>
    </row>
    <row r="52" ht="15.75" hidden="1" customHeight="1">
      <c r="A52" s="8" t="s">
        <v>286</v>
      </c>
      <c r="B52" s="5" t="s">
        <v>14</v>
      </c>
      <c r="C52" s="5" t="s">
        <v>15</v>
      </c>
      <c r="D52" s="5" t="s">
        <v>287</v>
      </c>
      <c r="E52" s="6" t="s">
        <v>290</v>
      </c>
      <c r="F52" s="5" t="s">
        <v>38</v>
      </c>
      <c r="G52" s="5"/>
      <c r="H52" s="5" t="s">
        <v>31</v>
      </c>
      <c r="I52" s="5"/>
      <c r="J52" s="78" t="s">
        <v>133</v>
      </c>
      <c r="K52" s="74" t="s">
        <v>15</v>
      </c>
      <c r="L52" s="10" t="s">
        <v>20</v>
      </c>
      <c r="M52" s="5" t="s">
        <v>51</v>
      </c>
      <c r="N52" s="10" t="s">
        <v>68</v>
      </c>
      <c r="O52" s="84" t="s">
        <v>31</v>
      </c>
      <c r="P52" s="7" t="str">
        <f t="shared" si="1"/>
        <v>OK</v>
      </c>
      <c r="Q52" s="7"/>
      <c r="R52" s="7"/>
      <c r="S52" s="7"/>
      <c r="T52" s="7"/>
      <c r="U52" s="7"/>
      <c r="V52" s="7"/>
      <c r="W52" s="7"/>
      <c r="X52" s="7"/>
      <c r="Y52" s="7"/>
      <c r="Z52" s="7"/>
      <c r="AA52" s="7"/>
      <c r="AB52" s="7"/>
      <c r="AC52" s="7"/>
    </row>
    <row r="53" ht="15.75" hidden="1" customHeight="1">
      <c r="A53" s="8" t="s">
        <v>291</v>
      </c>
      <c r="B53" s="5" t="s">
        <v>14</v>
      </c>
      <c r="C53" s="5" t="s">
        <v>15</v>
      </c>
      <c r="D53" s="5" t="s">
        <v>292</v>
      </c>
      <c r="E53" s="5" t="s">
        <v>295</v>
      </c>
      <c r="F53" s="5" t="s">
        <v>45</v>
      </c>
      <c r="G53" s="5"/>
      <c r="H53" s="5" t="s">
        <v>30</v>
      </c>
      <c r="I53" s="5"/>
      <c r="J53" s="78" t="s">
        <v>133</v>
      </c>
      <c r="K53" s="78"/>
      <c r="L53" s="85"/>
      <c r="M53" s="5"/>
      <c r="N53" s="85"/>
      <c r="O53" s="22"/>
      <c r="P53" s="7" t="str">
        <f t="shared" si="1"/>
        <v>OK</v>
      </c>
      <c r="Q53" s="7"/>
      <c r="R53" s="7"/>
      <c r="S53" s="7"/>
      <c r="T53" s="7"/>
      <c r="U53" s="7"/>
      <c r="V53" s="7"/>
      <c r="W53" s="7"/>
      <c r="X53" s="7"/>
      <c r="Y53" s="7"/>
      <c r="Z53" s="7"/>
      <c r="AA53" s="7"/>
      <c r="AB53" s="7"/>
      <c r="AC53" s="7"/>
    </row>
    <row r="54" ht="15.75" hidden="1" customHeight="1">
      <c r="A54" s="8" t="s">
        <v>296</v>
      </c>
      <c r="B54" s="5" t="s">
        <v>14</v>
      </c>
      <c r="C54" s="5" t="s">
        <v>15</v>
      </c>
      <c r="D54" s="5" t="s">
        <v>297</v>
      </c>
      <c r="E54" s="5" t="s">
        <v>300</v>
      </c>
      <c r="F54" s="5" t="s">
        <v>37</v>
      </c>
      <c r="G54" s="5"/>
      <c r="H54" s="5" t="s">
        <v>23</v>
      </c>
      <c r="I54" s="5"/>
      <c r="J54" s="78" t="s">
        <v>133</v>
      </c>
      <c r="K54" s="74" t="s">
        <v>15</v>
      </c>
      <c r="L54" s="10" t="s">
        <v>37</v>
      </c>
      <c r="M54" s="5" t="s">
        <v>51</v>
      </c>
      <c r="N54" s="10" t="s">
        <v>23</v>
      </c>
      <c r="O54" s="84" t="s">
        <v>39</v>
      </c>
      <c r="P54" s="7" t="str">
        <f t="shared" si="1"/>
        <v>OK</v>
      </c>
      <c r="Q54" s="7"/>
      <c r="R54" s="7"/>
      <c r="S54" s="7"/>
      <c r="T54" s="7"/>
      <c r="U54" s="7"/>
      <c r="V54" s="7"/>
      <c r="W54" s="7"/>
      <c r="X54" s="7"/>
      <c r="Y54" s="7"/>
      <c r="Z54" s="7"/>
      <c r="AA54" s="7"/>
      <c r="AB54" s="7"/>
      <c r="AC54" s="7"/>
    </row>
    <row r="55" ht="15.75" hidden="1" customHeight="1">
      <c r="A55" s="8" t="s">
        <v>301</v>
      </c>
      <c r="B55" s="5" t="s">
        <v>14</v>
      </c>
      <c r="C55" s="5" t="s">
        <v>15</v>
      </c>
      <c r="D55" s="5" t="s">
        <v>302</v>
      </c>
      <c r="E55" s="6" t="s">
        <v>303</v>
      </c>
      <c r="F55" s="5" t="s">
        <v>45</v>
      </c>
      <c r="G55" s="5"/>
      <c r="H55" s="5" t="s">
        <v>23</v>
      </c>
      <c r="I55" s="5"/>
      <c r="J55" s="78" t="s">
        <v>133</v>
      </c>
      <c r="K55" s="78"/>
      <c r="L55" s="85"/>
      <c r="M55" s="5"/>
      <c r="N55" s="85"/>
      <c r="O55" s="22"/>
      <c r="P55" s="7" t="str">
        <f t="shared" si="1"/>
        <v>OK</v>
      </c>
      <c r="Q55" s="7"/>
      <c r="R55" s="7"/>
      <c r="S55" s="7"/>
      <c r="T55" s="7"/>
      <c r="U55" s="7"/>
      <c r="V55" s="7"/>
      <c r="W55" s="7"/>
      <c r="X55" s="7"/>
      <c r="Y55" s="7"/>
      <c r="Z55" s="7"/>
      <c r="AA55" s="7"/>
      <c r="AB55" s="7"/>
      <c r="AC55" s="7"/>
    </row>
    <row r="56" ht="15.75" hidden="1" customHeight="1">
      <c r="A56" s="8" t="s">
        <v>306</v>
      </c>
      <c r="B56" s="5" t="s">
        <v>14</v>
      </c>
      <c r="C56" s="5" t="s">
        <v>15</v>
      </c>
      <c r="D56" s="5" t="s">
        <v>307</v>
      </c>
      <c r="E56" s="5" t="s">
        <v>309</v>
      </c>
      <c r="F56" s="5" t="s">
        <v>51</v>
      </c>
      <c r="G56" s="5"/>
      <c r="H56" s="5" t="s">
        <v>30</v>
      </c>
      <c r="I56" s="5"/>
      <c r="J56" s="78" t="s">
        <v>133</v>
      </c>
      <c r="K56" s="78"/>
      <c r="L56" s="85"/>
      <c r="M56" s="5"/>
      <c r="N56" s="85"/>
      <c r="O56" s="22"/>
      <c r="P56" s="7" t="str">
        <f t="shared" si="1"/>
        <v>OK</v>
      </c>
      <c r="Q56" s="7"/>
      <c r="R56" s="7"/>
      <c r="S56" s="7"/>
      <c r="T56" s="7"/>
      <c r="U56" s="7"/>
      <c r="V56" s="7"/>
      <c r="W56" s="7"/>
      <c r="X56" s="7"/>
      <c r="Y56" s="7"/>
      <c r="Z56" s="7"/>
      <c r="AA56" s="7"/>
      <c r="AB56" s="7"/>
      <c r="AC56" s="7"/>
    </row>
    <row r="57" ht="15.75" hidden="1" customHeight="1">
      <c r="A57" s="8" t="s">
        <v>311</v>
      </c>
      <c r="B57" s="5" t="s">
        <v>14</v>
      </c>
      <c r="C57" s="5" t="s">
        <v>15</v>
      </c>
      <c r="D57" s="5" t="s">
        <v>312</v>
      </c>
      <c r="E57" s="5" t="s">
        <v>314</v>
      </c>
      <c r="F57" s="5" t="s">
        <v>51</v>
      </c>
      <c r="G57" s="5"/>
      <c r="H57" s="5" t="s">
        <v>23</v>
      </c>
      <c r="I57" s="5"/>
      <c r="J57" s="78" t="s">
        <v>133</v>
      </c>
      <c r="K57" s="74" t="s">
        <v>15</v>
      </c>
      <c r="L57" s="10" t="s">
        <v>51</v>
      </c>
      <c r="M57" s="5" t="s">
        <v>38</v>
      </c>
      <c r="N57" s="10" t="s">
        <v>52</v>
      </c>
      <c r="O57" s="84" t="s">
        <v>39</v>
      </c>
      <c r="P57" s="7" t="str">
        <f t="shared" si="1"/>
        <v>OK</v>
      </c>
      <c r="Q57" s="7"/>
      <c r="R57" s="7"/>
      <c r="S57" s="7"/>
      <c r="T57" s="7"/>
      <c r="U57" s="7"/>
      <c r="V57" s="7"/>
      <c r="W57" s="7"/>
      <c r="X57" s="7"/>
      <c r="Y57" s="7"/>
      <c r="Z57" s="7"/>
      <c r="AA57" s="7"/>
      <c r="AB57" s="7"/>
      <c r="AC57" s="7"/>
    </row>
    <row r="58" ht="15.75" hidden="1" customHeight="1">
      <c r="A58" s="8" t="s">
        <v>316</v>
      </c>
      <c r="B58" s="5" t="s">
        <v>14</v>
      </c>
      <c r="C58" s="5" t="s">
        <v>15</v>
      </c>
      <c r="D58" s="5" t="s">
        <v>317</v>
      </c>
      <c r="E58" s="5" t="s">
        <v>318</v>
      </c>
      <c r="F58" s="5" t="s">
        <v>45</v>
      </c>
      <c r="G58" s="5"/>
      <c r="H58" s="5" t="s">
        <v>39</v>
      </c>
      <c r="I58" s="5"/>
      <c r="J58" s="78" t="s">
        <v>133</v>
      </c>
      <c r="K58" s="78"/>
      <c r="L58" s="85"/>
      <c r="M58" s="5"/>
      <c r="N58" s="85"/>
      <c r="O58" s="22"/>
      <c r="P58" s="7" t="str">
        <f t="shared" si="1"/>
        <v>OK</v>
      </c>
      <c r="Q58" s="7"/>
      <c r="R58" s="7"/>
      <c r="S58" s="7"/>
      <c r="T58" s="7"/>
      <c r="U58" s="7"/>
      <c r="V58" s="7"/>
      <c r="W58" s="7"/>
      <c r="X58" s="7"/>
      <c r="Y58" s="7"/>
      <c r="Z58" s="7"/>
      <c r="AA58" s="7"/>
      <c r="AB58" s="7"/>
      <c r="AC58" s="7"/>
    </row>
    <row r="59" ht="15.75" hidden="1" customHeight="1">
      <c r="A59" s="8" t="s">
        <v>321</v>
      </c>
      <c r="B59" s="5" t="s">
        <v>14</v>
      </c>
      <c r="C59" s="5" t="s">
        <v>15</v>
      </c>
      <c r="D59" s="5" t="s">
        <v>322</v>
      </c>
      <c r="E59" s="5" t="s">
        <v>323</v>
      </c>
      <c r="F59" s="5" t="s">
        <v>29</v>
      </c>
      <c r="G59" s="5"/>
      <c r="H59" s="5" t="s">
        <v>52</v>
      </c>
      <c r="I59" s="5"/>
      <c r="J59" s="78" t="s">
        <v>133</v>
      </c>
      <c r="K59" s="78"/>
      <c r="L59" s="85"/>
      <c r="M59" s="5"/>
      <c r="N59" s="85"/>
      <c r="O59" s="22"/>
      <c r="P59" s="7" t="str">
        <f t="shared" si="1"/>
        <v>OK</v>
      </c>
      <c r="Q59" s="7"/>
      <c r="R59" s="7"/>
      <c r="S59" s="7"/>
      <c r="T59" s="7"/>
      <c r="U59" s="7"/>
      <c r="V59" s="7"/>
      <c r="W59" s="7"/>
      <c r="X59" s="7"/>
      <c r="Y59" s="7"/>
      <c r="Z59" s="7"/>
      <c r="AA59" s="7"/>
      <c r="AB59" s="7"/>
      <c r="AC59" s="7"/>
    </row>
    <row r="60" ht="15.75" hidden="1" customHeight="1">
      <c r="A60" s="8" t="s">
        <v>326</v>
      </c>
      <c r="B60" s="5" t="s">
        <v>14</v>
      </c>
      <c r="C60" s="5" t="s">
        <v>15</v>
      </c>
      <c r="D60" s="5" t="s">
        <v>327</v>
      </c>
      <c r="E60" s="5" t="s">
        <v>328</v>
      </c>
      <c r="F60" s="5" t="s">
        <v>38</v>
      </c>
      <c r="G60" s="5"/>
      <c r="H60" s="5" t="s">
        <v>31</v>
      </c>
      <c r="I60" s="5"/>
      <c r="J60" s="78" t="s">
        <v>133</v>
      </c>
      <c r="K60" s="78"/>
      <c r="L60" s="85"/>
      <c r="M60" s="5"/>
      <c r="N60" s="85"/>
      <c r="O60" s="22"/>
      <c r="P60" s="7" t="str">
        <f t="shared" si="1"/>
        <v>OK</v>
      </c>
      <c r="Q60" s="7"/>
      <c r="R60" s="7"/>
      <c r="S60" s="7"/>
      <c r="T60" s="7"/>
      <c r="U60" s="7"/>
      <c r="V60" s="7"/>
      <c r="W60" s="7"/>
      <c r="X60" s="7"/>
      <c r="Y60" s="7"/>
      <c r="Z60" s="7"/>
      <c r="AA60" s="7"/>
      <c r="AB60" s="7"/>
      <c r="AC60" s="7"/>
    </row>
    <row r="61" ht="15.75" hidden="1" customHeight="1">
      <c r="A61" s="8" t="s">
        <v>331</v>
      </c>
      <c r="B61" s="5" t="s">
        <v>14</v>
      </c>
      <c r="C61" s="5" t="s">
        <v>15</v>
      </c>
      <c r="D61" s="5" t="s">
        <v>332</v>
      </c>
      <c r="E61" s="5" t="s">
        <v>333</v>
      </c>
      <c r="F61" s="5" t="s">
        <v>37</v>
      </c>
      <c r="G61" s="5"/>
      <c r="H61" s="5" t="s">
        <v>30</v>
      </c>
      <c r="I61" s="5"/>
      <c r="J61" s="78" t="s">
        <v>133</v>
      </c>
      <c r="K61" s="78"/>
      <c r="L61" s="85"/>
      <c r="M61" s="5"/>
      <c r="N61" s="85"/>
      <c r="O61" s="22"/>
      <c r="P61" s="7" t="str">
        <f t="shared" si="1"/>
        <v>OK</v>
      </c>
      <c r="Q61" s="7"/>
      <c r="R61" s="7"/>
      <c r="S61" s="7"/>
      <c r="T61" s="7"/>
      <c r="U61" s="7"/>
      <c r="V61" s="7"/>
      <c r="W61" s="7"/>
      <c r="X61" s="7"/>
      <c r="Y61" s="7"/>
      <c r="Z61" s="7"/>
      <c r="AA61" s="7"/>
      <c r="AB61" s="7"/>
      <c r="AC61" s="7"/>
    </row>
    <row r="62" ht="15.75" hidden="1" customHeight="1">
      <c r="A62" s="8" t="s">
        <v>336</v>
      </c>
      <c r="B62" s="5" t="s">
        <v>14</v>
      </c>
      <c r="C62" s="5" t="s">
        <v>15</v>
      </c>
      <c r="D62" s="5" t="s">
        <v>337</v>
      </c>
      <c r="E62" s="5" t="s">
        <v>338</v>
      </c>
      <c r="F62" s="5" t="s">
        <v>20</v>
      </c>
      <c r="G62" s="5"/>
      <c r="H62" s="5" t="s">
        <v>30</v>
      </c>
      <c r="I62" s="5"/>
      <c r="J62" s="78" t="s">
        <v>133</v>
      </c>
      <c r="K62" s="78"/>
      <c r="L62" s="85"/>
      <c r="M62" s="5"/>
      <c r="N62" s="85"/>
      <c r="O62" s="22"/>
      <c r="P62" s="7" t="str">
        <f t="shared" si="1"/>
        <v>OK</v>
      </c>
      <c r="Q62" s="7"/>
      <c r="R62" s="7"/>
      <c r="S62" s="7"/>
      <c r="T62" s="7"/>
      <c r="U62" s="7"/>
      <c r="V62" s="7"/>
      <c r="W62" s="7"/>
      <c r="X62" s="7"/>
      <c r="Y62" s="7"/>
      <c r="Z62" s="7"/>
      <c r="AA62" s="7"/>
      <c r="AB62" s="7"/>
      <c r="AC62" s="7"/>
    </row>
    <row r="63" ht="15.75" hidden="1" customHeight="1">
      <c r="A63" s="8" t="s">
        <v>341</v>
      </c>
      <c r="B63" s="5" t="s">
        <v>14</v>
      </c>
      <c r="C63" s="5" t="s">
        <v>15</v>
      </c>
      <c r="D63" s="5" t="s">
        <v>342</v>
      </c>
      <c r="E63" s="5" t="s">
        <v>343</v>
      </c>
      <c r="F63" s="5" t="s">
        <v>20</v>
      </c>
      <c r="G63" s="5"/>
      <c r="H63" s="5" t="s">
        <v>75</v>
      </c>
      <c r="I63" s="5"/>
      <c r="J63" s="78" t="s">
        <v>133</v>
      </c>
      <c r="K63" s="78"/>
      <c r="L63" s="85"/>
      <c r="M63" s="5"/>
      <c r="N63" s="85"/>
      <c r="O63" s="22"/>
      <c r="P63" s="7" t="str">
        <f t="shared" si="1"/>
        <v>OK</v>
      </c>
      <c r="Q63" s="7"/>
      <c r="R63" s="7"/>
      <c r="S63" s="7"/>
      <c r="T63" s="7"/>
      <c r="U63" s="7"/>
      <c r="V63" s="7"/>
      <c r="W63" s="7"/>
      <c r="X63" s="7"/>
      <c r="Y63" s="7"/>
      <c r="Z63" s="7"/>
      <c r="AA63" s="7"/>
      <c r="AB63" s="7"/>
      <c r="AC63" s="7"/>
    </row>
    <row r="64" ht="15.75" hidden="1" customHeight="1">
      <c r="A64" s="8" t="s">
        <v>346</v>
      </c>
      <c r="B64" s="5" t="s">
        <v>14</v>
      </c>
      <c r="C64" s="5" t="s">
        <v>15</v>
      </c>
      <c r="D64" s="5" t="s">
        <v>347</v>
      </c>
      <c r="E64" s="5" t="s">
        <v>348</v>
      </c>
      <c r="F64" s="5" t="s">
        <v>37</v>
      </c>
      <c r="G64" s="5"/>
      <c r="H64" s="5" t="s">
        <v>22</v>
      </c>
      <c r="I64" s="5"/>
      <c r="J64" s="78" t="s">
        <v>133</v>
      </c>
      <c r="K64" s="78"/>
      <c r="L64" s="85"/>
      <c r="M64" s="5"/>
      <c r="N64" s="85"/>
      <c r="O64" s="22"/>
      <c r="P64" s="7" t="str">
        <f t="shared" si="1"/>
        <v>OK</v>
      </c>
      <c r="Q64" s="7"/>
      <c r="R64" s="7"/>
      <c r="S64" s="7"/>
      <c r="T64" s="7"/>
      <c r="U64" s="7"/>
      <c r="V64" s="7"/>
      <c r="W64" s="7"/>
      <c r="X64" s="7"/>
      <c r="Y64" s="7"/>
      <c r="Z64" s="7"/>
      <c r="AA64" s="7"/>
      <c r="AB64" s="7"/>
      <c r="AC64" s="7"/>
    </row>
    <row r="65" ht="15.75" hidden="1" customHeight="1">
      <c r="A65" s="8" t="s">
        <v>351</v>
      </c>
      <c r="B65" s="5" t="s">
        <v>14</v>
      </c>
      <c r="C65" s="5" t="s">
        <v>15</v>
      </c>
      <c r="D65" s="5" t="s">
        <v>352</v>
      </c>
      <c r="E65" s="5" t="s">
        <v>334</v>
      </c>
      <c r="F65" s="5" t="s">
        <v>37</v>
      </c>
      <c r="G65" s="5"/>
      <c r="H65" s="5" t="s">
        <v>30</v>
      </c>
      <c r="I65" s="5"/>
      <c r="J65" s="78" t="s">
        <v>133</v>
      </c>
      <c r="K65" s="78"/>
      <c r="L65" s="85"/>
      <c r="M65" s="5"/>
      <c r="N65" s="85"/>
      <c r="O65" s="22"/>
      <c r="P65" s="7" t="str">
        <f t="shared" si="1"/>
        <v>OK</v>
      </c>
      <c r="Q65" s="7"/>
      <c r="R65" s="7"/>
      <c r="S65" s="7"/>
      <c r="T65" s="7"/>
      <c r="U65" s="7"/>
      <c r="V65" s="7"/>
      <c r="W65" s="7"/>
      <c r="X65" s="7"/>
      <c r="Y65" s="7"/>
      <c r="Z65" s="7"/>
      <c r="AA65" s="7"/>
      <c r="AB65" s="7"/>
      <c r="AC65" s="7"/>
    </row>
    <row r="66" ht="15.75" hidden="1" customHeight="1">
      <c r="A66" s="8" t="s">
        <v>355</v>
      </c>
      <c r="B66" s="5" t="s">
        <v>14</v>
      </c>
      <c r="C66" s="5" t="s">
        <v>15</v>
      </c>
      <c r="D66" s="5" t="s">
        <v>356</v>
      </c>
      <c r="E66" s="5" t="s">
        <v>359</v>
      </c>
      <c r="F66" s="5" t="s">
        <v>37</v>
      </c>
      <c r="G66" s="5"/>
      <c r="H66" s="5" t="s">
        <v>52</v>
      </c>
      <c r="I66" s="5"/>
      <c r="J66" s="78" t="s">
        <v>133</v>
      </c>
      <c r="K66" s="78"/>
      <c r="L66" s="85"/>
      <c r="M66" s="5"/>
      <c r="N66" s="85"/>
      <c r="O66" s="22"/>
      <c r="P66" s="7" t="str">
        <f t="shared" si="1"/>
        <v>OK</v>
      </c>
      <c r="Q66" s="7"/>
      <c r="R66" s="7"/>
      <c r="S66" s="7"/>
      <c r="T66" s="7"/>
      <c r="U66" s="7"/>
      <c r="V66" s="7"/>
      <c r="W66" s="7"/>
      <c r="X66" s="7"/>
      <c r="Y66" s="7"/>
      <c r="Z66" s="7"/>
      <c r="AA66" s="7"/>
      <c r="AB66" s="7"/>
      <c r="AC66" s="7"/>
    </row>
    <row r="67" ht="15.75" hidden="1" customHeight="1">
      <c r="A67" s="8" t="s">
        <v>360</v>
      </c>
      <c r="B67" s="5" t="s">
        <v>14</v>
      </c>
      <c r="C67" s="5" t="s">
        <v>15</v>
      </c>
      <c r="D67" s="5" t="s">
        <v>361</v>
      </c>
      <c r="E67" s="5" t="s">
        <v>364</v>
      </c>
      <c r="F67" s="5" t="s">
        <v>37</v>
      </c>
      <c r="G67" s="5"/>
      <c r="H67" s="5" t="s">
        <v>39</v>
      </c>
      <c r="I67" s="5"/>
      <c r="J67" s="78" t="s">
        <v>133</v>
      </c>
      <c r="K67" s="78"/>
      <c r="L67" s="85"/>
      <c r="M67" s="5"/>
      <c r="N67" s="85"/>
      <c r="O67" s="22"/>
      <c r="P67" s="7" t="str">
        <f t="shared" si="1"/>
        <v>OK</v>
      </c>
      <c r="Q67" s="7"/>
      <c r="R67" s="7"/>
      <c r="S67" s="7"/>
      <c r="T67" s="7"/>
      <c r="U67" s="7"/>
      <c r="V67" s="7"/>
      <c r="W67" s="7"/>
      <c r="X67" s="7"/>
      <c r="Y67" s="7"/>
      <c r="Z67" s="7"/>
      <c r="AA67" s="7"/>
      <c r="AB67" s="7"/>
      <c r="AC67" s="7"/>
    </row>
    <row r="68" ht="15.75" hidden="1" customHeight="1">
      <c r="A68" s="8" t="s">
        <v>365</v>
      </c>
      <c r="B68" s="5" t="s">
        <v>14</v>
      </c>
      <c r="C68" s="5" t="s">
        <v>15</v>
      </c>
      <c r="D68" s="5" t="s">
        <v>366</v>
      </c>
      <c r="E68" s="5" t="s">
        <v>369</v>
      </c>
      <c r="F68" s="5" t="s">
        <v>51</v>
      </c>
      <c r="G68" s="5"/>
      <c r="H68" s="5" t="s">
        <v>23</v>
      </c>
      <c r="I68" s="5"/>
      <c r="J68" s="78" t="s">
        <v>133</v>
      </c>
      <c r="K68" s="78"/>
      <c r="L68" s="85"/>
      <c r="M68" s="5"/>
      <c r="N68" s="85"/>
      <c r="O68" s="22"/>
      <c r="P68" s="7" t="str">
        <f t="shared" si="1"/>
        <v>OK</v>
      </c>
      <c r="Q68" s="7"/>
      <c r="R68" s="7"/>
      <c r="S68" s="7"/>
      <c r="T68" s="7"/>
      <c r="U68" s="7"/>
      <c r="V68" s="7"/>
      <c r="W68" s="7"/>
      <c r="X68" s="7"/>
      <c r="Y68" s="7"/>
      <c r="Z68" s="7"/>
      <c r="AA68" s="7"/>
      <c r="AB68" s="7"/>
      <c r="AC68" s="7"/>
    </row>
    <row r="69" ht="15.75" hidden="1" customHeight="1">
      <c r="A69" s="8" t="s">
        <v>370</v>
      </c>
      <c r="B69" s="5" t="s">
        <v>14</v>
      </c>
      <c r="C69" s="5" t="s">
        <v>15</v>
      </c>
      <c r="D69" s="5" t="s">
        <v>371</v>
      </c>
      <c r="E69" s="5" t="s">
        <v>374</v>
      </c>
      <c r="F69" s="5" t="s">
        <v>38</v>
      </c>
      <c r="G69" s="5"/>
      <c r="H69" s="5" t="s">
        <v>39</v>
      </c>
      <c r="I69" s="5"/>
      <c r="J69" s="78" t="s">
        <v>133</v>
      </c>
      <c r="K69" s="78"/>
      <c r="L69" s="85"/>
      <c r="M69" s="5"/>
      <c r="N69" s="85"/>
      <c r="O69" s="22"/>
      <c r="P69" s="7" t="str">
        <f t="shared" si="1"/>
        <v>OK</v>
      </c>
      <c r="Q69" s="7"/>
      <c r="R69" s="7"/>
      <c r="S69" s="7"/>
      <c r="T69" s="7"/>
      <c r="U69" s="7"/>
      <c r="V69" s="7"/>
      <c r="W69" s="7"/>
      <c r="X69" s="7"/>
      <c r="Y69" s="7"/>
      <c r="Z69" s="7"/>
      <c r="AA69" s="7"/>
      <c r="AB69" s="7"/>
      <c r="AC69" s="7"/>
    </row>
    <row r="70" ht="15.75" hidden="1" customHeight="1">
      <c r="A70" s="8" t="s">
        <v>375</v>
      </c>
      <c r="B70" s="5" t="s">
        <v>14</v>
      </c>
      <c r="C70" s="5" t="s">
        <v>15</v>
      </c>
      <c r="D70" s="5" t="s">
        <v>376</v>
      </c>
      <c r="E70" s="5" t="s">
        <v>379</v>
      </c>
      <c r="F70" s="5" t="s">
        <v>45</v>
      </c>
      <c r="G70" s="5"/>
      <c r="H70" s="5" t="s">
        <v>39</v>
      </c>
      <c r="I70" s="5"/>
      <c r="J70" s="78" t="s">
        <v>133</v>
      </c>
      <c r="K70" s="78"/>
      <c r="L70" s="85"/>
      <c r="M70" s="5"/>
      <c r="N70" s="85"/>
      <c r="O70" s="22"/>
      <c r="P70" s="7" t="str">
        <f t="shared" si="1"/>
        <v>OK</v>
      </c>
      <c r="Q70" s="7"/>
      <c r="R70" s="7"/>
      <c r="S70" s="7"/>
      <c r="T70" s="7"/>
      <c r="U70" s="7"/>
      <c r="V70" s="7"/>
      <c r="W70" s="7"/>
      <c r="X70" s="7"/>
      <c r="Y70" s="7"/>
      <c r="Z70" s="7"/>
      <c r="AA70" s="7"/>
      <c r="AB70" s="7"/>
      <c r="AC70" s="7"/>
    </row>
    <row r="71" ht="15.75" hidden="1" customHeight="1">
      <c r="A71" s="8" t="s">
        <v>380</v>
      </c>
      <c r="B71" s="5" t="s">
        <v>14</v>
      </c>
      <c r="C71" s="5" t="s">
        <v>15</v>
      </c>
      <c r="D71" s="5" t="s">
        <v>381</v>
      </c>
      <c r="E71" s="5" t="s">
        <v>384</v>
      </c>
      <c r="F71" s="5" t="s">
        <v>20</v>
      </c>
      <c r="G71" s="5"/>
      <c r="H71" s="5" t="s">
        <v>23</v>
      </c>
      <c r="I71" s="5"/>
      <c r="J71" s="78" t="s">
        <v>133</v>
      </c>
      <c r="K71" s="78"/>
      <c r="L71" s="85"/>
      <c r="M71" s="5"/>
      <c r="N71" s="85"/>
      <c r="O71" s="22"/>
      <c r="P71" s="7" t="str">
        <f t="shared" si="1"/>
        <v>OK</v>
      </c>
      <c r="Q71" s="7"/>
      <c r="R71" s="7"/>
      <c r="S71" s="7"/>
      <c r="T71" s="7"/>
      <c r="U71" s="7"/>
      <c r="V71" s="7"/>
      <c r="W71" s="7"/>
      <c r="X71" s="7"/>
      <c r="Y71" s="7"/>
      <c r="Z71" s="7"/>
      <c r="AA71" s="7"/>
      <c r="AB71" s="7"/>
      <c r="AC71" s="7"/>
    </row>
    <row r="72" ht="15.75" hidden="1" customHeight="1">
      <c r="A72" s="8" t="s">
        <v>385</v>
      </c>
      <c r="B72" s="5" t="s">
        <v>14</v>
      </c>
      <c r="C72" s="5" t="s">
        <v>15</v>
      </c>
      <c r="D72" s="5" t="s">
        <v>386</v>
      </c>
      <c r="E72" s="5" t="s">
        <v>389</v>
      </c>
      <c r="F72" s="5" t="s">
        <v>51</v>
      </c>
      <c r="G72" s="5"/>
      <c r="H72" s="5" t="s">
        <v>39</v>
      </c>
      <c r="I72" s="5"/>
      <c r="J72" s="78" t="s">
        <v>133</v>
      </c>
      <c r="K72" s="78"/>
      <c r="L72" s="85"/>
      <c r="M72" s="5"/>
      <c r="N72" s="85"/>
      <c r="O72" s="22"/>
      <c r="P72" s="7" t="str">
        <f t="shared" si="1"/>
        <v>OK</v>
      </c>
      <c r="Q72" s="7"/>
      <c r="R72" s="7"/>
      <c r="S72" s="7"/>
      <c r="T72" s="7"/>
      <c r="U72" s="7"/>
      <c r="V72" s="7"/>
      <c r="W72" s="7"/>
      <c r="X72" s="7"/>
      <c r="Y72" s="7"/>
      <c r="Z72" s="7"/>
      <c r="AA72" s="7"/>
      <c r="AB72" s="7"/>
      <c r="AC72" s="7"/>
    </row>
    <row r="73" ht="15.75" hidden="1" customHeight="1">
      <c r="A73" s="87"/>
      <c r="B73" s="5" t="s">
        <v>14</v>
      </c>
      <c r="C73" s="5" t="s">
        <v>15</v>
      </c>
      <c r="D73" s="5" t="s">
        <v>391</v>
      </c>
      <c r="E73" s="5" t="s">
        <v>394</v>
      </c>
      <c r="F73" s="5" t="s">
        <v>20</v>
      </c>
      <c r="G73" s="5"/>
      <c r="H73" s="5" t="s">
        <v>30</v>
      </c>
      <c r="I73" s="5"/>
      <c r="J73" s="78" t="s">
        <v>133</v>
      </c>
      <c r="K73" s="78"/>
      <c r="L73" s="85"/>
      <c r="M73" s="5"/>
      <c r="N73" s="85"/>
      <c r="O73" s="22"/>
      <c r="P73" s="7" t="str">
        <f t="shared" si="1"/>
        <v>OK</v>
      </c>
      <c r="Q73" s="7"/>
      <c r="R73" s="7"/>
      <c r="S73" s="7"/>
      <c r="T73" s="7"/>
      <c r="U73" s="7"/>
      <c r="V73" s="7"/>
      <c r="W73" s="7"/>
      <c r="X73" s="7"/>
      <c r="Y73" s="7"/>
      <c r="Z73" s="7"/>
      <c r="AA73" s="7"/>
      <c r="AB73" s="7"/>
      <c r="AC73" s="7"/>
    </row>
    <row r="74" ht="15.75" hidden="1" customHeight="1">
      <c r="A74" s="10" t="s">
        <v>395</v>
      </c>
      <c r="B74" s="5" t="s">
        <v>14</v>
      </c>
      <c r="C74" s="5" t="s">
        <v>15</v>
      </c>
      <c r="D74" s="5" t="s">
        <v>396</v>
      </c>
      <c r="E74" s="5" t="s">
        <v>399</v>
      </c>
      <c r="F74" s="5" t="s">
        <v>37</v>
      </c>
      <c r="G74" s="5"/>
      <c r="H74" s="5" t="s">
        <v>31</v>
      </c>
      <c r="I74" s="5"/>
      <c r="J74" s="78" t="s">
        <v>133</v>
      </c>
      <c r="K74" s="78"/>
      <c r="L74" s="85"/>
      <c r="M74" s="5"/>
      <c r="N74" s="85"/>
      <c r="O74" s="22"/>
      <c r="P74" s="7" t="str">
        <f t="shared" si="1"/>
        <v>OK</v>
      </c>
      <c r="Q74" s="7"/>
      <c r="R74" s="7"/>
      <c r="S74" s="7"/>
      <c r="T74" s="7"/>
      <c r="U74" s="7"/>
      <c r="V74" s="7"/>
      <c r="W74" s="7"/>
      <c r="X74" s="7"/>
      <c r="Y74" s="7"/>
      <c r="Z74" s="7"/>
      <c r="AA74" s="7"/>
      <c r="AB74" s="7"/>
      <c r="AC74" s="7"/>
    </row>
    <row r="75" ht="15.75" hidden="1" customHeight="1">
      <c r="A75" s="8" t="s">
        <v>400</v>
      </c>
      <c r="B75" s="5" t="s">
        <v>14</v>
      </c>
      <c r="C75" s="5" t="s">
        <v>15</v>
      </c>
      <c r="D75" s="5" t="s">
        <v>401</v>
      </c>
      <c r="E75" s="5" t="s">
        <v>404</v>
      </c>
      <c r="F75" s="5" t="s">
        <v>74</v>
      </c>
      <c r="G75" s="5"/>
      <c r="H75" s="5" t="s">
        <v>68</v>
      </c>
      <c r="I75" s="5"/>
      <c r="J75" s="78" t="s">
        <v>133</v>
      </c>
      <c r="K75" s="78"/>
      <c r="L75" s="85"/>
      <c r="M75" s="5"/>
      <c r="N75" s="85"/>
      <c r="O75" s="22"/>
      <c r="P75" s="7" t="str">
        <f t="shared" si="1"/>
        <v>OK</v>
      </c>
      <c r="Q75" s="7"/>
      <c r="R75" s="7"/>
      <c r="S75" s="7"/>
      <c r="T75" s="7"/>
      <c r="U75" s="7"/>
      <c r="V75" s="7"/>
      <c r="W75" s="7"/>
      <c r="X75" s="7"/>
      <c r="Y75" s="7"/>
      <c r="Z75" s="7"/>
      <c r="AA75" s="7"/>
      <c r="AB75" s="7"/>
      <c r="AC75" s="7"/>
    </row>
    <row r="76" ht="15.75" hidden="1" customHeight="1">
      <c r="A76" s="8" t="s">
        <v>405</v>
      </c>
      <c r="B76" s="5" t="s">
        <v>14</v>
      </c>
      <c r="C76" s="5" t="s">
        <v>15</v>
      </c>
      <c r="D76" s="5" t="s">
        <v>406</v>
      </c>
      <c r="E76" s="5" t="s">
        <v>409</v>
      </c>
      <c r="F76" s="5" t="s">
        <v>37</v>
      </c>
      <c r="G76" s="5"/>
      <c r="H76" s="5" t="s">
        <v>23</v>
      </c>
      <c r="I76" s="5"/>
      <c r="J76" s="78" t="s">
        <v>133</v>
      </c>
      <c r="K76" s="78"/>
      <c r="L76" s="85"/>
      <c r="M76" s="5"/>
      <c r="N76" s="85"/>
      <c r="O76" s="22"/>
      <c r="P76" s="7" t="str">
        <f t="shared" si="1"/>
        <v>OK</v>
      </c>
      <c r="Q76" s="7"/>
      <c r="R76" s="7"/>
      <c r="S76" s="7"/>
      <c r="T76" s="7"/>
      <c r="U76" s="7"/>
      <c r="V76" s="7"/>
      <c r="W76" s="7"/>
      <c r="X76" s="7"/>
      <c r="Y76" s="7"/>
      <c r="Z76" s="7"/>
      <c r="AA76" s="7"/>
      <c r="AB76" s="7"/>
      <c r="AC76" s="7"/>
    </row>
    <row r="77" ht="15.75" hidden="1" customHeight="1">
      <c r="A77" s="8" t="s">
        <v>410</v>
      </c>
      <c r="B77" s="5" t="s">
        <v>14</v>
      </c>
      <c r="C77" s="5" t="s">
        <v>15</v>
      </c>
      <c r="D77" s="5" t="s">
        <v>411</v>
      </c>
      <c r="E77" s="5" t="s">
        <v>414</v>
      </c>
      <c r="F77" s="5" t="s">
        <v>38</v>
      </c>
      <c r="G77" s="5"/>
      <c r="H77" s="5" t="s">
        <v>23</v>
      </c>
      <c r="I77" s="5"/>
      <c r="J77" s="78" t="s">
        <v>133</v>
      </c>
      <c r="K77" s="74" t="s">
        <v>15</v>
      </c>
      <c r="L77" s="10" t="s">
        <v>38</v>
      </c>
      <c r="M77" s="5" t="s">
        <v>51</v>
      </c>
      <c r="N77" s="10" t="s">
        <v>23</v>
      </c>
      <c r="O77" s="84" t="s">
        <v>39</v>
      </c>
      <c r="P77" s="7" t="str">
        <f t="shared" si="1"/>
        <v>OK</v>
      </c>
      <c r="Q77" s="7"/>
      <c r="R77" s="7"/>
      <c r="S77" s="7"/>
      <c r="T77" s="7"/>
      <c r="U77" s="7"/>
      <c r="V77" s="7"/>
      <c r="W77" s="7"/>
      <c r="X77" s="7"/>
      <c r="Y77" s="7"/>
      <c r="Z77" s="7"/>
      <c r="AA77" s="7"/>
      <c r="AB77" s="7"/>
      <c r="AC77" s="7"/>
    </row>
    <row r="78" ht="15.75" hidden="1" customHeight="1">
      <c r="A78" s="8" t="s">
        <v>415</v>
      </c>
      <c r="B78" s="5" t="s">
        <v>14</v>
      </c>
      <c r="C78" s="5" t="s">
        <v>15</v>
      </c>
      <c r="D78" s="5" t="s">
        <v>416</v>
      </c>
      <c r="E78" s="5" t="s">
        <v>419</v>
      </c>
      <c r="F78" s="5" t="s">
        <v>37</v>
      </c>
      <c r="G78" s="5"/>
      <c r="H78" s="5" t="s">
        <v>22</v>
      </c>
      <c r="I78" s="5"/>
      <c r="J78" s="78" t="s">
        <v>133</v>
      </c>
      <c r="K78" s="78"/>
      <c r="L78" s="85"/>
      <c r="M78" s="5"/>
      <c r="N78" s="85"/>
      <c r="O78" s="22"/>
      <c r="P78" s="7" t="str">
        <f t="shared" si="1"/>
        <v>OK</v>
      </c>
      <c r="Q78" s="7"/>
      <c r="R78" s="7"/>
      <c r="S78" s="7"/>
      <c r="T78" s="7"/>
      <c r="U78" s="7"/>
      <c r="V78" s="7"/>
      <c r="W78" s="7"/>
      <c r="X78" s="7"/>
      <c r="Y78" s="7"/>
      <c r="Z78" s="7"/>
      <c r="AA78" s="7"/>
      <c r="AB78" s="7"/>
      <c r="AC78" s="7"/>
    </row>
    <row r="79" ht="15.75" hidden="1" customHeight="1">
      <c r="A79" s="8" t="s">
        <v>420</v>
      </c>
      <c r="B79" s="5" t="s">
        <v>14</v>
      </c>
      <c r="C79" s="5" t="s">
        <v>15</v>
      </c>
      <c r="D79" s="5" t="s">
        <v>421</v>
      </c>
      <c r="E79" s="5" t="s">
        <v>424</v>
      </c>
      <c r="F79" s="5" t="s">
        <v>51</v>
      </c>
      <c r="G79" s="5"/>
      <c r="H79" s="5" t="s">
        <v>23</v>
      </c>
      <c r="I79" s="5"/>
      <c r="J79" s="78" t="s">
        <v>133</v>
      </c>
      <c r="K79" s="74" t="s">
        <v>15</v>
      </c>
      <c r="L79" s="10" t="s">
        <v>51</v>
      </c>
      <c r="M79" s="5" t="s">
        <v>21</v>
      </c>
      <c r="N79" s="10" t="s">
        <v>39</v>
      </c>
      <c r="O79" s="84" t="s">
        <v>23</v>
      </c>
      <c r="P79" s="7" t="str">
        <f t="shared" si="1"/>
        <v>OK</v>
      </c>
      <c r="Q79" s="7"/>
      <c r="R79" s="7"/>
      <c r="S79" s="7"/>
      <c r="T79" s="7"/>
      <c r="U79" s="7"/>
      <c r="V79" s="7"/>
      <c r="W79" s="7"/>
      <c r="X79" s="7"/>
      <c r="Y79" s="7"/>
      <c r="Z79" s="7"/>
      <c r="AA79" s="7"/>
      <c r="AB79" s="7"/>
      <c r="AC79" s="7"/>
    </row>
    <row r="80" ht="15.75" hidden="1" customHeight="1">
      <c r="A80" s="8" t="s">
        <v>425</v>
      </c>
      <c r="B80" s="5" t="s">
        <v>14</v>
      </c>
      <c r="C80" s="5" t="s">
        <v>15</v>
      </c>
      <c r="D80" s="5" t="s">
        <v>426</v>
      </c>
      <c r="E80" s="5" t="s">
        <v>429</v>
      </c>
      <c r="F80" s="5" t="s">
        <v>37</v>
      </c>
      <c r="G80" s="5"/>
      <c r="H80" s="5" t="s">
        <v>68</v>
      </c>
      <c r="I80" s="5"/>
      <c r="J80" s="78" t="s">
        <v>133</v>
      </c>
      <c r="K80" s="78"/>
      <c r="L80" s="85"/>
      <c r="M80" s="5"/>
      <c r="N80" s="85"/>
      <c r="O80" s="22"/>
      <c r="P80" s="7" t="str">
        <f t="shared" si="1"/>
        <v>OK</v>
      </c>
      <c r="Q80" s="7"/>
      <c r="R80" s="7"/>
      <c r="S80" s="7"/>
      <c r="T80" s="7"/>
      <c r="U80" s="7"/>
      <c r="V80" s="7"/>
      <c r="W80" s="7"/>
      <c r="X80" s="7"/>
      <c r="Y80" s="7"/>
      <c r="Z80" s="7"/>
      <c r="AA80" s="7"/>
      <c r="AB80" s="7"/>
      <c r="AC80" s="7"/>
    </row>
    <row r="81" ht="15.75" hidden="1" customHeight="1">
      <c r="A81" s="8" t="s">
        <v>430</v>
      </c>
      <c r="B81" s="5" t="s">
        <v>14</v>
      </c>
      <c r="C81" s="5" t="s">
        <v>15</v>
      </c>
      <c r="D81" s="5" t="s">
        <v>431</v>
      </c>
      <c r="E81" s="5" t="s">
        <v>434</v>
      </c>
      <c r="F81" s="5" t="s">
        <v>45</v>
      </c>
      <c r="G81" s="5"/>
      <c r="H81" s="5" t="s">
        <v>52</v>
      </c>
      <c r="I81" s="5"/>
      <c r="J81" s="78" t="s">
        <v>133</v>
      </c>
      <c r="K81" s="78"/>
      <c r="L81" s="85"/>
      <c r="M81" s="5"/>
      <c r="N81" s="85"/>
      <c r="O81" s="22"/>
      <c r="P81" s="7" t="str">
        <f t="shared" si="1"/>
        <v>OK</v>
      </c>
      <c r="Q81" s="7"/>
      <c r="R81" s="7"/>
      <c r="S81" s="7"/>
      <c r="T81" s="7"/>
      <c r="U81" s="7"/>
      <c r="V81" s="7"/>
      <c r="W81" s="7"/>
      <c r="X81" s="7"/>
      <c r="Y81" s="7"/>
      <c r="Z81" s="7"/>
      <c r="AA81" s="7"/>
      <c r="AB81" s="7"/>
      <c r="AC81" s="7"/>
    </row>
    <row r="82" ht="15.75" hidden="1" customHeight="1">
      <c r="A82" s="8" t="s">
        <v>435</v>
      </c>
      <c r="B82" s="5" t="s">
        <v>14</v>
      </c>
      <c r="C82" s="5" t="s">
        <v>15</v>
      </c>
      <c r="D82" s="5" t="s">
        <v>436</v>
      </c>
      <c r="E82" s="5" t="s">
        <v>439</v>
      </c>
      <c r="F82" s="5" t="s">
        <v>21</v>
      </c>
      <c r="G82" s="5"/>
      <c r="H82" s="5" t="s">
        <v>22</v>
      </c>
      <c r="I82" s="5"/>
      <c r="J82" s="78" t="s">
        <v>133</v>
      </c>
      <c r="K82" s="78"/>
      <c r="L82" s="85"/>
      <c r="M82" s="5"/>
      <c r="N82" s="85"/>
      <c r="O82" s="86"/>
      <c r="P82" s="7" t="str">
        <f t="shared" si="1"/>
        <v>OK</v>
      </c>
      <c r="Q82" s="7"/>
      <c r="R82" s="7"/>
      <c r="S82" s="7"/>
      <c r="T82" s="7"/>
      <c r="U82" s="7"/>
      <c r="V82" s="7"/>
      <c r="W82" s="7"/>
      <c r="X82" s="7"/>
      <c r="Y82" s="7"/>
      <c r="Z82" s="7"/>
      <c r="AA82" s="7"/>
      <c r="AB82" s="7"/>
      <c r="AC82" s="7"/>
    </row>
    <row r="83" ht="15.75" hidden="1" customHeight="1">
      <c r="A83" s="8" t="s">
        <v>440</v>
      </c>
      <c r="B83" s="5" t="s">
        <v>14</v>
      </c>
      <c r="C83" s="5" t="s">
        <v>15</v>
      </c>
      <c r="D83" s="5" t="s">
        <v>441</v>
      </c>
      <c r="E83" s="5" t="s">
        <v>444</v>
      </c>
      <c r="F83" s="5" t="s">
        <v>51</v>
      </c>
      <c r="G83" s="5"/>
      <c r="H83" s="5" t="s">
        <v>39</v>
      </c>
      <c r="I83" s="5"/>
      <c r="J83" s="78" t="s">
        <v>133</v>
      </c>
      <c r="K83" s="78"/>
      <c r="L83" s="85"/>
      <c r="M83" s="5"/>
      <c r="N83" s="85"/>
      <c r="O83" s="22"/>
      <c r="P83" s="7" t="str">
        <f t="shared" si="1"/>
        <v>OK</v>
      </c>
      <c r="Q83" s="7"/>
      <c r="R83" s="7"/>
      <c r="S83" s="7"/>
      <c r="T83" s="7"/>
      <c r="U83" s="7"/>
      <c r="V83" s="7"/>
      <c r="W83" s="7"/>
      <c r="X83" s="7"/>
      <c r="Y83" s="7"/>
      <c r="Z83" s="7"/>
      <c r="AA83" s="7"/>
      <c r="AB83" s="7"/>
      <c r="AC83" s="7"/>
    </row>
    <row r="84" ht="15.75" hidden="1" customHeight="1">
      <c r="A84" s="8" t="s">
        <v>445</v>
      </c>
      <c r="B84" s="5" t="s">
        <v>14</v>
      </c>
      <c r="C84" s="5" t="s">
        <v>15</v>
      </c>
      <c r="D84" s="5" t="s">
        <v>446</v>
      </c>
      <c r="E84" s="5" t="s">
        <v>449</v>
      </c>
      <c r="F84" s="5" t="s">
        <v>29</v>
      </c>
      <c r="G84" s="5"/>
      <c r="H84" s="5" t="s">
        <v>31</v>
      </c>
      <c r="I84" s="5"/>
      <c r="J84" s="78" t="s">
        <v>133</v>
      </c>
      <c r="K84" s="78"/>
      <c r="L84" s="85"/>
      <c r="M84" s="5"/>
      <c r="N84" s="85"/>
      <c r="O84" s="22"/>
      <c r="P84" s="7" t="str">
        <f t="shared" si="1"/>
        <v>OK</v>
      </c>
      <c r="Q84" s="7"/>
      <c r="R84" s="7"/>
      <c r="S84" s="7"/>
      <c r="T84" s="7"/>
      <c r="U84" s="7"/>
      <c r="V84" s="7"/>
      <c r="W84" s="7"/>
      <c r="X84" s="7"/>
      <c r="Y84" s="7"/>
      <c r="Z84" s="7"/>
      <c r="AA84" s="7"/>
      <c r="AB84" s="7"/>
      <c r="AC84" s="7"/>
    </row>
    <row r="85" ht="15.75" hidden="1" customHeight="1">
      <c r="A85" s="8" t="s">
        <v>450</v>
      </c>
      <c r="B85" s="5" t="s">
        <v>14</v>
      </c>
      <c r="C85" s="5" t="s">
        <v>15</v>
      </c>
      <c r="D85" s="5" t="s">
        <v>451</v>
      </c>
      <c r="E85" s="5" t="s">
        <v>454</v>
      </c>
      <c r="F85" s="5" t="s">
        <v>51</v>
      </c>
      <c r="G85" s="5"/>
      <c r="H85" s="5" t="s">
        <v>75</v>
      </c>
      <c r="I85" s="5"/>
      <c r="J85" s="78" t="s">
        <v>133</v>
      </c>
      <c r="K85" s="78"/>
      <c r="L85" s="85"/>
      <c r="M85" s="5"/>
      <c r="N85" s="85"/>
      <c r="O85" s="22"/>
      <c r="P85" s="7" t="str">
        <f t="shared" si="1"/>
        <v>OK</v>
      </c>
      <c r="Q85" s="7"/>
      <c r="R85" s="7"/>
      <c r="S85" s="7"/>
      <c r="T85" s="7"/>
      <c r="U85" s="7"/>
      <c r="V85" s="7"/>
      <c r="W85" s="7"/>
      <c r="X85" s="7"/>
      <c r="Y85" s="7"/>
      <c r="Z85" s="7"/>
      <c r="AA85" s="7"/>
      <c r="AB85" s="7"/>
      <c r="AC85" s="7"/>
    </row>
    <row r="86" ht="15.75" hidden="1" customHeight="1">
      <c r="A86" s="8" t="s">
        <v>455</v>
      </c>
      <c r="B86" s="5" t="s">
        <v>14</v>
      </c>
      <c r="C86" s="5" t="s">
        <v>15</v>
      </c>
      <c r="D86" s="5" t="s">
        <v>456</v>
      </c>
      <c r="E86" s="5" t="s">
        <v>457</v>
      </c>
      <c r="F86" s="5" t="s">
        <v>38</v>
      </c>
      <c r="G86" s="5"/>
      <c r="H86" s="5" t="s">
        <v>31</v>
      </c>
      <c r="I86" s="5"/>
      <c r="J86" s="78" t="s">
        <v>133</v>
      </c>
      <c r="K86" s="78"/>
      <c r="L86" s="85"/>
      <c r="M86" s="5"/>
      <c r="N86" s="85"/>
      <c r="O86" s="22"/>
      <c r="P86" s="7" t="str">
        <f t="shared" si="1"/>
        <v>OK</v>
      </c>
      <c r="Q86" s="7"/>
      <c r="R86" s="7"/>
      <c r="S86" s="7"/>
      <c r="T86" s="7"/>
      <c r="U86" s="7"/>
      <c r="V86" s="7"/>
      <c r="W86" s="7"/>
      <c r="X86" s="7"/>
      <c r="Y86" s="7"/>
      <c r="Z86" s="7"/>
      <c r="AA86" s="7"/>
      <c r="AB86" s="7"/>
      <c r="AC86" s="7"/>
    </row>
    <row r="87" ht="15.75" hidden="1" customHeight="1">
      <c r="A87" s="8" t="s">
        <v>460</v>
      </c>
      <c r="B87" s="5" t="s">
        <v>14</v>
      </c>
      <c r="C87" s="5" t="s">
        <v>15</v>
      </c>
      <c r="D87" s="5" t="s">
        <v>461</v>
      </c>
      <c r="E87" s="5" t="s">
        <v>464</v>
      </c>
      <c r="F87" s="5" t="s">
        <v>38</v>
      </c>
      <c r="G87" s="5"/>
      <c r="H87" s="5" t="s">
        <v>75</v>
      </c>
      <c r="I87" s="5"/>
      <c r="J87" s="78" t="s">
        <v>133</v>
      </c>
      <c r="K87" s="78"/>
      <c r="L87" s="85"/>
      <c r="M87" s="5"/>
      <c r="N87" s="85"/>
      <c r="O87" s="22"/>
      <c r="P87" s="7" t="str">
        <f t="shared" si="1"/>
        <v>OK</v>
      </c>
      <c r="Q87" s="7"/>
      <c r="R87" s="7"/>
      <c r="S87" s="7"/>
      <c r="T87" s="7"/>
      <c r="U87" s="7"/>
      <c r="V87" s="7"/>
      <c r="W87" s="7"/>
      <c r="X87" s="7"/>
      <c r="Y87" s="7"/>
      <c r="Z87" s="7"/>
      <c r="AA87" s="7"/>
      <c r="AB87" s="7"/>
      <c r="AC87" s="7"/>
    </row>
    <row r="88" ht="15.75" hidden="1" customHeight="1">
      <c r="A88" s="8" t="s">
        <v>465</v>
      </c>
      <c r="B88" s="5" t="s">
        <v>14</v>
      </c>
      <c r="C88" s="5" t="s">
        <v>15</v>
      </c>
      <c r="D88" s="5" t="s">
        <v>466</v>
      </c>
      <c r="E88" s="5" t="s">
        <v>469</v>
      </c>
      <c r="F88" s="5" t="s">
        <v>74</v>
      </c>
      <c r="G88" s="5"/>
      <c r="H88" s="5" t="s">
        <v>68</v>
      </c>
      <c r="I88" s="5"/>
      <c r="J88" s="78" t="s">
        <v>133</v>
      </c>
      <c r="K88" s="78"/>
      <c r="L88" s="85"/>
      <c r="M88" s="5"/>
      <c r="N88" s="85"/>
      <c r="O88" s="22"/>
      <c r="P88" s="7" t="str">
        <f t="shared" si="1"/>
        <v>OK</v>
      </c>
      <c r="Q88" s="7"/>
      <c r="R88" s="7"/>
      <c r="S88" s="7"/>
      <c r="T88" s="7"/>
      <c r="U88" s="7"/>
      <c r="V88" s="7"/>
      <c r="W88" s="7"/>
      <c r="X88" s="7"/>
      <c r="Y88" s="7"/>
      <c r="Z88" s="7"/>
      <c r="AA88" s="7"/>
      <c r="AB88" s="7"/>
      <c r="AC88" s="7"/>
    </row>
    <row r="89" ht="15.75" hidden="1" customHeight="1">
      <c r="A89" s="8" t="s">
        <v>470</v>
      </c>
      <c r="B89" s="5" t="s">
        <v>14</v>
      </c>
      <c r="C89" s="5" t="s">
        <v>15</v>
      </c>
      <c r="D89" s="5" t="s">
        <v>471</v>
      </c>
      <c r="E89" s="5" t="s">
        <v>474</v>
      </c>
      <c r="F89" s="5" t="s">
        <v>51</v>
      </c>
      <c r="G89" s="5"/>
      <c r="H89" s="5" t="s">
        <v>52</v>
      </c>
      <c r="I89" s="5"/>
      <c r="J89" s="78" t="s">
        <v>133</v>
      </c>
      <c r="K89" s="78"/>
      <c r="L89" s="85"/>
      <c r="M89" s="5"/>
      <c r="N89" s="85"/>
      <c r="O89" s="22"/>
      <c r="P89" s="7" t="str">
        <f t="shared" si="1"/>
        <v>OK</v>
      </c>
      <c r="Q89" s="7"/>
      <c r="R89" s="7"/>
      <c r="S89" s="7"/>
      <c r="T89" s="7"/>
      <c r="U89" s="7"/>
      <c r="V89" s="7"/>
      <c r="W89" s="7"/>
      <c r="X89" s="7"/>
      <c r="Y89" s="7"/>
      <c r="Z89" s="7"/>
      <c r="AA89" s="7"/>
      <c r="AB89" s="7"/>
      <c r="AC89" s="7"/>
    </row>
    <row r="90" ht="15.75" hidden="1" customHeight="1">
      <c r="A90" s="8" t="s">
        <v>475</v>
      </c>
      <c r="B90" s="5" t="s">
        <v>14</v>
      </c>
      <c r="C90" s="5" t="s">
        <v>15</v>
      </c>
      <c r="D90" s="5" t="s">
        <v>476</v>
      </c>
      <c r="E90" s="5" t="s">
        <v>479</v>
      </c>
      <c r="F90" s="5" t="s">
        <v>38</v>
      </c>
      <c r="G90" s="5"/>
      <c r="H90" s="5" t="s">
        <v>39</v>
      </c>
      <c r="I90" s="5"/>
      <c r="J90" s="78" t="s">
        <v>133</v>
      </c>
      <c r="K90" s="78"/>
      <c r="L90" s="85"/>
      <c r="M90" s="5"/>
      <c r="N90" s="85"/>
      <c r="O90" s="22"/>
      <c r="P90" s="7" t="str">
        <f t="shared" si="1"/>
        <v>OK</v>
      </c>
      <c r="Q90" s="7"/>
      <c r="R90" s="7"/>
      <c r="S90" s="7"/>
      <c r="T90" s="7"/>
      <c r="U90" s="7"/>
      <c r="V90" s="7"/>
      <c r="W90" s="7"/>
      <c r="X90" s="7"/>
      <c r="Y90" s="7"/>
      <c r="Z90" s="7"/>
      <c r="AA90" s="7"/>
      <c r="AB90" s="7"/>
      <c r="AC90" s="7"/>
    </row>
    <row r="91" ht="15.75" hidden="1" customHeight="1">
      <c r="A91" s="8" t="s">
        <v>480</v>
      </c>
      <c r="B91" s="5" t="s">
        <v>14</v>
      </c>
      <c r="C91" s="5" t="s">
        <v>15</v>
      </c>
      <c r="D91" s="5" t="s">
        <v>481</v>
      </c>
      <c r="E91" s="5" t="s">
        <v>484</v>
      </c>
      <c r="F91" s="5" t="s">
        <v>51</v>
      </c>
      <c r="G91" s="5"/>
      <c r="H91" s="5" t="s">
        <v>31</v>
      </c>
      <c r="I91" s="5"/>
      <c r="J91" s="78" t="s">
        <v>133</v>
      </c>
      <c r="K91" s="78"/>
      <c r="L91" s="85"/>
      <c r="M91" s="5"/>
      <c r="N91" s="85"/>
      <c r="O91" s="22"/>
      <c r="P91" s="7" t="str">
        <f t="shared" si="1"/>
        <v>OK</v>
      </c>
      <c r="Q91" s="7"/>
      <c r="R91" s="7"/>
      <c r="S91" s="7"/>
      <c r="T91" s="7"/>
      <c r="U91" s="7"/>
      <c r="V91" s="7"/>
      <c r="W91" s="7"/>
      <c r="X91" s="7"/>
      <c r="Y91" s="7"/>
      <c r="Z91" s="7"/>
      <c r="AA91" s="7"/>
      <c r="AB91" s="7"/>
      <c r="AC91" s="7"/>
    </row>
    <row r="92" ht="15.75" hidden="1" customHeight="1">
      <c r="A92" s="8" t="s">
        <v>485</v>
      </c>
      <c r="B92" s="5" t="s">
        <v>14</v>
      </c>
      <c r="C92" s="5" t="s">
        <v>15</v>
      </c>
      <c r="D92" s="5" t="s">
        <v>486</v>
      </c>
      <c r="E92" s="5" t="s">
        <v>489</v>
      </c>
      <c r="F92" s="5" t="s">
        <v>51</v>
      </c>
      <c r="G92" s="5"/>
      <c r="H92" s="5" t="s">
        <v>30</v>
      </c>
      <c r="I92" s="5"/>
      <c r="J92" s="78" t="s">
        <v>133</v>
      </c>
      <c r="K92" s="78"/>
      <c r="L92" s="85"/>
      <c r="M92" s="5"/>
      <c r="N92" s="85"/>
      <c r="O92" s="22"/>
      <c r="P92" s="7" t="str">
        <f t="shared" si="1"/>
        <v>OK</v>
      </c>
      <c r="Q92" s="7"/>
      <c r="R92" s="7"/>
      <c r="S92" s="7"/>
      <c r="T92" s="7"/>
      <c r="U92" s="7"/>
      <c r="V92" s="7"/>
      <c r="W92" s="7"/>
      <c r="X92" s="7"/>
      <c r="Y92" s="7"/>
      <c r="Z92" s="7"/>
      <c r="AA92" s="7"/>
      <c r="AB92" s="7"/>
      <c r="AC92" s="7"/>
    </row>
    <row r="93" ht="15.75" hidden="1" customHeight="1">
      <c r="A93" s="8" t="s">
        <v>490</v>
      </c>
      <c r="B93" s="5" t="s">
        <v>14</v>
      </c>
      <c r="C93" s="5" t="s">
        <v>15</v>
      </c>
      <c r="D93" s="5" t="s">
        <v>491</v>
      </c>
      <c r="E93" s="5" t="s">
        <v>494</v>
      </c>
      <c r="F93" s="5" t="s">
        <v>38</v>
      </c>
      <c r="G93" s="5"/>
      <c r="H93" s="5" t="s">
        <v>31</v>
      </c>
      <c r="I93" s="5"/>
      <c r="J93" s="78" t="s">
        <v>133</v>
      </c>
      <c r="K93" s="78"/>
      <c r="L93" s="85"/>
      <c r="M93" s="5"/>
      <c r="N93" s="85"/>
      <c r="O93" s="22"/>
      <c r="P93" s="7" t="str">
        <f t="shared" si="1"/>
        <v>OK</v>
      </c>
      <c r="Q93" s="7"/>
      <c r="R93" s="7"/>
      <c r="S93" s="7"/>
      <c r="T93" s="7"/>
      <c r="U93" s="7"/>
      <c r="V93" s="7"/>
      <c r="W93" s="7"/>
      <c r="X93" s="7"/>
      <c r="Y93" s="7"/>
      <c r="Z93" s="7"/>
      <c r="AA93" s="7"/>
      <c r="AB93" s="7"/>
      <c r="AC93" s="7"/>
    </row>
    <row r="94" hidden="1">
      <c r="A94" s="10" t="s">
        <v>495</v>
      </c>
      <c r="B94" s="5" t="s">
        <v>14</v>
      </c>
      <c r="C94" s="5" t="s">
        <v>15</v>
      </c>
      <c r="D94" s="6" t="s">
        <v>496</v>
      </c>
      <c r="E94" s="5" t="s">
        <v>497</v>
      </c>
      <c r="F94" s="5" t="s">
        <v>37</v>
      </c>
      <c r="G94" s="5"/>
      <c r="H94" s="5" t="s">
        <v>30</v>
      </c>
      <c r="I94" s="5"/>
      <c r="J94" s="78" t="s">
        <v>133</v>
      </c>
      <c r="K94" s="78"/>
      <c r="L94" s="85"/>
      <c r="M94" s="5"/>
      <c r="N94" s="85"/>
      <c r="O94" s="22"/>
      <c r="P94" s="7" t="str">
        <f t="shared" si="1"/>
        <v>OK</v>
      </c>
    </row>
    <row r="95" ht="15.75" hidden="1" customHeight="1">
      <c r="A95" s="8" t="s">
        <v>500</v>
      </c>
      <c r="B95" s="5" t="s">
        <v>14</v>
      </c>
      <c r="C95" s="5" t="s">
        <v>15</v>
      </c>
      <c r="D95" s="5" t="s">
        <v>501</v>
      </c>
      <c r="E95" s="5" t="s">
        <v>504</v>
      </c>
      <c r="F95" s="5" t="s">
        <v>38</v>
      </c>
      <c r="G95" s="5"/>
      <c r="H95" s="5" t="s">
        <v>75</v>
      </c>
      <c r="I95" s="5"/>
      <c r="J95" s="78" t="s">
        <v>133</v>
      </c>
      <c r="K95" s="74" t="s">
        <v>15</v>
      </c>
      <c r="L95" s="10" t="s">
        <v>37</v>
      </c>
      <c r="M95" s="5" t="s">
        <v>38</v>
      </c>
      <c r="N95" s="10" t="s">
        <v>75</v>
      </c>
      <c r="O95" s="84" t="s">
        <v>39</v>
      </c>
      <c r="P95" s="7" t="str">
        <f t="shared" si="1"/>
        <v>OK</v>
      </c>
      <c r="Q95" s="7"/>
      <c r="R95" s="7"/>
      <c r="S95" s="7"/>
      <c r="T95" s="7"/>
      <c r="U95" s="7"/>
      <c r="V95" s="7"/>
      <c r="W95" s="7"/>
      <c r="X95" s="7"/>
      <c r="Y95" s="7"/>
      <c r="Z95" s="7"/>
      <c r="AA95" s="7"/>
      <c r="AB95" s="7"/>
      <c r="AC95" s="7"/>
    </row>
    <row r="96" ht="15.75" hidden="1" customHeight="1">
      <c r="A96" s="8" t="s">
        <v>505</v>
      </c>
      <c r="B96" s="5" t="s">
        <v>14</v>
      </c>
      <c r="C96" s="5" t="s">
        <v>15</v>
      </c>
      <c r="D96" s="5" t="s">
        <v>506</v>
      </c>
      <c r="E96" s="5" t="s">
        <v>507</v>
      </c>
      <c r="F96" s="5" t="s">
        <v>37</v>
      </c>
      <c r="G96" s="5"/>
      <c r="H96" s="5" t="s">
        <v>22</v>
      </c>
      <c r="I96" s="5"/>
      <c r="J96" s="78" t="s">
        <v>133</v>
      </c>
      <c r="K96" s="78"/>
      <c r="L96" s="85"/>
      <c r="M96" s="5"/>
      <c r="N96" s="85"/>
      <c r="O96" s="22"/>
      <c r="P96" s="7" t="str">
        <f t="shared" si="1"/>
        <v>OK</v>
      </c>
      <c r="Q96" s="7"/>
      <c r="R96" s="7"/>
      <c r="S96" s="7"/>
      <c r="T96" s="7"/>
      <c r="U96" s="7"/>
      <c r="V96" s="7"/>
      <c r="W96" s="7"/>
      <c r="X96" s="7"/>
      <c r="Y96" s="7"/>
      <c r="Z96" s="7"/>
      <c r="AA96" s="7"/>
      <c r="AB96" s="7"/>
      <c r="AC96" s="7"/>
    </row>
    <row r="97" ht="15.75" hidden="1" customHeight="1">
      <c r="A97" s="8" t="s">
        <v>510</v>
      </c>
      <c r="B97" s="5" t="s">
        <v>14</v>
      </c>
      <c r="C97" s="5" t="s">
        <v>15</v>
      </c>
      <c r="D97" s="5" t="s">
        <v>511</v>
      </c>
      <c r="E97" s="5" t="s">
        <v>513</v>
      </c>
      <c r="F97" s="5" t="s">
        <v>37</v>
      </c>
      <c r="G97" s="5"/>
      <c r="H97" s="5" t="s">
        <v>30</v>
      </c>
      <c r="I97" s="5"/>
      <c r="J97" s="78" t="s">
        <v>133</v>
      </c>
      <c r="K97" s="74" t="s">
        <v>15</v>
      </c>
      <c r="L97" s="10" t="s">
        <v>37</v>
      </c>
      <c r="M97" s="5" t="s">
        <v>51</v>
      </c>
      <c r="N97" s="10" t="s">
        <v>30</v>
      </c>
      <c r="O97" s="84" t="s">
        <v>111</v>
      </c>
      <c r="P97" s="7" t="str">
        <f t="shared" si="1"/>
        <v>OK</v>
      </c>
      <c r="Q97" s="7"/>
      <c r="R97" s="7"/>
      <c r="S97" s="7"/>
      <c r="T97" s="7"/>
      <c r="U97" s="7"/>
      <c r="V97" s="7"/>
      <c r="W97" s="7"/>
      <c r="X97" s="7"/>
      <c r="Y97" s="7"/>
      <c r="Z97" s="7"/>
      <c r="AA97" s="7"/>
      <c r="AB97" s="7"/>
      <c r="AC97" s="7"/>
    </row>
    <row r="98" ht="15.75" hidden="1" customHeight="1">
      <c r="A98" s="8" t="s">
        <v>515</v>
      </c>
      <c r="B98" s="5" t="s">
        <v>14</v>
      </c>
      <c r="C98" s="5" t="s">
        <v>15</v>
      </c>
      <c r="D98" s="5" t="s">
        <v>516</v>
      </c>
      <c r="E98" s="5" t="s">
        <v>519</v>
      </c>
      <c r="F98" s="5" t="s">
        <v>29</v>
      </c>
      <c r="G98" s="5"/>
      <c r="H98" s="5" t="s">
        <v>23</v>
      </c>
      <c r="I98" s="5"/>
      <c r="J98" s="78" t="s">
        <v>133</v>
      </c>
      <c r="K98" s="78"/>
      <c r="L98" s="85"/>
      <c r="M98" s="5"/>
      <c r="N98" s="85"/>
      <c r="O98" s="22"/>
      <c r="P98" s="7" t="str">
        <f t="shared" si="1"/>
        <v>OK</v>
      </c>
      <c r="Q98" s="7"/>
      <c r="R98" s="7"/>
      <c r="S98" s="7"/>
      <c r="T98" s="7"/>
      <c r="U98" s="7"/>
      <c r="V98" s="7"/>
      <c r="W98" s="7"/>
      <c r="X98" s="7"/>
      <c r="Y98" s="7"/>
      <c r="Z98" s="7"/>
      <c r="AA98" s="7"/>
      <c r="AB98" s="7"/>
      <c r="AC98" s="7"/>
    </row>
    <row r="99" ht="15.75" hidden="1" customHeight="1">
      <c r="A99" s="8" t="s">
        <v>520</v>
      </c>
      <c r="B99" s="5" t="s">
        <v>14</v>
      </c>
      <c r="C99" s="5" t="s">
        <v>15</v>
      </c>
      <c r="D99" s="5" t="s">
        <v>521</v>
      </c>
      <c r="E99" s="6" t="s">
        <v>524</v>
      </c>
      <c r="F99" s="5" t="s">
        <v>37</v>
      </c>
      <c r="G99" s="5"/>
      <c r="H99" s="5" t="s">
        <v>22</v>
      </c>
      <c r="I99" s="5"/>
      <c r="J99" s="78" t="s">
        <v>133</v>
      </c>
      <c r="K99" s="78"/>
      <c r="L99" s="85"/>
      <c r="M99" s="5"/>
      <c r="N99" s="85"/>
      <c r="O99" s="22"/>
      <c r="P99" s="7" t="str">
        <f t="shared" si="1"/>
        <v>OK</v>
      </c>
      <c r="Q99" s="7"/>
      <c r="R99" s="7"/>
      <c r="S99" s="7"/>
      <c r="T99" s="7"/>
      <c r="U99" s="7"/>
      <c r="V99" s="7"/>
      <c r="W99" s="7"/>
      <c r="X99" s="7"/>
      <c r="Y99" s="7"/>
      <c r="Z99" s="7"/>
      <c r="AA99" s="7"/>
      <c r="AB99" s="7"/>
      <c r="AC99" s="7"/>
    </row>
    <row r="100" ht="15.75" hidden="1" customHeight="1">
      <c r="A100" s="8" t="s">
        <v>525</v>
      </c>
      <c r="B100" s="5" t="s">
        <v>14</v>
      </c>
      <c r="C100" s="5" t="s">
        <v>15</v>
      </c>
      <c r="D100" s="5" t="s">
        <v>526</v>
      </c>
      <c r="E100" s="5" t="s">
        <v>529</v>
      </c>
      <c r="F100" s="5" t="s">
        <v>37</v>
      </c>
      <c r="G100" s="5"/>
      <c r="H100" s="5" t="s">
        <v>39</v>
      </c>
      <c r="I100" s="5"/>
      <c r="J100" s="78" t="s">
        <v>133</v>
      </c>
      <c r="K100" s="78"/>
      <c r="L100" s="85"/>
      <c r="M100" s="5"/>
      <c r="N100" s="85"/>
      <c r="O100" s="22"/>
      <c r="P100" s="7" t="str">
        <f t="shared" si="1"/>
        <v>OK</v>
      </c>
      <c r="Q100" s="7"/>
      <c r="R100" s="7"/>
      <c r="S100" s="7"/>
      <c r="T100" s="7"/>
      <c r="U100" s="7"/>
      <c r="V100" s="7"/>
      <c r="W100" s="7"/>
      <c r="X100" s="7"/>
      <c r="Y100" s="7"/>
      <c r="Z100" s="7"/>
      <c r="AA100" s="7"/>
      <c r="AB100" s="7"/>
      <c r="AC100" s="7"/>
    </row>
    <row r="101" ht="15.75" hidden="1" customHeight="1">
      <c r="A101" s="8" t="s">
        <v>530</v>
      </c>
      <c r="B101" s="5" t="s">
        <v>14</v>
      </c>
      <c r="C101" s="5" t="s">
        <v>15</v>
      </c>
      <c r="D101" s="5" t="s">
        <v>531</v>
      </c>
      <c r="E101" s="5" t="s">
        <v>533</v>
      </c>
      <c r="F101" s="5" t="s">
        <v>37</v>
      </c>
      <c r="G101" s="5"/>
      <c r="H101" s="5" t="s">
        <v>52</v>
      </c>
      <c r="I101" s="5"/>
      <c r="J101" s="78" t="s">
        <v>133</v>
      </c>
      <c r="K101" s="78"/>
      <c r="L101" s="85"/>
      <c r="M101" s="5"/>
      <c r="N101" s="85"/>
      <c r="O101" s="22"/>
      <c r="P101" s="7" t="str">
        <f t="shared" si="1"/>
        <v>OK</v>
      </c>
      <c r="Q101" s="7"/>
      <c r="R101" s="7"/>
      <c r="S101" s="7"/>
      <c r="T101" s="7"/>
      <c r="U101" s="7"/>
      <c r="V101" s="7"/>
      <c r="W101" s="7"/>
      <c r="X101" s="7"/>
      <c r="Y101" s="7"/>
      <c r="Z101" s="7"/>
      <c r="AA101" s="7"/>
      <c r="AB101" s="7"/>
      <c r="AC101" s="7"/>
    </row>
    <row r="102" ht="15.75" hidden="1" customHeight="1">
      <c r="A102" s="8" t="s">
        <v>535</v>
      </c>
      <c r="B102" s="5" t="s">
        <v>14</v>
      </c>
      <c r="C102" s="5" t="s">
        <v>15</v>
      </c>
      <c r="D102" s="5" t="s">
        <v>536</v>
      </c>
      <c r="E102" s="5" t="s">
        <v>538</v>
      </c>
      <c r="F102" s="5" t="s">
        <v>37</v>
      </c>
      <c r="G102" s="5"/>
      <c r="H102" s="5" t="s">
        <v>52</v>
      </c>
      <c r="I102" s="5"/>
      <c r="J102" s="78" t="s">
        <v>133</v>
      </c>
      <c r="K102" s="78"/>
      <c r="L102" s="85"/>
      <c r="M102" s="5"/>
      <c r="N102" s="85"/>
      <c r="O102" s="22"/>
      <c r="P102" s="7" t="str">
        <f t="shared" si="1"/>
        <v>OK</v>
      </c>
      <c r="Q102" s="7"/>
      <c r="R102" s="7"/>
      <c r="S102" s="7"/>
      <c r="T102" s="7"/>
      <c r="U102" s="7"/>
      <c r="V102" s="7"/>
      <c r="W102" s="7"/>
      <c r="X102" s="7"/>
      <c r="Y102" s="7"/>
      <c r="Z102" s="7"/>
      <c r="AA102" s="7"/>
      <c r="AB102" s="7"/>
      <c r="AC102" s="7"/>
    </row>
    <row r="103" ht="15.75" hidden="1" customHeight="1">
      <c r="A103" s="8" t="s">
        <v>540</v>
      </c>
      <c r="B103" s="5" t="s">
        <v>14</v>
      </c>
      <c r="C103" s="5" t="s">
        <v>15</v>
      </c>
      <c r="D103" s="5" t="s">
        <v>541</v>
      </c>
      <c r="E103" s="5" t="s">
        <v>542</v>
      </c>
      <c r="F103" s="5" t="s">
        <v>29</v>
      </c>
      <c r="G103" s="5"/>
      <c r="H103" s="5" t="s">
        <v>68</v>
      </c>
      <c r="I103" s="5"/>
      <c r="J103" s="78" t="s">
        <v>133</v>
      </c>
      <c r="K103" s="78"/>
      <c r="L103" s="85"/>
      <c r="M103" s="5"/>
      <c r="N103" s="85"/>
      <c r="O103" s="22"/>
      <c r="P103" s="7" t="str">
        <f t="shared" si="1"/>
        <v>OK</v>
      </c>
      <c r="Q103" s="7"/>
      <c r="R103" s="7"/>
      <c r="S103" s="7"/>
      <c r="T103" s="7"/>
      <c r="U103" s="7"/>
      <c r="V103" s="7"/>
      <c r="W103" s="7"/>
      <c r="X103" s="7"/>
      <c r="Y103" s="7"/>
      <c r="Z103" s="7"/>
      <c r="AA103" s="7"/>
      <c r="AB103" s="7"/>
      <c r="AC103" s="7"/>
    </row>
    <row r="104" ht="15.75" hidden="1" customHeight="1">
      <c r="A104" s="8" t="s">
        <v>545</v>
      </c>
      <c r="B104" s="5" t="s">
        <v>14</v>
      </c>
      <c r="C104" s="5" t="s">
        <v>15</v>
      </c>
      <c r="D104" s="5" t="s">
        <v>546</v>
      </c>
      <c r="E104" s="5" t="s">
        <v>548</v>
      </c>
      <c r="F104" s="5" t="s">
        <v>45</v>
      </c>
      <c r="G104" s="5"/>
      <c r="H104" s="5" t="s">
        <v>39</v>
      </c>
      <c r="I104" s="5"/>
      <c r="J104" s="78" t="s">
        <v>133</v>
      </c>
      <c r="K104" s="74" t="s">
        <v>15</v>
      </c>
      <c r="L104" s="10" t="s">
        <v>45</v>
      </c>
      <c r="M104" s="5" t="s">
        <v>37</v>
      </c>
      <c r="N104" s="10" t="s">
        <v>22</v>
      </c>
      <c r="O104" s="84" t="s">
        <v>39</v>
      </c>
      <c r="P104" s="7" t="str">
        <f t="shared" si="1"/>
        <v>OK</v>
      </c>
      <c r="Q104" s="7"/>
      <c r="R104" s="7"/>
      <c r="S104" s="7"/>
      <c r="T104" s="7"/>
      <c r="U104" s="7"/>
      <c r="V104" s="7"/>
      <c r="W104" s="7"/>
      <c r="X104" s="7"/>
      <c r="Y104" s="7"/>
      <c r="Z104" s="7"/>
      <c r="AA104" s="7"/>
      <c r="AB104" s="7"/>
      <c r="AC104" s="7"/>
    </row>
    <row r="105" ht="15.75" hidden="1" customHeight="1">
      <c r="A105" s="8" t="s">
        <v>550</v>
      </c>
      <c r="B105" s="5" t="s">
        <v>14</v>
      </c>
      <c r="C105" s="5" t="s">
        <v>15</v>
      </c>
      <c r="D105" s="5" t="s">
        <v>551</v>
      </c>
      <c r="E105" s="5" t="s">
        <v>554</v>
      </c>
      <c r="F105" s="5" t="s">
        <v>37</v>
      </c>
      <c r="G105" s="5"/>
      <c r="H105" s="5" t="s">
        <v>75</v>
      </c>
      <c r="I105" s="5"/>
      <c r="J105" s="78" t="s">
        <v>133</v>
      </c>
      <c r="K105" s="78"/>
      <c r="L105" s="85"/>
      <c r="M105" s="5"/>
      <c r="N105" s="85"/>
      <c r="O105" s="22"/>
      <c r="P105" s="7" t="str">
        <f t="shared" si="1"/>
        <v>OK</v>
      </c>
      <c r="Q105" s="7"/>
      <c r="R105" s="7"/>
      <c r="S105" s="7"/>
      <c r="T105" s="7"/>
      <c r="U105" s="7"/>
      <c r="V105" s="7"/>
      <c r="W105" s="7"/>
      <c r="X105" s="7"/>
      <c r="Y105" s="7"/>
      <c r="Z105" s="7"/>
      <c r="AA105" s="7"/>
      <c r="AB105" s="7"/>
      <c r="AC105" s="7"/>
    </row>
    <row r="106" ht="15.75" hidden="1" customHeight="1">
      <c r="A106" s="8" t="s">
        <v>555</v>
      </c>
      <c r="B106" s="5" t="s">
        <v>14</v>
      </c>
      <c r="C106" s="5" t="s">
        <v>15</v>
      </c>
      <c r="D106" s="5" t="s">
        <v>556</v>
      </c>
      <c r="E106" s="5" t="s">
        <v>557</v>
      </c>
      <c r="F106" s="5" t="s">
        <v>45</v>
      </c>
      <c r="G106" s="5"/>
      <c r="H106" s="5" t="s">
        <v>52</v>
      </c>
      <c r="I106" s="5"/>
      <c r="J106" s="78" t="s">
        <v>133</v>
      </c>
      <c r="K106" s="78"/>
      <c r="L106" s="85"/>
      <c r="M106" s="5"/>
      <c r="N106" s="85"/>
      <c r="O106" s="22"/>
      <c r="P106" s="7" t="str">
        <f t="shared" si="1"/>
        <v>OK</v>
      </c>
      <c r="Q106" s="7"/>
      <c r="R106" s="7"/>
      <c r="S106" s="7"/>
      <c r="T106" s="7"/>
      <c r="U106" s="7"/>
      <c r="V106" s="7"/>
      <c r="W106" s="7"/>
      <c r="X106" s="7"/>
      <c r="Y106" s="7"/>
      <c r="Z106" s="7"/>
      <c r="AA106" s="7"/>
      <c r="AB106" s="7"/>
      <c r="AC106" s="7"/>
    </row>
    <row r="107" ht="15.75" hidden="1" customHeight="1">
      <c r="A107" s="8" t="s">
        <v>560</v>
      </c>
      <c r="B107" s="5" t="s">
        <v>14</v>
      </c>
      <c r="C107" s="5" t="s">
        <v>15</v>
      </c>
      <c r="D107" s="5" t="s">
        <v>561</v>
      </c>
      <c r="E107" s="5" t="s">
        <v>562</v>
      </c>
      <c r="F107" s="5" t="s">
        <v>45</v>
      </c>
      <c r="G107" s="5"/>
      <c r="H107" s="5" t="s">
        <v>52</v>
      </c>
      <c r="I107" s="5"/>
      <c r="J107" s="78" t="s">
        <v>133</v>
      </c>
      <c r="K107" s="78"/>
      <c r="L107" s="85"/>
      <c r="M107" s="5"/>
      <c r="N107" s="85"/>
      <c r="O107" s="22"/>
      <c r="P107" s="7" t="str">
        <f t="shared" si="1"/>
        <v>OK</v>
      </c>
      <c r="Q107" s="7"/>
      <c r="R107" s="7"/>
      <c r="S107" s="7"/>
      <c r="T107" s="7"/>
      <c r="U107" s="7"/>
      <c r="V107" s="7"/>
      <c r="W107" s="7"/>
      <c r="X107" s="7"/>
      <c r="Y107" s="7"/>
      <c r="Z107" s="7"/>
      <c r="AA107" s="7"/>
      <c r="AB107" s="7"/>
      <c r="AC107" s="7"/>
    </row>
    <row r="108" ht="15.75" hidden="1" customHeight="1">
      <c r="A108" s="8" t="s">
        <v>565</v>
      </c>
      <c r="B108" s="5" t="s">
        <v>14</v>
      </c>
      <c r="C108" s="5" t="s">
        <v>15</v>
      </c>
      <c r="D108" s="5" t="s">
        <v>566</v>
      </c>
      <c r="E108" s="5" t="s">
        <v>569</v>
      </c>
      <c r="F108" s="5" t="s">
        <v>45</v>
      </c>
      <c r="G108" s="5"/>
      <c r="H108" s="5" t="s">
        <v>30</v>
      </c>
      <c r="I108" s="5"/>
      <c r="J108" s="78" t="s">
        <v>133</v>
      </c>
      <c r="K108" s="78"/>
      <c r="L108" s="85"/>
      <c r="M108" s="5"/>
      <c r="N108" s="85"/>
      <c r="O108" s="22"/>
      <c r="P108" s="7" t="str">
        <f t="shared" si="1"/>
        <v>OK</v>
      </c>
      <c r="Q108" s="7"/>
      <c r="R108" s="7"/>
      <c r="S108" s="7"/>
      <c r="T108" s="7"/>
      <c r="U108" s="7"/>
      <c r="V108" s="7"/>
      <c r="W108" s="7"/>
      <c r="X108" s="7"/>
      <c r="Y108" s="7"/>
      <c r="Z108" s="7"/>
      <c r="AA108" s="7"/>
      <c r="AB108" s="7"/>
      <c r="AC108" s="7"/>
    </row>
    <row r="109" ht="15.75" hidden="1" customHeight="1">
      <c r="A109" s="8" t="s">
        <v>570</v>
      </c>
      <c r="B109" s="5" t="s">
        <v>14</v>
      </c>
      <c r="C109" s="5" t="s">
        <v>15</v>
      </c>
      <c r="D109" s="5" t="s">
        <v>571</v>
      </c>
      <c r="E109" s="5" t="s">
        <v>573</v>
      </c>
      <c r="F109" s="5" t="s">
        <v>37</v>
      </c>
      <c r="G109" s="5"/>
      <c r="H109" s="5" t="s">
        <v>23</v>
      </c>
      <c r="I109" s="5"/>
      <c r="J109" s="78" t="s">
        <v>133</v>
      </c>
      <c r="K109" s="78"/>
      <c r="L109" s="85"/>
      <c r="M109" s="5"/>
      <c r="N109" s="85"/>
      <c r="O109" s="22"/>
      <c r="P109" s="7" t="str">
        <f t="shared" si="1"/>
        <v>OK</v>
      </c>
      <c r="Q109" s="7"/>
      <c r="R109" s="7"/>
      <c r="S109" s="7"/>
      <c r="T109" s="7"/>
      <c r="U109" s="7"/>
      <c r="V109" s="7"/>
      <c r="W109" s="7"/>
      <c r="X109" s="7"/>
      <c r="Y109" s="7"/>
      <c r="Z109" s="7"/>
      <c r="AA109" s="7"/>
      <c r="AB109" s="7"/>
      <c r="AC109" s="7"/>
    </row>
    <row r="110" ht="15.75" hidden="1" customHeight="1">
      <c r="A110" s="8" t="s">
        <v>575</v>
      </c>
      <c r="B110" s="5" t="s">
        <v>14</v>
      </c>
      <c r="C110" s="5" t="s">
        <v>15</v>
      </c>
      <c r="D110" s="5" t="s">
        <v>576</v>
      </c>
      <c r="E110" s="5" t="s">
        <v>579</v>
      </c>
      <c r="F110" s="5" t="s">
        <v>21</v>
      </c>
      <c r="G110" s="5"/>
      <c r="H110" s="5" t="s">
        <v>31</v>
      </c>
      <c r="I110" s="5"/>
      <c r="J110" s="78" t="s">
        <v>133</v>
      </c>
      <c r="K110" s="78"/>
      <c r="L110" s="85"/>
      <c r="M110" s="5"/>
      <c r="N110" s="85"/>
      <c r="O110" s="22"/>
      <c r="P110" s="7" t="str">
        <f t="shared" si="1"/>
        <v>OK</v>
      </c>
      <c r="Q110" s="7"/>
      <c r="R110" s="7"/>
      <c r="S110" s="7"/>
      <c r="T110" s="7"/>
      <c r="U110" s="7"/>
      <c r="V110" s="7"/>
      <c r="W110" s="7"/>
      <c r="X110" s="7"/>
      <c r="Y110" s="7"/>
      <c r="Z110" s="7"/>
      <c r="AA110" s="7"/>
      <c r="AB110" s="7"/>
      <c r="AC110" s="7"/>
    </row>
    <row r="111" ht="15.75" hidden="1" customHeight="1">
      <c r="A111" s="8" t="s">
        <v>580</v>
      </c>
      <c r="B111" s="5" t="s">
        <v>14</v>
      </c>
      <c r="C111" s="5" t="s">
        <v>15</v>
      </c>
      <c r="D111" s="5" t="s">
        <v>581</v>
      </c>
      <c r="E111" s="5" t="s">
        <v>582</v>
      </c>
      <c r="F111" s="5" t="s">
        <v>51</v>
      </c>
      <c r="G111" s="5"/>
      <c r="H111" s="5" t="s">
        <v>23</v>
      </c>
      <c r="I111" s="5"/>
      <c r="J111" s="78" t="s">
        <v>133</v>
      </c>
      <c r="K111" s="78"/>
      <c r="L111" s="85"/>
      <c r="M111" s="5"/>
      <c r="N111" s="85"/>
      <c r="O111" s="22"/>
      <c r="P111" s="7" t="str">
        <f t="shared" si="1"/>
        <v>OK</v>
      </c>
      <c r="Q111" s="7"/>
      <c r="R111" s="7"/>
      <c r="S111" s="7"/>
      <c r="T111" s="7"/>
      <c r="U111" s="7"/>
      <c r="V111" s="7"/>
      <c r="W111" s="7"/>
      <c r="X111" s="7"/>
      <c r="Y111" s="7"/>
      <c r="Z111" s="7"/>
      <c r="AA111" s="7"/>
      <c r="AB111" s="7"/>
      <c r="AC111" s="7"/>
    </row>
    <row r="112" ht="15.75" hidden="1" customHeight="1">
      <c r="A112" s="8" t="s">
        <v>585</v>
      </c>
      <c r="B112" s="5" t="s">
        <v>14</v>
      </c>
      <c r="C112" s="5" t="s">
        <v>15</v>
      </c>
      <c r="D112" s="5" t="s">
        <v>586</v>
      </c>
      <c r="E112" s="5" t="s">
        <v>587</v>
      </c>
      <c r="F112" s="5" t="s">
        <v>29</v>
      </c>
      <c r="G112" s="5"/>
      <c r="H112" s="5" t="s">
        <v>22</v>
      </c>
      <c r="I112" s="5"/>
      <c r="J112" s="78" t="s">
        <v>133</v>
      </c>
      <c r="K112" s="78"/>
      <c r="L112" s="85"/>
      <c r="M112" s="5"/>
      <c r="N112" s="85"/>
      <c r="O112" s="22"/>
      <c r="P112" s="7" t="str">
        <f t="shared" si="1"/>
        <v>OK</v>
      </c>
      <c r="Q112" s="7"/>
      <c r="R112" s="7"/>
      <c r="S112" s="7"/>
      <c r="T112" s="7"/>
      <c r="U112" s="7"/>
      <c r="V112" s="7"/>
      <c r="W112" s="7"/>
      <c r="X112" s="7"/>
      <c r="Y112" s="7"/>
      <c r="Z112" s="7"/>
      <c r="AA112" s="7"/>
      <c r="AB112" s="7"/>
      <c r="AC112" s="7"/>
    </row>
    <row r="113" ht="15.75" hidden="1" customHeight="1">
      <c r="A113" s="8" t="s">
        <v>590</v>
      </c>
      <c r="B113" s="5" t="s">
        <v>14</v>
      </c>
      <c r="C113" s="5" t="s">
        <v>15</v>
      </c>
      <c r="D113" s="5" t="s">
        <v>591</v>
      </c>
      <c r="E113" s="5" t="s">
        <v>593</v>
      </c>
      <c r="F113" s="5" t="s">
        <v>51</v>
      </c>
      <c r="G113" s="5"/>
      <c r="H113" s="5" t="s">
        <v>30</v>
      </c>
      <c r="I113" s="5"/>
      <c r="J113" s="78" t="s">
        <v>133</v>
      </c>
      <c r="K113" s="74" t="s">
        <v>15</v>
      </c>
      <c r="L113" s="10" t="s">
        <v>51</v>
      </c>
      <c r="M113" s="5" t="s">
        <v>37</v>
      </c>
      <c r="N113" s="10" t="s">
        <v>30</v>
      </c>
      <c r="O113" s="84" t="s">
        <v>22</v>
      </c>
      <c r="P113" s="7" t="str">
        <f t="shared" si="1"/>
        <v>OK</v>
      </c>
      <c r="Q113" s="7"/>
      <c r="R113" s="7"/>
      <c r="S113" s="7"/>
      <c r="T113" s="7"/>
      <c r="U113" s="7"/>
      <c r="V113" s="7"/>
      <c r="W113" s="7"/>
      <c r="X113" s="7"/>
      <c r="Y113" s="7"/>
      <c r="Z113" s="7"/>
      <c r="AA113" s="7"/>
      <c r="AB113" s="7"/>
      <c r="AC113" s="7"/>
    </row>
    <row r="114" ht="15.75" hidden="1" customHeight="1">
      <c r="A114" s="8" t="s">
        <v>595</v>
      </c>
      <c r="B114" s="5" t="s">
        <v>14</v>
      </c>
      <c r="C114" s="5" t="s">
        <v>15</v>
      </c>
      <c r="D114" s="5" t="s">
        <v>596</v>
      </c>
      <c r="E114" s="5" t="s">
        <v>599</v>
      </c>
      <c r="F114" s="5" t="s">
        <v>45</v>
      </c>
      <c r="G114" s="5"/>
      <c r="H114" s="5" t="s">
        <v>39</v>
      </c>
      <c r="I114" s="5"/>
      <c r="J114" s="78" t="s">
        <v>133</v>
      </c>
      <c r="K114" s="78"/>
      <c r="L114" s="85"/>
      <c r="M114" s="5"/>
      <c r="N114" s="85"/>
      <c r="O114" s="22"/>
      <c r="P114" s="7" t="str">
        <f t="shared" si="1"/>
        <v>OK</v>
      </c>
      <c r="Q114" s="7"/>
      <c r="R114" s="7"/>
      <c r="S114" s="7"/>
      <c r="T114" s="7"/>
      <c r="U114" s="7"/>
      <c r="V114" s="7"/>
      <c r="W114" s="7"/>
      <c r="X114" s="7"/>
      <c r="Y114" s="7"/>
      <c r="Z114" s="7"/>
      <c r="AA114" s="7"/>
      <c r="AB114" s="7"/>
      <c r="AC114" s="7"/>
    </row>
    <row r="115" ht="15.75" hidden="1" customHeight="1">
      <c r="A115" s="8" t="s">
        <v>600</v>
      </c>
      <c r="B115" s="5" t="s">
        <v>14</v>
      </c>
      <c r="C115" s="5" t="s">
        <v>15</v>
      </c>
      <c r="D115" s="5" t="s">
        <v>601</v>
      </c>
      <c r="E115" s="5" t="s">
        <v>604</v>
      </c>
      <c r="F115" s="5" t="s">
        <v>37</v>
      </c>
      <c r="G115" s="5"/>
      <c r="H115" s="5" t="s">
        <v>31</v>
      </c>
      <c r="I115" s="5"/>
      <c r="J115" s="78" t="s">
        <v>133</v>
      </c>
      <c r="K115" s="78"/>
      <c r="L115" s="85"/>
      <c r="M115" s="5"/>
      <c r="N115" s="85"/>
      <c r="O115" s="22"/>
      <c r="P115" s="7" t="str">
        <f t="shared" si="1"/>
        <v>OK</v>
      </c>
      <c r="Q115" s="7"/>
      <c r="R115" s="7"/>
      <c r="S115" s="7"/>
      <c r="T115" s="7"/>
      <c r="U115" s="7"/>
      <c r="V115" s="7"/>
      <c r="W115" s="7"/>
      <c r="X115" s="7"/>
      <c r="Y115" s="7"/>
      <c r="Z115" s="7"/>
      <c r="AA115" s="7"/>
      <c r="AB115" s="7"/>
      <c r="AC115" s="7"/>
    </row>
    <row r="116" ht="15.75" hidden="1" customHeight="1">
      <c r="A116" s="8" t="s">
        <v>605</v>
      </c>
      <c r="B116" s="5" t="s">
        <v>14</v>
      </c>
      <c r="C116" s="5" t="s">
        <v>15</v>
      </c>
      <c r="D116" s="5" t="s">
        <v>606</v>
      </c>
      <c r="E116" s="6" t="s">
        <v>609</v>
      </c>
      <c r="F116" s="5" t="s">
        <v>45</v>
      </c>
      <c r="G116" s="5"/>
      <c r="H116" s="5" t="s">
        <v>30</v>
      </c>
      <c r="I116" s="5"/>
      <c r="J116" s="78" t="s">
        <v>133</v>
      </c>
      <c r="K116" s="78"/>
      <c r="L116" s="85"/>
      <c r="M116" s="5"/>
      <c r="N116" s="85"/>
      <c r="O116" s="22"/>
      <c r="P116" s="7" t="str">
        <f t="shared" si="1"/>
        <v>OK</v>
      </c>
      <c r="Q116" s="7"/>
      <c r="R116" s="7"/>
      <c r="S116" s="7"/>
      <c r="T116" s="7"/>
      <c r="U116" s="7"/>
      <c r="V116" s="7"/>
      <c r="W116" s="7"/>
      <c r="X116" s="7"/>
      <c r="Y116" s="7"/>
      <c r="Z116" s="7"/>
      <c r="AA116" s="7"/>
      <c r="AB116" s="7"/>
      <c r="AC116" s="7"/>
    </row>
    <row r="117" ht="15.75" hidden="1" customHeight="1">
      <c r="A117" s="8" t="s">
        <v>610</v>
      </c>
      <c r="B117" s="5" t="s">
        <v>14</v>
      </c>
      <c r="C117" s="5" t="s">
        <v>15</v>
      </c>
      <c r="D117" s="5" t="s">
        <v>611</v>
      </c>
      <c r="E117" s="5" t="s">
        <v>614</v>
      </c>
      <c r="F117" s="5" t="s">
        <v>38</v>
      </c>
      <c r="G117" s="5"/>
      <c r="H117" s="5" t="s">
        <v>31</v>
      </c>
      <c r="I117" s="5"/>
      <c r="J117" s="78" t="s">
        <v>133</v>
      </c>
      <c r="K117" s="78"/>
      <c r="L117" s="85"/>
      <c r="M117" s="5"/>
      <c r="N117" s="85"/>
      <c r="O117" s="22"/>
      <c r="P117" s="7" t="str">
        <f t="shared" si="1"/>
        <v>OK</v>
      </c>
      <c r="Q117" s="7"/>
      <c r="R117" s="7"/>
      <c r="S117" s="7"/>
      <c r="T117" s="7"/>
      <c r="U117" s="7"/>
      <c r="V117" s="7"/>
      <c r="W117" s="7"/>
      <c r="X117" s="7"/>
      <c r="Y117" s="7"/>
      <c r="Z117" s="7"/>
      <c r="AA117" s="7"/>
      <c r="AB117" s="7"/>
      <c r="AC117" s="7"/>
    </row>
    <row r="118" ht="15.75" hidden="1" customHeight="1">
      <c r="A118" s="8" t="s">
        <v>615</v>
      </c>
      <c r="B118" s="5" t="s">
        <v>14</v>
      </c>
      <c r="C118" s="5" t="s">
        <v>15</v>
      </c>
      <c r="D118" s="5" t="s">
        <v>616</v>
      </c>
      <c r="E118" s="5" t="s">
        <v>619</v>
      </c>
      <c r="F118" s="5" t="s">
        <v>20</v>
      </c>
      <c r="G118" s="5"/>
      <c r="H118" s="5" t="s">
        <v>31</v>
      </c>
      <c r="I118" s="5"/>
      <c r="J118" s="78" t="s">
        <v>133</v>
      </c>
      <c r="K118" s="78"/>
      <c r="L118" s="85"/>
      <c r="M118" s="5"/>
      <c r="N118" s="85"/>
      <c r="O118" s="22"/>
      <c r="P118" s="7" t="str">
        <f t="shared" si="1"/>
        <v>OK</v>
      </c>
      <c r="Q118" s="7"/>
      <c r="R118" s="7"/>
      <c r="S118" s="7"/>
      <c r="T118" s="7"/>
      <c r="U118" s="7"/>
      <c r="V118" s="7"/>
      <c r="W118" s="7"/>
      <c r="X118" s="7"/>
      <c r="Y118" s="7"/>
      <c r="Z118" s="7"/>
      <c r="AA118" s="7"/>
      <c r="AB118" s="7"/>
      <c r="AC118" s="7"/>
    </row>
    <row r="119" ht="15.75" hidden="1" customHeight="1">
      <c r="A119" s="8" t="s">
        <v>620</v>
      </c>
      <c r="B119" s="5" t="s">
        <v>14</v>
      </c>
      <c r="C119" s="5" t="s">
        <v>15</v>
      </c>
      <c r="D119" s="5" t="s">
        <v>621</v>
      </c>
      <c r="E119" s="5" t="s">
        <v>623</v>
      </c>
      <c r="F119" s="5" t="s">
        <v>37</v>
      </c>
      <c r="G119" s="5"/>
      <c r="H119" s="5" t="s">
        <v>75</v>
      </c>
      <c r="I119" s="5"/>
      <c r="J119" s="78" t="s">
        <v>133</v>
      </c>
      <c r="K119" s="78"/>
      <c r="L119" s="85"/>
      <c r="M119" s="5"/>
      <c r="N119" s="85"/>
      <c r="O119" s="22"/>
      <c r="P119" s="7" t="str">
        <f t="shared" si="1"/>
        <v>OK</v>
      </c>
      <c r="Q119" s="7"/>
      <c r="R119" s="7"/>
      <c r="S119" s="7"/>
      <c r="T119" s="7"/>
      <c r="U119" s="7"/>
      <c r="V119" s="7"/>
      <c r="W119" s="7"/>
      <c r="X119" s="7"/>
      <c r="Y119" s="7"/>
      <c r="Z119" s="7"/>
      <c r="AA119" s="7"/>
      <c r="AB119" s="7"/>
      <c r="AC119" s="7"/>
    </row>
    <row r="120" ht="15.75" hidden="1" customHeight="1">
      <c r="A120" s="8" t="s">
        <v>625</v>
      </c>
      <c r="B120" s="5" t="s">
        <v>14</v>
      </c>
      <c r="C120" s="5" t="s">
        <v>15</v>
      </c>
      <c r="D120" s="5" t="s">
        <v>626</v>
      </c>
      <c r="E120" s="5" t="s">
        <v>629</v>
      </c>
      <c r="F120" s="5" t="s">
        <v>37</v>
      </c>
      <c r="G120" s="5"/>
      <c r="H120" s="5" t="s">
        <v>39</v>
      </c>
      <c r="I120" s="5"/>
      <c r="J120" s="78" t="s">
        <v>133</v>
      </c>
      <c r="K120" s="78"/>
      <c r="L120" s="85"/>
      <c r="M120" s="5"/>
      <c r="N120" s="85"/>
      <c r="O120" s="22"/>
      <c r="P120" s="7" t="str">
        <f t="shared" si="1"/>
        <v>OK</v>
      </c>
      <c r="Q120" s="7"/>
      <c r="R120" s="7"/>
      <c r="S120" s="7"/>
      <c r="T120" s="7"/>
      <c r="U120" s="7"/>
      <c r="V120" s="7"/>
      <c r="W120" s="7"/>
      <c r="X120" s="7"/>
      <c r="Y120" s="7"/>
      <c r="Z120" s="7"/>
      <c r="AA120" s="7"/>
      <c r="AB120" s="7"/>
      <c r="AC120" s="7"/>
    </row>
    <row r="121" ht="15.75" hidden="1" customHeight="1">
      <c r="A121" s="8" t="s">
        <v>630</v>
      </c>
      <c r="B121" s="5" t="s">
        <v>14</v>
      </c>
      <c r="C121" s="5" t="s">
        <v>15</v>
      </c>
      <c r="D121" s="5" t="s">
        <v>631</v>
      </c>
      <c r="E121" s="5" t="s">
        <v>632</v>
      </c>
      <c r="F121" s="5" t="s">
        <v>21</v>
      </c>
      <c r="G121" s="5"/>
      <c r="H121" s="5" t="s">
        <v>39</v>
      </c>
      <c r="I121" s="5"/>
      <c r="J121" s="78" t="s">
        <v>133</v>
      </c>
      <c r="K121" s="78"/>
      <c r="L121" s="85"/>
      <c r="M121" s="5"/>
      <c r="N121" s="85"/>
      <c r="O121" s="22"/>
      <c r="P121" s="7" t="str">
        <f t="shared" si="1"/>
        <v>OK</v>
      </c>
      <c r="Q121" s="7"/>
      <c r="R121" s="7"/>
      <c r="S121" s="7"/>
      <c r="T121" s="7"/>
      <c r="U121" s="7"/>
      <c r="V121" s="7"/>
      <c r="W121" s="7"/>
      <c r="X121" s="7"/>
      <c r="Y121" s="7"/>
      <c r="Z121" s="7"/>
      <c r="AA121" s="7"/>
      <c r="AB121" s="7"/>
      <c r="AC121" s="7"/>
    </row>
    <row r="122" ht="15.75" hidden="1" customHeight="1">
      <c r="A122" s="8" t="s">
        <v>635</v>
      </c>
      <c r="B122" s="5" t="s">
        <v>14</v>
      </c>
      <c r="C122" s="5" t="s">
        <v>15</v>
      </c>
      <c r="D122" s="5" t="s">
        <v>636</v>
      </c>
      <c r="E122" s="5" t="s">
        <v>638</v>
      </c>
      <c r="F122" s="5" t="s">
        <v>38</v>
      </c>
      <c r="G122" s="5"/>
      <c r="H122" s="5" t="s">
        <v>30</v>
      </c>
      <c r="I122" s="5"/>
      <c r="J122" s="78" t="s">
        <v>133</v>
      </c>
      <c r="K122" s="78"/>
      <c r="L122" s="85"/>
      <c r="M122" s="5"/>
      <c r="N122" s="85"/>
      <c r="O122" s="22"/>
      <c r="P122" s="7" t="str">
        <f t="shared" si="1"/>
        <v>OK</v>
      </c>
      <c r="Q122" s="7"/>
      <c r="R122" s="7"/>
      <c r="S122" s="7"/>
      <c r="T122" s="7"/>
      <c r="U122" s="7"/>
      <c r="V122" s="7"/>
      <c r="W122" s="7"/>
      <c r="X122" s="7"/>
      <c r="Y122" s="7"/>
      <c r="Z122" s="7"/>
      <c r="AA122" s="7"/>
      <c r="AB122" s="7"/>
      <c r="AC122" s="7"/>
    </row>
    <row r="123" ht="15.75" hidden="1" customHeight="1">
      <c r="A123" s="8" t="s">
        <v>640</v>
      </c>
      <c r="B123" s="5" t="s">
        <v>14</v>
      </c>
      <c r="C123" s="5" t="s">
        <v>15</v>
      </c>
      <c r="D123" s="5" t="s">
        <v>641</v>
      </c>
      <c r="E123" s="6" t="s">
        <v>642</v>
      </c>
      <c r="F123" s="5" t="s">
        <v>37</v>
      </c>
      <c r="G123" s="5"/>
      <c r="H123" s="5" t="s">
        <v>39</v>
      </c>
      <c r="I123" s="5"/>
      <c r="J123" s="78" t="s">
        <v>133</v>
      </c>
      <c r="K123" s="78"/>
      <c r="L123" s="85"/>
      <c r="M123" s="5"/>
      <c r="N123" s="85"/>
      <c r="O123" s="22"/>
      <c r="P123" s="7" t="str">
        <f t="shared" si="1"/>
        <v>OK</v>
      </c>
      <c r="Q123" s="7"/>
      <c r="R123" s="7"/>
      <c r="S123" s="7"/>
      <c r="T123" s="7"/>
      <c r="U123" s="7"/>
      <c r="V123" s="7"/>
      <c r="W123" s="7"/>
      <c r="X123" s="7"/>
      <c r="Y123" s="7"/>
      <c r="Z123" s="7"/>
      <c r="AA123" s="7"/>
      <c r="AB123" s="7"/>
      <c r="AC123" s="7"/>
    </row>
    <row r="124" ht="15.75" hidden="1" customHeight="1">
      <c r="A124" s="8" t="s">
        <v>645</v>
      </c>
      <c r="B124" s="5" t="s">
        <v>14</v>
      </c>
      <c r="C124" s="5" t="s">
        <v>15</v>
      </c>
      <c r="D124" s="5" t="s">
        <v>646</v>
      </c>
      <c r="E124" s="6" t="s">
        <v>648</v>
      </c>
      <c r="F124" s="5" t="s">
        <v>37</v>
      </c>
      <c r="G124" s="5"/>
      <c r="H124" s="5" t="s">
        <v>23</v>
      </c>
      <c r="I124" s="5"/>
      <c r="J124" s="78" t="s">
        <v>133</v>
      </c>
      <c r="K124" s="78"/>
      <c r="L124" s="85"/>
      <c r="M124" s="5"/>
      <c r="N124" s="85"/>
      <c r="O124" s="22"/>
      <c r="P124" s="7" t="str">
        <f t="shared" si="1"/>
        <v>OK</v>
      </c>
      <c r="Q124" s="7"/>
      <c r="R124" s="7"/>
      <c r="S124" s="7"/>
      <c r="T124" s="7"/>
      <c r="U124" s="7"/>
      <c r="V124" s="7"/>
      <c r="W124" s="7"/>
      <c r="X124" s="7"/>
      <c r="Y124" s="7"/>
      <c r="Z124" s="7"/>
      <c r="AA124" s="7"/>
      <c r="AB124" s="7"/>
      <c r="AC124" s="7"/>
    </row>
    <row r="125" ht="15.75" hidden="1" customHeight="1">
      <c r="A125" s="8" t="s">
        <v>650</v>
      </c>
      <c r="B125" s="5" t="s">
        <v>14</v>
      </c>
      <c r="C125" s="5" t="s">
        <v>15</v>
      </c>
      <c r="D125" s="5" t="s">
        <v>651</v>
      </c>
      <c r="E125" s="6" t="s">
        <v>654</v>
      </c>
      <c r="F125" s="5" t="s">
        <v>38</v>
      </c>
      <c r="G125" s="5"/>
      <c r="H125" s="5" t="s">
        <v>31</v>
      </c>
      <c r="I125" s="5"/>
      <c r="J125" s="78" t="s">
        <v>133</v>
      </c>
      <c r="K125" s="78"/>
      <c r="L125" s="85"/>
      <c r="M125" s="5"/>
      <c r="N125" s="85"/>
      <c r="O125" s="22"/>
      <c r="P125" s="7" t="str">
        <f t="shared" si="1"/>
        <v>OK</v>
      </c>
      <c r="Q125" s="7"/>
      <c r="R125" s="7"/>
      <c r="S125" s="7"/>
      <c r="T125" s="7"/>
      <c r="U125" s="7"/>
      <c r="V125" s="7"/>
      <c r="W125" s="7"/>
      <c r="X125" s="7"/>
      <c r="Y125" s="7"/>
      <c r="Z125" s="7"/>
      <c r="AA125" s="7"/>
      <c r="AB125" s="7"/>
      <c r="AC125" s="7"/>
    </row>
    <row r="126" ht="15.75" hidden="1" customHeight="1">
      <c r="A126" s="8" t="s">
        <v>655</v>
      </c>
      <c r="B126" s="5" t="s">
        <v>14</v>
      </c>
      <c r="C126" s="5" t="s">
        <v>15</v>
      </c>
      <c r="D126" s="5" t="s">
        <v>656</v>
      </c>
      <c r="E126" s="6" t="s">
        <v>660</v>
      </c>
      <c r="F126" s="5" t="s">
        <v>37</v>
      </c>
      <c r="G126" s="5"/>
      <c r="H126" s="5" t="s">
        <v>52</v>
      </c>
      <c r="I126" s="5"/>
      <c r="J126" s="78" t="s">
        <v>133</v>
      </c>
      <c r="K126" s="78"/>
      <c r="L126" s="85"/>
      <c r="M126" s="5"/>
      <c r="N126" s="85"/>
      <c r="O126" s="22"/>
      <c r="P126" s="7" t="str">
        <f t="shared" si="1"/>
        <v>OK</v>
      </c>
      <c r="Q126" s="7"/>
      <c r="R126" s="7"/>
      <c r="S126" s="7"/>
      <c r="T126" s="7"/>
      <c r="U126" s="7"/>
      <c r="V126" s="7"/>
      <c r="W126" s="7"/>
      <c r="X126" s="7"/>
      <c r="Y126" s="7"/>
      <c r="Z126" s="7"/>
      <c r="AA126" s="7"/>
      <c r="AB126" s="7"/>
      <c r="AC126" s="7"/>
    </row>
    <row r="127" ht="15.75" hidden="1" customHeight="1">
      <c r="A127" s="8" t="s">
        <v>661</v>
      </c>
      <c r="B127" s="5" t="s">
        <v>14</v>
      </c>
      <c r="C127" s="5" t="s">
        <v>15</v>
      </c>
      <c r="D127" s="5" t="s">
        <v>662</v>
      </c>
      <c r="E127" s="6" t="s">
        <v>663</v>
      </c>
      <c r="F127" s="5" t="s">
        <v>51</v>
      </c>
      <c r="G127" s="5"/>
      <c r="H127" s="5" t="s">
        <v>31</v>
      </c>
      <c r="I127" s="5"/>
      <c r="J127" s="78" t="s">
        <v>133</v>
      </c>
      <c r="K127" s="78"/>
      <c r="L127" s="85"/>
      <c r="M127" s="5"/>
      <c r="N127" s="85"/>
      <c r="O127" s="22"/>
      <c r="P127" s="7" t="str">
        <f t="shared" si="1"/>
        <v>OK</v>
      </c>
      <c r="Q127" s="7"/>
      <c r="R127" s="7"/>
      <c r="S127" s="7"/>
      <c r="T127" s="7"/>
      <c r="U127" s="7"/>
      <c r="V127" s="7"/>
      <c r="W127" s="7"/>
      <c r="X127" s="7"/>
      <c r="Y127" s="7"/>
      <c r="Z127" s="7"/>
      <c r="AA127" s="7"/>
      <c r="AB127" s="7"/>
      <c r="AC127" s="7"/>
    </row>
    <row r="128" ht="15.75" hidden="1" customHeight="1">
      <c r="A128" s="8" t="s">
        <v>666</v>
      </c>
      <c r="B128" s="5" t="s">
        <v>14</v>
      </c>
      <c r="C128" s="5" t="s">
        <v>15</v>
      </c>
      <c r="D128" s="5" t="s">
        <v>667</v>
      </c>
      <c r="E128" s="6" t="s">
        <v>670</v>
      </c>
      <c r="F128" s="5" t="s">
        <v>45</v>
      </c>
      <c r="G128" s="5"/>
      <c r="H128" s="5" t="s">
        <v>31</v>
      </c>
      <c r="I128" s="5"/>
      <c r="J128" s="78" t="s">
        <v>133</v>
      </c>
      <c r="K128" s="78"/>
      <c r="L128" s="85"/>
      <c r="M128" s="5"/>
      <c r="N128" s="85"/>
      <c r="O128" s="22"/>
      <c r="P128" s="7" t="str">
        <f t="shared" si="1"/>
        <v>OK</v>
      </c>
      <c r="Q128" s="7"/>
      <c r="R128" s="7"/>
      <c r="S128" s="7"/>
      <c r="T128" s="7"/>
      <c r="U128" s="7"/>
      <c r="V128" s="7"/>
      <c r="W128" s="7"/>
      <c r="X128" s="7"/>
      <c r="Y128" s="7"/>
      <c r="Z128" s="7"/>
      <c r="AA128" s="7"/>
      <c r="AB128" s="7"/>
      <c r="AC128" s="7"/>
    </row>
    <row r="129" ht="15.75" hidden="1" customHeight="1">
      <c r="A129" s="8" t="s">
        <v>671</v>
      </c>
      <c r="B129" s="5" t="s">
        <v>14</v>
      </c>
      <c r="C129" s="5" t="s">
        <v>15</v>
      </c>
      <c r="D129" s="5" t="s">
        <v>672</v>
      </c>
      <c r="E129" s="6" t="s">
        <v>675</v>
      </c>
      <c r="F129" s="5" t="s">
        <v>21</v>
      </c>
      <c r="G129" s="5"/>
      <c r="H129" s="5" t="s">
        <v>22</v>
      </c>
      <c r="I129" s="5"/>
      <c r="J129" s="78" t="s">
        <v>133</v>
      </c>
      <c r="K129" s="78"/>
      <c r="L129" s="85"/>
      <c r="M129" s="5"/>
      <c r="N129" s="85"/>
      <c r="O129" s="22"/>
      <c r="P129" s="7" t="str">
        <f t="shared" si="1"/>
        <v>OK</v>
      </c>
      <c r="Q129" s="7"/>
      <c r="R129" s="7"/>
      <c r="S129" s="7"/>
      <c r="T129" s="7"/>
      <c r="U129" s="7"/>
      <c r="V129" s="7"/>
      <c r="W129" s="7"/>
      <c r="X129" s="7"/>
      <c r="Y129" s="7"/>
      <c r="Z129" s="7"/>
      <c r="AA129" s="7"/>
      <c r="AB129" s="7"/>
      <c r="AC129" s="7"/>
    </row>
    <row r="130" ht="15.75" hidden="1" customHeight="1">
      <c r="A130" s="8" t="s">
        <v>676</v>
      </c>
      <c r="B130" s="5" t="s">
        <v>14</v>
      </c>
      <c r="C130" s="5" t="s">
        <v>15</v>
      </c>
      <c r="D130" s="5" t="s">
        <v>677</v>
      </c>
      <c r="E130" s="6" t="s">
        <v>680</v>
      </c>
      <c r="F130" s="5" t="s">
        <v>21</v>
      </c>
      <c r="G130" s="5"/>
      <c r="H130" s="5" t="s">
        <v>23</v>
      </c>
      <c r="I130" s="5"/>
      <c r="J130" s="78" t="s">
        <v>133</v>
      </c>
      <c r="K130" s="78"/>
      <c r="L130" s="85"/>
      <c r="M130" s="5"/>
      <c r="N130" s="85"/>
      <c r="O130" s="22"/>
      <c r="P130" s="7" t="str">
        <f t="shared" si="1"/>
        <v>OK</v>
      </c>
      <c r="Q130" s="7"/>
      <c r="R130" s="7"/>
      <c r="S130" s="7"/>
      <c r="T130" s="7"/>
      <c r="U130" s="7"/>
      <c r="V130" s="7"/>
      <c r="W130" s="7"/>
      <c r="X130" s="7"/>
      <c r="Y130" s="7"/>
      <c r="Z130" s="7"/>
      <c r="AA130" s="7"/>
      <c r="AB130" s="7"/>
      <c r="AC130" s="7"/>
    </row>
    <row r="131" ht="15.75" hidden="1" customHeight="1">
      <c r="A131" s="8" t="s">
        <v>681</v>
      </c>
      <c r="B131" s="5" t="s">
        <v>14</v>
      </c>
      <c r="C131" s="5" t="s">
        <v>15</v>
      </c>
      <c r="D131" s="5" t="s">
        <v>682</v>
      </c>
      <c r="E131" s="6" t="s">
        <v>684</v>
      </c>
      <c r="F131" s="5" t="s">
        <v>21</v>
      </c>
      <c r="G131" s="5"/>
      <c r="H131" s="5" t="s">
        <v>30</v>
      </c>
      <c r="I131" s="5"/>
      <c r="J131" s="78" t="s">
        <v>133</v>
      </c>
      <c r="K131" s="78"/>
      <c r="L131" s="85"/>
      <c r="M131" s="5"/>
      <c r="N131" s="85"/>
      <c r="O131" s="22"/>
      <c r="P131" s="7" t="str">
        <f t="shared" si="1"/>
        <v>OK</v>
      </c>
      <c r="Q131" s="7"/>
      <c r="R131" s="7"/>
      <c r="S131" s="7"/>
      <c r="T131" s="7"/>
      <c r="U131" s="7"/>
      <c r="V131" s="7"/>
      <c r="W131" s="7"/>
      <c r="X131" s="7"/>
      <c r="Y131" s="7"/>
      <c r="Z131" s="7"/>
      <c r="AA131" s="7"/>
      <c r="AB131" s="7"/>
      <c r="AC131" s="7"/>
    </row>
    <row r="132" ht="15.75" hidden="1" customHeight="1">
      <c r="A132" s="8" t="s">
        <v>686</v>
      </c>
      <c r="B132" s="5" t="s">
        <v>14</v>
      </c>
      <c r="C132" s="5" t="s">
        <v>15</v>
      </c>
      <c r="D132" s="5" t="s">
        <v>687</v>
      </c>
      <c r="E132" s="6" t="s">
        <v>688</v>
      </c>
      <c r="F132" s="5" t="s">
        <v>21</v>
      </c>
      <c r="G132" s="5"/>
      <c r="H132" s="5" t="s">
        <v>31</v>
      </c>
      <c r="I132" s="5"/>
      <c r="J132" s="78" t="s">
        <v>133</v>
      </c>
      <c r="K132" s="78"/>
      <c r="L132" s="85"/>
      <c r="M132" s="5"/>
      <c r="N132" s="85"/>
      <c r="O132" s="22"/>
      <c r="P132" s="7" t="str">
        <f t="shared" si="1"/>
        <v>OK</v>
      </c>
      <c r="Q132" s="7"/>
      <c r="R132" s="7"/>
      <c r="S132" s="7"/>
      <c r="T132" s="7"/>
      <c r="U132" s="7"/>
      <c r="V132" s="7"/>
      <c r="W132" s="7"/>
      <c r="X132" s="7"/>
      <c r="Y132" s="7"/>
      <c r="Z132" s="7"/>
      <c r="AA132" s="7"/>
      <c r="AB132" s="7"/>
      <c r="AC132" s="7"/>
    </row>
    <row r="133" ht="15.75" hidden="1" customHeight="1">
      <c r="A133" s="8" t="s">
        <v>691</v>
      </c>
      <c r="B133" s="5" t="s">
        <v>14</v>
      </c>
      <c r="C133" s="5" t="s">
        <v>15</v>
      </c>
      <c r="D133" s="5" t="s">
        <v>692</v>
      </c>
      <c r="E133" s="6" t="s">
        <v>695</v>
      </c>
      <c r="F133" s="5" t="s">
        <v>20</v>
      </c>
      <c r="G133" s="5"/>
      <c r="H133" s="5" t="s">
        <v>31</v>
      </c>
      <c r="I133" s="5"/>
      <c r="J133" s="78" t="s">
        <v>133</v>
      </c>
      <c r="K133" s="78"/>
      <c r="L133" s="85"/>
      <c r="M133" s="5"/>
      <c r="N133" s="85"/>
      <c r="O133" s="22"/>
      <c r="P133" s="7" t="str">
        <f t="shared" si="1"/>
        <v>OK</v>
      </c>
      <c r="Q133" s="7"/>
      <c r="R133" s="7"/>
      <c r="S133" s="7"/>
      <c r="T133" s="7"/>
      <c r="U133" s="7"/>
      <c r="V133" s="7"/>
      <c r="W133" s="7"/>
      <c r="X133" s="7"/>
      <c r="Y133" s="7"/>
      <c r="Z133" s="7"/>
      <c r="AA133" s="7"/>
      <c r="AB133" s="7"/>
      <c r="AC133" s="7"/>
    </row>
    <row r="134" ht="15.75" hidden="1" customHeight="1">
      <c r="A134" s="8" t="s">
        <v>696</v>
      </c>
      <c r="B134" s="5" t="s">
        <v>14</v>
      </c>
      <c r="C134" s="5" t="s">
        <v>15</v>
      </c>
      <c r="D134" s="5" t="s">
        <v>697</v>
      </c>
      <c r="E134" s="6" t="s">
        <v>698</v>
      </c>
      <c r="F134" s="5" t="s">
        <v>21</v>
      </c>
      <c r="G134" s="5"/>
      <c r="H134" s="5" t="s">
        <v>68</v>
      </c>
      <c r="I134" s="5"/>
      <c r="J134" s="78" t="s">
        <v>133</v>
      </c>
      <c r="K134" s="78"/>
      <c r="L134" s="85"/>
      <c r="M134" s="5"/>
      <c r="N134" s="85"/>
      <c r="O134" s="22"/>
      <c r="P134" s="7" t="str">
        <f t="shared" si="1"/>
        <v>OK</v>
      </c>
      <c r="Q134" s="7"/>
      <c r="R134" s="7"/>
      <c r="S134" s="7"/>
      <c r="T134" s="7"/>
      <c r="U134" s="7"/>
      <c r="V134" s="7"/>
      <c r="W134" s="7"/>
      <c r="X134" s="7"/>
      <c r="Y134" s="7"/>
      <c r="Z134" s="7"/>
      <c r="AA134" s="7"/>
      <c r="AB134" s="7"/>
      <c r="AC134" s="7"/>
    </row>
    <row r="135" ht="15.75" hidden="1" customHeight="1">
      <c r="A135" s="8" t="s">
        <v>701</v>
      </c>
      <c r="B135" s="5" t="s">
        <v>14</v>
      </c>
      <c r="C135" s="5" t="s">
        <v>15</v>
      </c>
      <c r="D135" s="5" t="s">
        <v>702</v>
      </c>
      <c r="E135" s="6" t="s">
        <v>705</v>
      </c>
      <c r="F135" s="5" t="s">
        <v>45</v>
      </c>
      <c r="G135" s="5"/>
      <c r="H135" s="5" t="s">
        <v>111</v>
      </c>
      <c r="I135" s="5"/>
      <c r="J135" s="78" t="s">
        <v>133</v>
      </c>
      <c r="K135" s="78"/>
      <c r="L135" s="85"/>
      <c r="M135" s="5"/>
      <c r="N135" s="85"/>
      <c r="O135" s="22"/>
      <c r="P135" s="7" t="str">
        <f t="shared" si="1"/>
        <v>OK</v>
      </c>
      <c r="Q135" s="7"/>
      <c r="R135" s="7"/>
      <c r="S135" s="7"/>
      <c r="T135" s="7"/>
      <c r="U135" s="7"/>
      <c r="V135" s="7"/>
      <c r="W135" s="7"/>
      <c r="X135" s="7"/>
      <c r="Y135" s="7"/>
      <c r="Z135" s="7"/>
      <c r="AA135" s="7"/>
      <c r="AB135" s="7"/>
      <c r="AC135" s="7"/>
    </row>
    <row r="136" ht="15.75" hidden="1" customHeight="1">
      <c r="A136" s="8" t="s">
        <v>706</v>
      </c>
      <c r="B136" s="5" t="s">
        <v>14</v>
      </c>
      <c r="C136" s="5" t="s">
        <v>15</v>
      </c>
      <c r="D136" s="5" t="s">
        <v>707</v>
      </c>
      <c r="E136" s="6" t="s">
        <v>710</v>
      </c>
      <c r="F136" s="5" t="s">
        <v>74</v>
      </c>
      <c r="G136" s="5"/>
      <c r="H136" s="5" t="s">
        <v>68</v>
      </c>
      <c r="I136" s="5"/>
      <c r="J136" s="78" t="s">
        <v>133</v>
      </c>
      <c r="K136" s="74" t="s">
        <v>15</v>
      </c>
      <c r="L136" s="10" t="s">
        <v>74</v>
      </c>
      <c r="M136" s="5" t="s">
        <v>21</v>
      </c>
      <c r="N136" s="10" t="s">
        <v>68</v>
      </c>
      <c r="O136" s="84" t="s">
        <v>39</v>
      </c>
      <c r="P136" s="7" t="str">
        <f t="shared" si="1"/>
        <v>OK</v>
      </c>
      <c r="Q136" s="7"/>
      <c r="R136" s="7"/>
      <c r="S136" s="7"/>
      <c r="T136" s="7"/>
      <c r="U136" s="7"/>
      <c r="V136" s="7"/>
      <c r="W136" s="7"/>
      <c r="X136" s="7"/>
      <c r="Y136" s="7"/>
      <c r="Z136" s="7"/>
      <c r="AA136" s="7"/>
      <c r="AB136" s="7"/>
      <c r="AC136" s="7"/>
    </row>
    <row r="137" ht="15.75" hidden="1" customHeight="1">
      <c r="A137" s="8" t="s">
        <v>711</v>
      </c>
      <c r="B137" s="5" t="s">
        <v>14</v>
      </c>
      <c r="C137" s="5" t="s">
        <v>15</v>
      </c>
      <c r="D137" s="5" t="s">
        <v>712</v>
      </c>
      <c r="E137" s="6" t="s">
        <v>714</v>
      </c>
      <c r="F137" s="5" t="s">
        <v>37</v>
      </c>
      <c r="G137" s="5"/>
      <c r="H137" s="5" t="s">
        <v>22</v>
      </c>
      <c r="I137" s="5"/>
      <c r="J137" s="78" t="s">
        <v>133</v>
      </c>
      <c r="K137" s="78"/>
      <c r="L137" s="85"/>
      <c r="M137" s="5"/>
      <c r="N137" s="85"/>
      <c r="O137" s="22"/>
      <c r="P137" s="7" t="str">
        <f t="shared" si="1"/>
        <v>OK</v>
      </c>
      <c r="Q137" s="7"/>
      <c r="R137" s="7"/>
      <c r="S137" s="7"/>
      <c r="T137" s="7"/>
      <c r="U137" s="7"/>
      <c r="V137" s="7"/>
      <c r="W137" s="7"/>
      <c r="X137" s="7"/>
      <c r="Y137" s="7"/>
      <c r="Z137" s="7"/>
      <c r="AA137" s="7"/>
      <c r="AB137" s="7"/>
      <c r="AC137" s="7"/>
    </row>
    <row r="138" ht="15.75" hidden="1" customHeight="1">
      <c r="A138" s="8" t="s">
        <v>716</v>
      </c>
      <c r="B138" s="5" t="s">
        <v>14</v>
      </c>
      <c r="C138" s="5" t="s">
        <v>15</v>
      </c>
      <c r="D138" s="5" t="s">
        <v>717</v>
      </c>
      <c r="E138" s="6" t="s">
        <v>720</v>
      </c>
      <c r="F138" s="5" t="s">
        <v>51</v>
      </c>
      <c r="G138" s="5"/>
      <c r="H138" s="5" t="s">
        <v>22</v>
      </c>
      <c r="I138" s="5"/>
      <c r="J138" s="78" t="s">
        <v>133</v>
      </c>
      <c r="K138" s="74" t="s">
        <v>15</v>
      </c>
      <c r="L138" s="10" t="s">
        <v>51</v>
      </c>
      <c r="M138" s="5" t="s">
        <v>38</v>
      </c>
      <c r="N138" s="10" t="s">
        <v>22</v>
      </c>
      <c r="O138" s="84" t="s">
        <v>39</v>
      </c>
      <c r="P138" s="7" t="str">
        <f t="shared" si="1"/>
        <v>OK</v>
      </c>
      <c r="Q138" s="7"/>
      <c r="R138" s="7"/>
      <c r="S138" s="7"/>
      <c r="T138" s="7"/>
      <c r="U138" s="7"/>
      <c r="V138" s="7"/>
      <c r="W138" s="7"/>
      <c r="X138" s="7"/>
      <c r="Y138" s="7"/>
      <c r="Z138" s="7"/>
      <c r="AA138" s="7"/>
      <c r="AB138" s="7"/>
      <c r="AC138" s="7"/>
    </row>
    <row r="139" ht="15.75" hidden="1" customHeight="1">
      <c r="A139" s="8" t="s">
        <v>721</v>
      </c>
      <c r="B139" s="5" t="s">
        <v>14</v>
      </c>
      <c r="C139" s="5" t="s">
        <v>15</v>
      </c>
      <c r="D139" s="5" t="s">
        <v>722</v>
      </c>
      <c r="E139" s="6" t="s">
        <v>725</v>
      </c>
      <c r="F139" s="5" t="s">
        <v>21</v>
      </c>
      <c r="G139" s="5"/>
      <c r="H139" s="5" t="s">
        <v>31</v>
      </c>
      <c r="I139" s="5"/>
      <c r="J139" s="78" t="s">
        <v>133</v>
      </c>
      <c r="K139" s="78"/>
      <c r="L139" s="85"/>
      <c r="M139" s="5"/>
      <c r="N139" s="85"/>
      <c r="O139" s="22"/>
      <c r="P139" s="7" t="str">
        <f t="shared" si="1"/>
        <v>OK</v>
      </c>
      <c r="Q139" s="7"/>
      <c r="R139" s="7"/>
      <c r="S139" s="7"/>
      <c r="T139" s="7"/>
      <c r="U139" s="7"/>
      <c r="V139" s="7"/>
      <c r="W139" s="7"/>
      <c r="X139" s="7"/>
      <c r="Y139" s="7"/>
      <c r="Z139" s="7"/>
      <c r="AA139" s="7"/>
      <c r="AB139" s="7"/>
      <c r="AC139" s="7"/>
    </row>
    <row r="140" ht="15.75" hidden="1" customHeight="1">
      <c r="A140" s="8" t="s">
        <v>726</v>
      </c>
      <c r="B140" s="5" t="s">
        <v>14</v>
      </c>
      <c r="C140" s="5" t="s">
        <v>15</v>
      </c>
      <c r="D140" s="5" t="s">
        <v>727</v>
      </c>
      <c r="E140" s="6" t="s">
        <v>729</v>
      </c>
      <c r="F140" s="5" t="s">
        <v>21</v>
      </c>
      <c r="G140" s="5"/>
      <c r="H140" s="5" t="s">
        <v>23</v>
      </c>
      <c r="I140" s="5"/>
      <c r="J140" s="78" t="s">
        <v>133</v>
      </c>
      <c r="K140" s="78"/>
      <c r="L140" s="85"/>
      <c r="M140" s="5"/>
      <c r="N140" s="85"/>
      <c r="O140" s="22"/>
      <c r="P140" s="7" t="str">
        <f t="shared" si="1"/>
        <v>OK</v>
      </c>
      <c r="Q140" s="7"/>
      <c r="R140" s="7"/>
      <c r="S140" s="7"/>
      <c r="T140" s="7"/>
      <c r="U140" s="7"/>
      <c r="V140" s="7"/>
      <c r="W140" s="7"/>
      <c r="X140" s="7"/>
      <c r="Y140" s="7"/>
      <c r="Z140" s="7"/>
      <c r="AA140" s="7"/>
      <c r="AB140" s="7"/>
      <c r="AC140" s="7"/>
    </row>
    <row r="141" ht="15.75" hidden="1" customHeight="1">
      <c r="A141" s="8" t="s">
        <v>731</v>
      </c>
      <c r="B141" s="5" t="s">
        <v>14</v>
      </c>
      <c r="C141" s="5" t="s">
        <v>15</v>
      </c>
      <c r="D141" s="5" t="s">
        <v>732</v>
      </c>
      <c r="E141" s="6" t="s">
        <v>735</v>
      </c>
      <c r="F141" s="5" t="s">
        <v>20</v>
      </c>
      <c r="G141" s="5"/>
      <c r="H141" s="5" t="s">
        <v>68</v>
      </c>
      <c r="I141" s="5"/>
      <c r="J141" s="78" t="s">
        <v>133</v>
      </c>
      <c r="K141" s="78"/>
      <c r="L141" s="85"/>
      <c r="M141" s="5"/>
      <c r="N141" s="85"/>
      <c r="O141" s="22"/>
      <c r="P141" s="7" t="str">
        <f t="shared" si="1"/>
        <v>OK</v>
      </c>
      <c r="Q141" s="7"/>
      <c r="R141" s="7"/>
      <c r="S141" s="7"/>
      <c r="T141" s="7"/>
      <c r="U141" s="7"/>
      <c r="V141" s="7"/>
      <c r="W141" s="7"/>
      <c r="X141" s="7"/>
      <c r="Y141" s="7"/>
      <c r="Z141" s="7"/>
      <c r="AA141" s="7"/>
      <c r="AB141" s="7"/>
      <c r="AC141" s="7"/>
    </row>
    <row r="142" ht="15.75" hidden="1" customHeight="1">
      <c r="A142" s="8" t="s">
        <v>736</v>
      </c>
      <c r="B142" s="5" t="s">
        <v>14</v>
      </c>
      <c r="C142" s="5" t="s">
        <v>15</v>
      </c>
      <c r="D142" s="5" t="s">
        <v>737</v>
      </c>
      <c r="E142" s="6" t="s">
        <v>740</v>
      </c>
      <c r="F142" s="5" t="s">
        <v>37</v>
      </c>
      <c r="G142" s="5"/>
      <c r="H142" s="5" t="s">
        <v>111</v>
      </c>
      <c r="I142" s="5"/>
      <c r="J142" s="78" t="s">
        <v>133</v>
      </c>
      <c r="K142" s="74" t="s">
        <v>15</v>
      </c>
      <c r="L142" s="10" t="s">
        <v>37</v>
      </c>
      <c r="M142" s="5" t="s">
        <v>29</v>
      </c>
      <c r="N142" s="10" t="s">
        <v>111</v>
      </c>
      <c r="O142" s="84" t="s">
        <v>30</v>
      </c>
      <c r="P142" s="7" t="str">
        <f t="shared" si="1"/>
        <v>OK</v>
      </c>
      <c r="Q142" s="7"/>
      <c r="R142" s="7"/>
      <c r="S142" s="7"/>
      <c r="T142" s="7"/>
      <c r="U142" s="7"/>
      <c r="V142" s="7"/>
      <c r="W142" s="7"/>
      <c r="X142" s="7"/>
      <c r="Y142" s="7"/>
      <c r="Z142" s="7"/>
      <c r="AA142" s="7"/>
      <c r="AB142" s="7"/>
      <c r="AC142" s="7"/>
    </row>
    <row r="143" ht="15.75" hidden="1" customHeight="1">
      <c r="A143" s="8" t="s">
        <v>741</v>
      </c>
      <c r="B143" s="5" t="s">
        <v>14</v>
      </c>
      <c r="C143" s="5" t="s">
        <v>15</v>
      </c>
      <c r="D143" s="5" t="s">
        <v>742</v>
      </c>
      <c r="E143" s="6" t="s">
        <v>744</v>
      </c>
      <c r="F143" s="5" t="s">
        <v>74</v>
      </c>
      <c r="G143" s="5"/>
      <c r="H143" s="5" t="s">
        <v>75</v>
      </c>
      <c r="I143" s="5"/>
      <c r="J143" s="78" t="s">
        <v>133</v>
      </c>
      <c r="K143" s="78"/>
      <c r="L143" s="85"/>
      <c r="M143" s="5"/>
      <c r="N143" s="85"/>
      <c r="O143" s="22"/>
      <c r="P143" s="7" t="str">
        <f t="shared" si="1"/>
        <v>OK</v>
      </c>
      <c r="Q143" s="7"/>
      <c r="R143" s="7"/>
      <c r="S143" s="7"/>
      <c r="T143" s="7"/>
      <c r="U143" s="7"/>
      <c r="V143" s="7"/>
      <c r="W143" s="7"/>
      <c r="X143" s="7"/>
      <c r="Y143" s="7"/>
      <c r="Z143" s="7"/>
      <c r="AA143" s="7"/>
      <c r="AB143" s="7"/>
      <c r="AC143" s="7"/>
    </row>
    <row r="144" ht="15.75" hidden="1" customHeight="1">
      <c r="A144" s="8" t="s">
        <v>746</v>
      </c>
      <c r="B144" s="5" t="s">
        <v>14</v>
      </c>
      <c r="C144" s="5" t="s">
        <v>15</v>
      </c>
      <c r="D144" s="5" t="s">
        <v>747</v>
      </c>
      <c r="E144" s="6" t="s">
        <v>748</v>
      </c>
      <c r="F144" s="5" t="s">
        <v>38</v>
      </c>
      <c r="G144" s="5"/>
      <c r="H144" s="5" t="s">
        <v>22</v>
      </c>
      <c r="I144" s="5"/>
      <c r="J144" s="78" t="s">
        <v>133</v>
      </c>
      <c r="K144" s="78"/>
      <c r="L144" s="85"/>
      <c r="M144" s="5"/>
      <c r="N144" s="85"/>
      <c r="O144" s="22"/>
      <c r="P144" s="7" t="str">
        <f t="shared" si="1"/>
        <v>OK</v>
      </c>
      <c r="Q144" s="7"/>
      <c r="R144" s="7"/>
      <c r="S144" s="7"/>
      <c r="T144" s="7"/>
      <c r="U144" s="7"/>
      <c r="V144" s="7"/>
      <c r="W144" s="7"/>
      <c r="X144" s="7"/>
      <c r="Y144" s="7"/>
      <c r="Z144" s="7"/>
      <c r="AA144" s="7"/>
      <c r="AB144" s="7"/>
      <c r="AC144" s="7"/>
    </row>
    <row r="145" ht="15.75" hidden="1" customHeight="1">
      <c r="A145" s="8" t="s">
        <v>751</v>
      </c>
      <c r="B145" s="5" t="s">
        <v>14</v>
      </c>
      <c r="C145" s="5" t="s">
        <v>15</v>
      </c>
      <c r="D145" s="5" t="s">
        <v>752</v>
      </c>
      <c r="E145" s="6" t="s">
        <v>753</v>
      </c>
      <c r="F145" s="5" t="s">
        <v>29</v>
      </c>
      <c r="G145" s="5"/>
      <c r="H145" s="5" t="s">
        <v>39</v>
      </c>
      <c r="I145" s="5"/>
      <c r="J145" s="74" t="s">
        <v>133</v>
      </c>
      <c r="K145" s="74" t="s">
        <v>15</v>
      </c>
      <c r="L145" s="10" t="s">
        <v>29</v>
      </c>
      <c r="M145" s="5" t="s">
        <v>45</v>
      </c>
      <c r="N145" s="10" t="s">
        <v>39</v>
      </c>
      <c r="O145" s="84" t="s">
        <v>30</v>
      </c>
      <c r="P145" s="7" t="str">
        <f t="shared" si="1"/>
        <v>OK</v>
      </c>
      <c r="Q145" s="7"/>
      <c r="R145" s="7"/>
      <c r="S145" s="7"/>
      <c r="T145" s="7"/>
      <c r="U145" s="7"/>
      <c r="V145" s="7"/>
      <c r="W145" s="7"/>
      <c r="X145" s="7"/>
      <c r="Y145" s="7"/>
      <c r="Z145" s="7"/>
      <c r="AA145" s="7"/>
      <c r="AB145" s="7"/>
      <c r="AC145" s="7"/>
    </row>
    <row r="146" ht="15.75" customHeight="1">
      <c r="A146" s="8" t="s">
        <v>756</v>
      </c>
      <c r="B146" s="5" t="s">
        <v>133</v>
      </c>
      <c r="C146" s="5" t="s">
        <v>15</v>
      </c>
      <c r="D146" s="5" t="s">
        <v>757</v>
      </c>
      <c r="E146" s="5" t="s">
        <v>760</v>
      </c>
      <c r="F146" s="5" t="s">
        <v>29</v>
      </c>
      <c r="G146" s="5"/>
      <c r="H146" s="5" t="s">
        <v>30</v>
      </c>
      <c r="I146" s="5"/>
      <c r="J146" s="78" t="s">
        <v>14</v>
      </c>
      <c r="K146" s="78"/>
      <c r="L146" s="85"/>
      <c r="M146" s="5"/>
      <c r="N146" s="85"/>
      <c r="O146" s="22"/>
      <c r="P146" s="7" t="str">
        <f t="shared" si="1"/>
        <v>OK</v>
      </c>
      <c r="Q146" s="7"/>
      <c r="R146" s="7"/>
      <c r="S146" s="7"/>
      <c r="T146" s="7"/>
      <c r="U146" s="7"/>
      <c r="V146" s="7"/>
      <c r="W146" s="7"/>
      <c r="X146" s="7"/>
      <c r="Y146" s="7"/>
      <c r="Z146" s="7"/>
      <c r="AA146" s="7"/>
      <c r="AB146" s="7"/>
      <c r="AC146" s="7"/>
    </row>
    <row r="147" ht="15.75" customHeight="1">
      <c r="A147" s="11" t="s">
        <v>761</v>
      </c>
      <c r="B147" s="5" t="s">
        <v>133</v>
      </c>
      <c r="C147" s="5" t="s">
        <v>15</v>
      </c>
      <c r="D147" s="5" t="s">
        <v>762</v>
      </c>
      <c r="E147" s="5" t="s">
        <v>765</v>
      </c>
      <c r="F147" s="5" t="s">
        <v>51</v>
      </c>
      <c r="G147" s="5"/>
      <c r="H147" s="5" t="s">
        <v>39</v>
      </c>
      <c r="I147" s="5"/>
      <c r="J147" s="78" t="s">
        <v>14</v>
      </c>
      <c r="K147" s="78"/>
      <c r="L147" s="85"/>
      <c r="M147" s="5"/>
      <c r="N147" s="85"/>
      <c r="O147" s="22"/>
      <c r="P147" s="7" t="str">
        <f t="shared" si="1"/>
        <v>OK</v>
      </c>
      <c r="Q147" s="7"/>
      <c r="R147" s="7"/>
      <c r="S147" s="7"/>
      <c r="T147" s="7"/>
      <c r="U147" s="7"/>
      <c r="V147" s="7"/>
      <c r="W147" s="7"/>
      <c r="X147" s="7"/>
      <c r="Y147" s="7"/>
      <c r="Z147" s="7"/>
      <c r="AA147" s="7"/>
      <c r="AB147" s="7"/>
      <c r="AC147" s="7"/>
    </row>
    <row r="148" ht="15.75" customHeight="1">
      <c r="A148" s="11" t="s">
        <v>766</v>
      </c>
      <c r="B148" s="5" t="s">
        <v>133</v>
      </c>
      <c r="C148" s="5" t="s">
        <v>15</v>
      </c>
      <c r="D148" s="5" t="s">
        <v>767</v>
      </c>
      <c r="E148" s="5" t="s">
        <v>770</v>
      </c>
      <c r="F148" s="5" t="s">
        <v>51</v>
      </c>
      <c r="G148" s="5"/>
      <c r="H148" s="5" t="s">
        <v>22</v>
      </c>
      <c r="I148" s="5"/>
      <c r="J148" s="78" t="s">
        <v>14</v>
      </c>
      <c r="K148" s="78"/>
      <c r="L148" s="85"/>
      <c r="M148" s="5"/>
      <c r="N148" s="85"/>
      <c r="O148" s="22"/>
      <c r="P148" s="7" t="str">
        <f t="shared" si="1"/>
        <v>OK</v>
      </c>
      <c r="Q148" s="7"/>
      <c r="R148" s="7"/>
      <c r="S148" s="7"/>
      <c r="T148" s="7"/>
      <c r="U148" s="7"/>
      <c r="V148" s="7"/>
      <c r="W148" s="7"/>
      <c r="X148" s="7"/>
      <c r="Y148" s="7"/>
      <c r="Z148" s="7"/>
      <c r="AA148" s="7"/>
      <c r="AB148" s="7"/>
      <c r="AC148" s="7"/>
    </row>
    <row r="149" ht="15.75" customHeight="1">
      <c r="A149" s="11" t="s">
        <v>771</v>
      </c>
      <c r="B149" s="5" t="s">
        <v>133</v>
      </c>
      <c r="C149" s="5" t="s">
        <v>15</v>
      </c>
      <c r="D149" s="5" t="s">
        <v>772</v>
      </c>
      <c r="E149" s="5" t="s">
        <v>774</v>
      </c>
      <c r="F149" s="5" t="s">
        <v>51</v>
      </c>
      <c r="G149" s="5"/>
      <c r="H149" s="5" t="s">
        <v>39</v>
      </c>
      <c r="I149" s="5"/>
      <c r="J149" s="78" t="s">
        <v>14</v>
      </c>
      <c r="K149" s="78"/>
      <c r="L149" s="85"/>
      <c r="M149" s="5"/>
      <c r="N149" s="85"/>
      <c r="O149" s="22"/>
      <c r="P149" s="7" t="str">
        <f t="shared" si="1"/>
        <v>OK</v>
      </c>
      <c r="Q149" s="7"/>
      <c r="R149" s="7"/>
      <c r="S149" s="7"/>
      <c r="T149" s="7"/>
      <c r="U149" s="7"/>
      <c r="V149" s="7"/>
      <c r="W149" s="7"/>
      <c r="X149" s="7"/>
      <c r="Y149" s="7"/>
      <c r="Z149" s="7"/>
      <c r="AA149" s="7"/>
      <c r="AB149" s="7"/>
      <c r="AC149" s="7"/>
    </row>
    <row r="150" ht="15.75" customHeight="1">
      <c r="A150" s="11" t="s">
        <v>776</v>
      </c>
      <c r="B150" s="5" t="s">
        <v>133</v>
      </c>
      <c r="C150" s="5" t="s">
        <v>15</v>
      </c>
      <c r="D150" s="5" t="s">
        <v>777</v>
      </c>
      <c r="E150" s="5" t="s">
        <v>780</v>
      </c>
      <c r="F150" s="5" t="s">
        <v>51</v>
      </c>
      <c r="G150" s="5"/>
      <c r="H150" s="5" t="s">
        <v>22</v>
      </c>
      <c r="I150" s="5"/>
      <c r="J150" s="78" t="s">
        <v>14</v>
      </c>
      <c r="K150" s="78"/>
      <c r="L150" s="85"/>
      <c r="M150" s="5"/>
      <c r="N150" s="85"/>
      <c r="O150" s="22"/>
      <c r="P150" s="7" t="str">
        <f t="shared" si="1"/>
        <v>OK</v>
      </c>
      <c r="Q150" s="7"/>
      <c r="R150" s="7"/>
      <c r="S150" s="7"/>
      <c r="T150" s="7"/>
      <c r="U150" s="7"/>
      <c r="V150" s="7"/>
      <c r="W150" s="7"/>
      <c r="X150" s="7"/>
      <c r="Y150" s="7"/>
      <c r="Z150" s="7"/>
      <c r="AA150" s="7"/>
      <c r="AB150" s="7"/>
      <c r="AC150" s="7"/>
    </row>
    <row r="151" ht="15.75" customHeight="1">
      <c r="A151" s="11" t="s">
        <v>781</v>
      </c>
      <c r="B151" s="5" t="s">
        <v>133</v>
      </c>
      <c r="C151" s="5" t="s">
        <v>15</v>
      </c>
      <c r="D151" s="5" t="s">
        <v>782</v>
      </c>
      <c r="E151" s="5" t="s">
        <v>785</v>
      </c>
      <c r="F151" s="5" t="s">
        <v>38</v>
      </c>
      <c r="G151" s="5"/>
      <c r="H151" s="5" t="s">
        <v>111</v>
      </c>
      <c r="I151" s="5"/>
      <c r="J151" s="78" t="s">
        <v>14</v>
      </c>
      <c r="K151" s="78"/>
      <c r="L151" s="85"/>
      <c r="M151" s="5"/>
      <c r="N151" s="85"/>
      <c r="O151" s="22"/>
      <c r="P151" s="7" t="str">
        <f t="shared" si="1"/>
        <v>OK</v>
      </c>
      <c r="Q151" s="7"/>
      <c r="R151" s="7"/>
      <c r="S151" s="7"/>
      <c r="T151" s="7"/>
      <c r="U151" s="7"/>
      <c r="V151" s="7"/>
      <c r="W151" s="7"/>
      <c r="X151" s="7"/>
      <c r="Y151" s="7"/>
      <c r="Z151" s="7"/>
      <c r="AA151" s="7"/>
      <c r="AB151" s="7"/>
      <c r="AC151" s="7"/>
    </row>
    <row r="152" ht="15.75" customHeight="1">
      <c r="A152" s="11" t="s">
        <v>786</v>
      </c>
      <c r="B152" s="5" t="s">
        <v>133</v>
      </c>
      <c r="C152" s="5" t="s">
        <v>15</v>
      </c>
      <c r="D152" s="5" t="s">
        <v>787</v>
      </c>
      <c r="E152" s="5" t="s">
        <v>789</v>
      </c>
      <c r="F152" s="5" t="s">
        <v>51</v>
      </c>
      <c r="G152" s="5"/>
      <c r="H152" s="5" t="s">
        <v>39</v>
      </c>
      <c r="I152" s="5"/>
      <c r="J152" s="78" t="s">
        <v>14</v>
      </c>
      <c r="K152" s="78"/>
      <c r="L152" s="85"/>
      <c r="M152" s="5"/>
      <c r="N152" s="85"/>
      <c r="O152" s="22"/>
      <c r="P152" s="7" t="str">
        <f t="shared" si="1"/>
        <v>OK</v>
      </c>
      <c r="Q152" s="7"/>
      <c r="R152" s="7"/>
      <c r="S152" s="7"/>
      <c r="T152" s="7"/>
      <c r="U152" s="7"/>
      <c r="V152" s="7"/>
      <c r="W152" s="7"/>
      <c r="X152" s="7"/>
      <c r="Y152" s="7"/>
      <c r="Z152" s="7"/>
      <c r="AA152" s="7"/>
      <c r="AB152" s="7"/>
      <c r="AC152" s="7"/>
    </row>
    <row r="153" ht="15.75" customHeight="1">
      <c r="A153" s="11" t="s">
        <v>791</v>
      </c>
      <c r="B153" s="5" t="s">
        <v>133</v>
      </c>
      <c r="C153" s="5" t="s">
        <v>15</v>
      </c>
      <c r="D153" s="5" t="s">
        <v>792</v>
      </c>
      <c r="E153" s="5" t="s">
        <v>795</v>
      </c>
      <c r="F153" s="5" t="s">
        <v>38</v>
      </c>
      <c r="G153" s="5"/>
      <c r="H153" s="5" t="s">
        <v>75</v>
      </c>
      <c r="I153" s="5"/>
      <c r="J153" s="78" t="s">
        <v>14</v>
      </c>
      <c r="K153" s="78"/>
      <c r="L153" s="85"/>
      <c r="M153" s="5"/>
      <c r="N153" s="85"/>
      <c r="O153" s="22"/>
      <c r="P153" s="7" t="str">
        <f t="shared" si="1"/>
        <v>OK</v>
      </c>
      <c r="Q153" s="7"/>
      <c r="R153" s="7"/>
      <c r="S153" s="7"/>
      <c r="T153" s="7"/>
      <c r="U153" s="7"/>
      <c r="V153" s="7"/>
      <c r="W153" s="7"/>
      <c r="X153" s="7"/>
      <c r="Y153" s="7"/>
      <c r="Z153" s="7"/>
      <c r="AA153" s="7"/>
      <c r="AB153" s="7"/>
      <c r="AC153" s="7"/>
    </row>
    <row r="154" ht="15.75" customHeight="1">
      <c r="A154" s="11" t="s">
        <v>796</v>
      </c>
      <c r="B154" s="5" t="s">
        <v>133</v>
      </c>
      <c r="C154" s="5" t="s">
        <v>15</v>
      </c>
      <c r="D154" s="5" t="s">
        <v>797</v>
      </c>
      <c r="E154" s="5" t="s">
        <v>800</v>
      </c>
      <c r="F154" s="5" t="s">
        <v>21</v>
      </c>
      <c r="G154" s="5"/>
      <c r="H154" s="5" t="s">
        <v>75</v>
      </c>
      <c r="I154" s="5"/>
      <c r="J154" s="78" t="s">
        <v>14</v>
      </c>
      <c r="K154" s="78"/>
      <c r="L154" s="85"/>
      <c r="M154" s="5"/>
      <c r="N154" s="85"/>
      <c r="O154" s="22"/>
      <c r="P154" s="7" t="str">
        <f t="shared" si="1"/>
        <v>OK</v>
      </c>
      <c r="Q154" s="7"/>
      <c r="R154" s="7"/>
      <c r="S154" s="7"/>
      <c r="T154" s="7"/>
      <c r="U154" s="7"/>
      <c r="V154" s="7"/>
      <c r="W154" s="7"/>
      <c r="X154" s="7"/>
      <c r="Y154" s="7"/>
      <c r="Z154" s="7"/>
      <c r="AA154" s="7"/>
      <c r="AB154" s="7"/>
      <c r="AC154" s="7"/>
    </row>
    <row r="155" ht="15.75" customHeight="1">
      <c r="A155" s="11" t="s">
        <v>801</v>
      </c>
      <c r="B155" s="5" t="s">
        <v>133</v>
      </c>
      <c r="C155" s="5" t="s">
        <v>15</v>
      </c>
      <c r="D155" s="5" t="s">
        <v>802</v>
      </c>
      <c r="E155" s="5" t="s">
        <v>804</v>
      </c>
      <c r="F155" s="5" t="s">
        <v>38</v>
      </c>
      <c r="G155" s="5"/>
      <c r="H155" s="5" t="s">
        <v>52</v>
      </c>
      <c r="I155" s="5"/>
      <c r="J155" s="78" t="s">
        <v>14</v>
      </c>
      <c r="K155" s="78"/>
      <c r="L155" s="85"/>
      <c r="M155" s="5"/>
      <c r="N155" s="85"/>
      <c r="O155" s="22"/>
      <c r="P155" s="7" t="str">
        <f t="shared" si="1"/>
        <v>OK</v>
      </c>
      <c r="Q155" s="7"/>
      <c r="R155" s="7"/>
      <c r="S155" s="7"/>
      <c r="T155" s="7"/>
      <c r="U155" s="7"/>
      <c r="V155" s="7"/>
      <c r="W155" s="7"/>
      <c r="X155" s="7"/>
      <c r="Y155" s="7"/>
      <c r="Z155" s="7"/>
      <c r="AA155" s="7"/>
      <c r="AB155" s="7"/>
      <c r="AC155" s="7"/>
    </row>
    <row r="156" ht="15.75" customHeight="1">
      <c r="A156" s="11" t="s">
        <v>806</v>
      </c>
      <c r="B156" s="5" t="s">
        <v>133</v>
      </c>
      <c r="C156" s="5" t="s">
        <v>15</v>
      </c>
      <c r="D156" s="5" t="s">
        <v>807</v>
      </c>
      <c r="E156" s="12" t="s">
        <v>810</v>
      </c>
      <c r="F156" s="5" t="s">
        <v>51</v>
      </c>
      <c r="G156" s="5"/>
      <c r="H156" s="5" t="s">
        <v>52</v>
      </c>
      <c r="I156" s="5"/>
      <c r="J156" s="78" t="s">
        <v>14</v>
      </c>
      <c r="K156" s="78"/>
      <c r="L156" s="85"/>
      <c r="M156" s="5"/>
      <c r="N156" s="85"/>
      <c r="O156" s="22"/>
      <c r="P156" s="7" t="str">
        <f t="shared" si="1"/>
        <v>OK</v>
      </c>
      <c r="Q156" s="7"/>
      <c r="R156" s="7"/>
      <c r="S156" s="7"/>
      <c r="T156" s="7"/>
      <c r="U156" s="7"/>
      <c r="V156" s="7"/>
      <c r="W156" s="7"/>
      <c r="X156" s="7"/>
      <c r="Y156" s="7"/>
      <c r="Z156" s="7"/>
      <c r="AA156" s="7"/>
      <c r="AB156" s="7"/>
      <c r="AC156" s="7"/>
    </row>
    <row r="157" ht="15.75" customHeight="1">
      <c r="A157" s="11" t="s">
        <v>811</v>
      </c>
      <c r="B157" s="5" t="s">
        <v>133</v>
      </c>
      <c r="C157" s="5" t="s">
        <v>15</v>
      </c>
      <c r="D157" s="5" t="s">
        <v>812</v>
      </c>
      <c r="E157" s="5" t="s">
        <v>815</v>
      </c>
      <c r="F157" s="5" t="s">
        <v>38</v>
      </c>
      <c r="G157" s="5"/>
      <c r="H157" s="5" t="s">
        <v>39</v>
      </c>
      <c r="I157" s="5"/>
      <c r="J157" s="78" t="s">
        <v>14</v>
      </c>
      <c r="K157" s="78"/>
      <c r="L157" s="85"/>
      <c r="M157" s="5"/>
      <c r="N157" s="85"/>
      <c r="O157" s="22"/>
      <c r="P157" s="7" t="str">
        <f t="shared" si="1"/>
        <v>OK</v>
      </c>
      <c r="Q157" s="7"/>
      <c r="R157" s="7"/>
      <c r="S157" s="7"/>
      <c r="T157" s="7"/>
      <c r="U157" s="7"/>
      <c r="V157" s="7"/>
      <c r="W157" s="7"/>
      <c r="X157" s="7"/>
      <c r="Y157" s="7"/>
      <c r="Z157" s="7"/>
      <c r="AA157" s="7"/>
      <c r="AB157" s="7"/>
      <c r="AC157" s="7"/>
    </row>
    <row r="158" ht="15.75" customHeight="1">
      <c r="A158" s="11" t="s">
        <v>816</v>
      </c>
      <c r="B158" s="5" t="s">
        <v>133</v>
      </c>
      <c r="C158" s="5" t="s">
        <v>15</v>
      </c>
      <c r="D158" s="5" t="s">
        <v>817</v>
      </c>
      <c r="E158" s="5" t="s">
        <v>821</v>
      </c>
      <c r="F158" s="5" t="s">
        <v>29</v>
      </c>
      <c r="G158" s="5"/>
      <c r="H158" s="5" t="s">
        <v>23</v>
      </c>
      <c r="I158" s="5"/>
      <c r="J158" s="78" t="s">
        <v>14</v>
      </c>
      <c r="K158" s="78"/>
      <c r="L158" s="85"/>
      <c r="M158" s="5"/>
      <c r="N158" s="85"/>
      <c r="O158" s="22"/>
      <c r="P158" s="7" t="str">
        <f t="shared" si="1"/>
        <v>OK</v>
      </c>
      <c r="Q158" s="7"/>
      <c r="R158" s="7"/>
      <c r="S158" s="7"/>
      <c r="T158" s="7"/>
      <c r="U158" s="7"/>
      <c r="V158" s="7"/>
      <c r="W158" s="7"/>
      <c r="X158" s="7"/>
      <c r="Y158" s="7"/>
      <c r="Z158" s="7"/>
      <c r="AA158" s="7"/>
      <c r="AB158" s="7"/>
      <c r="AC158" s="7"/>
    </row>
    <row r="159" ht="15.75" customHeight="1">
      <c r="A159" s="11" t="s">
        <v>822</v>
      </c>
      <c r="B159" s="5" t="s">
        <v>133</v>
      </c>
      <c r="C159" s="5" t="s">
        <v>15</v>
      </c>
      <c r="D159" s="5" t="s">
        <v>823</v>
      </c>
      <c r="E159" s="5" t="s">
        <v>826</v>
      </c>
      <c r="F159" s="5" t="s">
        <v>51</v>
      </c>
      <c r="G159" s="5"/>
      <c r="H159" s="5" t="s">
        <v>30</v>
      </c>
      <c r="I159" s="5"/>
      <c r="J159" s="78" t="s">
        <v>14</v>
      </c>
      <c r="K159" s="78"/>
      <c r="L159" s="85"/>
      <c r="M159" s="5"/>
      <c r="N159" s="85"/>
      <c r="O159" s="22"/>
      <c r="P159" s="7" t="str">
        <f t="shared" si="1"/>
        <v>OK</v>
      </c>
      <c r="Q159" s="7"/>
      <c r="R159" s="7"/>
      <c r="S159" s="7"/>
      <c r="T159" s="7"/>
      <c r="U159" s="7"/>
      <c r="V159" s="7"/>
      <c r="W159" s="7"/>
      <c r="X159" s="7"/>
      <c r="Y159" s="7"/>
      <c r="Z159" s="7"/>
      <c r="AA159" s="7"/>
      <c r="AB159" s="7"/>
      <c r="AC159" s="7"/>
    </row>
    <row r="160" ht="15.75" customHeight="1">
      <c r="A160" s="11" t="s">
        <v>827</v>
      </c>
      <c r="B160" s="5" t="s">
        <v>133</v>
      </c>
      <c r="C160" s="5" t="s">
        <v>15</v>
      </c>
      <c r="D160" s="5" t="s">
        <v>828</v>
      </c>
      <c r="E160" s="5" t="s">
        <v>830</v>
      </c>
      <c r="F160" s="5" t="s">
        <v>21</v>
      </c>
      <c r="G160" s="5"/>
      <c r="H160" s="5" t="s">
        <v>111</v>
      </c>
      <c r="I160" s="5"/>
      <c r="J160" s="78" t="s">
        <v>14</v>
      </c>
      <c r="K160" s="78"/>
      <c r="L160" s="85"/>
      <c r="M160" s="5"/>
      <c r="N160" s="85"/>
      <c r="O160" s="22"/>
      <c r="P160" s="7" t="str">
        <f t="shared" si="1"/>
        <v>OK</v>
      </c>
      <c r="Q160" s="7"/>
      <c r="R160" s="7"/>
      <c r="S160" s="7"/>
      <c r="T160" s="7"/>
      <c r="U160" s="7"/>
      <c r="V160" s="7"/>
      <c r="W160" s="7"/>
      <c r="X160" s="7"/>
      <c r="Y160" s="7"/>
      <c r="Z160" s="7"/>
      <c r="AA160" s="7"/>
      <c r="AB160" s="7"/>
      <c r="AC160" s="7"/>
    </row>
    <row r="161" ht="15.75" customHeight="1">
      <c r="A161" s="11" t="s">
        <v>832</v>
      </c>
      <c r="B161" s="5" t="s">
        <v>133</v>
      </c>
      <c r="C161" s="5" t="s">
        <v>15</v>
      </c>
      <c r="D161" s="5" t="s">
        <v>833</v>
      </c>
      <c r="E161" s="5" t="s">
        <v>836</v>
      </c>
      <c r="F161" s="5" t="s">
        <v>45</v>
      </c>
      <c r="G161" s="5"/>
      <c r="H161" s="5" t="s">
        <v>30</v>
      </c>
      <c r="I161" s="5"/>
      <c r="J161" s="78" t="s">
        <v>14</v>
      </c>
      <c r="K161" s="78"/>
      <c r="L161" s="85"/>
      <c r="M161" s="5"/>
      <c r="N161" s="85"/>
      <c r="O161" s="22"/>
      <c r="P161" s="7" t="str">
        <f t="shared" si="1"/>
        <v>OK</v>
      </c>
      <c r="Q161" s="7"/>
      <c r="R161" s="7"/>
      <c r="S161" s="7"/>
      <c r="T161" s="7"/>
      <c r="U161" s="7"/>
      <c r="V161" s="7"/>
      <c r="W161" s="7"/>
      <c r="X161" s="7"/>
      <c r="Y161" s="7"/>
      <c r="Z161" s="7"/>
      <c r="AA161" s="7"/>
      <c r="AB161" s="7"/>
      <c r="AC161" s="7"/>
    </row>
    <row r="162" ht="15.75" customHeight="1">
      <c r="A162" s="11" t="s">
        <v>837</v>
      </c>
      <c r="B162" s="5" t="s">
        <v>133</v>
      </c>
      <c r="C162" s="5" t="s">
        <v>15</v>
      </c>
      <c r="D162" s="5" t="s">
        <v>838</v>
      </c>
      <c r="E162" s="5" t="s">
        <v>840</v>
      </c>
      <c r="F162" s="5" t="s">
        <v>51</v>
      </c>
      <c r="G162" s="5"/>
      <c r="H162" s="5" t="s">
        <v>39</v>
      </c>
      <c r="I162" s="5"/>
      <c r="J162" s="78" t="s">
        <v>14</v>
      </c>
      <c r="K162" s="78"/>
      <c r="L162" s="85"/>
      <c r="M162" s="5"/>
      <c r="N162" s="85"/>
      <c r="O162" s="22"/>
      <c r="P162" s="7" t="str">
        <f t="shared" si="1"/>
        <v>OK</v>
      </c>
      <c r="Q162" s="7"/>
      <c r="R162" s="7"/>
      <c r="S162" s="7"/>
      <c r="T162" s="7"/>
      <c r="U162" s="7"/>
      <c r="V162" s="7"/>
      <c r="W162" s="7"/>
      <c r="X162" s="7"/>
      <c r="Y162" s="7"/>
      <c r="Z162" s="7"/>
      <c r="AA162" s="7"/>
      <c r="AB162" s="7"/>
      <c r="AC162" s="7"/>
    </row>
    <row r="163" ht="15.75" customHeight="1">
      <c r="A163" s="11" t="s">
        <v>842</v>
      </c>
      <c r="B163" s="5" t="s">
        <v>133</v>
      </c>
      <c r="C163" s="5" t="s">
        <v>15</v>
      </c>
      <c r="D163" s="5" t="s">
        <v>843</v>
      </c>
      <c r="E163" s="5" t="s">
        <v>846</v>
      </c>
      <c r="F163" s="5" t="s">
        <v>45</v>
      </c>
      <c r="G163" s="5"/>
      <c r="H163" s="5" t="s">
        <v>31</v>
      </c>
      <c r="I163" s="5"/>
      <c r="J163" s="78" t="s">
        <v>14</v>
      </c>
      <c r="K163" s="78"/>
      <c r="L163" s="85"/>
      <c r="M163" s="5"/>
      <c r="N163" s="85"/>
      <c r="O163" s="22"/>
      <c r="P163" s="7" t="str">
        <f t="shared" si="1"/>
        <v>OK</v>
      </c>
      <c r="Q163" s="7"/>
      <c r="R163" s="7"/>
      <c r="S163" s="7"/>
      <c r="T163" s="7"/>
      <c r="U163" s="7"/>
      <c r="V163" s="7"/>
      <c r="W163" s="7"/>
      <c r="X163" s="7"/>
      <c r="Y163" s="7"/>
      <c r="Z163" s="7"/>
      <c r="AA163" s="7"/>
      <c r="AB163" s="7"/>
      <c r="AC163" s="7"/>
    </row>
    <row r="164" ht="15.75" customHeight="1">
      <c r="A164" s="11" t="s">
        <v>847</v>
      </c>
      <c r="B164" s="5" t="s">
        <v>133</v>
      </c>
      <c r="C164" s="5" t="s">
        <v>15</v>
      </c>
      <c r="D164" s="5" t="s">
        <v>848</v>
      </c>
      <c r="E164" s="5" t="s">
        <v>850</v>
      </c>
      <c r="F164" s="5" t="s">
        <v>29</v>
      </c>
      <c r="G164" s="5"/>
      <c r="H164" s="5" t="s">
        <v>39</v>
      </c>
      <c r="I164" s="5"/>
      <c r="J164" s="78" t="s">
        <v>14</v>
      </c>
      <c r="K164" s="78"/>
      <c r="L164" s="85"/>
      <c r="M164" s="5"/>
      <c r="N164" s="85"/>
      <c r="O164" s="22"/>
      <c r="P164" s="7" t="str">
        <f t="shared" si="1"/>
        <v>OK</v>
      </c>
      <c r="Q164" s="7"/>
      <c r="R164" s="7"/>
      <c r="S164" s="7"/>
      <c r="T164" s="7"/>
      <c r="U164" s="7"/>
      <c r="V164" s="7"/>
      <c r="W164" s="7"/>
      <c r="X164" s="7"/>
      <c r="Y164" s="7"/>
      <c r="Z164" s="7"/>
      <c r="AA164" s="7"/>
      <c r="AB164" s="7"/>
      <c r="AC164" s="7"/>
    </row>
    <row r="165" ht="15.75" customHeight="1">
      <c r="A165" s="11" t="s">
        <v>852</v>
      </c>
      <c r="B165" s="5" t="s">
        <v>133</v>
      </c>
      <c r="C165" s="5" t="s">
        <v>15</v>
      </c>
      <c r="D165" s="5" t="s">
        <v>853</v>
      </c>
      <c r="E165" s="5" t="s">
        <v>855</v>
      </c>
      <c r="F165" s="5" t="s">
        <v>74</v>
      </c>
      <c r="G165" s="5"/>
      <c r="H165" s="5" t="s">
        <v>75</v>
      </c>
      <c r="I165" s="5"/>
      <c r="J165" s="78" t="s">
        <v>14</v>
      </c>
      <c r="K165" s="78"/>
      <c r="L165" s="85"/>
      <c r="M165" s="5"/>
      <c r="N165" s="85"/>
      <c r="O165" s="22"/>
      <c r="P165" s="7" t="str">
        <f t="shared" si="1"/>
        <v>OK</v>
      </c>
      <c r="Q165" s="7"/>
      <c r="R165" s="7"/>
      <c r="S165" s="7"/>
      <c r="T165" s="7"/>
      <c r="U165" s="7"/>
      <c r="V165" s="7"/>
      <c r="W165" s="7"/>
      <c r="X165" s="7"/>
      <c r="Y165" s="7"/>
      <c r="Z165" s="7"/>
      <c r="AA165" s="7"/>
      <c r="AB165" s="7"/>
      <c r="AC165" s="7"/>
    </row>
    <row r="166" ht="15.75" customHeight="1">
      <c r="A166" s="11" t="s">
        <v>857</v>
      </c>
      <c r="B166" s="5" t="s">
        <v>133</v>
      </c>
      <c r="C166" s="5" t="s">
        <v>15</v>
      </c>
      <c r="D166" s="5" t="s">
        <v>858</v>
      </c>
      <c r="E166" s="5" t="s">
        <v>859</v>
      </c>
      <c r="F166" s="5" t="s">
        <v>51</v>
      </c>
      <c r="G166" s="5"/>
      <c r="H166" s="5" t="s">
        <v>22</v>
      </c>
      <c r="I166" s="5"/>
      <c r="J166" s="78" t="s">
        <v>14</v>
      </c>
      <c r="K166" s="78"/>
      <c r="L166" s="85"/>
      <c r="M166" s="5"/>
      <c r="N166" s="85"/>
      <c r="O166" s="22"/>
      <c r="P166" s="7" t="str">
        <f t="shared" si="1"/>
        <v>OK</v>
      </c>
      <c r="Q166" s="7"/>
      <c r="R166" s="7"/>
      <c r="S166" s="7"/>
      <c r="T166" s="7"/>
      <c r="U166" s="7"/>
      <c r="V166" s="7"/>
      <c r="W166" s="7"/>
      <c r="X166" s="7"/>
      <c r="Y166" s="7"/>
      <c r="Z166" s="7"/>
      <c r="AA166" s="7"/>
      <c r="AB166" s="7"/>
      <c r="AC166" s="7"/>
    </row>
    <row r="167" ht="15.75" customHeight="1">
      <c r="A167" s="11" t="s">
        <v>862</v>
      </c>
      <c r="B167" s="5" t="s">
        <v>133</v>
      </c>
      <c r="C167" s="5" t="s">
        <v>15</v>
      </c>
      <c r="D167" s="5" t="s">
        <v>863</v>
      </c>
      <c r="E167" s="5" t="s">
        <v>866</v>
      </c>
      <c r="F167" s="5" t="s">
        <v>74</v>
      </c>
      <c r="G167" s="5"/>
      <c r="H167" s="5" t="s">
        <v>75</v>
      </c>
      <c r="I167" s="5"/>
      <c r="J167" s="78" t="s">
        <v>14</v>
      </c>
      <c r="K167" s="78"/>
      <c r="L167" s="85"/>
      <c r="M167" s="5"/>
      <c r="N167" s="85"/>
      <c r="O167" s="22"/>
      <c r="P167" s="7" t="str">
        <f t="shared" si="1"/>
        <v>OK</v>
      </c>
      <c r="Q167" s="7"/>
      <c r="R167" s="7"/>
      <c r="S167" s="7"/>
      <c r="T167" s="7"/>
      <c r="U167" s="7"/>
      <c r="V167" s="7"/>
      <c r="W167" s="7"/>
      <c r="X167" s="7"/>
      <c r="Y167" s="7"/>
      <c r="Z167" s="7"/>
      <c r="AA167" s="7"/>
      <c r="AB167" s="7"/>
      <c r="AC167" s="7"/>
    </row>
    <row r="168" ht="15.75" customHeight="1">
      <c r="A168" s="11" t="s">
        <v>867</v>
      </c>
      <c r="B168" s="5" t="s">
        <v>133</v>
      </c>
      <c r="C168" s="5" t="s">
        <v>15</v>
      </c>
      <c r="D168" s="5" t="s">
        <v>868</v>
      </c>
      <c r="E168" s="5" t="s">
        <v>871</v>
      </c>
      <c r="F168" s="5" t="s">
        <v>29</v>
      </c>
      <c r="G168" s="5"/>
      <c r="H168" s="5" t="s">
        <v>39</v>
      </c>
      <c r="I168" s="5"/>
      <c r="J168" s="78" t="s">
        <v>14</v>
      </c>
      <c r="K168" s="78"/>
      <c r="L168" s="85"/>
      <c r="M168" s="5"/>
      <c r="N168" s="85"/>
      <c r="O168" s="22"/>
      <c r="P168" s="7" t="str">
        <f t="shared" si="1"/>
        <v>OK</v>
      </c>
      <c r="Q168" s="7"/>
      <c r="R168" s="7"/>
      <c r="S168" s="7"/>
      <c r="T168" s="7"/>
      <c r="U168" s="7"/>
      <c r="V168" s="7"/>
      <c r="W168" s="7"/>
      <c r="X168" s="7"/>
      <c r="Y168" s="7"/>
      <c r="Z168" s="7"/>
      <c r="AA168" s="7"/>
      <c r="AB168" s="7"/>
      <c r="AC168" s="7"/>
    </row>
    <row r="169" ht="15.75" customHeight="1">
      <c r="A169" s="11" t="s">
        <v>872</v>
      </c>
      <c r="B169" s="5" t="s">
        <v>133</v>
      </c>
      <c r="C169" s="5" t="s">
        <v>15</v>
      </c>
      <c r="D169" s="5" t="s">
        <v>873</v>
      </c>
      <c r="E169" s="5" t="s">
        <v>873</v>
      </c>
      <c r="F169" s="5" t="s">
        <v>37</v>
      </c>
      <c r="G169" s="5"/>
      <c r="H169" s="5" t="s">
        <v>111</v>
      </c>
      <c r="I169" s="5"/>
      <c r="J169" s="78" t="s">
        <v>14</v>
      </c>
      <c r="K169" s="78"/>
      <c r="L169" s="85"/>
      <c r="M169" s="5"/>
      <c r="N169" s="85"/>
      <c r="O169" s="22"/>
      <c r="P169" s="7" t="str">
        <f t="shared" si="1"/>
        <v>OK</v>
      </c>
      <c r="Q169" s="7"/>
      <c r="R169" s="7"/>
      <c r="S169" s="7"/>
      <c r="T169" s="7"/>
      <c r="U169" s="7"/>
      <c r="V169" s="7"/>
      <c r="W169" s="7"/>
      <c r="X169" s="7"/>
      <c r="Y169" s="7"/>
      <c r="Z169" s="7"/>
      <c r="AA169" s="7"/>
      <c r="AB169" s="7"/>
      <c r="AC169" s="7"/>
    </row>
    <row r="170" ht="15.75" customHeight="1">
      <c r="A170" s="11" t="s">
        <v>876</v>
      </c>
      <c r="B170" s="5" t="s">
        <v>133</v>
      </c>
      <c r="C170" s="5" t="s">
        <v>15</v>
      </c>
      <c r="D170" s="5" t="s">
        <v>877</v>
      </c>
      <c r="E170" s="5" t="s">
        <v>880</v>
      </c>
      <c r="F170" s="5" t="s">
        <v>51</v>
      </c>
      <c r="G170" s="5"/>
      <c r="H170" s="5" t="s">
        <v>75</v>
      </c>
      <c r="I170" s="5"/>
      <c r="J170" s="78" t="s">
        <v>14</v>
      </c>
      <c r="K170" s="78"/>
      <c r="L170" s="85"/>
      <c r="M170" s="5"/>
      <c r="N170" s="85"/>
      <c r="O170" s="22"/>
      <c r="P170" s="7" t="str">
        <f t="shared" si="1"/>
        <v>OK</v>
      </c>
      <c r="Q170" s="7"/>
      <c r="R170" s="7"/>
      <c r="S170" s="7"/>
      <c r="T170" s="7"/>
      <c r="U170" s="7"/>
      <c r="V170" s="7"/>
      <c r="W170" s="7"/>
      <c r="X170" s="7"/>
      <c r="Y170" s="7"/>
      <c r="Z170" s="7"/>
      <c r="AA170" s="7"/>
      <c r="AB170" s="7"/>
      <c r="AC170" s="7"/>
    </row>
    <row r="171" ht="15.75" customHeight="1">
      <c r="A171" s="11" t="s">
        <v>881</v>
      </c>
      <c r="B171" s="5" t="s">
        <v>133</v>
      </c>
      <c r="C171" s="5" t="s">
        <v>15</v>
      </c>
      <c r="D171" s="5" t="s">
        <v>882</v>
      </c>
      <c r="E171" s="5" t="s">
        <v>883</v>
      </c>
      <c r="F171" s="5" t="s">
        <v>21</v>
      </c>
      <c r="G171" s="5"/>
      <c r="H171" s="5" t="s">
        <v>52</v>
      </c>
      <c r="I171" s="5"/>
      <c r="J171" s="78" t="s">
        <v>14</v>
      </c>
      <c r="K171" s="78"/>
      <c r="L171" s="85"/>
      <c r="M171" s="5"/>
      <c r="N171" s="85"/>
      <c r="O171" s="22"/>
      <c r="P171" s="7" t="str">
        <f t="shared" si="1"/>
        <v>OK</v>
      </c>
      <c r="Q171" s="7"/>
      <c r="R171" s="7"/>
      <c r="S171" s="7"/>
      <c r="T171" s="7"/>
      <c r="U171" s="7"/>
      <c r="V171" s="7"/>
      <c r="W171" s="7"/>
      <c r="X171" s="7"/>
      <c r="Y171" s="7"/>
      <c r="Z171" s="7"/>
      <c r="AA171" s="7"/>
      <c r="AB171" s="7"/>
      <c r="AC171" s="7"/>
    </row>
    <row r="172" ht="15.75" customHeight="1">
      <c r="A172" s="11" t="s">
        <v>886</v>
      </c>
      <c r="B172" s="5" t="s">
        <v>133</v>
      </c>
      <c r="C172" s="5" t="s">
        <v>15</v>
      </c>
      <c r="D172" s="5" t="s">
        <v>887</v>
      </c>
      <c r="E172" s="5" t="s">
        <v>890</v>
      </c>
      <c r="F172" s="5" t="s">
        <v>29</v>
      </c>
      <c r="G172" s="5"/>
      <c r="H172" s="5" t="s">
        <v>31</v>
      </c>
      <c r="I172" s="5"/>
      <c r="J172" s="78" t="s">
        <v>14</v>
      </c>
      <c r="K172" s="78"/>
      <c r="L172" s="85"/>
      <c r="M172" s="5"/>
      <c r="N172" s="85"/>
      <c r="O172" s="22"/>
      <c r="P172" s="7" t="str">
        <f t="shared" si="1"/>
        <v>OK</v>
      </c>
      <c r="Q172" s="7"/>
      <c r="R172" s="7"/>
      <c r="S172" s="7"/>
      <c r="T172" s="7"/>
      <c r="U172" s="7"/>
      <c r="V172" s="7"/>
      <c r="W172" s="7"/>
      <c r="X172" s="7"/>
      <c r="Y172" s="7"/>
      <c r="Z172" s="7"/>
      <c r="AA172" s="7"/>
      <c r="AB172" s="7"/>
      <c r="AC172" s="7"/>
    </row>
    <row r="173" ht="15.75" customHeight="1">
      <c r="A173" s="11" t="s">
        <v>891</v>
      </c>
      <c r="B173" s="5" t="s">
        <v>133</v>
      </c>
      <c r="C173" s="5" t="s">
        <v>15</v>
      </c>
      <c r="D173" s="5" t="s">
        <v>2642</v>
      </c>
      <c r="E173" s="5" t="s">
        <v>894</v>
      </c>
      <c r="F173" s="5" t="s">
        <v>20</v>
      </c>
      <c r="G173" s="5"/>
      <c r="H173" s="5" t="s">
        <v>30</v>
      </c>
      <c r="I173" s="5"/>
      <c r="J173" s="78" t="s">
        <v>14</v>
      </c>
      <c r="K173" s="78"/>
      <c r="L173" s="85"/>
      <c r="M173" s="5"/>
      <c r="N173" s="85"/>
      <c r="O173" s="22"/>
      <c r="P173" s="7" t="str">
        <f t="shared" si="1"/>
        <v>OK</v>
      </c>
      <c r="Q173" s="7"/>
      <c r="R173" s="7"/>
      <c r="S173" s="7"/>
      <c r="T173" s="7"/>
      <c r="U173" s="7"/>
      <c r="V173" s="7"/>
      <c r="W173" s="7"/>
      <c r="X173" s="7"/>
      <c r="Y173" s="7"/>
      <c r="Z173" s="7"/>
      <c r="AA173" s="7"/>
      <c r="AB173" s="7"/>
      <c r="AC173" s="7"/>
    </row>
    <row r="174" ht="15.75" customHeight="1">
      <c r="A174" s="11" t="s">
        <v>896</v>
      </c>
      <c r="B174" s="5" t="s">
        <v>133</v>
      </c>
      <c r="C174" s="5" t="s">
        <v>15</v>
      </c>
      <c r="D174" s="5" t="s">
        <v>897</v>
      </c>
      <c r="E174" s="5" t="s">
        <v>900</v>
      </c>
      <c r="F174" s="5" t="s">
        <v>45</v>
      </c>
      <c r="G174" s="5"/>
      <c r="H174" s="5" t="s">
        <v>39</v>
      </c>
      <c r="I174" s="5"/>
      <c r="J174" s="78" t="s">
        <v>14</v>
      </c>
      <c r="K174" s="78"/>
      <c r="L174" s="85"/>
      <c r="M174" s="5"/>
      <c r="N174" s="85"/>
      <c r="O174" s="22"/>
      <c r="P174" s="7" t="str">
        <f t="shared" si="1"/>
        <v>OK</v>
      </c>
      <c r="Q174" s="7"/>
      <c r="R174" s="7"/>
      <c r="S174" s="7"/>
      <c r="T174" s="7"/>
      <c r="U174" s="7"/>
      <c r="V174" s="7"/>
      <c r="W174" s="7"/>
      <c r="X174" s="7"/>
      <c r="Y174" s="7"/>
      <c r="Z174" s="7"/>
      <c r="AA174" s="7"/>
      <c r="AB174" s="7"/>
      <c r="AC174" s="7"/>
    </row>
    <row r="175" ht="15.75" customHeight="1">
      <c r="A175" s="11" t="s">
        <v>901</v>
      </c>
      <c r="B175" s="5" t="s">
        <v>133</v>
      </c>
      <c r="C175" s="5" t="s">
        <v>15</v>
      </c>
      <c r="D175" s="5" t="s">
        <v>902</v>
      </c>
      <c r="E175" s="5" t="s">
        <v>905</v>
      </c>
      <c r="F175" s="5" t="s">
        <v>21</v>
      </c>
      <c r="G175" s="5"/>
      <c r="H175" s="5" t="s">
        <v>52</v>
      </c>
      <c r="I175" s="5"/>
      <c r="J175" s="78" t="s">
        <v>14</v>
      </c>
      <c r="K175" s="78"/>
      <c r="L175" s="85"/>
      <c r="M175" s="5"/>
      <c r="N175" s="85"/>
      <c r="O175" s="22"/>
      <c r="P175" s="7" t="str">
        <f t="shared" si="1"/>
        <v>OK</v>
      </c>
      <c r="Q175" s="7"/>
      <c r="R175" s="7"/>
      <c r="S175" s="7"/>
      <c r="T175" s="7"/>
      <c r="U175" s="7"/>
      <c r="V175" s="7"/>
      <c r="W175" s="7"/>
      <c r="X175" s="7"/>
      <c r="Y175" s="7"/>
      <c r="Z175" s="7"/>
      <c r="AA175" s="7"/>
      <c r="AB175" s="7"/>
      <c r="AC175" s="7"/>
    </row>
    <row r="176" ht="15.75" customHeight="1">
      <c r="A176" s="11" t="s">
        <v>906</v>
      </c>
      <c r="B176" s="5" t="s">
        <v>133</v>
      </c>
      <c r="C176" s="5" t="s">
        <v>15</v>
      </c>
      <c r="D176" s="5" t="s">
        <v>907</v>
      </c>
      <c r="E176" s="5" t="s">
        <v>910</v>
      </c>
      <c r="F176" s="5" t="s">
        <v>51</v>
      </c>
      <c r="G176" s="5"/>
      <c r="H176" s="5" t="s">
        <v>52</v>
      </c>
      <c r="I176" s="5"/>
      <c r="J176" s="78" t="s">
        <v>14</v>
      </c>
      <c r="K176" s="78"/>
      <c r="L176" s="85"/>
      <c r="M176" s="5"/>
      <c r="N176" s="85"/>
      <c r="O176" s="22"/>
      <c r="P176" s="7" t="str">
        <f t="shared" si="1"/>
        <v>OK</v>
      </c>
      <c r="Q176" s="7"/>
      <c r="R176" s="7"/>
      <c r="S176" s="7"/>
      <c r="T176" s="7"/>
      <c r="U176" s="7"/>
      <c r="V176" s="7"/>
      <c r="W176" s="7"/>
      <c r="X176" s="7"/>
      <c r="Y176" s="7"/>
      <c r="Z176" s="7"/>
      <c r="AA176" s="7"/>
      <c r="AB176" s="7"/>
      <c r="AC176" s="7"/>
    </row>
    <row r="177" ht="15.75" customHeight="1">
      <c r="A177" s="11" t="s">
        <v>911</v>
      </c>
      <c r="B177" s="5" t="s">
        <v>133</v>
      </c>
      <c r="C177" s="5" t="s">
        <v>15</v>
      </c>
      <c r="D177" s="5" t="s">
        <v>912</v>
      </c>
      <c r="E177" s="5" t="s">
        <v>914</v>
      </c>
      <c r="F177" s="5" t="s">
        <v>38</v>
      </c>
      <c r="G177" s="5"/>
      <c r="H177" s="5" t="s">
        <v>31</v>
      </c>
      <c r="I177" s="5"/>
      <c r="J177" s="78" t="s">
        <v>14</v>
      </c>
      <c r="K177" s="78"/>
      <c r="L177" s="85"/>
      <c r="M177" s="5"/>
      <c r="N177" s="85"/>
      <c r="O177" s="22"/>
      <c r="P177" s="7" t="str">
        <f t="shared" si="1"/>
        <v>OK</v>
      </c>
      <c r="Q177" s="7"/>
      <c r="R177" s="7"/>
      <c r="S177" s="7"/>
      <c r="T177" s="7"/>
      <c r="U177" s="7"/>
      <c r="V177" s="7"/>
      <c r="W177" s="7"/>
      <c r="X177" s="7"/>
      <c r="Y177" s="7"/>
      <c r="Z177" s="7"/>
      <c r="AA177" s="7"/>
      <c r="AB177" s="7"/>
      <c r="AC177" s="7"/>
    </row>
    <row r="178" ht="15.75" customHeight="1">
      <c r="A178" s="11" t="s">
        <v>916</v>
      </c>
      <c r="B178" s="5" t="s">
        <v>133</v>
      </c>
      <c r="C178" s="5" t="s">
        <v>15</v>
      </c>
      <c r="D178" s="5" t="s">
        <v>917</v>
      </c>
      <c r="E178" s="5" t="s">
        <v>920</v>
      </c>
      <c r="F178" s="5" t="s">
        <v>74</v>
      </c>
      <c r="G178" s="5"/>
      <c r="H178" s="5" t="s">
        <v>75</v>
      </c>
      <c r="I178" s="5"/>
      <c r="J178" s="78" t="s">
        <v>14</v>
      </c>
      <c r="K178" s="78"/>
      <c r="L178" s="85"/>
      <c r="M178" s="5"/>
      <c r="N178" s="85"/>
      <c r="O178" s="22"/>
      <c r="P178" s="7" t="str">
        <f t="shared" si="1"/>
        <v>OK</v>
      </c>
      <c r="Q178" s="7"/>
      <c r="R178" s="7"/>
      <c r="S178" s="7"/>
      <c r="T178" s="7"/>
      <c r="U178" s="7"/>
      <c r="V178" s="7"/>
      <c r="W178" s="7"/>
      <c r="X178" s="7"/>
      <c r="Y178" s="7"/>
      <c r="Z178" s="7"/>
      <c r="AA178" s="7"/>
      <c r="AB178" s="7"/>
      <c r="AC178" s="7"/>
    </row>
    <row r="179" ht="15.75" customHeight="1">
      <c r="A179" s="11" t="s">
        <v>921</v>
      </c>
      <c r="B179" s="5" t="s">
        <v>133</v>
      </c>
      <c r="C179" s="5" t="s">
        <v>15</v>
      </c>
      <c r="D179" s="5" t="s">
        <v>922</v>
      </c>
      <c r="E179" s="5" t="s">
        <v>924</v>
      </c>
      <c r="F179" s="5" t="s">
        <v>37</v>
      </c>
      <c r="G179" s="5"/>
      <c r="H179" s="5" t="s">
        <v>30</v>
      </c>
      <c r="I179" s="5"/>
      <c r="J179" s="78" t="s">
        <v>14</v>
      </c>
      <c r="K179" s="78"/>
      <c r="L179" s="85"/>
      <c r="M179" s="5"/>
      <c r="N179" s="85"/>
      <c r="O179" s="22"/>
      <c r="P179" s="7" t="str">
        <f t="shared" si="1"/>
        <v>OK</v>
      </c>
      <c r="Q179" s="7"/>
      <c r="R179" s="7"/>
      <c r="S179" s="7"/>
      <c r="T179" s="7"/>
      <c r="U179" s="7"/>
      <c r="V179" s="7"/>
      <c r="W179" s="7"/>
      <c r="X179" s="7"/>
      <c r="Y179" s="7"/>
      <c r="Z179" s="7"/>
      <c r="AA179" s="7"/>
      <c r="AB179" s="7"/>
      <c r="AC179" s="7"/>
    </row>
    <row r="180" ht="15.75" customHeight="1">
      <c r="A180" s="11" t="s">
        <v>926</v>
      </c>
      <c r="B180" s="5" t="s">
        <v>133</v>
      </c>
      <c r="C180" s="5" t="s">
        <v>15</v>
      </c>
      <c r="D180" s="5" t="s">
        <v>927</v>
      </c>
      <c r="E180" s="5" t="s">
        <v>930</v>
      </c>
      <c r="F180" s="5" t="s">
        <v>21</v>
      </c>
      <c r="G180" s="5"/>
      <c r="H180" s="5" t="s">
        <v>52</v>
      </c>
      <c r="I180" s="5"/>
      <c r="J180" s="78" t="s">
        <v>14</v>
      </c>
      <c r="K180" s="78"/>
      <c r="L180" s="85"/>
      <c r="M180" s="5"/>
      <c r="N180" s="85"/>
      <c r="O180" s="22"/>
      <c r="P180" s="7" t="str">
        <f t="shared" si="1"/>
        <v>OK</v>
      </c>
      <c r="Q180" s="7"/>
      <c r="R180" s="7"/>
      <c r="S180" s="7"/>
      <c r="T180" s="7"/>
      <c r="U180" s="7"/>
      <c r="V180" s="7"/>
      <c r="W180" s="7"/>
      <c r="X180" s="7"/>
      <c r="Y180" s="7"/>
      <c r="Z180" s="7"/>
      <c r="AA180" s="7"/>
      <c r="AB180" s="7"/>
      <c r="AC180" s="7"/>
    </row>
    <row r="181" ht="15.75" customHeight="1">
      <c r="A181" s="11" t="s">
        <v>931</v>
      </c>
      <c r="B181" s="5" t="s">
        <v>133</v>
      </c>
      <c r="C181" s="5" t="s">
        <v>15</v>
      </c>
      <c r="D181" s="5" t="s">
        <v>932</v>
      </c>
      <c r="E181" s="5" t="s">
        <v>936</v>
      </c>
      <c r="F181" s="5" t="s">
        <v>29</v>
      </c>
      <c r="G181" s="5"/>
      <c r="H181" s="5" t="s">
        <v>31</v>
      </c>
      <c r="I181" s="5"/>
      <c r="J181" s="78" t="s">
        <v>14</v>
      </c>
      <c r="K181" s="78"/>
      <c r="L181" s="85"/>
      <c r="M181" s="5"/>
      <c r="N181" s="85"/>
      <c r="O181" s="22"/>
      <c r="P181" s="7" t="str">
        <f t="shared" si="1"/>
        <v>OK</v>
      </c>
      <c r="Q181" s="7"/>
      <c r="R181" s="7"/>
      <c r="S181" s="7"/>
      <c r="T181" s="7"/>
      <c r="U181" s="7"/>
      <c r="V181" s="7"/>
      <c r="W181" s="7"/>
      <c r="X181" s="7"/>
      <c r="Y181" s="7"/>
      <c r="Z181" s="7"/>
      <c r="AA181" s="7"/>
      <c r="AB181" s="7"/>
      <c r="AC181" s="7"/>
    </row>
    <row r="182" ht="15.75" customHeight="1">
      <c r="A182" s="11" t="s">
        <v>937</v>
      </c>
      <c r="B182" s="5" t="s">
        <v>133</v>
      </c>
      <c r="C182" s="5" t="s">
        <v>15</v>
      </c>
      <c r="D182" s="5" t="s">
        <v>938</v>
      </c>
      <c r="E182" s="5" t="s">
        <v>939</v>
      </c>
      <c r="F182" s="5" t="s">
        <v>29</v>
      </c>
      <c r="G182" s="5"/>
      <c r="H182" s="5" t="s">
        <v>39</v>
      </c>
      <c r="I182" s="5"/>
      <c r="J182" s="78" t="s">
        <v>14</v>
      </c>
      <c r="K182" s="78"/>
      <c r="L182" s="85"/>
      <c r="M182" s="5"/>
      <c r="N182" s="85"/>
      <c r="O182" s="22"/>
      <c r="P182" s="7" t="str">
        <f t="shared" si="1"/>
        <v>OK</v>
      </c>
      <c r="Q182" s="7"/>
      <c r="R182" s="7"/>
      <c r="S182" s="7"/>
      <c r="T182" s="7"/>
      <c r="U182" s="7"/>
      <c r="V182" s="7"/>
      <c r="W182" s="7"/>
      <c r="X182" s="7"/>
      <c r="Y182" s="7"/>
      <c r="Z182" s="7"/>
      <c r="AA182" s="7"/>
      <c r="AB182" s="7"/>
      <c r="AC182" s="7"/>
    </row>
    <row r="183" ht="15.75" customHeight="1">
      <c r="A183" s="11" t="s">
        <v>942</v>
      </c>
      <c r="B183" s="5" t="s">
        <v>133</v>
      </c>
      <c r="C183" s="5" t="s">
        <v>15</v>
      </c>
      <c r="D183" s="5" t="s">
        <v>943</v>
      </c>
      <c r="E183" s="5" t="s">
        <v>946</v>
      </c>
      <c r="F183" s="5" t="s">
        <v>20</v>
      </c>
      <c r="G183" s="5"/>
      <c r="H183" s="5" t="s">
        <v>31</v>
      </c>
      <c r="I183" s="5"/>
      <c r="J183" s="78" t="s">
        <v>14</v>
      </c>
      <c r="K183" s="78"/>
      <c r="L183" s="85"/>
      <c r="M183" s="5"/>
      <c r="N183" s="85"/>
      <c r="O183" s="22"/>
      <c r="P183" s="7" t="str">
        <f t="shared" si="1"/>
        <v>OK</v>
      </c>
      <c r="Q183" s="7"/>
      <c r="R183" s="7"/>
      <c r="S183" s="7"/>
      <c r="T183" s="7"/>
      <c r="U183" s="7"/>
      <c r="V183" s="7"/>
      <c r="W183" s="7"/>
      <c r="X183" s="7"/>
      <c r="Y183" s="7"/>
      <c r="Z183" s="7"/>
      <c r="AA183" s="7"/>
      <c r="AB183" s="7"/>
      <c r="AC183" s="7"/>
    </row>
    <row r="184" ht="15.75" customHeight="1">
      <c r="A184" s="11" t="s">
        <v>947</v>
      </c>
      <c r="B184" s="5" t="s">
        <v>133</v>
      </c>
      <c r="C184" s="5" t="s">
        <v>15</v>
      </c>
      <c r="D184" s="5" t="s">
        <v>948</v>
      </c>
      <c r="E184" s="5" t="s">
        <v>950</v>
      </c>
      <c r="F184" s="5" t="s">
        <v>51</v>
      </c>
      <c r="G184" s="5"/>
      <c r="H184" s="5" t="s">
        <v>111</v>
      </c>
      <c r="I184" s="5"/>
      <c r="J184" s="78" t="s">
        <v>14</v>
      </c>
      <c r="K184" s="78"/>
      <c r="L184" s="85"/>
      <c r="M184" s="5"/>
      <c r="N184" s="85"/>
      <c r="O184" s="22"/>
      <c r="P184" s="7" t="str">
        <f t="shared" si="1"/>
        <v>OK</v>
      </c>
      <c r="Q184" s="7"/>
      <c r="R184" s="7"/>
      <c r="S184" s="7"/>
      <c r="T184" s="7"/>
      <c r="U184" s="7"/>
      <c r="V184" s="7"/>
      <c r="W184" s="7"/>
      <c r="X184" s="7"/>
      <c r="Y184" s="7"/>
      <c r="Z184" s="7"/>
      <c r="AA184" s="7"/>
      <c r="AB184" s="7"/>
      <c r="AC184" s="7"/>
    </row>
    <row r="185" ht="15.75" customHeight="1">
      <c r="A185" s="11" t="s">
        <v>952</v>
      </c>
      <c r="B185" s="5" t="s">
        <v>133</v>
      </c>
      <c r="C185" s="5" t="s">
        <v>15</v>
      </c>
      <c r="D185" s="5" t="s">
        <v>953</v>
      </c>
      <c r="E185" s="5" t="s">
        <v>956</v>
      </c>
      <c r="F185" s="5" t="s">
        <v>37</v>
      </c>
      <c r="G185" s="5"/>
      <c r="H185" s="5" t="s">
        <v>30</v>
      </c>
      <c r="I185" s="5"/>
      <c r="J185" s="78" t="s">
        <v>14</v>
      </c>
      <c r="K185" s="78"/>
      <c r="L185" s="85"/>
      <c r="M185" s="5"/>
      <c r="N185" s="85"/>
      <c r="O185" s="22"/>
      <c r="P185" s="7" t="str">
        <f t="shared" si="1"/>
        <v>OK</v>
      </c>
      <c r="Q185" s="7"/>
      <c r="R185" s="7"/>
      <c r="S185" s="7"/>
      <c r="T185" s="7"/>
      <c r="U185" s="7"/>
      <c r="V185" s="7"/>
      <c r="W185" s="7"/>
      <c r="X185" s="7"/>
      <c r="Y185" s="7"/>
      <c r="Z185" s="7"/>
      <c r="AA185" s="7"/>
      <c r="AB185" s="7"/>
      <c r="AC185" s="7"/>
    </row>
    <row r="186" ht="15.75" customHeight="1">
      <c r="A186" s="11" t="s">
        <v>957</v>
      </c>
      <c r="B186" s="5" t="s">
        <v>133</v>
      </c>
      <c r="C186" s="5" t="s">
        <v>15</v>
      </c>
      <c r="D186" s="5" t="s">
        <v>958</v>
      </c>
      <c r="E186" s="5" t="s">
        <v>961</v>
      </c>
      <c r="F186" s="5" t="s">
        <v>21</v>
      </c>
      <c r="G186" s="5"/>
      <c r="H186" s="5" t="s">
        <v>111</v>
      </c>
      <c r="I186" s="5"/>
      <c r="J186" s="78" t="s">
        <v>14</v>
      </c>
      <c r="K186" s="78"/>
      <c r="L186" s="85"/>
      <c r="M186" s="5"/>
      <c r="N186" s="85"/>
      <c r="O186" s="22"/>
      <c r="P186" s="7" t="str">
        <f t="shared" si="1"/>
        <v>OK</v>
      </c>
      <c r="Q186" s="7"/>
      <c r="R186" s="7"/>
      <c r="S186" s="7"/>
      <c r="T186" s="7"/>
      <c r="U186" s="7"/>
      <c r="V186" s="7"/>
      <c r="W186" s="7"/>
      <c r="X186" s="7"/>
      <c r="Y186" s="7"/>
      <c r="Z186" s="7"/>
      <c r="AA186" s="7"/>
      <c r="AB186" s="7"/>
      <c r="AC186" s="7"/>
    </row>
    <row r="187" ht="15.75" customHeight="1">
      <c r="A187" s="11" t="s">
        <v>962</v>
      </c>
      <c r="B187" s="5" t="s">
        <v>133</v>
      </c>
      <c r="C187" s="5" t="s">
        <v>15</v>
      </c>
      <c r="D187" s="5" t="s">
        <v>963</v>
      </c>
      <c r="E187" s="5" t="s">
        <v>964</v>
      </c>
      <c r="F187" s="5" t="s">
        <v>29</v>
      </c>
      <c r="G187" s="5"/>
      <c r="H187" s="5" t="s">
        <v>52</v>
      </c>
      <c r="I187" s="5"/>
      <c r="J187" s="78" t="s">
        <v>133</v>
      </c>
      <c r="K187" s="78"/>
      <c r="L187" s="85"/>
      <c r="M187" s="5"/>
      <c r="N187" s="85"/>
      <c r="O187" s="22"/>
      <c r="P187" s="7" t="str">
        <f t="shared" si="1"/>
        <v>OK</v>
      </c>
      <c r="Q187" s="7"/>
      <c r="R187" s="7"/>
      <c r="S187" s="7"/>
      <c r="T187" s="7"/>
      <c r="U187" s="7"/>
      <c r="V187" s="7"/>
      <c r="W187" s="7"/>
      <c r="X187" s="7"/>
      <c r="Y187" s="7"/>
      <c r="Z187" s="7"/>
      <c r="AA187" s="7"/>
      <c r="AB187" s="7"/>
      <c r="AC187" s="7"/>
    </row>
    <row r="188" ht="15.75" hidden="1" customHeight="1">
      <c r="A188" s="8" t="s">
        <v>967</v>
      </c>
      <c r="B188" s="5" t="s">
        <v>14</v>
      </c>
      <c r="C188" s="5" t="s">
        <v>15</v>
      </c>
      <c r="D188" s="5" t="s">
        <v>968</v>
      </c>
      <c r="E188" s="6" t="s">
        <v>971</v>
      </c>
      <c r="F188" s="5" t="s">
        <v>20</v>
      </c>
      <c r="G188" s="5"/>
      <c r="H188" s="5" t="s">
        <v>68</v>
      </c>
      <c r="I188" s="5"/>
      <c r="J188" s="78" t="s">
        <v>133</v>
      </c>
      <c r="K188" s="78"/>
      <c r="L188" s="85"/>
      <c r="M188" s="5"/>
      <c r="N188" s="85"/>
      <c r="O188" s="22"/>
      <c r="P188" s="7" t="str">
        <f t="shared" si="1"/>
        <v>OK</v>
      </c>
      <c r="Q188" s="7"/>
      <c r="R188" s="7"/>
      <c r="S188" s="7"/>
      <c r="T188" s="7"/>
      <c r="U188" s="7"/>
      <c r="V188" s="7"/>
      <c r="W188" s="7"/>
      <c r="X188" s="7"/>
      <c r="Y188" s="7"/>
      <c r="Z188" s="7"/>
      <c r="AA188" s="7"/>
      <c r="AB188" s="7"/>
      <c r="AC188" s="7"/>
    </row>
    <row r="189" ht="15.75" hidden="1" customHeight="1">
      <c r="A189" s="8" t="s">
        <v>972</v>
      </c>
      <c r="B189" s="5" t="s">
        <v>14</v>
      </c>
      <c r="C189" s="5" t="s">
        <v>15</v>
      </c>
      <c r="D189" s="5" t="s">
        <v>973</v>
      </c>
      <c r="E189" s="6" t="s">
        <v>976</v>
      </c>
      <c r="F189" s="5" t="s">
        <v>21</v>
      </c>
      <c r="G189" s="5"/>
      <c r="H189" s="5" t="s">
        <v>52</v>
      </c>
      <c r="I189" s="5"/>
      <c r="J189" s="78" t="s">
        <v>133</v>
      </c>
      <c r="K189" s="78"/>
      <c r="L189" s="85"/>
      <c r="M189" s="5"/>
      <c r="N189" s="85"/>
      <c r="O189" s="22"/>
      <c r="P189" s="7" t="str">
        <f t="shared" si="1"/>
        <v>OK</v>
      </c>
      <c r="Q189" s="7"/>
      <c r="R189" s="7"/>
      <c r="S189" s="7"/>
      <c r="T189" s="7"/>
      <c r="U189" s="7"/>
      <c r="V189" s="7"/>
      <c r="W189" s="7"/>
      <c r="X189" s="7"/>
      <c r="Y189" s="7"/>
      <c r="Z189" s="7"/>
      <c r="AA189" s="7"/>
      <c r="AB189" s="7"/>
      <c r="AC189" s="7"/>
    </row>
    <row r="190" ht="15.75" hidden="1" customHeight="1">
      <c r="A190" s="8" t="s">
        <v>977</v>
      </c>
      <c r="B190" s="5" t="s">
        <v>14</v>
      </c>
      <c r="C190" s="5" t="s">
        <v>15</v>
      </c>
      <c r="D190" s="5" t="s">
        <v>978</v>
      </c>
      <c r="E190" s="6" t="s">
        <v>980</v>
      </c>
      <c r="F190" s="5" t="s">
        <v>37</v>
      </c>
      <c r="G190" s="5"/>
      <c r="H190" s="5" t="s">
        <v>68</v>
      </c>
      <c r="I190" s="5"/>
      <c r="J190" s="78" t="s">
        <v>133</v>
      </c>
      <c r="K190" s="78"/>
      <c r="L190" s="85"/>
      <c r="M190" s="5"/>
      <c r="N190" s="85"/>
      <c r="O190" s="22"/>
      <c r="P190" s="7" t="str">
        <f t="shared" si="1"/>
        <v>OK</v>
      </c>
      <c r="Q190" s="7"/>
      <c r="R190" s="7"/>
      <c r="S190" s="7"/>
      <c r="T190" s="7"/>
      <c r="U190" s="7"/>
      <c r="V190" s="7"/>
      <c r="W190" s="7"/>
      <c r="X190" s="7"/>
      <c r="Y190" s="7"/>
      <c r="Z190" s="7"/>
      <c r="AA190" s="7"/>
      <c r="AB190" s="7"/>
      <c r="AC190" s="7"/>
    </row>
    <row r="191" ht="15.75" hidden="1" customHeight="1">
      <c r="A191" s="8" t="s">
        <v>982</v>
      </c>
      <c r="B191" s="5" t="s">
        <v>14</v>
      </c>
      <c r="C191" s="5" t="s">
        <v>15</v>
      </c>
      <c r="D191" s="5" t="s">
        <v>983</v>
      </c>
      <c r="E191" s="6" t="s">
        <v>984</v>
      </c>
      <c r="F191" s="5" t="s">
        <v>74</v>
      </c>
      <c r="G191" s="5"/>
      <c r="H191" s="5" t="s">
        <v>68</v>
      </c>
      <c r="I191" s="5"/>
      <c r="J191" s="78" t="s">
        <v>133</v>
      </c>
      <c r="K191" s="78"/>
      <c r="L191" s="85"/>
      <c r="M191" s="5"/>
      <c r="N191" s="85"/>
      <c r="O191" s="22"/>
      <c r="P191" s="7" t="str">
        <f t="shared" si="1"/>
        <v>OK</v>
      </c>
      <c r="Q191" s="7"/>
      <c r="R191" s="7"/>
      <c r="S191" s="7"/>
      <c r="T191" s="7"/>
      <c r="U191" s="7"/>
      <c r="V191" s="7"/>
      <c r="W191" s="7"/>
      <c r="X191" s="7"/>
      <c r="Y191" s="7"/>
      <c r="Z191" s="7"/>
      <c r="AA191" s="7"/>
      <c r="AB191" s="7"/>
      <c r="AC191" s="7"/>
    </row>
    <row r="192" ht="15.75" hidden="1" customHeight="1">
      <c r="A192" s="4" t="s">
        <v>987</v>
      </c>
      <c r="B192" s="13" t="s">
        <v>14</v>
      </c>
      <c r="C192" s="13" t="s">
        <v>15</v>
      </c>
      <c r="D192" s="13" t="s">
        <v>988</v>
      </c>
      <c r="E192" s="14" t="s">
        <v>989</v>
      </c>
      <c r="F192" s="13" t="s">
        <v>74</v>
      </c>
      <c r="G192" s="13"/>
      <c r="H192" s="13" t="s">
        <v>68</v>
      </c>
      <c r="I192" s="13"/>
      <c r="J192" s="78" t="s">
        <v>133</v>
      </c>
      <c r="K192" s="78"/>
      <c r="L192" s="88"/>
      <c r="M192" s="13"/>
      <c r="N192" s="88"/>
      <c r="O192" s="89"/>
      <c r="P192" s="15" t="str">
        <f t="shared" si="1"/>
        <v>OK</v>
      </c>
      <c r="Q192" s="15"/>
      <c r="R192" s="15"/>
      <c r="S192" s="15"/>
      <c r="T192" s="15"/>
      <c r="U192" s="15"/>
      <c r="V192" s="15"/>
      <c r="W192" s="15"/>
      <c r="X192" s="15"/>
      <c r="Y192" s="15"/>
      <c r="Z192" s="15"/>
      <c r="AA192" s="15"/>
      <c r="AB192" s="15"/>
      <c r="AC192" s="15"/>
    </row>
    <row r="193" ht="15.75" hidden="1" customHeight="1">
      <c r="A193" s="8" t="s">
        <v>992</v>
      </c>
      <c r="B193" s="5" t="s">
        <v>14</v>
      </c>
      <c r="C193" s="5" t="s">
        <v>15</v>
      </c>
      <c r="D193" s="5" t="s">
        <v>993</v>
      </c>
      <c r="E193" s="6" t="s">
        <v>995</v>
      </c>
      <c r="F193" s="5" t="s">
        <v>21</v>
      </c>
      <c r="G193" s="5"/>
      <c r="H193" s="5" t="s">
        <v>68</v>
      </c>
      <c r="I193" s="5"/>
      <c r="J193" s="78" t="s">
        <v>133</v>
      </c>
      <c r="K193" s="78"/>
      <c r="L193" s="85"/>
      <c r="M193" s="5"/>
      <c r="N193" s="85"/>
      <c r="O193" s="22"/>
      <c r="P193" s="7" t="str">
        <f t="shared" si="1"/>
        <v>OK</v>
      </c>
      <c r="Q193" s="7"/>
      <c r="R193" s="7"/>
      <c r="S193" s="7"/>
      <c r="T193" s="7"/>
      <c r="U193" s="7"/>
      <c r="V193" s="7"/>
      <c r="W193" s="7"/>
      <c r="X193" s="7"/>
      <c r="Y193" s="7"/>
      <c r="Z193" s="7"/>
      <c r="AA193" s="7"/>
      <c r="AB193" s="7"/>
      <c r="AC193" s="7"/>
    </row>
    <row r="194" ht="15.75" hidden="1" customHeight="1">
      <c r="A194" s="8" t="s">
        <v>997</v>
      </c>
      <c r="B194" s="5" t="s">
        <v>14</v>
      </c>
      <c r="C194" s="5" t="s">
        <v>15</v>
      </c>
      <c r="D194" s="5" t="s">
        <v>998</v>
      </c>
      <c r="E194" s="5" t="s">
        <v>1001</v>
      </c>
      <c r="F194" s="5" t="s">
        <v>29</v>
      </c>
      <c r="G194" s="5"/>
      <c r="H194" s="5" t="s">
        <v>39</v>
      </c>
      <c r="I194" s="5"/>
      <c r="J194" s="78" t="s">
        <v>133</v>
      </c>
      <c r="K194" s="78"/>
      <c r="L194" s="85"/>
      <c r="M194" s="5"/>
      <c r="N194" s="85"/>
      <c r="O194" s="22"/>
      <c r="P194" s="7" t="str">
        <f t="shared" si="1"/>
        <v>OK</v>
      </c>
      <c r="Q194" s="7"/>
      <c r="R194" s="7"/>
      <c r="S194" s="7"/>
      <c r="T194" s="7"/>
      <c r="U194" s="7"/>
      <c r="V194" s="7"/>
      <c r="W194" s="7"/>
      <c r="X194" s="7"/>
      <c r="Y194" s="7"/>
      <c r="Z194" s="7"/>
      <c r="AA194" s="7"/>
      <c r="AB194" s="7"/>
      <c r="AC194" s="7"/>
    </row>
    <row r="195" ht="15.75" hidden="1" customHeight="1">
      <c r="A195" s="8" t="s">
        <v>1002</v>
      </c>
      <c r="B195" s="5" t="s">
        <v>14</v>
      </c>
      <c r="C195" s="5" t="s">
        <v>15</v>
      </c>
      <c r="D195" s="5" t="s">
        <v>1003</v>
      </c>
      <c r="E195" s="5" t="s">
        <v>1005</v>
      </c>
      <c r="F195" s="5" t="s">
        <v>21</v>
      </c>
      <c r="G195" s="5"/>
      <c r="H195" s="5" t="s">
        <v>68</v>
      </c>
      <c r="I195" s="5"/>
      <c r="J195" s="78" t="s">
        <v>133</v>
      </c>
      <c r="K195" s="78"/>
      <c r="L195" s="85"/>
      <c r="M195" s="5"/>
      <c r="N195" s="85"/>
      <c r="O195" s="22"/>
      <c r="P195" s="7" t="str">
        <f t="shared" si="1"/>
        <v>OK</v>
      </c>
      <c r="Q195" s="7"/>
      <c r="R195" s="7"/>
      <c r="S195" s="7"/>
      <c r="T195" s="7"/>
      <c r="U195" s="7"/>
      <c r="V195" s="7"/>
      <c r="W195" s="7"/>
      <c r="X195" s="7"/>
      <c r="Y195" s="7"/>
      <c r="Z195" s="7"/>
      <c r="AA195" s="7"/>
      <c r="AB195" s="7"/>
      <c r="AC195" s="7"/>
    </row>
    <row r="196" ht="15.75" hidden="1" customHeight="1">
      <c r="A196" s="8" t="s">
        <v>1007</v>
      </c>
      <c r="B196" s="5" t="s">
        <v>14</v>
      </c>
      <c r="C196" s="5" t="s">
        <v>15</v>
      </c>
      <c r="D196" s="5" t="s">
        <v>1008</v>
      </c>
      <c r="E196" s="5" t="s">
        <v>1011</v>
      </c>
      <c r="F196" s="5" t="s">
        <v>74</v>
      </c>
      <c r="G196" s="5"/>
      <c r="H196" s="5" t="s">
        <v>68</v>
      </c>
      <c r="I196" s="5"/>
      <c r="J196" s="78" t="s">
        <v>133</v>
      </c>
      <c r="K196" s="78"/>
      <c r="L196" s="85"/>
      <c r="M196" s="5"/>
      <c r="N196" s="85"/>
      <c r="O196" s="22"/>
      <c r="P196" s="7" t="str">
        <f t="shared" si="1"/>
        <v>OK</v>
      </c>
      <c r="Q196" s="7"/>
      <c r="R196" s="7"/>
      <c r="S196" s="7"/>
      <c r="T196" s="7"/>
      <c r="U196" s="7"/>
      <c r="V196" s="7"/>
      <c r="W196" s="7"/>
      <c r="X196" s="7"/>
      <c r="Y196" s="7"/>
      <c r="Z196" s="7"/>
      <c r="AA196" s="7"/>
      <c r="AB196" s="7"/>
      <c r="AC196" s="7"/>
    </row>
    <row r="197" ht="15.75" hidden="1" customHeight="1">
      <c r="A197" s="8" t="s">
        <v>1012</v>
      </c>
      <c r="B197" s="5" t="s">
        <v>14</v>
      </c>
      <c r="C197" s="5" t="s">
        <v>15</v>
      </c>
      <c r="D197" s="5" t="s">
        <v>2643</v>
      </c>
      <c r="E197" s="5" t="s">
        <v>1014</v>
      </c>
      <c r="F197" s="5" t="s">
        <v>21</v>
      </c>
      <c r="G197" s="5"/>
      <c r="H197" s="5" t="s">
        <v>75</v>
      </c>
      <c r="I197" s="5"/>
      <c r="J197" s="78" t="s">
        <v>133</v>
      </c>
      <c r="K197" s="74" t="s">
        <v>15</v>
      </c>
      <c r="L197" s="10" t="s">
        <v>38</v>
      </c>
      <c r="M197" s="5" t="s">
        <v>21</v>
      </c>
      <c r="N197" s="10" t="s">
        <v>75</v>
      </c>
      <c r="O197" s="84" t="s">
        <v>39</v>
      </c>
      <c r="P197" s="7" t="str">
        <f>IF(COUNTIF($A$2:A227, A197)&gt;1, "Dublet", "OK")</f>
        <v>OK</v>
      </c>
      <c r="Q197" s="7"/>
      <c r="R197" s="7"/>
      <c r="S197" s="7"/>
      <c r="T197" s="7"/>
      <c r="U197" s="7"/>
      <c r="V197" s="7"/>
      <c r="W197" s="7"/>
      <c r="X197" s="7"/>
      <c r="Y197" s="7"/>
      <c r="Z197" s="7"/>
      <c r="AA197" s="7"/>
      <c r="AB197" s="7"/>
      <c r="AC197" s="7"/>
    </row>
    <row r="198" ht="15.75" hidden="1" customHeight="1">
      <c r="A198" s="8" t="s">
        <v>1017</v>
      </c>
      <c r="B198" s="5" t="s">
        <v>14</v>
      </c>
      <c r="C198" s="5" t="s">
        <v>15</v>
      </c>
      <c r="D198" s="5" t="s">
        <v>1018</v>
      </c>
      <c r="E198" s="5" t="s">
        <v>1020</v>
      </c>
      <c r="F198" s="5" t="s">
        <v>21</v>
      </c>
      <c r="G198" s="5"/>
      <c r="H198" s="5" t="s">
        <v>68</v>
      </c>
      <c r="I198" s="5"/>
      <c r="J198" s="78" t="s">
        <v>133</v>
      </c>
      <c r="K198" s="78"/>
      <c r="L198" s="85"/>
      <c r="M198" s="5"/>
      <c r="N198" s="85"/>
      <c r="O198" s="22"/>
      <c r="P198" s="7" t="str">
        <f t="shared" ref="P198:P267" si="2">IF(COUNTIF($A$2:A198, A198)&gt;1, "Dublet", "OK")</f>
        <v>OK</v>
      </c>
      <c r="Q198" s="7"/>
      <c r="R198" s="7"/>
      <c r="S198" s="7"/>
      <c r="T198" s="7"/>
      <c r="U198" s="7"/>
      <c r="V198" s="7"/>
      <c r="W198" s="7"/>
      <c r="X198" s="7"/>
      <c r="Y198" s="7"/>
      <c r="Z198" s="7"/>
      <c r="AA198" s="7"/>
      <c r="AB198" s="7"/>
      <c r="AC198" s="7"/>
    </row>
    <row r="199" ht="15.75" hidden="1" customHeight="1">
      <c r="A199" s="8" t="s">
        <v>1022</v>
      </c>
      <c r="B199" s="5" t="s">
        <v>14</v>
      </c>
      <c r="C199" s="5" t="s">
        <v>15</v>
      </c>
      <c r="D199" s="5" t="s">
        <v>1023</v>
      </c>
      <c r="E199" s="5" t="s">
        <v>1026</v>
      </c>
      <c r="F199" s="5" t="s">
        <v>74</v>
      </c>
      <c r="G199" s="5"/>
      <c r="H199" s="5" t="s">
        <v>68</v>
      </c>
      <c r="I199" s="5"/>
      <c r="J199" s="78" t="s">
        <v>133</v>
      </c>
      <c r="K199" s="78"/>
      <c r="L199" s="85"/>
      <c r="M199" s="5"/>
      <c r="N199" s="85"/>
      <c r="O199" s="22"/>
      <c r="P199" s="7" t="str">
        <f t="shared" si="2"/>
        <v>OK</v>
      </c>
      <c r="Q199" s="7"/>
      <c r="R199" s="7"/>
      <c r="S199" s="7"/>
      <c r="T199" s="7"/>
      <c r="U199" s="7"/>
      <c r="V199" s="7"/>
      <c r="W199" s="7"/>
      <c r="X199" s="7"/>
      <c r="Y199" s="7"/>
      <c r="Z199" s="7"/>
      <c r="AA199" s="7"/>
      <c r="AB199" s="7"/>
      <c r="AC199" s="7"/>
    </row>
    <row r="200" ht="15.75" hidden="1" customHeight="1">
      <c r="A200" s="8" t="s">
        <v>1027</v>
      </c>
      <c r="B200" s="5" t="s">
        <v>14</v>
      </c>
      <c r="C200" s="5" t="s">
        <v>15</v>
      </c>
      <c r="D200" s="5" t="s">
        <v>1028</v>
      </c>
      <c r="E200" s="5" t="s">
        <v>1029</v>
      </c>
      <c r="F200" s="5" t="s">
        <v>37</v>
      </c>
      <c r="G200" s="5"/>
      <c r="H200" s="5" t="s">
        <v>68</v>
      </c>
      <c r="I200" s="5"/>
      <c r="J200" s="78" t="s">
        <v>133</v>
      </c>
      <c r="K200" s="74" t="s">
        <v>15</v>
      </c>
      <c r="L200" s="10" t="s">
        <v>37</v>
      </c>
      <c r="M200" s="5" t="s">
        <v>51</v>
      </c>
      <c r="N200" s="10" t="s">
        <v>68</v>
      </c>
      <c r="O200" s="84" t="s">
        <v>39</v>
      </c>
      <c r="P200" s="7" t="str">
        <f t="shared" si="2"/>
        <v>OK</v>
      </c>
      <c r="Q200" s="7"/>
      <c r="R200" s="7"/>
      <c r="S200" s="7"/>
      <c r="T200" s="7"/>
      <c r="U200" s="7"/>
      <c r="V200" s="7"/>
      <c r="W200" s="7"/>
      <c r="X200" s="7"/>
      <c r="Y200" s="7"/>
      <c r="Z200" s="7"/>
      <c r="AA200" s="7"/>
      <c r="AB200" s="7"/>
      <c r="AC200" s="7"/>
    </row>
    <row r="201" ht="15.75" hidden="1" customHeight="1">
      <c r="A201" s="4" t="s">
        <v>1032</v>
      </c>
      <c r="B201" s="13" t="s">
        <v>14</v>
      </c>
      <c r="C201" s="13" t="s">
        <v>15</v>
      </c>
      <c r="D201" s="13" t="s">
        <v>1033</v>
      </c>
      <c r="E201" s="13" t="s">
        <v>1035</v>
      </c>
      <c r="F201" s="13" t="s">
        <v>74</v>
      </c>
      <c r="G201" s="13"/>
      <c r="H201" s="13" t="s">
        <v>68</v>
      </c>
      <c r="I201" s="13"/>
      <c r="J201" s="78" t="s">
        <v>133</v>
      </c>
      <c r="K201" s="78"/>
      <c r="L201" s="88"/>
      <c r="M201" s="13"/>
      <c r="N201" s="88"/>
      <c r="O201" s="89"/>
      <c r="P201" s="15" t="str">
        <f t="shared" si="2"/>
        <v>OK</v>
      </c>
      <c r="Q201" s="15"/>
      <c r="R201" s="15"/>
      <c r="S201" s="15"/>
      <c r="T201" s="15"/>
      <c r="U201" s="15"/>
      <c r="V201" s="15"/>
      <c r="W201" s="15"/>
      <c r="X201" s="15"/>
      <c r="Y201" s="15"/>
      <c r="Z201" s="15"/>
      <c r="AA201" s="15"/>
      <c r="AB201" s="15"/>
      <c r="AC201" s="15"/>
    </row>
    <row r="202" ht="15.75" hidden="1" customHeight="1">
      <c r="A202" s="8" t="s">
        <v>1037</v>
      </c>
      <c r="B202" s="5" t="s">
        <v>14</v>
      </c>
      <c r="C202" s="5" t="s">
        <v>15</v>
      </c>
      <c r="D202" s="5" t="s">
        <v>1038</v>
      </c>
      <c r="E202" s="6" t="s">
        <v>1041</v>
      </c>
      <c r="F202" s="5" t="s">
        <v>21</v>
      </c>
      <c r="G202" s="5"/>
      <c r="H202" s="5" t="s">
        <v>68</v>
      </c>
      <c r="I202" s="5"/>
      <c r="J202" s="78" t="s">
        <v>133</v>
      </c>
      <c r="K202" s="78"/>
      <c r="L202" s="85"/>
      <c r="M202" s="5"/>
      <c r="N202" s="85"/>
      <c r="O202" s="22"/>
      <c r="P202" s="7" t="str">
        <f t="shared" si="2"/>
        <v>OK</v>
      </c>
      <c r="Q202" s="7"/>
      <c r="R202" s="7"/>
      <c r="S202" s="7"/>
      <c r="T202" s="7"/>
      <c r="U202" s="7"/>
      <c r="V202" s="7"/>
      <c r="W202" s="7"/>
      <c r="X202" s="7"/>
      <c r="Y202" s="7"/>
      <c r="Z202" s="7"/>
      <c r="AA202" s="7"/>
      <c r="AB202" s="7"/>
      <c r="AC202" s="7"/>
    </row>
    <row r="203" ht="15.75" hidden="1" customHeight="1">
      <c r="A203" s="8" t="s">
        <v>1042</v>
      </c>
      <c r="B203" s="5" t="s">
        <v>14</v>
      </c>
      <c r="C203" s="5" t="s">
        <v>15</v>
      </c>
      <c r="D203" s="5" t="s">
        <v>1043</v>
      </c>
      <c r="E203" s="6" t="s">
        <v>1044</v>
      </c>
      <c r="F203" s="5" t="s">
        <v>21</v>
      </c>
      <c r="G203" s="5"/>
      <c r="H203" s="5" t="s">
        <v>23</v>
      </c>
      <c r="I203" s="5"/>
      <c r="J203" s="78" t="s">
        <v>133</v>
      </c>
      <c r="K203" s="78"/>
      <c r="L203" s="85"/>
      <c r="M203" s="5"/>
      <c r="N203" s="85"/>
      <c r="O203" s="22"/>
      <c r="P203" s="7" t="str">
        <f t="shared" si="2"/>
        <v>OK</v>
      </c>
      <c r="Q203" s="7"/>
      <c r="R203" s="7"/>
      <c r="S203" s="7"/>
      <c r="T203" s="7"/>
      <c r="U203" s="7"/>
      <c r="V203" s="7"/>
      <c r="W203" s="7"/>
      <c r="X203" s="7"/>
      <c r="Y203" s="7"/>
      <c r="Z203" s="7"/>
      <c r="AA203" s="7"/>
      <c r="AB203" s="7"/>
      <c r="AC203" s="7"/>
    </row>
    <row r="204" ht="15.75" hidden="1" customHeight="1">
      <c r="A204" s="8" t="s">
        <v>1047</v>
      </c>
      <c r="B204" s="5" t="s">
        <v>14</v>
      </c>
      <c r="C204" s="5" t="s">
        <v>15</v>
      </c>
      <c r="D204" s="5" t="s">
        <v>1048</v>
      </c>
      <c r="E204" s="6" t="s">
        <v>1049</v>
      </c>
      <c r="F204" s="5" t="s">
        <v>21</v>
      </c>
      <c r="G204" s="5"/>
      <c r="H204" s="5" t="s">
        <v>52</v>
      </c>
      <c r="I204" s="5"/>
      <c r="J204" s="78" t="s">
        <v>133</v>
      </c>
      <c r="K204" s="78"/>
      <c r="L204" s="85"/>
      <c r="M204" s="5"/>
      <c r="N204" s="85"/>
      <c r="O204" s="22"/>
      <c r="P204" s="7" t="str">
        <f t="shared" si="2"/>
        <v>OK</v>
      </c>
      <c r="Q204" s="7"/>
      <c r="R204" s="7"/>
      <c r="S204" s="7"/>
      <c r="T204" s="7"/>
      <c r="U204" s="7"/>
      <c r="V204" s="7"/>
      <c r="W204" s="7"/>
      <c r="X204" s="7"/>
      <c r="Y204" s="7"/>
      <c r="Z204" s="7"/>
      <c r="AA204" s="7"/>
      <c r="AB204" s="7"/>
      <c r="AC204" s="7"/>
    </row>
    <row r="205" ht="15.75" hidden="1" customHeight="1">
      <c r="A205" s="8" t="s">
        <v>1052</v>
      </c>
      <c r="B205" s="5" t="s">
        <v>14</v>
      </c>
      <c r="C205" s="5" t="s">
        <v>15</v>
      </c>
      <c r="D205" s="5" t="s">
        <v>1053</v>
      </c>
      <c r="E205" s="6" t="s">
        <v>1054</v>
      </c>
      <c r="F205" s="5" t="s">
        <v>21</v>
      </c>
      <c r="G205" s="5"/>
      <c r="H205" s="5" t="s">
        <v>111</v>
      </c>
      <c r="I205" s="5"/>
      <c r="J205" s="78" t="s">
        <v>133</v>
      </c>
      <c r="K205" s="78"/>
      <c r="L205" s="85"/>
      <c r="M205" s="5"/>
      <c r="N205" s="85"/>
      <c r="O205" s="22"/>
      <c r="P205" s="7" t="str">
        <f t="shared" si="2"/>
        <v>OK</v>
      </c>
      <c r="Q205" s="7"/>
      <c r="R205" s="7"/>
      <c r="S205" s="7"/>
      <c r="T205" s="7"/>
      <c r="U205" s="7"/>
      <c r="V205" s="7"/>
      <c r="W205" s="7"/>
      <c r="X205" s="7"/>
      <c r="Y205" s="7"/>
      <c r="Z205" s="7"/>
      <c r="AA205" s="7"/>
      <c r="AB205" s="7"/>
      <c r="AC205" s="7"/>
    </row>
    <row r="206" ht="15.75" hidden="1" customHeight="1">
      <c r="A206" s="8" t="s">
        <v>1057</v>
      </c>
      <c r="B206" s="5" t="s">
        <v>14</v>
      </c>
      <c r="C206" s="5" t="s">
        <v>15</v>
      </c>
      <c r="D206" s="5" t="s">
        <v>1058</v>
      </c>
      <c r="E206" s="6" t="s">
        <v>1060</v>
      </c>
      <c r="F206" s="5" t="s">
        <v>21</v>
      </c>
      <c r="G206" s="5"/>
      <c r="H206" s="5" t="s">
        <v>75</v>
      </c>
      <c r="I206" s="5"/>
      <c r="J206" s="78" t="s">
        <v>133</v>
      </c>
      <c r="K206" s="78"/>
      <c r="L206" s="85"/>
      <c r="M206" s="5"/>
      <c r="N206" s="85"/>
      <c r="O206" s="22"/>
      <c r="P206" s="7" t="str">
        <f t="shared" si="2"/>
        <v>OK</v>
      </c>
      <c r="Q206" s="7"/>
      <c r="R206" s="7"/>
      <c r="S206" s="7"/>
      <c r="T206" s="7"/>
      <c r="U206" s="7"/>
      <c r="V206" s="7"/>
      <c r="W206" s="7"/>
      <c r="X206" s="7"/>
      <c r="Y206" s="7"/>
      <c r="Z206" s="7"/>
      <c r="AA206" s="7"/>
      <c r="AB206" s="7"/>
      <c r="AC206" s="7"/>
    </row>
    <row r="207" ht="15.75" hidden="1" customHeight="1">
      <c r="A207" s="8" t="s">
        <v>1062</v>
      </c>
      <c r="B207" s="5" t="s">
        <v>14</v>
      </c>
      <c r="C207" s="5" t="s">
        <v>15</v>
      </c>
      <c r="D207" s="5" t="s">
        <v>1063</v>
      </c>
      <c r="E207" s="5" t="s">
        <v>1065</v>
      </c>
      <c r="F207" s="5" t="s">
        <v>21</v>
      </c>
      <c r="G207" s="5"/>
      <c r="H207" s="5" t="s">
        <v>23</v>
      </c>
      <c r="I207" s="5"/>
      <c r="J207" s="78" t="s">
        <v>133</v>
      </c>
      <c r="K207" s="78"/>
      <c r="L207" s="85"/>
      <c r="M207" s="5"/>
      <c r="N207" s="85"/>
      <c r="O207" s="22"/>
      <c r="P207" s="7" t="str">
        <f t="shared" si="2"/>
        <v>OK</v>
      </c>
      <c r="Q207" s="7"/>
      <c r="R207" s="7"/>
      <c r="S207" s="7"/>
      <c r="T207" s="7"/>
      <c r="U207" s="7"/>
      <c r="V207" s="7"/>
      <c r="W207" s="7"/>
      <c r="X207" s="7"/>
      <c r="Y207" s="7"/>
      <c r="Z207" s="7"/>
      <c r="AA207" s="7"/>
      <c r="AB207" s="7"/>
      <c r="AC207" s="7"/>
    </row>
    <row r="208" ht="15.75" hidden="1" customHeight="1">
      <c r="A208" s="8" t="s">
        <v>1067</v>
      </c>
      <c r="B208" s="5" t="s">
        <v>14</v>
      </c>
      <c r="C208" s="5" t="s">
        <v>15</v>
      </c>
      <c r="D208" s="5" t="s">
        <v>1068</v>
      </c>
      <c r="E208" s="5" t="s">
        <v>1071</v>
      </c>
      <c r="F208" s="5" t="s">
        <v>37</v>
      </c>
      <c r="G208" s="5"/>
      <c r="H208" s="5" t="s">
        <v>68</v>
      </c>
      <c r="I208" s="5"/>
      <c r="J208" s="78" t="s">
        <v>133</v>
      </c>
      <c r="K208" s="78"/>
      <c r="L208" s="85"/>
      <c r="M208" s="5"/>
      <c r="N208" s="85"/>
      <c r="O208" s="22"/>
      <c r="P208" s="7" t="str">
        <f t="shared" si="2"/>
        <v>OK</v>
      </c>
      <c r="Q208" s="7"/>
      <c r="R208" s="7"/>
      <c r="S208" s="7"/>
      <c r="T208" s="7"/>
      <c r="U208" s="7"/>
      <c r="V208" s="7"/>
      <c r="W208" s="7"/>
      <c r="X208" s="7"/>
      <c r="Y208" s="7"/>
      <c r="Z208" s="7"/>
      <c r="AA208" s="7"/>
      <c r="AB208" s="7"/>
      <c r="AC208" s="7"/>
    </row>
    <row r="209" ht="15.75" hidden="1" customHeight="1">
      <c r="A209" s="8" t="s">
        <v>1072</v>
      </c>
      <c r="B209" s="5" t="s">
        <v>14</v>
      </c>
      <c r="C209" s="5" t="s">
        <v>15</v>
      </c>
      <c r="D209" s="5" t="s">
        <v>1073</v>
      </c>
      <c r="E209" s="5" t="s">
        <v>1075</v>
      </c>
      <c r="F209" s="5" t="s">
        <v>21</v>
      </c>
      <c r="G209" s="5"/>
      <c r="H209" s="5" t="s">
        <v>111</v>
      </c>
      <c r="I209" s="5"/>
      <c r="J209" s="78" t="s">
        <v>133</v>
      </c>
      <c r="K209" s="78"/>
      <c r="L209" s="85"/>
      <c r="M209" s="5"/>
      <c r="N209" s="85"/>
      <c r="O209" s="22"/>
      <c r="P209" s="7" t="str">
        <f t="shared" si="2"/>
        <v>OK</v>
      </c>
      <c r="Q209" s="7"/>
      <c r="R209" s="7"/>
      <c r="S209" s="7"/>
      <c r="T209" s="7"/>
      <c r="U209" s="7"/>
      <c r="V209" s="7"/>
      <c r="W209" s="7"/>
      <c r="X209" s="7"/>
      <c r="Y209" s="7"/>
      <c r="Z209" s="7"/>
      <c r="AA209" s="7"/>
      <c r="AB209" s="7"/>
      <c r="AC209" s="7"/>
    </row>
    <row r="210" ht="15.75" hidden="1" customHeight="1">
      <c r="A210" s="8" t="s">
        <v>1077</v>
      </c>
      <c r="B210" s="5" t="s">
        <v>14</v>
      </c>
      <c r="C210" s="5" t="s">
        <v>15</v>
      </c>
      <c r="D210" s="5" t="s">
        <v>1078</v>
      </c>
      <c r="E210" s="5" t="s">
        <v>1081</v>
      </c>
      <c r="F210" s="5" t="s">
        <v>74</v>
      </c>
      <c r="G210" s="5"/>
      <c r="H210" s="5" t="s">
        <v>75</v>
      </c>
      <c r="I210" s="5"/>
      <c r="J210" s="78" t="s">
        <v>133</v>
      </c>
      <c r="K210" s="78"/>
      <c r="L210" s="85"/>
      <c r="M210" s="5"/>
      <c r="N210" s="85"/>
      <c r="O210" s="22"/>
      <c r="P210" s="7" t="str">
        <f t="shared" si="2"/>
        <v>OK</v>
      </c>
      <c r="Q210" s="7"/>
      <c r="R210" s="7"/>
      <c r="S210" s="7"/>
      <c r="T210" s="7"/>
      <c r="U210" s="7"/>
      <c r="V210" s="7"/>
      <c r="W210" s="7"/>
      <c r="X210" s="7"/>
      <c r="Y210" s="7"/>
      <c r="Z210" s="7"/>
      <c r="AA210" s="7"/>
      <c r="AB210" s="7"/>
      <c r="AC210" s="7"/>
    </row>
    <row r="211" ht="15.75" hidden="1" customHeight="1">
      <c r="A211" s="8" t="s">
        <v>1082</v>
      </c>
      <c r="B211" s="5" t="s">
        <v>14</v>
      </c>
      <c r="C211" s="5" t="s">
        <v>15</v>
      </c>
      <c r="D211" s="5" t="s">
        <v>1083</v>
      </c>
      <c r="E211" s="5" t="s">
        <v>1086</v>
      </c>
      <c r="F211" s="5" t="s">
        <v>21</v>
      </c>
      <c r="G211" s="5"/>
      <c r="H211" s="5" t="s">
        <v>23</v>
      </c>
      <c r="I211" s="5"/>
      <c r="J211" s="78" t="s">
        <v>133</v>
      </c>
      <c r="K211" s="78"/>
      <c r="L211" s="85"/>
      <c r="M211" s="5"/>
      <c r="N211" s="85"/>
      <c r="O211" s="22"/>
      <c r="P211" s="7" t="str">
        <f t="shared" si="2"/>
        <v>OK</v>
      </c>
      <c r="Q211" s="7"/>
      <c r="R211" s="7"/>
      <c r="S211" s="7"/>
      <c r="T211" s="7"/>
      <c r="U211" s="7"/>
      <c r="V211" s="7"/>
      <c r="W211" s="7"/>
      <c r="X211" s="7"/>
      <c r="Y211" s="7"/>
      <c r="Z211" s="7"/>
      <c r="AA211" s="7"/>
      <c r="AB211" s="7"/>
      <c r="AC211" s="7"/>
    </row>
    <row r="212" ht="15.75" hidden="1" customHeight="1">
      <c r="A212" s="8" t="s">
        <v>1087</v>
      </c>
      <c r="B212" s="5" t="s">
        <v>14</v>
      </c>
      <c r="C212" s="5" t="s">
        <v>15</v>
      </c>
      <c r="D212" s="5" t="s">
        <v>1088</v>
      </c>
      <c r="E212" s="6" t="s">
        <v>1090</v>
      </c>
      <c r="F212" s="5" t="s">
        <v>29</v>
      </c>
      <c r="G212" s="5"/>
      <c r="H212" s="5" t="s">
        <v>52</v>
      </c>
      <c r="I212" s="5"/>
      <c r="J212" s="78" t="s">
        <v>133</v>
      </c>
      <c r="K212" s="78"/>
      <c r="L212" s="85"/>
      <c r="M212" s="5"/>
      <c r="N212" s="85"/>
      <c r="O212" s="22"/>
      <c r="P212" s="7" t="str">
        <f t="shared" si="2"/>
        <v>OK</v>
      </c>
      <c r="Q212" s="7"/>
      <c r="R212" s="7"/>
      <c r="S212" s="7"/>
      <c r="T212" s="7"/>
      <c r="U212" s="7"/>
      <c r="V212" s="7"/>
      <c r="W212" s="7"/>
      <c r="X212" s="7"/>
      <c r="Y212" s="7"/>
      <c r="Z212" s="7"/>
      <c r="AA212" s="7"/>
      <c r="AB212" s="7"/>
      <c r="AC212" s="7"/>
    </row>
    <row r="213" ht="15.75" hidden="1" customHeight="1">
      <c r="A213" s="8" t="s">
        <v>1092</v>
      </c>
      <c r="B213" s="5" t="s">
        <v>14</v>
      </c>
      <c r="C213" s="5" t="s">
        <v>15</v>
      </c>
      <c r="D213" s="5" t="s">
        <v>1093</v>
      </c>
      <c r="E213" s="6" t="s">
        <v>1096</v>
      </c>
      <c r="F213" s="5" t="s">
        <v>37</v>
      </c>
      <c r="G213" s="5"/>
      <c r="H213" s="5" t="s">
        <v>52</v>
      </c>
      <c r="I213" s="5"/>
      <c r="J213" s="78" t="s">
        <v>133</v>
      </c>
      <c r="K213" s="78"/>
      <c r="L213" s="85"/>
      <c r="M213" s="5"/>
      <c r="N213" s="85"/>
      <c r="O213" s="22"/>
      <c r="P213" s="7" t="str">
        <f t="shared" si="2"/>
        <v>OK</v>
      </c>
      <c r="Q213" s="7"/>
      <c r="R213" s="7"/>
      <c r="S213" s="7"/>
      <c r="T213" s="7"/>
      <c r="U213" s="7"/>
      <c r="V213" s="7"/>
      <c r="W213" s="7"/>
      <c r="X213" s="7"/>
      <c r="Y213" s="7"/>
      <c r="Z213" s="7"/>
      <c r="AA213" s="7"/>
      <c r="AB213" s="7"/>
      <c r="AC213" s="7"/>
    </row>
    <row r="214" ht="15.75" hidden="1" customHeight="1">
      <c r="A214" s="8" t="s">
        <v>1097</v>
      </c>
      <c r="B214" s="5" t="s">
        <v>14</v>
      </c>
      <c r="C214" s="5" t="s">
        <v>15</v>
      </c>
      <c r="D214" s="5" t="s">
        <v>1098</v>
      </c>
      <c r="E214" s="6" t="s">
        <v>1101</v>
      </c>
      <c r="F214" s="5" t="s">
        <v>21</v>
      </c>
      <c r="G214" s="5"/>
      <c r="H214" s="5" t="s">
        <v>68</v>
      </c>
      <c r="I214" s="5"/>
      <c r="J214" s="78" t="s">
        <v>133</v>
      </c>
      <c r="K214" s="78"/>
      <c r="L214" s="85"/>
      <c r="M214" s="5"/>
      <c r="N214" s="85"/>
      <c r="O214" s="22"/>
      <c r="P214" s="7" t="str">
        <f t="shared" si="2"/>
        <v>OK</v>
      </c>
      <c r="Q214" s="7"/>
      <c r="R214" s="7"/>
      <c r="S214" s="7"/>
      <c r="T214" s="7"/>
      <c r="U214" s="7"/>
      <c r="V214" s="7"/>
      <c r="W214" s="7"/>
      <c r="X214" s="7"/>
      <c r="Y214" s="7"/>
      <c r="Z214" s="7"/>
      <c r="AA214" s="7"/>
      <c r="AB214" s="7"/>
      <c r="AC214" s="7"/>
    </row>
    <row r="215" ht="15.75" hidden="1" customHeight="1">
      <c r="A215" s="8" t="s">
        <v>1102</v>
      </c>
      <c r="B215" s="5" t="s">
        <v>14</v>
      </c>
      <c r="C215" s="5" t="s">
        <v>15</v>
      </c>
      <c r="D215" s="5" t="s">
        <v>1103</v>
      </c>
      <c r="E215" s="6" t="s">
        <v>1106</v>
      </c>
      <c r="F215" s="5" t="s">
        <v>37</v>
      </c>
      <c r="G215" s="5"/>
      <c r="H215" s="5" t="s">
        <v>52</v>
      </c>
      <c r="I215" s="5"/>
      <c r="J215" s="78" t="s">
        <v>133</v>
      </c>
      <c r="K215" s="78"/>
      <c r="L215" s="85"/>
      <c r="M215" s="5"/>
      <c r="N215" s="85"/>
      <c r="O215" s="22"/>
      <c r="P215" s="7" t="str">
        <f t="shared" si="2"/>
        <v>OK</v>
      </c>
      <c r="Q215" s="7"/>
      <c r="R215" s="7"/>
      <c r="S215" s="7"/>
      <c r="T215" s="7"/>
      <c r="U215" s="7"/>
      <c r="V215" s="7"/>
      <c r="W215" s="7"/>
      <c r="X215" s="7"/>
      <c r="Y215" s="7"/>
      <c r="Z215" s="7"/>
      <c r="AA215" s="7"/>
      <c r="AB215" s="7"/>
      <c r="AC215" s="7"/>
    </row>
    <row r="216" ht="15.75" hidden="1" customHeight="1">
      <c r="A216" s="8" t="s">
        <v>1107</v>
      </c>
      <c r="B216" s="5" t="s">
        <v>14</v>
      </c>
      <c r="C216" s="5" t="s">
        <v>15</v>
      </c>
      <c r="D216" s="5" t="s">
        <v>1108</v>
      </c>
      <c r="E216" s="6" t="s">
        <v>1110</v>
      </c>
      <c r="F216" s="5" t="s">
        <v>29</v>
      </c>
      <c r="G216" s="5"/>
      <c r="H216" s="5" t="s">
        <v>23</v>
      </c>
      <c r="I216" s="5"/>
      <c r="J216" s="78" t="s">
        <v>133</v>
      </c>
      <c r="K216" s="78"/>
      <c r="L216" s="85"/>
      <c r="M216" s="5"/>
      <c r="N216" s="85"/>
      <c r="O216" s="22"/>
      <c r="P216" s="7" t="str">
        <f t="shared" si="2"/>
        <v>OK</v>
      </c>
      <c r="Q216" s="7"/>
      <c r="R216" s="7"/>
      <c r="S216" s="7"/>
      <c r="T216" s="7"/>
      <c r="U216" s="7"/>
      <c r="V216" s="7"/>
      <c r="W216" s="7"/>
      <c r="X216" s="7"/>
      <c r="Y216" s="7"/>
      <c r="Z216" s="7"/>
      <c r="AA216" s="7"/>
      <c r="AB216" s="7"/>
      <c r="AC216" s="7"/>
    </row>
    <row r="217" ht="15.75" hidden="1" customHeight="1">
      <c r="A217" s="8" t="s">
        <v>1112</v>
      </c>
      <c r="B217" s="5" t="s">
        <v>14</v>
      </c>
      <c r="C217" s="5" t="s">
        <v>15</v>
      </c>
      <c r="D217" s="5" t="s">
        <v>1113</v>
      </c>
      <c r="E217" s="6" t="s">
        <v>1116</v>
      </c>
      <c r="F217" s="5" t="s">
        <v>29</v>
      </c>
      <c r="G217" s="5"/>
      <c r="H217" s="5" t="s">
        <v>23</v>
      </c>
      <c r="I217" s="5"/>
      <c r="J217" s="78" t="s">
        <v>133</v>
      </c>
      <c r="K217" s="74" t="s">
        <v>15</v>
      </c>
      <c r="L217" s="10" t="s">
        <v>29</v>
      </c>
      <c r="M217" s="5" t="s">
        <v>51</v>
      </c>
      <c r="N217" s="10" t="s">
        <v>39</v>
      </c>
      <c r="O217" s="84" t="s">
        <v>23</v>
      </c>
      <c r="P217" s="7" t="str">
        <f t="shared" si="2"/>
        <v>OK</v>
      </c>
      <c r="Q217" s="7"/>
      <c r="R217" s="7"/>
      <c r="S217" s="7"/>
      <c r="T217" s="7"/>
      <c r="U217" s="7"/>
      <c r="V217" s="7"/>
      <c r="W217" s="7"/>
      <c r="X217" s="7"/>
      <c r="Y217" s="7"/>
      <c r="Z217" s="7"/>
      <c r="AA217" s="7"/>
      <c r="AB217" s="7"/>
      <c r="AC217" s="7"/>
    </row>
    <row r="218" ht="15.75" hidden="1" customHeight="1">
      <c r="A218" s="8" t="s">
        <v>1117</v>
      </c>
      <c r="B218" s="5" t="s">
        <v>14</v>
      </c>
      <c r="C218" s="5" t="s">
        <v>15</v>
      </c>
      <c r="D218" s="5" t="s">
        <v>1118</v>
      </c>
      <c r="E218" s="5" t="s">
        <v>1121</v>
      </c>
      <c r="F218" s="5" t="s">
        <v>29</v>
      </c>
      <c r="G218" s="5"/>
      <c r="H218" s="5" t="s">
        <v>75</v>
      </c>
      <c r="I218" s="5"/>
      <c r="J218" s="78" t="s">
        <v>133</v>
      </c>
      <c r="K218" s="78"/>
      <c r="L218" s="85"/>
      <c r="M218" s="5"/>
      <c r="N218" s="85"/>
      <c r="O218" s="22"/>
      <c r="P218" s="7" t="str">
        <f t="shared" si="2"/>
        <v>OK</v>
      </c>
      <c r="Q218" s="7"/>
      <c r="R218" s="7"/>
      <c r="S218" s="7"/>
      <c r="T218" s="7"/>
      <c r="U218" s="7"/>
      <c r="V218" s="7"/>
      <c r="W218" s="7"/>
      <c r="X218" s="7"/>
      <c r="Y218" s="7"/>
      <c r="Z218" s="7"/>
      <c r="AA218" s="7"/>
      <c r="AB218" s="7"/>
      <c r="AC218" s="7"/>
    </row>
    <row r="219" ht="15.75" hidden="1" customHeight="1">
      <c r="A219" s="8" t="s">
        <v>1122</v>
      </c>
      <c r="B219" s="5" t="s">
        <v>14</v>
      </c>
      <c r="C219" s="5" t="s">
        <v>15</v>
      </c>
      <c r="D219" s="5" t="s">
        <v>1123</v>
      </c>
      <c r="E219" s="5" t="s">
        <v>1126</v>
      </c>
      <c r="F219" s="5" t="s">
        <v>20</v>
      </c>
      <c r="G219" s="5"/>
      <c r="H219" s="5" t="s">
        <v>75</v>
      </c>
      <c r="I219" s="5"/>
      <c r="J219" s="78" t="s">
        <v>133</v>
      </c>
      <c r="K219" s="78"/>
      <c r="L219" s="85"/>
      <c r="M219" s="5"/>
      <c r="N219" s="85"/>
      <c r="O219" s="22"/>
      <c r="P219" s="7" t="str">
        <f t="shared" si="2"/>
        <v>OK</v>
      </c>
      <c r="Q219" s="7"/>
      <c r="R219" s="7"/>
      <c r="S219" s="7"/>
      <c r="T219" s="7"/>
      <c r="U219" s="7"/>
      <c r="V219" s="7"/>
      <c r="W219" s="7"/>
      <c r="X219" s="7"/>
      <c r="Y219" s="7"/>
      <c r="Z219" s="7"/>
      <c r="AA219" s="7"/>
      <c r="AB219" s="7"/>
      <c r="AC219" s="7"/>
    </row>
    <row r="220" ht="15.75" hidden="1" customHeight="1">
      <c r="A220" s="8" t="s">
        <v>1127</v>
      </c>
      <c r="B220" s="5" t="s">
        <v>14</v>
      </c>
      <c r="C220" s="5" t="s">
        <v>15</v>
      </c>
      <c r="D220" s="5" t="s">
        <v>1128</v>
      </c>
      <c r="E220" s="5" t="s">
        <v>1131</v>
      </c>
      <c r="F220" s="5" t="s">
        <v>74</v>
      </c>
      <c r="G220" s="5"/>
      <c r="H220" s="5" t="s">
        <v>23</v>
      </c>
      <c r="I220" s="5"/>
      <c r="J220" s="78" t="s">
        <v>133</v>
      </c>
      <c r="K220" s="78"/>
      <c r="L220" s="85"/>
      <c r="M220" s="5"/>
      <c r="N220" s="85"/>
      <c r="O220" s="22"/>
      <c r="P220" s="7" t="str">
        <f t="shared" si="2"/>
        <v>OK</v>
      </c>
      <c r="Q220" s="7"/>
      <c r="R220" s="7"/>
      <c r="S220" s="7"/>
      <c r="T220" s="7"/>
      <c r="U220" s="7"/>
      <c r="V220" s="7"/>
      <c r="W220" s="7"/>
      <c r="X220" s="7"/>
      <c r="Y220" s="7"/>
      <c r="Z220" s="7"/>
      <c r="AA220" s="7"/>
      <c r="AB220" s="7"/>
      <c r="AC220" s="7"/>
    </row>
    <row r="221" ht="15.75" hidden="1" customHeight="1">
      <c r="A221" s="8" t="s">
        <v>1132</v>
      </c>
      <c r="B221" s="5" t="s">
        <v>14</v>
      </c>
      <c r="C221" s="5" t="s">
        <v>15</v>
      </c>
      <c r="D221" s="5" t="s">
        <v>1133</v>
      </c>
      <c r="E221" s="6" t="s">
        <v>1136</v>
      </c>
      <c r="F221" s="5" t="s">
        <v>37</v>
      </c>
      <c r="G221" s="5"/>
      <c r="H221" s="5" t="s">
        <v>68</v>
      </c>
      <c r="I221" s="5"/>
      <c r="J221" s="78" t="s">
        <v>133</v>
      </c>
      <c r="K221" s="78"/>
      <c r="L221" s="85"/>
      <c r="M221" s="5"/>
      <c r="N221" s="85"/>
      <c r="O221" s="22"/>
      <c r="P221" s="7" t="str">
        <f t="shared" si="2"/>
        <v>OK</v>
      </c>
      <c r="Q221" s="7"/>
      <c r="R221" s="7"/>
      <c r="S221" s="7"/>
      <c r="T221" s="7"/>
      <c r="U221" s="7"/>
      <c r="V221" s="7"/>
      <c r="W221" s="7"/>
      <c r="X221" s="7"/>
      <c r="Y221" s="7"/>
      <c r="Z221" s="7"/>
      <c r="AA221" s="7"/>
      <c r="AB221" s="7"/>
      <c r="AC221" s="7"/>
    </row>
    <row r="222" ht="15.75" hidden="1" customHeight="1">
      <c r="A222" s="8" t="s">
        <v>1137</v>
      </c>
      <c r="B222" s="5" t="s">
        <v>14</v>
      </c>
      <c r="C222" s="5" t="s">
        <v>15</v>
      </c>
      <c r="D222" s="5" t="s">
        <v>1138</v>
      </c>
      <c r="E222" s="6" t="s">
        <v>1140</v>
      </c>
      <c r="F222" s="5" t="s">
        <v>20</v>
      </c>
      <c r="G222" s="5"/>
      <c r="H222" s="5" t="s">
        <v>23</v>
      </c>
      <c r="I222" s="5"/>
      <c r="J222" s="78" t="s">
        <v>133</v>
      </c>
      <c r="K222" s="78"/>
      <c r="L222" s="85"/>
      <c r="M222" s="5"/>
      <c r="N222" s="85"/>
      <c r="O222" s="22"/>
      <c r="P222" s="7" t="str">
        <f t="shared" si="2"/>
        <v>OK</v>
      </c>
      <c r="Q222" s="7"/>
      <c r="R222" s="7"/>
      <c r="S222" s="7"/>
      <c r="T222" s="7"/>
      <c r="U222" s="7"/>
      <c r="V222" s="7"/>
      <c r="W222" s="7"/>
      <c r="X222" s="7"/>
      <c r="Y222" s="7"/>
      <c r="Z222" s="7"/>
      <c r="AA222" s="7"/>
      <c r="AB222" s="7"/>
      <c r="AC222" s="7"/>
    </row>
    <row r="223" ht="15.75" hidden="1" customHeight="1">
      <c r="A223" s="8" t="s">
        <v>1142</v>
      </c>
      <c r="B223" s="5" t="s">
        <v>14</v>
      </c>
      <c r="C223" s="5" t="s">
        <v>15</v>
      </c>
      <c r="D223" s="5" t="s">
        <v>1143</v>
      </c>
      <c r="E223" s="6" t="s">
        <v>1146</v>
      </c>
      <c r="F223" s="5" t="s">
        <v>29</v>
      </c>
      <c r="G223" s="5"/>
      <c r="H223" s="5" t="s">
        <v>68</v>
      </c>
      <c r="I223" s="5"/>
      <c r="J223" s="78" t="s">
        <v>133</v>
      </c>
      <c r="K223" s="78"/>
      <c r="L223" s="85"/>
      <c r="M223" s="5"/>
      <c r="N223" s="85"/>
      <c r="O223" s="22"/>
      <c r="P223" s="7" t="str">
        <f t="shared" si="2"/>
        <v>OK</v>
      </c>
      <c r="Q223" s="7"/>
      <c r="R223" s="7"/>
      <c r="S223" s="7"/>
      <c r="T223" s="7"/>
      <c r="U223" s="7"/>
      <c r="V223" s="7"/>
      <c r="W223" s="7"/>
      <c r="X223" s="7"/>
      <c r="Y223" s="7"/>
      <c r="Z223" s="7"/>
      <c r="AA223" s="7"/>
      <c r="AB223" s="7"/>
      <c r="AC223" s="7"/>
    </row>
    <row r="224" ht="15.75" hidden="1" customHeight="1">
      <c r="A224" s="8" t="s">
        <v>1147</v>
      </c>
      <c r="B224" s="5" t="s">
        <v>14</v>
      </c>
      <c r="C224" s="5" t="s">
        <v>15</v>
      </c>
      <c r="D224" s="5" t="s">
        <v>1148</v>
      </c>
      <c r="E224" s="6" t="s">
        <v>1151</v>
      </c>
      <c r="F224" s="5" t="s">
        <v>37</v>
      </c>
      <c r="G224" s="5"/>
      <c r="H224" s="5" t="s">
        <v>22</v>
      </c>
      <c r="I224" s="5"/>
      <c r="J224" s="78" t="s">
        <v>133</v>
      </c>
      <c r="K224" s="78"/>
      <c r="L224" s="85"/>
      <c r="M224" s="5"/>
      <c r="N224" s="85"/>
      <c r="O224" s="22"/>
      <c r="P224" s="7" t="str">
        <f t="shared" si="2"/>
        <v>OK</v>
      </c>
      <c r="Q224" s="7"/>
      <c r="R224" s="7"/>
      <c r="S224" s="7"/>
      <c r="T224" s="7"/>
      <c r="U224" s="7"/>
      <c r="V224" s="7"/>
      <c r="W224" s="7"/>
      <c r="X224" s="7"/>
      <c r="Y224" s="7"/>
      <c r="Z224" s="7"/>
      <c r="AA224" s="7"/>
      <c r="AB224" s="7"/>
      <c r="AC224" s="7"/>
    </row>
    <row r="225" ht="15.75" hidden="1" customHeight="1">
      <c r="A225" s="8" t="s">
        <v>1152</v>
      </c>
      <c r="B225" s="5" t="s">
        <v>14</v>
      </c>
      <c r="C225" s="5" t="s">
        <v>15</v>
      </c>
      <c r="D225" s="5" t="s">
        <v>1153</v>
      </c>
      <c r="E225" s="6" t="s">
        <v>1156</v>
      </c>
      <c r="F225" s="5" t="s">
        <v>20</v>
      </c>
      <c r="G225" s="5"/>
      <c r="H225" s="5" t="s">
        <v>75</v>
      </c>
      <c r="I225" s="5"/>
      <c r="J225" s="78" t="s">
        <v>133</v>
      </c>
      <c r="K225" s="78"/>
      <c r="L225" s="85"/>
      <c r="M225" s="5"/>
      <c r="N225" s="85"/>
      <c r="O225" s="22"/>
      <c r="P225" s="7" t="str">
        <f t="shared" si="2"/>
        <v>OK</v>
      </c>
      <c r="Q225" s="7"/>
      <c r="R225" s="7"/>
      <c r="S225" s="7"/>
      <c r="T225" s="7"/>
      <c r="U225" s="7"/>
      <c r="V225" s="7"/>
      <c r="W225" s="7"/>
      <c r="X225" s="7"/>
      <c r="Y225" s="7"/>
      <c r="Z225" s="7"/>
      <c r="AA225" s="7"/>
      <c r="AB225" s="7"/>
      <c r="AC225" s="7"/>
    </row>
    <row r="226" ht="15.75" hidden="1" customHeight="1">
      <c r="A226" s="8" t="s">
        <v>1157</v>
      </c>
      <c r="B226" s="5" t="s">
        <v>14</v>
      </c>
      <c r="C226" s="5" t="s">
        <v>15</v>
      </c>
      <c r="D226" s="5" t="s">
        <v>1158</v>
      </c>
      <c r="E226" s="6" t="s">
        <v>1161</v>
      </c>
      <c r="F226" s="5" t="s">
        <v>74</v>
      </c>
      <c r="G226" s="5"/>
      <c r="H226" s="5" t="s">
        <v>23</v>
      </c>
      <c r="I226" s="5"/>
      <c r="J226" s="78" t="s">
        <v>133</v>
      </c>
      <c r="K226" s="78"/>
      <c r="L226" s="85"/>
      <c r="M226" s="5"/>
      <c r="N226" s="85"/>
      <c r="O226" s="22"/>
      <c r="P226" s="7" t="str">
        <f t="shared" si="2"/>
        <v>OK</v>
      </c>
      <c r="Q226" s="7"/>
      <c r="R226" s="7"/>
      <c r="S226" s="7"/>
      <c r="T226" s="7"/>
      <c r="U226" s="7"/>
      <c r="V226" s="7"/>
      <c r="W226" s="7"/>
      <c r="X226" s="7"/>
      <c r="Y226" s="7"/>
      <c r="Z226" s="7"/>
      <c r="AA226" s="7"/>
      <c r="AB226" s="7"/>
      <c r="AC226" s="7"/>
    </row>
    <row r="227" ht="15.75" hidden="1" customHeight="1">
      <c r="A227" s="8" t="s">
        <v>1162</v>
      </c>
      <c r="B227" s="5" t="s">
        <v>14</v>
      </c>
      <c r="C227" s="5" t="s">
        <v>15</v>
      </c>
      <c r="D227" s="5" t="s">
        <v>1163</v>
      </c>
      <c r="E227" s="5" t="s">
        <v>1165</v>
      </c>
      <c r="F227" s="5" t="s">
        <v>74</v>
      </c>
      <c r="G227" s="5"/>
      <c r="H227" s="5" t="s">
        <v>22</v>
      </c>
      <c r="I227" s="5"/>
      <c r="J227" s="78" t="s">
        <v>133</v>
      </c>
      <c r="K227" s="78"/>
      <c r="L227" s="85"/>
      <c r="M227" s="5"/>
      <c r="N227" s="85"/>
      <c r="O227" s="22"/>
      <c r="P227" s="7" t="str">
        <f t="shared" si="2"/>
        <v>OK</v>
      </c>
      <c r="Q227" s="7"/>
      <c r="R227" s="7"/>
      <c r="S227" s="7"/>
      <c r="T227" s="7"/>
      <c r="U227" s="7"/>
      <c r="V227" s="7"/>
      <c r="W227" s="7"/>
      <c r="X227" s="7"/>
      <c r="Y227" s="7"/>
      <c r="Z227" s="7"/>
      <c r="AA227" s="7"/>
      <c r="AB227" s="7"/>
      <c r="AC227" s="7"/>
    </row>
    <row r="228" hidden="1">
      <c r="A228" s="10" t="s">
        <v>1167</v>
      </c>
      <c r="B228" s="5" t="s">
        <v>14</v>
      </c>
      <c r="C228" s="5" t="s">
        <v>15</v>
      </c>
      <c r="D228" s="6" t="s">
        <v>1168</v>
      </c>
      <c r="E228" s="6" t="s">
        <v>1171</v>
      </c>
      <c r="F228" s="5" t="s">
        <v>20</v>
      </c>
      <c r="G228" s="5"/>
      <c r="H228" s="5" t="s">
        <v>111</v>
      </c>
      <c r="I228" s="5"/>
      <c r="J228" s="78" t="s">
        <v>133</v>
      </c>
      <c r="K228" s="78"/>
      <c r="L228" s="85"/>
      <c r="M228" s="5"/>
      <c r="N228" s="85"/>
      <c r="O228" s="22"/>
      <c r="P228" s="7" t="str">
        <f t="shared" si="2"/>
        <v>OK</v>
      </c>
    </row>
    <row r="229" hidden="1">
      <c r="A229" s="10" t="s">
        <v>1172</v>
      </c>
      <c r="B229" s="5" t="s">
        <v>14</v>
      </c>
      <c r="C229" s="5" t="s">
        <v>15</v>
      </c>
      <c r="D229" s="6" t="s">
        <v>1173</v>
      </c>
      <c r="E229" s="6" t="s">
        <v>1176</v>
      </c>
      <c r="F229" s="5" t="s">
        <v>20</v>
      </c>
      <c r="G229" s="5"/>
      <c r="H229" s="5" t="s">
        <v>23</v>
      </c>
      <c r="I229" s="5"/>
      <c r="J229" s="78" t="s">
        <v>133</v>
      </c>
      <c r="K229" s="78"/>
      <c r="L229" s="85"/>
      <c r="M229" s="5"/>
      <c r="N229" s="85"/>
      <c r="O229" s="22"/>
      <c r="P229" s="7" t="str">
        <f t="shared" si="2"/>
        <v>OK</v>
      </c>
    </row>
    <row r="230" hidden="1">
      <c r="A230" s="10" t="s">
        <v>1177</v>
      </c>
      <c r="B230" s="5" t="s">
        <v>14</v>
      </c>
      <c r="C230" s="5" t="s">
        <v>15</v>
      </c>
      <c r="D230" s="6" t="s">
        <v>1178</v>
      </c>
      <c r="E230" s="6" t="s">
        <v>1181</v>
      </c>
      <c r="F230" s="5" t="s">
        <v>21</v>
      </c>
      <c r="G230" s="5"/>
      <c r="H230" s="5" t="s">
        <v>22</v>
      </c>
      <c r="I230" s="5"/>
      <c r="J230" s="78" t="s">
        <v>133</v>
      </c>
      <c r="K230" s="78"/>
      <c r="L230" s="85"/>
      <c r="M230" s="5"/>
      <c r="N230" s="85"/>
      <c r="O230" s="22"/>
      <c r="P230" s="7" t="str">
        <f t="shared" si="2"/>
        <v>OK</v>
      </c>
    </row>
    <row r="231" hidden="1">
      <c r="A231" s="10" t="s">
        <v>1182</v>
      </c>
      <c r="B231" s="5" t="s">
        <v>14</v>
      </c>
      <c r="C231" s="5" t="s">
        <v>15</v>
      </c>
      <c r="D231" s="6" t="s">
        <v>1183</v>
      </c>
      <c r="E231" s="6" t="s">
        <v>1186</v>
      </c>
      <c r="F231" s="5" t="s">
        <v>20</v>
      </c>
      <c r="G231" s="5"/>
      <c r="H231" s="5" t="s">
        <v>111</v>
      </c>
      <c r="I231" s="5"/>
      <c r="J231" s="78" t="s">
        <v>133</v>
      </c>
      <c r="K231" s="78"/>
      <c r="L231" s="85"/>
      <c r="M231" s="5"/>
      <c r="N231" s="85"/>
      <c r="O231" s="22"/>
      <c r="P231" s="7" t="str">
        <f t="shared" si="2"/>
        <v>OK</v>
      </c>
    </row>
    <row r="232" hidden="1">
      <c r="A232" s="10" t="s">
        <v>1187</v>
      </c>
      <c r="B232" s="5" t="s">
        <v>14</v>
      </c>
      <c r="C232" s="5" t="s">
        <v>15</v>
      </c>
      <c r="D232" s="6" t="s">
        <v>1188</v>
      </c>
      <c r="E232" s="6" t="s">
        <v>1190</v>
      </c>
      <c r="F232" s="5" t="s">
        <v>21</v>
      </c>
      <c r="G232" s="5"/>
      <c r="H232" s="5" t="s">
        <v>22</v>
      </c>
      <c r="I232" s="5"/>
      <c r="J232" s="78" t="s">
        <v>133</v>
      </c>
      <c r="K232" s="78"/>
      <c r="L232" s="85"/>
      <c r="M232" s="5"/>
      <c r="N232" s="85"/>
      <c r="O232" s="22"/>
      <c r="P232" s="7" t="str">
        <f t="shared" si="2"/>
        <v>OK</v>
      </c>
    </row>
    <row r="233" hidden="1">
      <c r="A233" s="10" t="s">
        <v>1192</v>
      </c>
      <c r="B233" s="5" t="s">
        <v>14</v>
      </c>
      <c r="C233" s="5" t="s">
        <v>15</v>
      </c>
      <c r="D233" s="6" t="s">
        <v>1193</v>
      </c>
      <c r="E233" s="6" t="s">
        <v>1196</v>
      </c>
      <c r="F233" s="5" t="s">
        <v>20</v>
      </c>
      <c r="G233" s="5"/>
      <c r="H233" s="5" t="s">
        <v>39</v>
      </c>
      <c r="I233" s="5"/>
      <c r="J233" s="78" t="s">
        <v>133</v>
      </c>
      <c r="K233" s="78"/>
      <c r="L233" s="85"/>
      <c r="M233" s="5"/>
      <c r="N233" s="85"/>
      <c r="O233" s="22"/>
      <c r="P233" s="7" t="str">
        <f t="shared" si="2"/>
        <v>OK</v>
      </c>
    </row>
    <row r="234" hidden="1">
      <c r="A234" s="10" t="s">
        <v>1197</v>
      </c>
      <c r="B234" s="5" t="s">
        <v>14</v>
      </c>
      <c r="C234" s="5" t="s">
        <v>15</v>
      </c>
      <c r="D234" s="6" t="s">
        <v>1198</v>
      </c>
      <c r="E234" s="6" t="s">
        <v>1201</v>
      </c>
      <c r="F234" s="5" t="s">
        <v>38</v>
      </c>
      <c r="G234" s="5"/>
      <c r="H234" s="5" t="s">
        <v>75</v>
      </c>
      <c r="I234" s="5"/>
      <c r="J234" s="78" t="s">
        <v>133</v>
      </c>
      <c r="K234" s="78"/>
      <c r="L234" s="85"/>
      <c r="M234" s="5"/>
      <c r="N234" s="85"/>
      <c r="O234" s="22"/>
      <c r="P234" s="7" t="str">
        <f t="shared" si="2"/>
        <v>OK</v>
      </c>
    </row>
    <row r="235" hidden="1">
      <c r="A235" s="10" t="s">
        <v>1202</v>
      </c>
      <c r="B235" s="5" t="s">
        <v>14</v>
      </c>
      <c r="C235" s="5" t="s">
        <v>15</v>
      </c>
      <c r="D235" s="6" t="s">
        <v>1203</v>
      </c>
      <c r="E235" s="6" t="s">
        <v>1206</v>
      </c>
      <c r="F235" s="5" t="s">
        <v>74</v>
      </c>
      <c r="G235" s="5"/>
      <c r="H235" s="5" t="s">
        <v>23</v>
      </c>
      <c r="I235" s="5"/>
      <c r="J235" s="78" t="s">
        <v>133</v>
      </c>
      <c r="K235" s="74" t="s">
        <v>2566</v>
      </c>
      <c r="L235" s="10" t="s">
        <v>74</v>
      </c>
      <c r="M235" s="5" t="s">
        <v>51</v>
      </c>
      <c r="N235" s="10" t="s">
        <v>39</v>
      </c>
      <c r="O235" s="84" t="s">
        <v>111</v>
      </c>
      <c r="P235" s="7" t="str">
        <f t="shared" si="2"/>
        <v>OK</v>
      </c>
    </row>
    <row r="236" hidden="1">
      <c r="A236" s="10" t="s">
        <v>1207</v>
      </c>
      <c r="B236" s="5" t="s">
        <v>14</v>
      </c>
      <c r="C236" s="5" t="s">
        <v>15</v>
      </c>
      <c r="D236" s="6" t="s">
        <v>1208</v>
      </c>
      <c r="E236" s="6" t="s">
        <v>1211</v>
      </c>
      <c r="F236" s="5" t="s">
        <v>20</v>
      </c>
      <c r="G236" s="5"/>
      <c r="H236" s="5" t="s">
        <v>75</v>
      </c>
      <c r="I236" s="5"/>
      <c r="J236" s="78" t="s">
        <v>133</v>
      </c>
      <c r="K236" s="78"/>
      <c r="L236" s="85"/>
      <c r="M236" s="5"/>
      <c r="N236" s="85"/>
      <c r="O236" s="22"/>
      <c r="P236" s="7" t="str">
        <f t="shared" si="2"/>
        <v>OK</v>
      </c>
    </row>
    <row r="237" ht="15.75" hidden="1" customHeight="1">
      <c r="A237" s="8" t="s">
        <v>1212</v>
      </c>
      <c r="B237" s="5" t="s">
        <v>14</v>
      </c>
      <c r="C237" s="5" t="s">
        <v>15</v>
      </c>
      <c r="D237" s="5" t="s">
        <v>1213</v>
      </c>
      <c r="E237" s="5" t="s">
        <v>1216</v>
      </c>
      <c r="F237" s="5" t="s">
        <v>20</v>
      </c>
      <c r="G237" s="5"/>
      <c r="H237" s="5" t="s">
        <v>52</v>
      </c>
      <c r="I237" s="5"/>
      <c r="J237" s="78" t="s">
        <v>133</v>
      </c>
      <c r="K237" s="78"/>
      <c r="L237" s="85"/>
      <c r="M237" s="5"/>
      <c r="N237" s="85"/>
      <c r="O237" s="22"/>
      <c r="P237" s="7" t="str">
        <f t="shared" si="2"/>
        <v>OK</v>
      </c>
      <c r="Q237" s="7"/>
      <c r="R237" s="7"/>
      <c r="S237" s="7"/>
      <c r="T237" s="7"/>
      <c r="U237" s="7"/>
      <c r="V237" s="7"/>
      <c r="W237" s="7"/>
      <c r="X237" s="7"/>
      <c r="Y237" s="7"/>
      <c r="Z237" s="7"/>
      <c r="AA237" s="7"/>
      <c r="AB237" s="7"/>
      <c r="AC237" s="7"/>
    </row>
    <row r="238" ht="15.75" hidden="1" customHeight="1">
      <c r="A238" s="8" t="s">
        <v>1217</v>
      </c>
      <c r="B238" s="5" t="s">
        <v>14</v>
      </c>
      <c r="C238" s="5" t="s">
        <v>15</v>
      </c>
      <c r="D238" s="5" t="s">
        <v>1218</v>
      </c>
      <c r="E238" s="5" t="s">
        <v>1221</v>
      </c>
      <c r="F238" s="5" t="s">
        <v>21</v>
      </c>
      <c r="G238" s="5"/>
      <c r="H238" s="5" t="s">
        <v>68</v>
      </c>
      <c r="I238" s="5"/>
      <c r="J238" s="78" t="s">
        <v>133</v>
      </c>
      <c r="K238" s="78"/>
      <c r="L238" s="85"/>
      <c r="M238" s="5"/>
      <c r="N238" s="85"/>
      <c r="O238" s="22"/>
      <c r="P238" s="7" t="str">
        <f t="shared" si="2"/>
        <v>OK</v>
      </c>
      <c r="Q238" s="7"/>
      <c r="R238" s="7"/>
      <c r="S238" s="7"/>
      <c r="T238" s="7"/>
      <c r="U238" s="7"/>
      <c r="V238" s="7"/>
      <c r="W238" s="7"/>
      <c r="X238" s="7"/>
      <c r="Y238" s="7"/>
      <c r="Z238" s="7"/>
      <c r="AA238" s="7"/>
      <c r="AB238" s="7"/>
      <c r="AC238" s="7"/>
    </row>
    <row r="239" ht="15.75" hidden="1" customHeight="1">
      <c r="A239" s="8" t="s">
        <v>1222</v>
      </c>
      <c r="B239" s="5" t="s">
        <v>14</v>
      </c>
      <c r="C239" s="5" t="s">
        <v>15</v>
      </c>
      <c r="D239" s="5" t="s">
        <v>1223</v>
      </c>
      <c r="E239" s="5" t="s">
        <v>1225</v>
      </c>
      <c r="F239" s="5" t="s">
        <v>20</v>
      </c>
      <c r="G239" s="5"/>
      <c r="H239" s="5" t="s">
        <v>23</v>
      </c>
      <c r="I239" s="5"/>
      <c r="J239" s="78" t="s">
        <v>133</v>
      </c>
      <c r="K239" s="78"/>
      <c r="L239" s="85"/>
      <c r="M239" s="5"/>
      <c r="N239" s="85"/>
      <c r="O239" s="22"/>
      <c r="P239" s="7" t="str">
        <f t="shared" si="2"/>
        <v>OK</v>
      </c>
      <c r="Q239" s="7"/>
      <c r="R239" s="7"/>
      <c r="S239" s="7"/>
      <c r="T239" s="7"/>
      <c r="U239" s="7"/>
      <c r="V239" s="7"/>
      <c r="W239" s="7"/>
      <c r="X239" s="7"/>
      <c r="Y239" s="7"/>
      <c r="Z239" s="7"/>
      <c r="AA239" s="7"/>
      <c r="AB239" s="7"/>
      <c r="AC239" s="7"/>
    </row>
    <row r="240" ht="15.75" hidden="1" customHeight="1">
      <c r="A240" s="8" t="s">
        <v>1227</v>
      </c>
      <c r="B240" s="5" t="s">
        <v>14</v>
      </c>
      <c r="C240" s="5" t="s">
        <v>15</v>
      </c>
      <c r="D240" s="5" t="s">
        <v>1228</v>
      </c>
      <c r="E240" s="5" t="s">
        <v>1230</v>
      </c>
      <c r="F240" s="5" t="s">
        <v>37</v>
      </c>
      <c r="G240" s="5"/>
      <c r="H240" s="5" t="s">
        <v>22</v>
      </c>
      <c r="I240" s="5"/>
      <c r="J240" s="78" t="s">
        <v>133</v>
      </c>
      <c r="K240" s="74" t="s">
        <v>15</v>
      </c>
      <c r="L240" s="10" t="s">
        <v>51</v>
      </c>
      <c r="M240" s="5" t="s">
        <v>37</v>
      </c>
      <c r="N240" s="10" t="s">
        <v>22</v>
      </c>
      <c r="O240" s="84" t="s">
        <v>52</v>
      </c>
      <c r="P240" s="7" t="str">
        <f t="shared" si="2"/>
        <v>OK</v>
      </c>
      <c r="Q240" s="7"/>
      <c r="R240" s="7"/>
      <c r="S240" s="7"/>
      <c r="T240" s="7"/>
      <c r="U240" s="7"/>
      <c r="V240" s="7"/>
      <c r="W240" s="7"/>
      <c r="X240" s="7"/>
      <c r="Y240" s="7"/>
      <c r="Z240" s="7"/>
      <c r="AA240" s="7"/>
      <c r="AB240" s="7"/>
      <c r="AC240" s="7"/>
    </row>
    <row r="241" ht="15.75" hidden="1" customHeight="1">
      <c r="A241" s="8" t="s">
        <v>1232</v>
      </c>
      <c r="B241" s="5" t="s">
        <v>14</v>
      </c>
      <c r="C241" s="5" t="s">
        <v>15</v>
      </c>
      <c r="D241" s="5" t="s">
        <v>1233</v>
      </c>
      <c r="E241" s="5" t="s">
        <v>1236</v>
      </c>
      <c r="F241" s="5" t="s">
        <v>21</v>
      </c>
      <c r="G241" s="5"/>
      <c r="H241" s="5" t="s">
        <v>22</v>
      </c>
      <c r="I241" s="5"/>
      <c r="J241" s="78" t="s">
        <v>133</v>
      </c>
      <c r="K241" s="78"/>
      <c r="L241" s="85"/>
      <c r="M241" s="5"/>
      <c r="N241" s="85"/>
      <c r="O241" s="22"/>
      <c r="P241" s="7" t="str">
        <f t="shared" si="2"/>
        <v>OK</v>
      </c>
      <c r="Q241" s="7"/>
      <c r="R241" s="7"/>
      <c r="S241" s="7"/>
      <c r="T241" s="7"/>
      <c r="U241" s="7"/>
      <c r="V241" s="7"/>
      <c r="W241" s="7"/>
      <c r="X241" s="7"/>
      <c r="Y241" s="7"/>
      <c r="Z241" s="7"/>
      <c r="AA241" s="7"/>
      <c r="AB241" s="7"/>
      <c r="AC241" s="7"/>
    </row>
    <row r="242" ht="15.75" hidden="1" customHeight="1">
      <c r="A242" s="8" t="s">
        <v>1237</v>
      </c>
      <c r="B242" s="5" t="s">
        <v>14</v>
      </c>
      <c r="C242" s="5" t="s">
        <v>15</v>
      </c>
      <c r="D242" s="5" t="s">
        <v>1238</v>
      </c>
      <c r="E242" s="5" t="s">
        <v>1239</v>
      </c>
      <c r="F242" s="5" t="s">
        <v>20</v>
      </c>
      <c r="G242" s="5"/>
      <c r="H242" s="5" t="s">
        <v>31</v>
      </c>
      <c r="I242" s="5"/>
      <c r="J242" s="78" t="s">
        <v>133</v>
      </c>
      <c r="K242" s="78"/>
      <c r="L242" s="85"/>
      <c r="M242" s="5"/>
      <c r="N242" s="85"/>
      <c r="O242" s="22"/>
      <c r="P242" s="7" t="str">
        <f t="shared" si="2"/>
        <v>OK</v>
      </c>
      <c r="Q242" s="7"/>
      <c r="R242" s="7"/>
      <c r="S242" s="7"/>
      <c r="T242" s="7"/>
      <c r="U242" s="7"/>
      <c r="V242" s="7"/>
      <c r="W242" s="7"/>
      <c r="X242" s="7"/>
      <c r="Y242" s="7"/>
      <c r="Z242" s="7"/>
      <c r="AA242" s="7"/>
      <c r="AB242" s="7"/>
      <c r="AC242" s="7"/>
    </row>
    <row r="243" ht="15.75" hidden="1" customHeight="1">
      <c r="A243" s="5" t="s">
        <v>1242</v>
      </c>
      <c r="B243" s="5" t="s">
        <v>14</v>
      </c>
      <c r="C243" s="5" t="s">
        <v>15</v>
      </c>
      <c r="D243" s="5" t="s">
        <v>1243</v>
      </c>
      <c r="E243" s="5" t="s">
        <v>1246</v>
      </c>
      <c r="F243" s="5" t="s">
        <v>74</v>
      </c>
      <c r="G243" s="5"/>
      <c r="H243" s="5" t="s">
        <v>52</v>
      </c>
      <c r="I243" s="5"/>
      <c r="J243" s="78" t="s">
        <v>133</v>
      </c>
      <c r="K243" s="78"/>
      <c r="L243" s="85"/>
      <c r="M243" s="5"/>
      <c r="N243" s="85"/>
      <c r="O243" s="22"/>
      <c r="P243" s="7" t="str">
        <f t="shared" si="2"/>
        <v>OK</v>
      </c>
      <c r="Q243" s="7"/>
      <c r="R243" s="7"/>
      <c r="S243" s="7"/>
      <c r="T243" s="7"/>
      <c r="U243" s="7"/>
      <c r="V243" s="7"/>
      <c r="W243" s="7"/>
      <c r="X243" s="7"/>
      <c r="Y243" s="7"/>
      <c r="Z243" s="7"/>
      <c r="AA243" s="7"/>
      <c r="AB243" s="7"/>
      <c r="AC243" s="7"/>
    </row>
    <row r="244" ht="15.75" hidden="1" customHeight="1">
      <c r="A244" s="5" t="s">
        <v>1247</v>
      </c>
      <c r="B244" s="5" t="s">
        <v>14</v>
      </c>
      <c r="C244" s="5" t="s">
        <v>15</v>
      </c>
      <c r="D244" s="5" t="s">
        <v>1248</v>
      </c>
      <c r="E244" s="5" t="s">
        <v>1251</v>
      </c>
      <c r="F244" s="5" t="s">
        <v>51</v>
      </c>
      <c r="G244" s="5"/>
      <c r="H244" s="5" t="s">
        <v>22</v>
      </c>
      <c r="I244" s="5"/>
      <c r="J244" s="78" t="s">
        <v>133</v>
      </c>
      <c r="K244" s="78"/>
      <c r="L244" s="85"/>
      <c r="M244" s="5"/>
      <c r="N244" s="85"/>
      <c r="O244" s="22"/>
      <c r="P244" s="7" t="str">
        <f t="shared" si="2"/>
        <v>OK</v>
      </c>
      <c r="Q244" s="7"/>
      <c r="R244" s="7"/>
      <c r="S244" s="7"/>
      <c r="T244" s="7"/>
      <c r="U244" s="7"/>
      <c r="V244" s="7"/>
      <c r="W244" s="7"/>
      <c r="X244" s="7"/>
      <c r="Y244" s="7"/>
      <c r="Z244" s="7"/>
      <c r="AA244" s="7"/>
      <c r="AB244" s="7"/>
      <c r="AC244" s="7"/>
    </row>
    <row r="245" ht="15.75" hidden="1" customHeight="1">
      <c r="A245" s="5" t="s">
        <v>1252</v>
      </c>
      <c r="B245" s="5" t="s">
        <v>14</v>
      </c>
      <c r="C245" s="5" t="s">
        <v>15</v>
      </c>
      <c r="D245" s="5" t="s">
        <v>1253</v>
      </c>
      <c r="E245" s="5" t="s">
        <v>1256</v>
      </c>
      <c r="F245" s="5" t="s">
        <v>29</v>
      </c>
      <c r="G245" s="5"/>
      <c r="H245" s="5" t="s">
        <v>23</v>
      </c>
      <c r="I245" s="5"/>
      <c r="J245" s="78" t="s">
        <v>133</v>
      </c>
      <c r="K245" s="78"/>
      <c r="L245" s="85"/>
      <c r="M245" s="5"/>
      <c r="N245" s="85"/>
      <c r="O245" s="22"/>
      <c r="P245" s="7" t="str">
        <f t="shared" si="2"/>
        <v>OK</v>
      </c>
      <c r="Q245" s="7"/>
      <c r="R245" s="7"/>
      <c r="S245" s="7"/>
      <c r="T245" s="7"/>
      <c r="U245" s="7"/>
      <c r="V245" s="7"/>
      <c r="W245" s="7"/>
      <c r="X245" s="7"/>
      <c r="Y245" s="7"/>
      <c r="Z245" s="7"/>
      <c r="AA245" s="7"/>
      <c r="AB245" s="7"/>
      <c r="AC245" s="7"/>
    </row>
    <row r="246" ht="15.75" hidden="1" customHeight="1">
      <c r="A246" s="5" t="s">
        <v>1257</v>
      </c>
      <c r="B246" s="5" t="s">
        <v>14</v>
      </c>
      <c r="C246" s="5" t="s">
        <v>15</v>
      </c>
      <c r="D246" s="5" t="s">
        <v>1258</v>
      </c>
      <c r="E246" s="5" t="s">
        <v>1259</v>
      </c>
      <c r="F246" s="5" t="s">
        <v>29</v>
      </c>
      <c r="G246" s="5"/>
      <c r="H246" s="5" t="s">
        <v>23</v>
      </c>
      <c r="I246" s="5"/>
      <c r="J246" s="78" t="s">
        <v>133</v>
      </c>
      <c r="K246" s="78"/>
      <c r="L246" s="85"/>
      <c r="M246" s="5"/>
      <c r="N246" s="85"/>
      <c r="O246" s="22"/>
      <c r="P246" s="7" t="str">
        <f t="shared" si="2"/>
        <v>OK</v>
      </c>
      <c r="Q246" s="7"/>
      <c r="R246" s="7"/>
      <c r="S246" s="7"/>
      <c r="T246" s="7"/>
      <c r="U246" s="7"/>
      <c r="V246" s="7"/>
      <c r="W246" s="7"/>
      <c r="X246" s="7"/>
      <c r="Y246" s="7"/>
      <c r="Z246" s="7"/>
      <c r="AA246" s="7"/>
      <c r="AB246" s="7"/>
      <c r="AC246" s="7"/>
    </row>
    <row r="247" ht="15.75" hidden="1" customHeight="1">
      <c r="A247" s="8" t="s">
        <v>1262</v>
      </c>
      <c r="B247" s="5" t="s">
        <v>14</v>
      </c>
      <c r="C247" s="5" t="s">
        <v>15</v>
      </c>
      <c r="D247" s="5" t="s">
        <v>1263</v>
      </c>
      <c r="E247" s="5" t="s">
        <v>1264</v>
      </c>
      <c r="F247" s="5" t="s">
        <v>74</v>
      </c>
      <c r="G247" s="5"/>
      <c r="H247" s="5" t="s">
        <v>52</v>
      </c>
      <c r="I247" s="5"/>
      <c r="J247" s="78" t="s">
        <v>133</v>
      </c>
      <c r="K247" s="78"/>
      <c r="L247" s="85"/>
      <c r="M247" s="5"/>
      <c r="N247" s="85"/>
      <c r="O247" s="22"/>
      <c r="P247" s="7" t="str">
        <f t="shared" si="2"/>
        <v>OK</v>
      </c>
      <c r="Q247" s="7"/>
      <c r="R247" s="7"/>
      <c r="S247" s="7"/>
      <c r="T247" s="7"/>
      <c r="U247" s="7"/>
      <c r="V247" s="7"/>
      <c r="W247" s="7"/>
      <c r="X247" s="7"/>
      <c r="Y247" s="7"/>
      <c r="Z247" s="7"/>
      <c r="AA247" s="7"/>
      <c r="AB247" s="7"/>
      <c r="AC247" s="7"/>
    </row>
    <row r="248" ht="15.75" hidden="1" customHeight="1">
      <c r="A248" s="8" t="s">
        <v>1267</v>
      </c>
      <c r="B248" s="5" t="s">
        <v>14</v>
      </c>
      <c r="C248" s="5" t="s">
        <v>15</v>
      </c>
      <c r="D248" s="5" t="s">
        <v>1268</v>
      </c>
      <c r="E248" s="5" t="s">
        <v>1269</v>
      </c>
      <c r="F248" s="5" t="s">
        <v>74</v>
      </c>
      <c r="G248" s="5"/>
      <c r="H248" s="5" t="s">
        <v>22</v>
      </c>
      <c r="I248" s="5"/>
      <c r="J248" s="78" t="s">
        <v>133</v>
      </c>
      <c r="K248" s="78"/>
      <c r="L248" s="85"/>
      <c r="M248" s="5"/>
      <c r="N248" s="85"/>
      <c r="O248" s="22"/>
      <c r="P248" s="7" t="str">
        <f t="shared" si="2"/>
        <v>OK</v>
      </c>
      <c r="Q248" s="7"/>
      <c r="R248" s="7"/>
      <c r="S248" s="7"/>
      <c r="T248" s="7"/>
      <c r="U248" s="7"/>
      <c r="V248" s="7"/>
      <c r="W248" s="7"/>
      <c r="X248" s="7"/>
      <c r="Y248" s="7"/>
      <c r="Z248" s="7"/>
      <c r="AA248" s="7"/>
      <c r="AB248" s="7"/>
      <c r="AC248" s="7"/>
    </row>
    <row r="249" ht="15.75" hidden="1" customHeight="1">
      <c r="A249" s="8" t="s">
        <v>1272</v>
      </c>
      <c r="B249" s="5" t="s">
        <v>14</v>
      </c>
      <c r="C249" s="5" t="s">
        <v>15</v>
      </c>
      <c r="D249" s="5" t="s">
        <v>1273</v>
      </c>
      <c r="E249" s="5" t="s">
        <v>1275</v>
      </c>
      <c r="F249" s="5" t="s">
        <v>20</v>
      </c>
      <c r="G249" s="5"/>
      <c r="H249" s="5" t="s">
        <v>52</v>
      </c>
      <c r="I249" s="5"/>
      <c r="J249" s="78" t="s">
        <v>133</v>
      </c>
      <c r="K249" s="74" t="s">
        <v>15</v>
      </c>
      <c r="L249" s="10" t="s">
        <v>20</v>
      </c>
      <c r="M249" s="5" t="s">
        <v>45</v>
      </c>
      <c r="N249" s="10" t="s">
        <v>52</v>
      </c>
      <c r="O249" s="84" t="s">
        <v>23</v>
      </c>
      <c r="P249" s="7" t="str">
        <f t="shared" si="2"/>
        <v>OK</v>
      </c>
      <c r="Q249" s="7"/>
      <c r="R249" s="7"/>
      <c r="S249" s="7"/>
      <c r="T249" s="7"/>
      <c r="U249" s="7"/>
      <c r="V249" s="7"/>
      <c r="W249" s="7"/>
      <c r="X249" s="7"/>
      <c r="Y249" s="7"/>
      <c r="Z249" s="7"/>
      <c r="AA249" s="7"/>
      <c r="AB249" s="7"/>
      <c r="AC249" s="7"/>
    </row>
    <row r="250" ht="15.75" hidden="1" customHeight="1">
      <c r="A250" s="8" t="s">
        <v>1277</v>
      </c>
      <c r="B250" s="5" t="s">
        <v>14</v>
      </c>
      <c r="C250" s="5" t="s">
        <v>15</v>
      </c>
      <c r="D250" s="5" t="s">
        <v>1278</v>
      </c>
      <c r="E250" s="5" t="s">
        <v>1280</v>
      </c>
      <c r="F250" s="5" t="s">
        <v>74</v>
      </c>
      <c r="G250" s="5"/>
      <c r="H250" s="5" t="s">
        <v>68</v>
      </c>
      <c r="I250" s="5"/>
      <c r="J250" s="78" t="s">
        <v>133</v>
      </c>
      <c r="K250" s="78"/>
      <c r="L250" s="85"/>
      <c r="M250" s="5"/>
      <c r="N250" s="85"/>
      <c r="O250" s="22"/>
      <c r="P250" s="7" t="str">
        <f t="shared" si="2"/>
        <v>OK</v>
      </c>
      <c r="Q250" s="7"/>
      <c r="R250" s="7"/>
      <c r="S250" s="7"/>
      <c r="T250" s="7"/>
      <c r="U250" s="7"/>
      <c r="V250" s="7"/>
      <c r="W250" s="7"/>
      <c r="X250" s="7"/>
      <c r="Y250" s="7"/>
      <c r="Z250" s="7"/>
      <c r="AA250" s="7"/>
      <c r="AB250" s="7"/>
      <c r="AC250" s="7"/>
    </row>
    <row r="251" ht="15.75" hidden="1" customHeight="1">
      <c r="A251" s="8" t="s">
        <v>1282</v>
      </c>
      <c r="B251" s="5" t="s">
        <v>14</v>
      </c>
      <c r="C251" s="5" t="s">
        <v>15</v>
      </c>
      <c r="D251" s="5" t="s">
        <v>1283</v>
      </c>
      <c r="E251" s="5" t="s">
        <v>1286</v>
      </c>
      <c r="F251" s="5" t="s">
        <v>38</v>
      </c>
      <c r="G251" s="5"/>
      <c r="H251" s="5" t="s">
        <v>23</v>
      </c>
      <c r="I251" s="5"/>
      <c r="J251" s="78" t="s">
        <v>133</v>
      </c>
      <c r="K251" s="78"/>
      <c r="L251" s="85"/>
      <c r="M251" s="5"/>
      <c r="N251" s="85"/>
      <c r="O251" s="22"/>
      <c r="P251" s="7" t="str">
        <f t="shared" si="2"/>
        <v>OK</v>
      </c>
      <c r="Q251" s="7"/>
      <c r="R251" s="7"/>
      <c r="S251" s="7"/>
      <c r="T251" s="7"/>
      <c r="U251" s="7"/>
      <c r="V251" s="7"/>
      <c r="W251" s="7"/>
      <c r="X251" s="7"/>
      <c r="Y251" s="7"/>
      <c r="Z251" s="7"/>
      <c r="AA251" s="7"/>
      <c r="AB251" s="7"/>
      <c r="AC251" s="7"/>
    </row>
    <row r="252" ht="15.75" hidden="1" customHeight="1">
      <c r="A252" s="8" t="s">
        <v>1287</v>
      </c>
      <c r="B252" s="5" t="s">
        <v>14</v>
      </c>
      <c r="C252" s="5" t="s">
        <v>15</v>
      </c>
      <c r="D252" s="5" t="s">
        <v>1288</v>
      </c>
      <c r="E252" s="5" t="s">
        <v>1291</v>
      </c>
      <c r="F252" s="5" t="s">
        <v>74</v>
      </c>
      <c r="G252" s="5"/>
      <c r="H252" s="5" t="s">
        <v>22</v>
      </c>
      <c r="I252" s="5"/>
      <c r="J252" s="78" t="s">
        <v>133</v>
      </c>
      <c r="K252" s="78"/>
      <c r="L252" s="85"/>
      <c r="M252" s="5"/>
      <c r="N252" s="85"/>
      <c r="O252" s="22"/>
      <c r="P252" s="7" t="str">
        <f t="shared" si="2"/>
        <v>OK</v>
      </c>
      <c r="Q252" s="7"/>
      <c r="R252" s="7"/>
      <c r="S252" s="7"/>
      <c r="T252" s="7"/>
      <c r="U252" s="7"/>
      <c r="V252" s="7"/>
      <c r="W252" s="7"/>
      <c r="X252" s="7"/>
      <c r="Y252" s="7"/>
      <c r="Z252" s="7"/>
      <c r="AA252" s="7"/>
      <c r="AB252" s="7"/>
      <c r="AC252" s="7"/>
    </row>
    <row r="253" ht="15.75" hidden="1" customHeight="1">
      <c r="A253" s="8" t="s">
        <v>1292</v>
      </c>
      <c r="B253" s="5" t="s">
        <v>14</v>
      </c>
      <c r="C253" s="5" t="s">
        <v>15</v>
      </c>
      <c r="D253" s="5" t="s">
        <v>1293</v>
      </c>
      <c r="E253" s="5" t="s">
        <v>1296</v>
      </c>
      <c r="F253" s="5" t="s">
        <v>29</v>
      </c>
      <c r="G253" s="5"/>
      <c r="H253" s="5" t="s">
        <v>23</v>
      </c>
      <c r="I253" s="5"/>
      <c r="J253" s="78" t="s">
        <v>133</v>
      </c>
      <c r="K253" s="78"/>
      <c r="L253" s="85"/>
      <c r="M253" s="5"/>
      <c r="N253" s="85"/>
      <c r="O253" s="22"/>
      <c r="P253" s="7" t="str">
        <f t="shared" si="2"/>
        <v>OK</v>
      </c>
      <c r="Q253" s="7"/>
      <c r="R253" s="7"/>
      <c r="S253" s="7"/>
      <c r="T253" s="7"/>
      <c r="U253" s="7"/>
      <c r="V253" s="7"/>
      <c r="W253" s="7"/>
      <c r="X253" s="7"/>
      <c r="Y253" s="7"/>
      <c r="Z253" s="7"/>
      <c r="AA253" s="7"/>
      <c r="AB253" s="7"/>
      <c r="AC253" s="7"/>
    </row>
    <row r="254" ht="116.25" hidden="1" customHeight="1">
      <c r="A254" s="8" t="s">
        <v>1297</v>
      </c>
      <c r="B254" s="5" t="s">
        <v>14</v>
      </c>
      <c r="C254" s="5" t="s">
        <v>15</v>
      </c>
      <c r="D254" s="5" t="s">
        <v>1298</v>
      </c>
      <c r="E254" s="5" t="s">
        <v>1301</v>
      </c>
      <c r="F254" s="5" t="s">
        <v>74</v>
      </c>
      <c r="G254" s="5"/>
      <c r="H254" s="5" t="s">
        <v>52</v>
      </c>
      <c r="I254" s="5"/>
      <c r="J254" s="78" t="s">
        <v>133</v>
      </c>
      <c r="K254" s="78"/>
      <c r="L254" s="85"/>
      <c r="M254" s="5"/>
      <c r="N254" s="85"/>
      <c r="O254" s="22"/>
      <c r="P254" s="7" t="str">
        <f t="shared" si="2"/>
        <v>OK</v>
      </c>
      <c r="Q254" s="7"/>
      <c r="R254" s="7"/>
      <c r="S254" s="7"/>
      <c r="T254" s="7"/>
      <c r="U254" s="7"/>
      <c r="V254" s="7"/>
      <c r="W254" s="7"/>
      <c r="X254" s="7"/>
      <c r="Y254" s="7"/>
      <c r="Z254" s="7"/>
      <c r="AA254" s="7"/>
      <c r="AB254" s="7"/>
      <c r="AC254" s="7"/>
    </row>
    <row r="255" ht="15.75" hidden="1" customHeight="1">
      <c r="A255" s="8" t="s">
        <v>1302</v>
      </c>
      <c r="B255" s="5" t="s">
        <v>14</v>
      </c>
      <c r="C255" s="5" t="s">
        <v>15</v>
      </c>
      <c r="D255" s="5" t="s">
        <v>1303</v>
      </c>
      <c r="E255" s="5" t="s">
        <v>1306</v>
      </c>
      <c r="F255" s="5" t="s">
        <v>21</v>
      </c>
      <c r="G255" s="5"/>
      <c r="H255" s="5" t="s">
        <v>68</v>
      </c>
      <c r="I255" s="5"/>
      <c r="J255" s="78" t="s">
        <v>133</v>
      </c>
      <c r="K255" s="78"/>
      <c r="L255" s="85"/>
      <c r="M255" s="5"/>
      <c r="N255" s="85"/>
      <c r="O255" s="22"/>
      <c r="P255" s="7" t="str">
        <f t="shared" si="2"/>
        <v>OK</v>
      </c>
      <c r="Q255" s="7"/>
      <c r="R255" s="7"/>
      <c r="S255" s="7"/>
      <c r="T255" s="7"/>
      <c r="U255" s="7"/>
      <c r="V255" s="7"/>
      <c r="W255" s="7"/>
      <c r="X255" s="7"/>
      <c r="Y255" s="7"/>
      <c r="Z255" s="7"/>
      <c r="AA255" s="7"/>
      <c r="AB255" s="7"/>
      <c r="AC255" s="7"/>
    </row>
    <row r="256" ht="15.75" hidden="1" customHeight="1">
      <c r="A256" s="8" t="s">
        <v>1307</v>
      </c>
      <c r="B256" s="5" t="s">
        <v>14</v>
      </c>
      <c r="C256" s="5" t="s">
        <v>15</v>
      </c>
      <c r="D256" s="5" t="s">
        <v>1308</v>
      </c>
      <c r="E256" s="5" t="s">
        <v>1311</v>
      </c>
      <c r="F256" s="5" t="s">
        <v>20</v>
      </c>
      <c r="G256" s="5"/>
      <c r="H256" s="5" t="s">
        <v>68</v>
      </c>
      <c r="I256" s="5"/>
      <c r="J256" s="78" t="s">
        <v>133</v>
      </c>
      <c r="K256" s="78"/>
      <c r="L256" s="85"/>
      <c r="M256" s="5"/>
      <c r="N256" s="85"/>
      <c r="O256" s="22"/>
      <c r="P256" s="7" t="str">
        <f t="shared" si="2"/>
        <v>OK</v>
      </c>
      <c r="Q256" s="7"/>
      <c r="R256" s="7"/>
      <c r="S256" s="7"/>
      <c r="T256" s="7"/>
      <c r="U256" s="7"/>
      <c r="V256" s="7"/>
      <c r="W256" s="7"/>
      <c r="X256" s="7"/>
      <c r="Y256" s="7"/>
      <c r="Z256" s="7"/>
      <c r="AA256" s="7"/>
      <c r="AB256" s="7"/>
      <c r="AC256" s="7"/>
    </row>
    <row r="257" ht="15.75" hidden="1" customHeight="1">
      <c r="A257" s="8" t="s">
        <v>1312</v>
      </c>
      <c r="B257" s="5" t="s">
        <v>14</v>
      </c>
      <c r="C257" s="5" t="s">
        <v>15</v>
      </c>
      <c r="D257" s="5" t="s">
        <v>2644</v>
      </c>
      <c r="E257" s="5" t="s">
        <v>1316</v>
      </c>
      <c r="F257" s="5" t="s">
        <v>20</v>
      </c>
      <c r="G257" s="5"/>
      <c r="H257" s="5" t="s">
        <v>68</v>
      </c>
      <c r="I257" s="5"/>
      <c r="J257" s="78" t="s">
        <v>133</v>
      </c>
      <c r="K257" s="78"/>
      <c r="L257" s="85"/>
      <c r="M257" s="5"/>
      <c r="N257" s="85"/>
      <c r="O257" s="22"/>
      <c r="P257" s="7" t="str">
        <f t="shared" si="2"/>
        <v>OK</v>
      </c>
      <c r="Q257" s="7"/>
      <c r="R257" s="7"/>
      <c r="S257" s="7"/>
      <c r="T257" s="7"/>
      <c r="U257" s="7"/>
      <c r="V257" s="7"/>
      <c r="W257" s="7"/>
      <c r="X257" s="7"/>
      <c r="Y257" s="7"/>
      <c r="Z257" s="7"/>
      <c r="AA257" s="7"/>
      <c r="AB257" s="7"/>
      <c r="AC257" s="7"/>
    </row>
    <row r="258" ht="15.75" hidden="1" customHeight="1">
      <c r="A258" s="8" t="s">
        <v>1317</v>
      </c>
      <c r="B258" s="5" t="s">
        <v>14</v>
      </c>
      <c r="C258" s="5" t="s">
        <v>15</v>
      </c>
      <c r="D258" s="5" t="s">
        <v>1318</v>
      </c>
      <c r="E258" s="5" t="s">
        <v>1321</v>
      </c>
      <c r="F258" s="5" t="s">
        <v>20</v>
      </c>
      <c r="G258" s="5"/>
      <c r="H258" s="5" t="s">
        <v>68</v>
      </c>
      <c r="I258" s="5"/>
      <c r="J258" s="78" t="s">
        <v>133</v>
      </c>
      <c r="K258" s="78"/>
      <c r="L258" s="85"/>
      <c r="M258" s="5"/>
      <c r="N258" s="85"/>
      <c r="O258" s="22"/>
      <c r="P258" s="7" t="str">
        <f t="shared" si="2"/>
        <v>OK</v>
      </c>
      <c r="Q258" s="7"/>
      <c r="R258" s="7"/>
      <c r="S258" s="7"/>
      <c r="T258" s="7"/>
      <c r="U258" s="7"/>
      <c r="V258" s="7"/>
      <c r="W258" s="7"/>
      <c r="X258" s="7"/>
      <c r="Y258" s="7"/>
      <c r="Z258" s="7"/>
      <c r="AA258" s="7"/>
      <c r="AB258" s="7"/>
      <c r="AC258" s="7"/>
    </row>
    <row r="259" ht="15.75" hidden="1" customHeight="1">
      <c r="A259" s="16" t="s">
        <v>1322</v>
      </c>
      <c r="B259" s="17" t="s">
        <v>14</v>
      </c>
      <c r="C259" s="17" t="s">
        <v>15</v>
      </c>
      <c r="D259" s="17" t="s">
        <v>1323</v>
      </c>
      <c r="E259" s="17" t="s">
        <v>1326</v>
      </c>
      <c r="F259" s="17" t="s">
        <v>20</v>
      </c>
      <c r="G259" s="17"/>
      <c r="H259" s="17" t="s">
        <v>75</v>
      </c>
      <c r="I259" s="17"/>
      <c r="J259" s="78" t="s">
        <v>133</v>
      </c>
      <c r="K259" s="78"/>
      <c r="L259" s="88"/>
      <c r="M259" s="17"/>
      <c r="N259" s="88"/>
      <c r="O259" s="89"/>
      <c r="P259" s="18" t="str">
        <f t="shared" si="2"/>
        <v>OK</v>
      </c>
      <c r="Q259" s="18"/>
      <c r="R259" s="18"/>
      <c r="S259" s="18"/>
      <c r="T259" s="18"/>
      <c r="U259" s="18"/>
      <c r="V259" s="18"/>
      <c r="W259" s="18"/>
      <c r="X259" s="18"/>
      <c r="Y259" s="18"/>
      <c r="Z259" s="18"/>
      <c r="AA259" s="18"/>
      <c r="AB259" s="18"/>
      <c r="AC259" s="18"/>
    </row>
    <row r="260" ht="15.75" hidden="1" customHeight="1">
      <c r="A260" s="16" t="s">
        <v>1327</v>
      </c>
      <c r="B260" s="17" t="s">
        <v>14</v>
      </c>
      <c r="C260" s="17" t="s">
        <v>15</v>
      </c>
      <c r="D260" s="17" t="s">
        <v>1328</v>
      </c>
      <c r="E260" s="17" t="s">
        <v>1331</v>
      </c>
      <c r="F260" s="17" t="s">
        <v>20</v>
      </c>
      <c r="G260" s="17"/>
      <c r="H260" s="17" t="s">
        <v>68</v>
      </c>
      <c r="I260" s="17"/>
      <c r="J260" s="78" t="s">
        <v>133</v>
      </c>
      <c r="K260" s="78"/>
      <c r="L260" s="88"/>
      <c r="M260" s="17"/>
      <c r="N260" s="88"/>
      <c r="O260" s="89"/>
      <c r="P260" s="18" t="str">
        <f t="shared" si="2"/>
        <v>OK</v>
      </c>
      <c r="Q260" s="18"/>
      <c r="R260" s="18"/>
      <c r="S260" s="18"/>
      <c r="T260" s="18"/>
      <c r="U260" s="18"/>
      <c r="V260" s="18"/>
      <c r="W260" s="18"/>
      <c r="X260" s="18"/>
      <c r="Y260" s="18"/>
      <c r="Z260" s="18"/>
      <c r="AA260" s="18"/>
      <c r="AB260" s="18"/>
      <c r="AC260" s="18"/>
    </row>
    <row r="261" ht="15.75" hidden="1" customHeight="1">
      <c r="A261" s="8" t="s">
        <v>1332</v>
      </c>
      <c r="B261" s="5" t="s">
        <v>14</v>
      </c>
      <c r="C261" s="5" t="s">
        <v>15</v>
      </c>
      <c r="D261" s="5" t="s">
        <v>1333</v>
      </c>
      <c r="E261" s="5" t="s">
        <v>1336</v>
      </c>
      <c r="F261" s="5" t="s">
        <v>51</v>
      </c>
      <c r="G261" s="5"/>
      <c r="H261" s="5" t="s">
        <v>68</v>
      </c>
      <c r="I261" s="5"/>
      <c r="J261" s="78" t="s">
        <v>133</v>
      </c>
      <c r="K261" s="78"/>
      <c r="L261" s="85"/>
      <c r="M261" s="5"/>
      <c r="N261" s="85"/>
      <c r="O261" s="22"/>
      <c r="P261" s="7" t="str">
        <f t="shared" si="2"/>
        <v>OK</v>
      </c>
      <c r="Q261" s="7"/>
      <c r="R261" s="7"/>
      <c r="S261" s="7"/>
      <c r="T261" s="7"/>
      <c r="U261" s="7"/>
      <c r="V261" s="7"/>
      <c r="W261" s="7"/>
      <c r="X261" s="7"/>
      <c r="Y261" s="7"/>
      <c r="Z261" s="7"/>
      <c r="AA261" s="7"/>
      <c r="AB261" s="7"/>
      <c r="AC261" s="7"/>
    </row>
    <row r="262" ht="15.75" hidden="1" customHeight="1">
      <c r="A262" s="8" t="s">
        <v>1337</v>
      </c>
      <c r="B262" s="5" t="s">
        <v>14</v>
      </c>
      <c r="C262" s="5" t="s">
        <v>15</v>
      </c>
      <c r="D262" s="5" t="s">
        <v>1338</v>
      </c>
      <c r="E262" s="5" t="s">
        <v>1341</v>
      </c>
      <c r="F262" s="5" t="s">
        <v>20</v>
      </c>
      <c r="G262" s="5"/>
      <c r="H262" s="5" t="s">
        <v>23</v>
      </c>
      <c r="I262" s="5"/>
      <c r="J262" s="78" t="s">
        <v>133</v>
      </c>
      <c r="K262" s="78"/>
      <c r="L262" s="85"/>
      <c r="M262" s="5"/>
      <c r="N262" s="85"/>
      <c r="O262" s="22"/>
      <c r="P262" s="7" t="str">
        <f t="shared" si="2"/>
        <v>OK</v>
      </c>
      <c r="Q262" s="7"/>
      <c r="R262" s="7"/>
      <c r="S262" s="7"/>
      <c r="T262" s="7"/>
      <c r="U262" s="7"/>
      <c r="V262" s="7"/>
      <c r="W262" s="7"/>
      <c r="X262" s="7"/>
      <c r="Y262" s="7"/>
      <c r="Z262" s="7"/>
      <c r="AA262" s="7"/>
      <c r="AB262" s="7"/>
      <c r="AC262" s="7"/>
    </row>
    <row r="263" ht="15.75" hidden="1" customHeight="1">
      <c r="A263" s="8" t="s">
        <v>1342</v>
      </c>
      <c r="B263" s="5" t="s">
        <v>14</v>
      </c>
      <c r="C263" s="5" t="s">
        <v>15</v>
      </c>
      <c r="D263" s="5" t="s">
        <v>1343</v>
      </c>
      <c r="E263" s="5" t="s">
        <v>1346</v>
      </c>
      <c r="F263" s="5" t="s">
        <v>21</v>
      </c>
      <c r="G263" s="5"/>
      <c r="H263" s="5" t="s">
        <v>22</v>
      </c>
      <c r="I263" s="5"/>
      <c r="J263" s="78" t="s">
        <v>133</v>
      </c>
      <c r="K263" s="78"/>
      <c r="L263" s="85"/>
      <c r="M263" s="5"/>
      <c r="N263" s="85"/>
      <c r="O263" s="22"/>
      <c r="P263" s="7" t="str">
        <f t="shared" si="2"/>
        <v>OK</v>
      </c>
      <c r="Q263" s="7"/>
      <c r="R263" s="7"/>
      <c r="S263" s="7"/>
      <c r="T263" s="7"/>
      <c r="U263" s="7"/>
      <c r="V263" s="7"/>
      <c r="W263" s="7"/>
      <c r="X263" s="7"/>
      <c r="Y263" s="7"/>
      <c r="Z263" s="7"/>
      <c r="AA263" s="7"/>
      <c r="AB263" s="7"/>
      <c r="AC263" s="7"/>
    </row>
    <row r="264" ht="15.75" hidden="1" customHeight="1">
      <c r="A264" s="8" t="s">
        <v>1347</v>
      </c>
      <c r="B264" s="5" t="s">
        <v>14</v>
      </c>
      <c r="C264" s="5" t="s">
        <v>15</v>
      </c>
      <c r="D264" s="5" t="s">
        <v>1348</v>
      </c>
      <c r="E264" s="5" t="s">
        <v>1351</v>
      </c>
      <c r="F264" s="5" t="s">
        <v>74</v>
      </c>
      <c r="G264" s="5"/>
      <c r="H264" s="5" t="s">
        <v>75</v>
      </c>
      <c r="I264" s="5"/>
      <c r="J264" s="78" t="s">
        <v>133</v>
      </c>
      <c r="K264" s="78"/>
      <c r="L264" s="85"/>
      <c r="M264" s="5"/>
      <c r="N264" s="85"/>
      <c r="O264" s="22"/>
      <c r="P264" s="7" t="str">
        <f t="shared" si="2"/>
        <v>OK</v>
      </c>
      <c r="Q264" s="7"/>
      <c r="R264" s="7"/>
      <c r="S264" s="7"/>
      <c r="T264" s="7"/>
      <c r="U264" s="7"/>
      <c r="V264" s="7"/>
      <c r="W264" s="7"/>
      <c r="X264" s="7"/>
      <c r="Y264" s="7"/>
      <c r="Z264" s="7"/>
      <c r="AA264" s="7"/>
      <c r="AB264" s="7"/>
      <c r="AC264" s="7"/>
    </row>
    <row r="265" ht="15.75" hidden="1" customHeight="1">
      <c r="A265" s="8" t="s">
        <v>1352</v>
      </c>
      <c r="B265" s="5" t="s">
        <v>14</v>
      </c>
      <c r="C265" s="5" t="s">
        <v>15</v>
      </c>
      <c r="D265" s="5" t="s">
        <v>1353</v>
      </c>
      <c r="E265" s="5" t="s">
        <v>1356</v>
      </c>
      <c r="F265" s="5" t="s">
        <v>74</v>
      </c>
      <c r="G265" s="5"/>
      <c r="H265" s="5" t="s">
        <v>75</v>
      </c>
      <c r="I265" s="5"/>
      <c r="J265" s="78" t="s">
        <v>133</v>
      </c>
      <c r="K265" s="78"/>
      <c r="L265" s="85"/>
      <c r="M265" s="5"/>
      <c r="N265" s="85"/>
      <c r="O265" s="22"/>
      <c r="P265" s="7" t="str">
        <f t="shared" si="2"/>
        <v>OK</v>
      </c>
      <c r="Q265" s="7"/>
      <c r="R265" s="7"/>
      <c r="S265" s="7"/>
      <c r="T265" s="7"/>
      <c r="U265" s="7"/>
      <c r="V265" s="7"/>
      <c r="W265" s="7"/>
      <c r="X265" s="7"/>
      <c r="Y265" s="7"/>
      <c r="Z265" s="7"/>
      <c r="AA265" s="7"/>
      <c r="AB265" s="7"/>
      <c r="AC265" s="7"/>
    </row>
    <row r="266" ht="15.75" hidden="1" customHeight="1">
      <c r="A266" s="8" t="s">
        <v>1357</v>
      </c>
      <c r="B266" s="5" t="s">
        <v>14</v>
      </c>
      <c r="C266" s="5" t="s">
        <v>15</v>
      </c>
      <c r="D266" s="5" t="s">
        <v>1358</v>
      </c>
      <c r="E266" s="5" t="s">
        <v>1361</v>
      </c>
      <c r="F266" s="5" t="s">
        <v>74</v>
      </c>
      <c r="G266" s="5"/>
      <c r="H266" s="5" t="s">
        <v>68</v>
      </c>
      <c r="I266" s="5"/>
      <c r="J266" s="78" t="s">
        <v>133</v>
      </c>
      <c r="K266" s="78"/>
      <c r="L266" s="85"/>
      <c r="M266" s="5"/>
      <c r="N266" s="85"/>
      <c r="O266" s="22"/>
      <c r="P266" s="7" t="str">
        <f t="shared" si="2"/>
        <v>OK</v>
      </c>
      <c r="Q266" s="7"/>
      <c r="R266" s="7"/>
      <c r="S266" s="7"/>
      <c r="T266" s="7"/>
      <c r="U266" s="7"/>
      <c r="V266" s="7"/>
      <c r="W266" s="7"/>
      <c r="X266" s="7"/>
      <c r="Y266" s="7"/>
      <c r="Z266" s="7"/>
      <c r="AA266" s="7"/>
      <c r="AB266" s="7"/>
      <c r="AC266" s="7"/>
    </row>
    <row r="267" ht="15.75" hidden="1" customHeight="1">
      <c r="A267" s="8" t="s">
        <v>1362</v>
      </c>
      <c r="B267" s="5" t="s">
        <v>14</v>
      </c>
      <c r="C267" s="5" t="s">
        <v>15</v>
      </c>
      <c r="D267" s="5" t="s">
        <v>1363</v>
      </c>
      <c r="E267" s="5" t="s">
        <v>1366</v>
      </c>
      <c r="F267" s="5" t="s">
        <v>45</v>
      </c>
      <c r="G267" s="5"/>
      <c r="H267" s="5" t="s">
        <v>68</v>
      </c>
      <c r="I267" s="5"/>
      <c r="J267" s="78" t="s">
        <v>133</v>
      </c>
      <c r="K267" s="78"/>
      <c r="L267" s="85"/>
      <c r="M267" s="5"/>
      <c r="N267" s="85"/>
      <c r="O267" s="22"/>
      <c r="P267" s="7" t="str">
        <f t="shared" si="2"/>
        <v>OK</v>
      </c>
      <c r="Q267" s="7"/>
      <c r="R267" s="7"/>
      <c r="S267" s="7"/>
      <c r="T267" s="7"/>
      <c r="U267" s="7"/>
      <c r="V267" s="7"/>
      <c r="W267" s="7"/>
      <c r="X267" s="7"/>
      <c r="Y267" s="7"/>
      <c r="Z267" s="7"/>
      <c r="AA267" s="7"/>
      <c r="AB267" s="7"/>
      <c r="AC267" s="7"/>
    </row>
    <row r="268" ht="15.75" hidden="1" customHeight="1">
      <c r="A268" s="8" t="s">
        <v>1367</v>
      </c>
      <c r="B268" s="5" t="s">
        <v>14</v>
      </c>
      <c r="C268" s="5" t="s">
        <v>15</v>
      </c>
      <c r="D268" s="5" t="s">
        <v>1368</v>
      </c>
      <c r="E268" s="5" t="s">
        <v>1371</v>
      </c>
      <c r="F268" s="5" t="s">
        <v>38</v>
      </c>
      <c r="G268" s="5"/>
      <c r="H268" s="5" t="s">
        <v>68</v>
      </c>
      <c r="I268" s="5"/>
      <c r="J268" s="78" t="s">
        <v>133</v>
      </c>
      <c r="K268" s="78"/>
      <c r="L268" s="85"/>
      <c r="M268" s="5"/>
      <c r="N268" s="85"/>
      <c r="O268" s="22"/>
      <c r="P268" s="7"/>
      <c r="Q268" s="7"/>
      <c r="R268" s="7"/>
      <c r="S268" s="7"/>
      <c r="T268" s="7"/>
      <c r="U268" s="7"/>
      <c r="V268" s="7"/>
      <c r="W268" s="7"/>
      <c r="X268" s="7"/>
      <c r="Y268" s="7"/>
      <c r="Z268" s="7"/>
      <c r="AA268" s="7"/>
      <c r="AB268" s="7"/>
      <c r="AC268" s="7"/>
    </row>
    <row r="269" ht="15.75" hidden="1" customHeight="1">
      <c r="A269" s="8" t="s">
        <v>1372</v>
      </c>
      <c r="B269" s="5" t="s">
        <v>14</v>
      </c>
      <c r="C269" s="5" t="s">
        <v>15</v>
      </c>
      <c r="D269" s="5" t="s">
        <v>1373</v>
      </c>
      <c r="E269" s="5" t="s">
        <v>1376</v>
      </c>
      <c r="F269" s="5" t="s">
        <v>29</v>
      </c>
      <c r="G269" s="5"/>
      <c r="H269" s="5" t="s">
        <v>22</v>
      </c>
      <c r="I269" s="5"/>
      <c r="J269" s="78" t="s">
        <v>14</v>
      </c>
      <c r="K269" s="78"/>
      <c r="L269" s="85"/>
      <c r="M269" s="5"/>
      <c r="N269" s="85"/>
      <c r="O269" s="22"/>
      <c r="P269" s="7" t="str">
        <f t="shared" ref="P269:P504" si="3">IF(COUNTIF($A$2:A269, A269)&gt;1, "Dublet", "OK")</f>
        <v>OK</v>
      </c>
      <c r="Q269" s="7"/>
      <c r="R269" s="7"/>
      <c r="S269" s="7"/>
      <c r="T269" s="7"/>
      <c r="U269" s="7"/>
      <c r="V269" s="7"/>
      <c r="W269" s="7"/>
      <c r="X269" s="7"/>
      <c r="Y269" s="7"/>
      <c r="Z269" s="7"/>
      <c r="AA269" s="7"/>
      <c r="AB269" s="7"/>
      <c r="AC269" s="7"/>
    </row>
    <row r="270" ht="15.75" customHeight="1">
      <c r="A270" s="8" t="s">
        <v>1377</v>
      </c>
      <c r="B270" s="5" t="s">
        <v>133</v>
      </c>
      <c r="C270" s="5" t="s">
        <v>15</v>
      </c>
      <c r="D270" s="5" t="s">
        <v>1378</v>
      </c>
      <c r="E270" s="5" t="s">
        <v>1381</v>
      </c>
      <c r="F270" s="5" t="s">
        <v>51</v>
      </c>
      <c r="G270" s="5"/>
      <c r="H270" s="5" t="s">
        <v>39</v>
      </c>
      <c r="I270" s="5"/>
      <c r="J270" s="78" t="s">
        <v>14</v>
      </c>
      <c r="K270" s="78"/>
      <c r="L270" s="85"/>
      <c r="M270" s="5"/>
      <c r="N270" s="85"/>
      <c r="O270" s="22"/>
      <c r="P270" s="7" t="str">
        <f t="shared" si="3"/>
        <v>OK</v>
      </c>
      <c r="Q270" s="7"/>
      <c r="R270" s="7"/>
      <c r="S270" s="7"/>
      <c r="T270" s="7"/>
      <c r="U270" s="7"/>
      <c r="V270" s="7"/>
      <c r="W270" s="7"/>
      <c r="X270" s="7"/>
      <c r="Y270" s="7"/>
      <c r="Z270" s="7"/>
      <c r="AA270" s="7"/>
      <c r="AB270" s="7"/>
      <c r="AC270" s="7"/>
    </row>
    <row r="271" ht="15.75" customHeight="1">
      <c r="A271" s="8" t="s">
        <v>1382</v>
      </c>
      <c r="B271" s="5" t="s">
        <v>133</v>
      </c>
      <c r="C271" s="5" t="s">
        <v>15</v>
      </c>
      <c r="D271" s="5" t="s">
        <v>1383</v>
      </c>
      <c r="E271" s="5" t="s">
        <v>1384</v>
      </c>
      <c r="F271" s="5" t="s">
        <v>51</v>
      </c>
      <c r="G271" s="5"/>
      <c r="H271" s="5" t="s">
        <v>52</v>
      </c>
      <c r="I271" s="5"/>
      <c r="J271" s="78" t="s">
        <v>14</v>
      </c>
      <c r="K271" s="78"/>
      <c r="L271" s="85"/>
      <c r="M271" s="5"/>
      <c r="N271" s="85"/>
      <c r="O271" s="22"/>
      <c r="P271" s="7" t="str">
        <f t="shared" si="3"/>
        <v>OK</v>
      </c>
      <c r="Q271" s="7"/>
      <c r="R271" s="7"/>
      <c r="S271" s="7"/>
      <c r="T271" s="7"/>
      <c r="U271" s="7"/>
      <c r="V271" s="7"/>
      <c r="W271" s="7"/>
      <c r="X271" s="7"/>
      <c r="Y271" s="7"/>
      <c r="Z271" s="7"/>
      <c r="AA271" s="7"/>
      <c r="AB271" s="7"/>
      <c r="AC271" s="7"/>
    </row>
    <row r="272" ht="15.75" customHeight="1">
      <c r="A272" s="8" t="s">
        <v>1387</v>
      </c>
      <c r="B272" s="5" t="s">
        <v>133</v>
      </c>
      <c r="C272" s="5" t="s">
        <v>15</v>
      </c>
      <c r="D272" s="5" t="s">
        <v>1388</v>
      </c>
      <c r="E272" s="5" t="s">
        <v>1389</v>
      </c>
      <c r="F272" s="5" t="s">
        <v>29</v>
      </c>
      <c r="G272" s="5"/>
      <c r="H272" s="5" t="s">
        <v>39</v>
      </c>
      <c r="I272" s="5"/>
      <c r="J272" s="78" t="s">
        <v>14</v>
      </c>
      <c r="K272" s="78"/>
      <c r="L272" s="85"/>
      <c r="M272" s="5"/>
      <c r="N272" s="85"/>
      <c r="O272" s="22"/>
      <c r="P272" s="7" t="str">
        <f t="shared" si="3"/>
        <v>OK</v>
      </c>
      <c r="Q272" s="7"/>
      <c r="R272" s="7"/>
      <c r="S272" s="7"/>
      <c r="T272" s="7"/>
      <c r="U272" s="7"/>
      <c r="V272" s="7"/>
      <c r="W272" s="7"/>
      <c r="X272" s="7"/>
      <c r="Y272" s="7"/>
      <c r="Z272" s="7"/>
      <c r="AA272" s="7"/>
      <c r="AB272" s="7"/>
      <c r="AC272" s="7"/>
    </row>
    <row r="273" ht="15.75" customHeight="1">
      <c r="A273" s="8" t="s">
        <v>1392</v>
      </c>
      <c r="B273" s="5" t="s">
        <v>133</v>
      </c>
      <c r="C273" s="5" t="s">
        <v>15</v>
      </c>
      <c r="D273" s="5" t="s">
        <v>1393</v>
      </c>
      <c r="E273" s="5" t="s">
        <v>1396</v>
      </c>
      <c r="F273" s="5" t="s">
        <v>38</v>
      </c>
      <c r="G273" s="5"/>
      <c r="H273" s="5" t="s">
        <v>39</v>
      </c>
      <c r="I273" s="5"/>
      <c r="J273" s="78" t="s">
        <v>14</v>
      </c>
      <c r="K273" s="78"/>
      <c r="L273" s="85"/>
      <c r="M273" s="5"/>
      <c r="N273" s="85"/>
      <c r="O273" s="22"/>
      <c r="P273" s="7" t="str">
        <f t="shared" si="3"/>
        <v>OK</v>
      </c>
      <c r="Q273" s="7"/>
      <c r="R273" s="7"/>
      <c r="S273" s="7"/>
      <c r="T273" s="7"/>
      <c r="U273" s="7"/>
      <c r="V273" s="7"/>
      <c r="W273" s="7"/>
      <c r="X273" s="7"/>
      <c r="Y273" s="7"/>
      <c r="Z273" s="7"/>
      <c r="AA273" s="7"/>
      <c r="AB273" s="7"/>
      <c r="AC273" s="7"/>
    </row>
    <row r="274" ht="15.75" customHeight="1">
      <c r="A274" s="8" t="s">
        <v>1397</v>
      </c>
      <c r="B274" s="5" t="s">
        <v>133</v>
      </c>
      <c r="C274" s="5" t="s">
        <v>15</v>
      </c>
      <c r="D274" s="5" t="s">
        <v>1398</v>
      </c>
      <c r="E274" s="5" t="s">
        <v>1401</v>
      </c>
      <c r="F274" s="5" t="s">
        <v>29</v>
      </c>
      <c r="G274" s="5"/>
      <c r="H274" s="5" t="s">
        <v>39</v>
      </c>
      <c r="I274" s="5"/>
      <c r="J274" s="78" t="s">
        <v>14</v>
      </c>
      <c r="K274" s="78"/>
      <c r="L274" s="85"/>
      <c r="M274" s="5"/>
      <c r="N274" s="85"/>
      <c r="O274" s="22"/>
      <c r="P274" s="7" t="str">
        <f t="shared" si="3"/>
        <v>OK</v>
      </c>
      <c r="Q274" s="7"/>
      <c r="R274" s="7"/>
      <c r="S274" s="7"/>
      <c r="T274" s="7"/>
      <c r="U274" s="7"/>
      <c r="V274" s="7"/>
      <c r="W274" s="7"/>
      <c r="X274" s="7"/>
      <c r="Y274" s="7"/>
      <c r="Z274" s="7"/>
      <c r="AA274" s="7"/>
      <c r="AB274" s="7"/>
      <c r="AC274" s="7"/>
    </row>
    <row r="275" ht="15.75" customHeight="1">
      <c r="A275" s="8" t="s">
        <v>1402</v>
      </c>
      <c r="B275" s="5" t="s">
        <v>133</v>
      </c>
      <c r="C275" s="5" t="s">
        <v>15</v>
      </c>
      <c r="D275" s="5" t="s">
        <v>1403</v>
      </c>
      <c r="E275" s="5" t="s">
        <v>1407</v>
      </c>
      <c r="F275" s="5" t="s">
        <v>38</v>
      </c>
      <c r="G275" s="5"/>
      <c r="H275" s="5" t="s">
        <v>68</v>
      </c>
      <c r="I275" s="5"/>
      <c r="J275" s="78" t="s">
        <v>14</v>
      </c>
      <c r="K275" s="78"/>
      <c r="L275" s="85"/>
      <c r="M275" s="5"/>
      <c r="N275" s="85"/>
      <c r="O275" s="22"/>
      <c r="P275" s="7" t="str">
        <f t="shared" si="3"/>
        <v>OK</v>
      </c>
      <c r="Q275" s="7"/>
      <c r="R275" s="7"/>
      <c r="S275" s="7"/>
      <c r="T275" s="7"/>
      <c r="U275" s="7"/>
      <c r="V275" s="7"/>
      <c r="W275" s="7"/>
      <c r="X275" s="7"/>
      <c r="Y275" s="7"/>
      <c r="Z275" s="7"/>
      <c r="AA275" s="7"/>
      <c r="AB275" s="7"/>
      <c r="AC275" s="7"/>
    </row>
    <row r="276" ht="15.75" customHeight="1">
      <c r="A276" s="8" t="s">
        <v>1408</v>
      </c>
      <c r="B276" s="5" t="s">
        <v>133</v>
      </c>
      <c r="C276" s="5" t="s">
        <v>15</v>
      </c>
      <c r="D276" s="5" t="s">
        <v>1409</v>
      </c>
      <c r="E276" s="5" t="s">
        <v>1413</v>
      </c>
      <c r="F276" s="5" t="s">
        <v>20</v>
      </c>
      <c r="G276" s="5"/>
      <c r="H276" s="5" t="s">
        <v>75</v>
      </c>
      <c r="I276" s="5"/>
      <c r="J276" s="78" t="s">
        <v>14</v>
      </c>
      <c r="K276" s="78"/>
      <c r="L276" s="85"/>
      <c r="M276" s="5"/>
      <c r="N276" s="85"/>
      <c r="O276" s="22"/>
      <c r="P276" s="7" t="str">
        <f t="shared" si="3"/>
        <v>OK</v>
      </c>
      <c r="Q276" s="7"/>
      <c r="R276" s="7"/>
      <c r="S276" s="7"/>
      <c r="T276" s="7"/>
      <c r="U276" s="7"/>
      <c r="V276" s="7"/>
      <c r="W276" s="7"/>
      <c r="X276" s="7"/>
      <c r="Y276" s="7"/>
      <c r="Z276" s="7"/>
      <c r="AA276" s="7"/>
      <c r="AB276" s="7"/>
      <c r="AC276" s="7"/>
    </row>
    <row r="277" ht="15.75" customHeight="1">
      <c r="A277" s="8" t="s">
        <v>1414</v>
      </c>
      <c r="B277" s="5" t="s">
        <v>133</v>
      </c>
      <c r="C277" s="5" t="s">
        <v>15</v>
      </c>
      <c r="D277" s="5" t="s">
        <v>1415</v>
      </c>
      <c r="E277" s="5" t="s">
        <v>1419</v>
      </c>
      <c r="F277" s="5" t="s">
        <v>45</v>
      </c>
      <c r="G277" s="5"/>
      <c r="H277" s="5" t="s">
        <v>52</v>
      </c>
      <c r="I277" s="5"/>
      <c r="J277" s="78" t="s">
        <v>14</v>
      </c>
      <c r="K277" s="78"/>
      <c r="L277" s="85"/>
      <c r="M277" s="5"/>
      <c r="N277" s="85"/>
      <c r="O277" s="22"/>
      <c r="P277" s="7" t="str">
        <f t="shared" si="3"/>
        <v>OK</v>
      </c>
      <c r="Q277" s="7"/>
      <c r="R277" s="7"/>
      <c r="S277" s="7"/>
      <c r="T277" s="7"/>
      <c r="U277" s="7"/>
      <c r="V277" s="7"/>
      <c r="W277" s="7"/>
      <c r="X277" s="7"/>
      <c r="Y277" s="7"/>
      <c r="Z277" s="7"/>
      <c r="AA277" s="7"/>
      <c r="AB277" s="7"/>
      <c r="AC277" s="7"/>
    </row>
    <row r="278" ht="15.75" customHeight="1">
      <c r="A278" s="8" t="s">
        <v>1420</v>
      </c>
      <c r="B278" s="5" t="s">
        <v>133</v>
      </c>
      <c r="C278" s="5" t="s">
        <v>15</v>
      </c>
      <c r="D278" s="5" t="s">
        <v>1421</v>
      </c>
      <c r="E278" s="5" t="s">
        <v>1423</v>
      </c>
      <c r="F278" s="5" t="s">
        <v>20</v>
      </c>
      <c r="G278" s="5"/>
      <c r="H278" s="5" t="s">
        <v>30</v>
      </c>
      <c r="I278" s="5"/>
      <c r="J278" s="78" t="s">
        <v>14</v>
      </c>
      <c r="K278" s="78"/>
      <c r="L278" s="85"/>
      <c r="M278" s="5"/>
      <c r="N278" s="85"/>
      <c r="O278" s="22"/>
      <c r="P278" s="7" t="str">
        <f t="shared" si="3"/>
        <v>OK</v>
      </c>
      <c r="Q278" s="7"/>
      <c r="R278" s="7"/>
      <c r="S278" s="7"/>
      <c r="T278" s="7"/>
      <c r="U278" s="7"/>
      <c r="V278" s="7"/>
      <c r="W278" s="7"/>
      <c r="X278" s="7"/>
      <c r="Y278" s="7"/>
      <c r="Z278" s="7"/>
      <c r="AA278" s="7"/>
      <c r="AB278" s="7"/>
      <c r="AC278" s="7"/>
    </row>
    <row r="279" ht="15.75" customHeight="1">
      <c r="A279" s="8" t="s">
        <v>1425</v>
      </c>
      <c r="B279" s="5" t="s">
        <v>133</v>
      </c>
      <c r="C279" s="5" t="s">
        <v>15</v>
      </c>
      <c r="D279" s="5" t="s">
        <v>1426</v>
      </c>
      <c r="E279" s="5" t="s">
        <v>1427</v>
      </c>
      <c r="F279" s="5" t="s">
        <v>20</v>
      </c>
      <c r="G279" s="5"/>
      <c r="H279" s="5" t="s">
        <v>22</v>
      </c>
      <c r="I279" s="5"/>
      <c r="J279" s="78" t="s">
        <v>14</v>
      </c>
      <c r="K279" s="78"/>
      <c r="L279" s="85"/>
      <c r="M279" s="5"/>
      <c r="N279" s="85"/>
      <c r="O279" s="22"/>
      <c r="P279" s="7" t="str">
        <f t="shared" si="3"/>
        <v>OK</v>
      </c>
      <c r="Q279" s="7"/>
      <c r="R279" s="7"/>
      <c r="S279" s="7"/>
      <c r="T279" s="7"/>
      <c r="U279" s="7"/>
      <c r="V279" s="7"/>
      <c r="W279" s="7"/>
      <c r="X279" s="7"/>
      <c r="Y279" s="7"/>
      <c r="Z279" s="7"/>
      <c r="AA279" s="7"/>
      <c r="AB279" s="7"/>
      <c r="AC279" s="7"/>
    </row>
    <row r="280" ht="15.75" customHeight="1">
      <c r="A280" s="8" t="s">
        <v>1430</v>
      </c>
      <c r="B280" s="5" t="s">
        <v>133</v>
      </c>
      <c r="C280" s="5" t="s">
        <v>15</v>
      </c>
      <c r="D280" s="5" t="s">
        <v>1431</v>
      </c>
      <c r="E280" s="5" t="s">
        <v>1433</v>
      </c>
      <c r="F280" s="5" t="s">
        <v>51</v>
      </c>
      <c r="G280" s="5"/>
      <c r="H280" s="5" t="s">
        <v>22</v>
      </c>
      <c r="I280" s="5"/>
      <c r="J280" s="78" t="s">
        <v>14</v>
      </c>
      <c r="K280" s="78"/>
      <c r="L280" s="85"/>
      <c r="M280" s="5"/>
      <c r="N280" s="85"/>
      <c r="O280" s="22"/>
      <c r="P280" s="7" t="str">
        <f t="shared" si="3"/>
        <v>OK</v>
      </c>
      <c r="Q280" s="7"/>
      <c r="R280" s="7"/>
      <c r="S280" s="7"/>
      <c r="T280" s="7"/>
      <c r="U280" s="7"/>
      <c r="V280" s="7"/>
      <c r="W280" s="7"/>
      <c r="X280" s="7"/>
      <c r="Y280" s="7"/>
      <c r="Z280" s="7"/>
      <c r="AA280" s="7"/>
      <c r="AB280" s="7"/>
      <c r="AC280" s="7"/>
    </row>
    <row r="281" ht="15.75" customHeight="1">
      <c r="A281" s="8" t="s">
        <v>1435</v>
      </c>
      <c r="B281" s="5" t="s">
        <v>133</v>
      </c>
      <c r="C281" s="5" t="s">
        <v>15</v>
      </c>
      <c r="D281" s="5" t="s">
        <v>1436</v>
      </c>
      <c r="E281" s="5" t="s">
        <v>1437</v>
      </c>
      <c r="F281" s="5" t="s">
        <v>74</v>
      </c>
      <c r="G281" s="5"/>
      <c r="H281" s="5" t="s">
        <v>111</v>
      </c>
      <c r="I281" s="5"/>
      <c r="J281" s="78" t="s">
        <v>14</v>
      </c>
      <c r="K281" s="78"/>
      <c r="L281" s="85"/>
      <c r="M281" s="5"/>
      <c r="N281" s="85"/>
      <c r="O281" s="22"/>
      <c r="P281" s="7" t="str">
        <f t="shared" si="3"/>
        <v>OK</v>
      </c>
      <c r="Q281" s="7"/>
      <c r="R281" s="7"/>
      <c r="S281" s="7"/>
      <c r="T281" s="7"/>
      <c r="U281" s="7"/>
      <c r="V281" s="7"/>
      <c r="W281" s="7"/>
      <c r="X281" s="7"/>
      <c r="Y281" s="7"/>
      <c r="Z281" s="7"/>
      <c r="AA281" s="7"/>
      <c r="AB281" s="7"/>
      <c r="AC281" s="7"/>
    </row>
    <row r="282" ht="15.75" customHeight="1">
      <c r="A282" s="8" t="s">
        <v>1440</v>
      </c>
      <c r="B282" s="5" t="s">
        <v>133</v>
      </c>
      <c r="C282" s="5" t="s">
        <v>15</v>
      </c>
      <c r="D282" s="5" t="s">
        <v>1441</v>
      </c>
      <c r="E282" s="5" t="s">
        <v>1444</v>
      </c>
      <c r="F282" s="5" t="s">
        <v>21</v>
      </c>
      <c r="G282" s="5"/>
      <c r="H282" s="5" t="s">
        <v>52</v>
      </c>
      <c r="I282" s="5"/>
      <c r="J282" s="78" t="s">
        <v>14</v>
      </c>
      <c r="K282" s="78"/>
      <c r="L282" s="85"/>
      <c r="M282" s="5"/>
      <c r="N282" s="85"/>
      <c r="O282" s="22"/>
      <c r="P282" s="7" t="str">
        <f t="shared" si="3"/>
        <v>OK</v>
      </c>
      <c r="Q282" s="7"/>
      <c r="R282" s="7"/>
      <c r="S282" s="7"/>
      <c r="T282" s="7"/>
      <c r="U282" s="7"/>
      <c r="V282" s="7"/>
      <c r="W282" s="7"/>
      <c r="X282" s="7"/>
      <c r="Y282" s="7"/>
      <c r="Z282" s="7"/>
      <c r="AA282" s="7"/>
      <c r="AB282" s="7"/>
      <c r="AC282" s="7"/>
    </row>
    <row r="283" ht="15.75" customHeight="1">
      <c r="A283" s="8" t="s">
        <v>1445</v>
      </c>
      <c r="B283" s="5" t="s">
        <v>133</v>
      </c>
      <c r="C283" s="5" t="s">
        <v>15</v>
      </c>
      <c r="D283" s="5" t="s">
        <v>1446</v>
      </c>
      <c r="E283" s="5" t="s">
        <v>1447</v>
      </c>
      <c r="F283" s="5" t="s">
        <v>38</v>
      </c>
      <c r="G283" s="5"/>
      <c r="H283" s="5" t="s">
        <v>30</v>
      </c>
      <c r="I283" s="5"/>
      <c r="J283" s="78" t="s">
        <v>14</v>
      </c>
      <c r="K283" s="78"/>
      <c r="L283" s="85"/>
      <c r="M283" s="5"/>
      <c r="N283" s="85"/>
      <c r="O283" s="22"/>
      <c r="P283" s="7" t="str">
        <f t="shared" si="3"/>
        <v>OK</v>
      </c>
      <c r="Q283" s="7"/>
      <c r="R283" s="7"/>
      <c r="S283" s="7"/>
      <c r="T283" s="7"/>
      <c r="U283" s="7"/>
      <c r="V283" s="7"/>
      <c r="W283" s="7"/>
      <c r="X283" s="7"/>
      <c r="Y283" s="7"/>
      <c r="Z283" s="7"/>
      <c r="AA283" s="7"/>
      <c r="AB283" s="7"/>
      <c r="AC283" s="7"/>
    </row>
    <row r="284" ht="15.75" customHeight="1">
      <c r="A284" s="8" t="s">
        <v>1450</v>
      </c>
      <c r="B284" s="5" t="s">
        <v>133</v>
      </c>
      <c r="C284" s="5" t="s">
        <v>15</v>
      </c>
      <c r="D284" s="5" t="s">
        <v>1451</v>
      </c>
      <c r="E284" s="5" t="s">
        <v>1453</v>
      </c>
      <c r="F284" s="5" t="s">
        <v>20</v>
      </c>
      <c r="G284" s="5"/>
      <c r="H284" s="5" t="s">
        <v>75</v>
      </c>
      <c r="I284" s="5"/>
      <c r="J284" s="78" t="s">
        <v>14</v>
      </c>
      <c r="K284" s="78"/>
      <c r="L284" s="85"/>
      <c r="M284" s="5"/>
      <c r="N284" s="85"/>
      <c r="O284" s="22"/>
      <c r="P284" s="7" t="str">
        <f t="shared" si="3"/>
        <v>OK</v>
      </c>
      <c r="Q284" s="7"/>
      <c r="R284" s="7"/>
      <c r="S284" s="7"/>
      <c r="T284" s="7"/>
      <c r="U284" s="7"/>
      <c r="V284" s="7"/>
      <c r="W284" s="7"/>
      <c r="X284" s="7"/>
      <c r="Y284" s="7"/>
      <c r="Z284" s="7"/>
      <c r="AA284" s="7"/>
      <c r="AB284" s="7"/>
      <c r="AC284" s="7"/>
    </row>
    <row r="285" ht="15.75" customHeight="1">
      <c r="A285" s="8" t="s">
        <v>1455</v>
      </c>
      <c r="B285" s="5" t="s">
        <v>133</v>
      </c>
      <c r="C285" s="5" t="s">
        <v>15</v>
      </c>
      <c r="D285" s="5" t="s">
        <v>1456</v>
      </c>
      <c r="E285" s="5" t="s">
        <v>1459</v>
      </c>
      <c r="F285" s="5" t="s">
        <v>38</v>
      </c>
      <c r="G285" s="5"/>
      <c r="H285" s="5" t="s">
        <v>68</v>
      </c>
      <c r="I285" s="5"/>
      <c r="J285" s="78" t="s">
        <v>14</v>
      </c>
      <c r="K285" s="78"/>
      <c r="L285" s="85"/>
      <c r="M285" s="5"/>
      <c r="N285" s="85"/>
      <c r="O285" s="22"/>
      <c r="P285" s="7" t="str">
        <f t="shared" si="3"/>
        <v>OK</v>
      </c>
      <c r="Q285" s="7"/>
      <c r="R285" s="7"/>
      <c r="S285" s="7"/>
      <c r="T285" s="7"/>
      <c r="U285" s="7"/>
      <c r="V285" s="7"/>
      <c r="W285" s="7"/>
      <c r="X285" s="7"/>
      <c r="Y285" s="7"/>
      <c r="Z285" s="7"/>
      <c r="AA285" s="7"/>
      <c r="AB285" s="7"/>
      <c r="AC285" s="7"/>
    </row>
    <row r="286" ht="15.75" customHeight="1">
      <c r="A286" s="8" t="s">
        <v>1460</v>
      </c>
      <c r="B286" s="5" t="s">
        <v>133</v>
      </c>
      <c r="C286" s="5" t="s">
        <v>15</v>
      </c>
      <c r="D286" s="5" t="s">
        <v>1461</v>
      </c>
      <c r="E286" s="5" t="s">
        <v>1463</v>
      </c>
      <c r="F286" s="5" t="s">
        <v>29</v>
      </c>
      <c r="G286" s="5"/>
      <c r="H286" s="5" t="s">
        <v>39</v>
      </c>
      <c r="I286" s="5"/>
      <c r="J286" s="78" t="s">
        <v>14</v>
      </c>
      <c r="K286" s="78"/>
      <c r="L286" s="85"/>
      <c r="M286" s="5"/>
      <c r="N286" s="85"/>
      <c r="O286" s="22"/>
      <c r="P286" s="7" t="str">
        <f t="shared" si="3"/>
        <v>OK</v>
      </c>
      <c r="Q286" s="7"/>
      <c r="R286" s="7"/>
      <c r="S286" s="7"/>
      <c r="T286" s="7"/>
      <c r="U286" s="7"/>
      <c r="V286" s="7"/>
      <c r="W286" s="7"/>
      <c r="X286" s="7"/>
      <c r="Y286" s="7"/>
      <c r="Z286" s="7"/>
      <c r="AA286" s="7"/>
      <c r="AB286" s="7"/>
      <c r="AC286" s="7"/>
    </row>
    <row r="287" ht="15.75" customHeight="1">
      <c r="A287" s="8" t="s">
        <v>1465</v>
      </c>
      <c r="B287" s="5" t="s">
        <v>133</v>
      </c>
      <c r="C287" s="5" t="s">
        <v>15</v>
      </c>
      <c r="D287" s="5" t="s">
        <v>1466</v>
      </c>
      <c r="E287" s="5" t="s">
        <v>1467</v>
      </c>
      <c r="F287" s="5" t="s">
        <v>21</v>
      </c>
      <c r="G287" s="5"/>
      <c r="H287" s="5" t="s">
        <v>31</v>
      </c>
      <c r="I287" s="5"/>
      <c r="J287" s="78" t="s">
        <v>14</v>
      </c>
      <c r="K287" s="78"/>
      <c r="L287" s="85"/>
      <c r="M287" s="5"/>
      <c r="N287" s="85"/>
      <c r="O287" s="22"/>
      <c r="P287" s="7" t="str">
        <f t="shared" si="3"/>
        <v>OK</v>
      </c>
      <c r="Q287" s="7"/>
      <c r="R287" s="7"/>
      <c r="S287" s="7"/>
      <c r="T287" s="7"/>
      <c r="U287" s="7"/>
      <c r="V287" s="7"/>
      <c r="W287" s="7"/>
      <c r="X287" s="7"/>
      <c r="Y287" s="7"/>
      <c r="Z287" s="7"/>
      <c r="AA287" s="7"/>
      <c r="AB287" s="7"/>
      <c r="AC287" s="7"/>
    </row>
    <row r="288" ht="15.75" customHeight="1">
      <c r="A288" s="8" t="s">
        <v>1470</v>
      </c>
      <c r="B288" s="5" t="s">
        <v>133</v>
      </c>
      <c r="C288" s="5" t="s">
        <v>15</v>
      </c>
      <c r="D288" s="5" t="s">
        <v>1471</v>
      </c>
      <c r="E288" s="5" t="s">
        <v>1473</v>
      </c>
      <c r="F288" s="5" t="s">
        <v>38</v>
      </c>
      <c r="G288" s="5"/>
      <c r="H288" s="5" t="s">
        <v>31</v>
      </c>
      <c r="I288" s="5"/>
      <c r="J288" s="78" t="s">
        <v>14</v>
      </c>
      <c r="K288" s="78"/>
      <c r="L288" s="85"/>
      <c r="M288" s="5"/>
      <c r="N288" s="85"/>
      <c r="O288" s="22"/>
      <c r="P288" s="7" t="str">
        <f t="shared" si="3"/>
        <v>OK</v>
      </c>
      <c r="Q288" s="7"/>
      <c r="R288" s="7"/>
      <c r="S288" s="7"/>
      <c r="T288" s="7"/>
      <c r="U288" s="7"/>
      <c r="V288" s="7"/>
      <c r="W288" s="7"/>
      <c r="X288" s="7"/>
      <c r="Y288" s="7"/>
      <c r="Z288" s="7"/>
      <c r="AA288" s="7"/>
      <c r="AB288" s="7"/>
      <c r="AC288" s="7"/>
    </row>
    <row r="289" ht="15.75" customHeight="1">
      <c r="A289" s="8" t="s">
        <v>1475</v>
      </c>
      <c r="B289" s="5" t="s">
        <v>133</v>
      </c>
      <c r="C289" s="5" t="s">
        <v>15</v>
      </c>
      <c r="D289" s="5" t="s">
        <v>1476</v>
      </c>
      <c r="E289" s="5" t="s">
        <v>1477</v>
      </c>
      <c r="F289" s="5" t="s">
        <v>45</v>
      </c>
      <c r="G289" s="5"/>
      <c r="H289" s="5" t="s">
        <v>68</v>
      </c>
      <c r="I289" s="5"/>
      <c r="J289" s="78" t="s">
        <v>14</v>
      </c>
      <c r="K289" s="78"/>
      <c r="L289" s="85"/>
      <c r="M289" s="5"/>
      <c r="N289" s="85"/>
      <c r="O289" s="22"/>
      <c r="P289" s="7" t="str">
        <f t="shared" si="3"/>
        <v>OK</v>
      </c>
      <c r="Q289" s="7"/>
      <c r="R289" s="7"/>
      <c r="S289" s="7"/>
      <c r="T289" s="7"/>
      <c r="U289" s="7"/>
      <c r="V289" s="7"/>
      <c r="W289" s="7"/>
      <c r="X289" s="7"/>
      <c r="Y289" s="7"/>
      <c r="Z289" s="7"/>
      <c r="AA289" s="7"/>
      <c r="AB289" s="7"/>
      <c r="AC289" s="7"/>
    </row>
    <row r="290" ht="15.75" customHeight="1">
      <c r="A290" s="8" t="s">
        <v>1480</v>
      </c>
      <c r="B290" s="5" t="s">
        <v>133</v>
      </c>
      <c r="C290" s="5" t="s">
        <v>15</v>
      </c>
      <c r="D290" s="5" t="s">
        <v>1481</v>
      </c>
      <c r="E290" s="5" t="s">
        <v>1482</v>
      </c>
      <c r="F290" s="5" t="s">
        <v>20</v>
      </c>
      <c r="G290" s="5"/>
      <c r="H290" s="5" t="s">
        <v>75</v>
      </c>
      <c r="I290" s="5"/>
      <c r="J290" s="78" t="s">
        <v>14</v>
      </c>
      <c r="K290" s="78"/>
      <c r="L290" s="85"/>
      <c r="M290" s="5"/>
      <c r="N290" s="85"/>
      <c r="O290" s="22"/>
      <c r="P290" s="7" t="str">
        <f t="shared" si="3"/>
        <v>OK</v>
      </c>
      <c r="Q290" s="7"/>
      <c r="R290" s="7"/>
      <c r="S290" s="7"/>
      <c r="T290" s="7"/>
      <c r="U290" s="7"/>
      <c r="V290" s="7"/>
      <c r="W290" s="7"/>
      <c r="X290" s="7"/>
      <c r="Y290" s="7"/>
      <c r="Z290" s="7"/>
      <c r="AA290" s="7"/>
      <c r="AB290" s="7"/>
      <c r="AC290" s="7"/>
    </row>
    <row r="291" ht="15.75" customHeight="1">
      <c r="A291" s="8" t="s">
        <v>1485</v>
      </c>
      <c r="B291" s="5" t="s">
        <v>133</v>
      </c>
      <c r="C291" s="5" t="s">
        <v>15</v>
      </c>
      <c r="D291" s="5" t="s">
        <v>1486</v>
      </c>
      <c r="E291" s="5" t="s">
        <v>1488</v>
      </c>
      <c r="F291" s="5" t="s">
        <v>45</v>
      </c>
      <c r="G291" s="5"/>
      <c r="H291" s="5" t="s">
        <v>31</v>
      </c>
      <c r="I291" s="5"/>
      <c r="J291" s="78" t="s">
        <v>14</v>
      </c>
      <c r="K291" s="78"/>
      <c r="L291" s="85"/>
      <c r="M291" s="5"/>
      <c r="N291" s="85"/>
      <c r="O291" s="22"/>
      <c r="P291" s="7" t="str">
        <f t="shared" si="3"/>
        <v>OK</v>
      </c>
      <c r="Q291" s="7"/>
      <c r="R291" s="7"/>
      <c r="S291" s="7"/>
      <c r="T291" s="7"/>
      <c r="U291" s="7"/>
      <c r="V291" s="7"/>
      <c r="W291" s="7"/>
      <c r="X291" s="7"/>
      <c r="Y291" s="7"/>
      <c r="Z291" s="7"/>
      <c r="AA291" s="7"/>
      <c r="AB291" s="7"/>
      <c r="AC291" s="7"/>
    </row>
    <row r="292" ht="15.75" customHeight="1">
      <c r="A292" s="8" t="s">
        <v>1490</v>
      </c>
      <c r="B292" s="5" t="s">
        <v>133</v>
      </c>
      <c r="C292" s="5" t="s">
        <v>15</v>
      </c>
      <c r="D292" s="5" t="s">
        <v>1491</v>
      </c>
      <c r="E292" s="5" t="s">
        <v>1492</v>
      </c>
      <c r="F292" s="5" t="s">
        <v>74</v>
      </c>
      <c r="G292" s="5"/>
      <c r="H292" s="5" t="s">
        <v>39</v>
      </c>
      <c r="I292" s="5"/>
      <c r="J292" s="78" t="s">
        <v>14</v>
      </c>
      <c r="K292" s="78"/>
      <c r="L292" s="85"/>
      <c r="M292" s="5"/>
      <c r="N292" s="85"/>
      <c r="O292" s="22"/>
      <c r="P292" s="7" t="str">
        <f t="shared" si="3"/>
        <v>OK</v>
      </c>
      <c r="Q292" s="7"/>
      <c r="R292" s="7"/>
      <c r="S292" s="7"/>
      <c r="T292" s="7"/>
      <c r="U292" s="7"/>
      <c r="V292" s="7"/>
      <c r="W292" s="7"/>
      <c r="X292" s="7"/>
      <c r="Y292" s="7"/>
      <c r="Z292" s="7"/>
      <c r="AA292" s="7"/>
      <c r="AB292" s="7"/>
      <c r="AC292" s="7"/>
    </row>
    <row r="293" ht="15.75" customHeight="1">
      <c r="A293" s="8" t="s">
        <v>1495</v>
      </c>
      <c r="B293" s="5" t="s">
        <v>133</v>
      </c>
      <c r="C293" s="5" t="s">
        <v>15</v>
      </c>
      <c r="D293" s="5" t="s">
        <v>1496</v>
      </c>
      <c r="E293" s="5" t="s">
        <v>1497</v>
      </c>
      <c r="F293" s="5" t="s">
        <v>74</v>
      </c>
      <c r="G293" s="5"/>
      <c r="H293" s="5" t="s">
        <v>52</v>
      </c>
      <c r="I293" s="5"/>
      <c r="J293" s="78" t="s">
        <v>14</v>
      </c>
      <c r="K293" s="78"/>
      <c r="L293" s="85"/>
      <c r="M293" s="5"/>
      <c r="N293" s="85"/>
      <c r="O293" s="22"/>
      <c r="P293" s="7" t="str">
        <f t="shared" si="3"/>
        <v>OK</v>
      </c>
      <c r="Q293" s="7"/>
      <c r="R293" s="7"/>
      <c r="S293" s="7"/>
      <c r="T293" s="7"/>
      <c r="U293" s="7"/>
      <c r="V293" s="7"/>
      <c r="W293" s="7"/>
      <c r="X293" s="7"/>
      <c r="Y293" s="7"/>
      <c r="Z293" s="7"/>
      <c r="AA293" s="7"/>
      <c r="AB293" s="7"/>
      <c r="AC293" s="7"/>
    </row>
    <row r="294" ht="15.75" customHeight="1">
      <c r="A294" s="8" t="s">
        <v>1500</v>
      </c>
      <c r="B294" s="5" t="s">
        <v>133</v>
      </c>
      <c r="C294" s="5" t="s">
        <v>15</v>
      </c>
      <c r="D294" s="5" t="s">
        <v>1501</v>
      </c>
      <c r="E294" s="5" t="s">
        <v>1502</v>
      </c>
      <c r="F294" s="5" t="s">
        <v>21</v>
      </c>
      <c r="G294" s="5"/>
      <c r="H294" s="5" t="s">
        <v>75</v>
      </c>
      <c r="I294" s="5"/>
      <c r="J294" s="78" t="s">
        <v>14</v>
      </c>
      <c r="K294" s="78"/>
      <c r="L294" s="85"/>
      <c r="M294" s="5"/>
      <c r="N294" s="85"/>
      <c r="O294" s="22"/>
      <c r="P294" s="7" t="str">
        <f t="shared" si="3"/>
        <v>OK</v>
      </c>
      <c r="Q294" s="7"/>
      <c r="R294" s="7"/>
      <c r="S294" s="7"/>
      <c r="T294" s="7"/>
      <c r="U294" s="7"/>
      <c r="V294" s="7"/>
      <c r="W294" s="7"/>
      <c r="X294" s="7"/>
      <c r="Y294" s="7"/>
      <c r="Z294" s="7"/>
      <c r="AA294" s="7"/>
      <c r="AB294" s="7"/>
      <c r="AC294" s="7"/>
    </row>
    <row r="295" ht="15.75" customHeight="1">
      <c r="A295" s="8" t="s">
        <v>1505</v>
      </c>
      <c r="B295" s="5" t="s">
        <v>133</v>
      </c>
      <c r="C295" s="5" t="s">
        <v>15</v>
      </c>
      <c r="D295" s="5" t="s">
        <v>1506</v>
      </c>
      <c r="E295" s="5" t="s">
        <v>1507</v>
      </c>
      <c r="F295" s="5" t="s">
        <v>51</v>
      </c>
      <c r="G295" s="5"/>
      <c r="H295" s="5" t="s">
        <v>68</v>
      </c>
      <c r="I295" s="5"/>
      <c r="J295" s="78" t="s">
        <v>14</v>
      </c>
      <c r="K295" s="78"/>
      <c r="L295" s="85"/>
      <c r="M295" s="5"/>
      <c r="N295" s="85"/>
      <c r="O295" s="22"/>
      <c r="P295" s="7" t="str">
        <f t="shared" si="3"/>
        <v>OK</v>
      </c>
      <c r="Q295" s="7"/>
      <c r="R295" s="7"/>
      <c r="S295" s="7"/>
      <c r="T295" s="7"/>
      <c r="U295" s="7"/>
      <c r="V295" s="7"/>
      <c r="W295" s="7"/>
      <c r="X295" s="7"/>
      <c r="Y295" s="7"/>
      <c r="Z295" s="7"/>
      <c r="AA295" s="7"/>
      <c r="AB295" s="7"/>
      <c r="AC295" s="7"/>
    </row>
    <row r="296" ht="15.75" customHeight="1">
      <c r="A296" s="8" t="s">
        <v>1510</v>
      </c>
      <c r="B296" s="5" t="s">
        <v>133</v>
      </c>
      <c r="C296" s="5" t="s">
        <v>15</v>
      </c>
      <c r="D296" s="5" t="s">
        <v>1511</v>
      </c>
      <c r="E296" s="5" t="s">
        <v>1512</v>
      </c>
      <c r="F296" s="5" t="s">
        <v>74</v>
      </c>
      <c r="G296" s="5"/>
      <c r="H296" s="5" t="s">
        <v>30</v>
      </c>
      <c r="I296" s="5"/>
      <c r="J296" s="78" t="s">
        <v>14</v>
      </c>
      <c r="K296" s="78"/>
      <c r="L296" s="85"/>
      <c r="M296" s="5"/>
      <c r="N296" s="85"/>
      <c r="O296" s="22"/>
      <c r="P296" s="7" t="str">
        <f t="shared" si="3"/>
        <v>OK</v>
      </c>
      <c r="Q296" s="7"/>
      <c r="R296" s="7"/>
      <c r="S296" s="7"/>
      <c r="T296" s="7"/>
      <c r="U296" s="7"/>
      <c r="V296" s="7"/>
      <c r="W296" s="7"/>
      <c r="X296" s="7"/>
      <c r="Y296" s="7"/>
      <c r="Z296" s="7"/>
      <c r="AA296" s="7"/>
      <c r="AB296" s="7"/>
      <c r="AC296" s="7"/>
    </row>
    <row r="297" ht="15.75" customHeight="1">
      <c r="A297" s="8" t="s">
        <v>1515</v>
      </c>
      <c r="B297" s="5" t="s">
        <v>133</v>
      </c>
      <c r="C297" s="5" t="s">
        <v>15</v>
      </c>
      <c r="D297" s="5" t="s">
        <v>1516</v>
      </c>
      <c r="E297" s="5" t="s">
        <v>1519</v>
      </c>
      <c r="F297" s="5" t="s">
        <v>45</v>
      </c>
      <c r="G297" s="5"/>
      <c r="H297" s="5" t="s">
        <v>111</v>
      </c>
      <c r="I297" s="5"/>
      <c r="J297" s="78" t="s">
        <v>14</v>
      </c>
      <c r="K297" s="78"/>
      <c r="L297" s="85"/>
      <c r="M297" s="5"/>
      <c r="N297" s="85"/>
      <c r="O297" s="22"/>
      <c r="P297" s="7" t="str">
        <f t="shared" si="3"/>
        <v>OK</v>
      </c>
      <c r="Q297" s="7"/>
      <c r="R297" s="7"/>
      <c r="S297" s="7"/>
      <c r="T297" s="7"/>
      <c r="U297" s="7"/>
      <c r="V297" s="7"/>
      <c r="W297" s="7"/>
      <c r="X297" s="7"/>
      <c r="Y297" s="7"/>
      <c r="Z297" s="7"/>
      <c r="AA297" s="7"/>
      <c r="AB297" s="7"/>
      <c r="AC297" s="7"/>
    </row>
    <row r="298" ht="15.75" customHeight="1">
      <c r="A298" s="8" t="s">
        <v>1520</v>
      </c>
      <c r="B298" s="5" t="s">
        <v>133</v>
      </c>
      <c r="C298" s="5" t="s">
        <v>15</v>
      </c>
      <c r="D298" s="5" t="s">
        <v>1521</v>
      </c>
      <c r="E298" s="5" t="s">
        <v>1523</v>
      </c>
      <c r="F298" s="5" t="s">
        <v>45</v>
      </c>
      <c r="G298" s="5"/>
      <c r="H298" s="5" t="s">
        <v>111</v>
      </c>
      <c r="I298" s="5"/>
      <c r="J298" s="78" t="s">
        <v>14</v>
      </c>
      <c r="K298" s="78"/>
      <c r="L298" s="85"/>
      <c r="M298" s="5"/>
      <c r="N298" s="85"/>
      <c r="O298" s="22"/>
      <c r="P298" s="7" t="str">
        <f t="shared" si="3"/>
        <v>OK</v>
      </c>
      <c r="Q298" s="7"/>
      <c r="R298" s="7"/>
      <c r="S298" s="7"/>
      <c r="T298" s="7"/>
      <c r="U298" s="7"/>
      <c r="V298" s="7"/>
      <c r="W298" s="7"/>
      <c r="X298" s="7"/>
      <c r="Y298" s="7"/>
      <c r="Z298" s="7"/>
      <c r="AA298" s="7"/>
      <c r="AB298" s="7"/>
      <c r="AC298" s="7"/>
    </row>
    <row r="299" ht="15.75" customHeight="1">
      <c r="A299" s="8" t="s">
        <v>1525</v>
      </c>
      <c r="B299" s="5" t="s">
        <v>133</v>
      </c>
      <c r="C299" s="5" t="s">
        <v>15</v>
      </c>
      <c r="D299" s="5" t="s">
        <v>1526</v>
      </c>
      <c r="E299" s="5" t="s">
        <v>1528</v>
      </c>
      <c r="F299" s="5" t="s">
        <v>20</v>
      </c>
      <c r="G299" s="5"/>
      <c r="H299" s="5" t="s">
        <v>75</v>
      </c>
      <c r="I299" s="5"/>
      <c r="J299" s="78" t="s">
        <v>14</v>
      </c>
      <c r="K299" s="78"/>
      <c r="L299" s="85"/>
      <c r="M299" s="5"/>
      <c r="N299" s="85"/>
      <c r="O299" s="22"/>
      <c r="P299" s="7" t="str">
        <f t="shared" si="3"/>
        <v>OK</v>
      </c>
      <c r="Q299" s="7"/>
      <c r="R299" s="7"/>
      <c r="S299" s="7"/>
      <c r="T299" s="7"/>
      <c r="U299" s="7"/>
      <c r="V299" s="7"/>
      <c r="W299" s="7"/>
      <c r="X299" s="7"/>
      <c r="Y299" s="7"/>
      <c r="Z299" s="7"/>
      <c r="AA299" s="7"/>
      <c r="AB299" s="7"/>
      <c r="AC299" s="7"/>
    </row>
    <row r="300" ht="15.75" customHeight="1">
      <c r="A300" s="8" t="s">
        <v>1530</v>
      </c>
      <c r="B300" s="5" t="s">
        <v>133</v>
      </c>
      <c r="C300" s="5" t="s">
        <v>15</v>
      </c>
      <c r="D300" s="5" t="s">
        <v>1531</v>
      </c>
      <c r="E300" s="5" t="s">
        <v>1532</v>
      </c>
      <c r="F300" s="5" t="s">
        <v>38</v>
      </c>
      <c r="G300" s="5"/>
      <c r="H300" s="5" t="s">
        <v>30</v>
      </c>
      <c r="I300" s="5"/>
      <c r="J300" s="78" t="s">
        <v>14</v>
      </c>
      <c r="K300" s="78"/>
      <c r="L300" s="85"/>
      <c r="M300" s="5"/>
      <c r="N300" s="85"/>
      <c r="O300" s="22"/>
      <c r="P300" s="7" t="str">
        <f t="shared" si="3"/>
        <v>OK</v>
      </c>
      <c r="Q300" s="7"/>
      <c r="R300" s="7"/>
      <c r="S300" s="7"/>
      <c r="T300" s="7"/>
      <c r="U300" s="7"/>
      <c r="V300" s="7"/>
      <c r="W300" s="7"/>
      <c r="X300" s="7"/>
      <c r="Y300" s="7"/>
      <c r="Z300" s="7"/>
      <c r="AA300" s="7"/>
      <c r="AB300" s="7"/>
      <c r="AC300" s="7"/>
    </row>
    <row r="301" ht="15.75" customHeight="1">
      <c r="A301" s="8" t="s">
        <v>1535</v>
      </c>
      <c r="B301" s="5" t="s">
        <v>133</v>
      </c>
      <c r="C301" s="5" t="s">
        <v>15</v>
      </c>
      <c r="D301" s="5" t="s">
        <v>1536</v>
      </c>
      <c r="E301" s="5" t="s">
        <v>1537</v>
      </c>
      <c r="F301" s="5" t="s">
        <v>20</v>
      </c>
      <c r="G301" s="5"/>
      <c r="H301" s="5" t="s">
        <v>22</v>
      </c>
      <c r="I301" s="5"/>
      <c r="J301" s="78" t="s">
        <v>14</v>
      </c>
      <c r="K301" s="78"/>
      <c r="L301" s="85"/>
      <c r="M301" s="5"/>
      <c r="N301" s="85"/>
      <c r="O301" s="22"/>
      <c r="P301" s="7" t="str">
        <f t="shared" si="3"/>
        <v>OK</v>
      </c>
      <c r="Q301" s="7"/>
      <c r="R301" s="7"/>
      <c r="S301" s="7"/>
      <c r="T301" s="7"/>
      <c r="U301" s="7"/>
      <c r="V301" s="7"/>
      <c r="W301" s="7"/>
      <c r="X301" s="7"/>
      <c r="Y301" s="7"/>
      <c r="Z301" s="7"/>
      <c r="AA301" s="7"/>
      <c r="AB301" s="7"/>
      <c r="AC301" s="7"/>
    </row>
    <row r="302" ht="15.75" customHeight="1">
      <c r="A302" s="8" t="s">
        <v>1540</v>
      </c>
      <c r="B302" s="5" t="s">
        <v>133</v>
      </c>
      <c r="C302" s="5" t="s">
        <v>15</v>
      </c>
      <c r="D302" s="5" t="s">
        <v>1541</v>
      </c>
      <c r="E302" s="5" t="s">
        <v>1543</v>
      </c>
      <c r="F302" s="5" t="s">
        <v>20</v>
      </c>
      <c r="G302" s="5"/>
      <c r="H302" s="5" t="s">
        <v>30</v>
      </c>
      <c r="I302" s="5"/>
      <c r="J302" s="78" t="s">
        <v>14</v>
      </c>
      <c r="K302" s="78"/>
      <c r="L302" s="85"/>
      <c r="M302" s="5"/>
      <c r="N302" s="85"/>
      <c r="O302" s="22"/>
      <c r="P302" s="7" t="str">
        <f t="shared" si="3"/>
        <v>OK</v>
      </c>
      <c r="Q302" s="7"/>
      <c r="R302" s="7"/>
      <c r="S302" s="7"/>
      <c r="T302" s="7"/>
      <c r="U302" s="7"/>
      <c r="V302" s="7"/>
      <c r="W302" s="7"/>
      <c r="X302" s="7"/>
      <c r="Y302" s="7"/>
      <c r="Z302" s="7"/>
      <c r="AA302" s="7"/>
      <c r="AB302" s="7"/>
      <c r="AC302" s="7"/>
    </row>
    <row r="303" ht="15.75" customHeight="1">
      <c r="A303" s="8" t="s">
        <v>1545</v>
      </c>
      <c r="B303" s="5" t="s">
        <v>133</v>
      </c>
      <c r="C303" s="5" t="s">
        <v>15</v>
      </c>
      <c r="D303" s="5" t="s">
        <v>1546</v>
      </c>
      <c r="E303" s="5" t="s">
        <v>1548</v>
      </c>
      <c r="F303" s="5" t="s">
        <v>45</v>
      </c>
      <c r="G303" s="5"/>
      <c r="H303" s="5" t="s">
        <v>111</v>
      </c>
      <c r="I303" s="5"/>
      <c r="J303" s="78" t="s">
        <v>14</v>
      </c>
      <c r="K303" s="78"/>
      <c r="L303" s="85"/>
      <c r="M303" s="5"/>
      <c r="N303" s="85"/>
      <c r="O303" s="22"/>
      <c r="P303" s="7" t="str">
        <f t="shared" si="3"/>
        <v>OK</v>
      </c>
      <c r="Q303" s="7"/>
      <c r="R303" s="7"/>
      <c r="S303" s="7"/>
      <c r="T303" s="7"/>
      <c r="U303" s="7"/>
      <c r="V303" s="7"/>
      <c r="W303" s="7"/>
      <c r="X303" s="7"/>
      <c r="Y303" s="7"/>
      <c r="Z303" s="7"/>
      <c r="AA303" s="7"/>
      <c r="AB303" s="7"/>
      <c r="AC303" s="7"/>
    </row>
    <row r="304" ht="15.75" customHeight="1">
      <c r="A304" s="8" t="s">
        <v>1550</v>
      </c>
      <c r="B304" s="5" t="s">
        <v>133</v>
      </c>
      <c r="C304" s="5" t="s">
        <v>15</v>
      </c>
      <c r="D304" s="5" t="s">
        <v>1551</v>
      </c>
      <c r="E304" s="5" t="s">
        <v>1552</v>
      </c>
      <c r="F304" s="5" t="s">
        <v>20</v>
      </c>
      <c r="G304" s="5"/>
      <c r="H304" s="5" t="s">
        <v>111</v>
      </c>
      <c r="I304" s="5"/>
      <c r="J304" s="78" t="s">
        <v>14</v>
      </c>
      <c r="K304" s="78"/>
      <c r="L304" s="85"/>
      <c r="M304" s="5"/>
      <c r="N304" s="85"/>
      <c r="O304" s="22"/>
      <c r="P304" s="7" t="str">
        <f t="shared" si="3"/>
        <v>OK</v>
      </c>
      <c r="Q304" s="7"/>
      <c r="R304" s="7"/>
      <c r="S304" s="7"/>
      <c r="T304" s="7"/>
      <c r="U304" s="7"/>
      <c r="V304" s="7"/>
      <c r="W304" s="7"/>
      <c r="X304" s="7"/>
      <c r="Y304" s="7"/>
      <c r="Z304" s="7"/>
      <c r="AA304" s="7"/>
      <c r="AB304" s="7"/>
      <c r="AC304" s="7"/>
    </row>
    <row r="305" ht="15.75" customHeight="1">
      <c r="A305" s="8" t="s">
        <v>1555</v>
      </c>
      <c r="B305" s="5" t="s">
        <v>133</v>
      </c>
      <c r="C305" s="5" t="s">
        <v>15</v>
      </c>
      <c r="D305" s="5" t="s">
        <v>2645</v>
      </c>
      <c r="E305" s="5" t="s">
        <v>1557</v>
      </c>
      <c r="F305" s="5" t="s">
        <v>37</v>
      </c>
      <c r="G305" s="5"/>
      <c r="H305" s="5" t="s">
        <v>30</v>
      </c>
      <c r="I305" s="5"/>
      <c r="J305" s="78" t="s">
        <v>14</v>
      </c>
      <c r="K305" s="78"/>
      <c r="L305" s="85"/>
      <c r="M305" s="5"/>
      <c r="N305" s="85"/>
      <c r="O305" s="22"/>
      <c r="P305" s="7" t="str">
        <f t="shared" si="3"/>
        <v>OK</v>
      </c>
      <c r="Q305" s="7"/>
      <c r="R305" s="7"/>
      <c r="S305" s="7"/>
      <c r="T305" s="7"/>
      <c r="U305" s="7"/>
      <c r="V305" s="7"/>
      <c r="W305" s="7"/>
      <c r="X305" s="7"/>
      <c r="Y305" s="7"/>
      <c r="Z305" s="7"/>
      <c r="AA305" s="7"/>
      <c r="AB305" s="7"/>
      <c r="AC305" s="7"/>
    </row>
    <row r="306" ht="15.75" customHeight="1">
      <c r="A306" s="8" t="s">
        <v>1560</v>
      </c>
      <c r="B306" s="5" t="s">
        <v>133</v>
      </c>
      <c r="C306" s="5" t="s">
        <v>15</v>
      </c>
      <c r="D306" s="5" t="s">
        <v>1561</v>
      </c>
      <c r="E306" s="5" t="s">
        <v>1563</v>
      </c>
      <c r="F306" s="5" t="s">
        <v>38</v>
      </c>
      <c r="G306" s="5"/>
      <c r="H306" s="5" t="s">
        <v>75</v>
      </c>
      <c r="I306" s="5"/>
      <c r="J306" s="78" t="s">
        <v>14</v>
      </c>
      <c r="K306" s="78"/>
      <c r="L306" s="85"/>
      <c r="M306" s="5"/>
      <c r="N306" s="85"/>
      <c r="O306" s="22"/>
      <c r="P306" s="7" t="str">
        <f t="shared" si="3"/>
        <v>OK</v>
      </c>
      <c r="Q306" s="7"/>
      <c r="R306" s="7"/>
      <c r="S306" s="7"/>
      <c r="T306" s="7"/>
      <c r="U306" s="7"/>
      <c r="V306" s="7"/>
      <c r="W306" s="7"/>
      <c r="X306" s="7"/>
      <c r="Y306" s="7"/>
      <c r="Z306" s="7"/>
      <c r="AA306" s="7"/>
      <c r="AB306" s="7"/>
      <c r="AC306" s="7"/>
    </row>
    <row r="307" ht="15.75" customHeight="1">
      <c r="A307" s="8" t="s">
        <v>1565</v>
      </c>
      <c r="B307" s="5" t="s">
        <v>133</v>
      </c>
      <c r="C307" s="5" t="s">
        <v>15</v>
      </c>
      <c r="D307" s="5" t="s">
        <v>1566</v>
      </c>
      <c r="E307" s="5" t="s">
        <v>1569</v>
      </c>
      <c r="F307" s="5" t="s">
        <v>74</v>
      </c>
      <c r="G307" s="5"/>
      <c r="H307" s="5" t="s">
        <v>111</v>
      </c>
      <c r="I307" s="5"/>
      <c r="J307" s="78" t="s">
        <v>14</v>
      </c>
      <c r="K307" s="78"/>
      <c r="L307" s="85"/>
      <c r="M307" s="5"/>
      <c r="N307" s="85"/>
      <c r="O307" s="22"/>
      <c r="P307" s="7" t="str">
        <f t="shared" si="3"/>
        <v>OK</v>
      </c>
      <c r="Q307" s="7"/>
      <c r="R307" s="7"/>
      <c r="S307" s="7"/>
      <c r="T307" s="7"/>
      <c r="U307" s="7"/>
      <c r="V307" s="7"/>
      <c r="W307" s="7"/>
      <c r="X307" s="7"/>
      <c r="Y307" s="7"/>
      <c r="Z307" s="7"/>
      <c r="AA307" s="7"/>
      <c r="AB307" s="7"/>
      <c r="AC307" s="7"/>
    </row>
    <row r="308" ht="15.75" customHeight="1">
      <c r="A308" s="8" t="s">
        <v>1570</v>
      </c>
      <c r="B308" s="5" t="s">
        <v>133</v>
      </c>
      <c r="C308" s="5" t="s">
        <v>15</v>
      </c>
      <c r="D308" s="5" t="s">
        <v>1571</v>
      </c>
      <c r="E308" s="5" t="s">
        <v>1574</v>
      </c>
      <c r="F308" s="5" t="s">
        <v>29</v>
      </c>
      <c r="G308" s="5"/>
      <c r="H308" s="5" t="s">
        <v>52</v>
      </c>
      <c r="I308" s="5"/>
      <c r="J308" s="78" t="s">
        <v>14</v>
      </c>
      <c r="K308" s="78"/>
      <c r="L308" s="85"/>
      <c r="M308" s="5"/>
      <c r="N308" s="85"/>
      <c r="O308" s="22"/>
      <c r="P308" s="7" t="str">
        <f t="shared" si="3"/>
        <v>OK</v>
      </c>
      <c r="Q308" s="7"/>
      <c r="R308" s="7"/>
      <c r="S308" s="7"/>
      <c r="T308" s="7"/>
      <c r="U308" s="7"/>
      <c r="V308" s="7"/>
      <c r="W308" s="7"/>
      <c r="X308" s="7"/>
      <c r="Y308" s="7"/>
      <c r="Z308" s="7"/>
      <c r="AA308" s="7"/>
      <c r="AB308" s="7"/>
      <c r="AC308" s="7"/>
    </row>
    <row r="309" ht="15.75" customHeight="1">
      <c r="A309" s="8" t="s">
        <v>1575</v>
      </c>
      <c r="B309" s="5" t="s">
        <v>133</v>
      </c>
      <c r="C309" s="5" t="s">
        <v>15</v>
      </c>
      <c r="D309" s="5" t="s">
        <v>1576</v>
      </c>
      <c r="E309" s="5" t="s">
        <v>1577</v>
      </c>
      <c r="F309" s="5" t="s">
        <v>21</v>
      </c>
      <c r="G309" s="5"/>
      <c r="H309" s="5" t="s">
        <v>30</v>
      </c>
      <c r="I309" s="5"/>
      <c r="J309" s="78" t="s">
        <v>14</v>
      </c>
      <c r="K309" s="78"/>
      <c r="L309" s="85"/>
      <c r="M309" s="5"/>
      <c r="N309" s="85"/>
      <c r="O309" s="22"/>
      <c r="P309" s="7" t="str">
        <f t="shared" si="3"/>
        <v>OK</v>
      </c>
      <c r="Q309" s="7"/>
      <c r="R309" s="7"/>
      <c r="S309" s="7"/>
      <c r="T309" s="7"/>
      <c r="U309" s="7"/>
      <c r="V309" s="7"/>
      <c r="W309" s="7"/>
      <c r="X309" s="7"/>
      <c r="Y309" s="7"/>
      <c r="Z309" s="7"/>
      <c r="AA309" s="7"/>
      <c r="AB309" s="7"/>
      <c r="AC309" s="7"/>
    </row>
    <row r="310" ht="15.75" customHeight="1">
      <c r="A310" s="8" t="s">
        <v>1580</v>
      </c>
      <c r="B310" s="5" t="s">
        <v>133</v>
      </c>
      <c r="C310" s="5" t="s">
        <v>15</v>
      </c>
      <c r="D310" s="5" t="s">
        <v>1581</v>
      </c>
      <c r="E310" s="5" t="s">
        <v>1584</v>
      </c>
      <c r="F310" s="5" t="s">
        <v>29</v>
      </c>
      <c r="G310" s="5"/>
      <c r="H310" s="5" t="s">
        <v>23</v>
      </c>
      <c r="I310" s="5"/>
      <c r="J310" s="78" t="s">
        <v>14</v>
      </c>
      <c r="K310" s="78"/>
      <c r="L310" s="85"/>
      <c r="M310" s="5"/>
      <c r="N310" s="85"/>
      <c r="O310" s="22"/>
      <c r="P310" s="7" t="str">
        <f t="shared" si="3"/>
        <v>OK</v>
      </c>
      <c r="Q310" s="7"/>
      <c r="R310" s="7"/>
      <c r="S310" s="7"/>
      <c r="T310" s="7"/>
      <c r="U310" s="7"/>
      <c r="V310" s="7"/>
      <c r="W310" s="7"/>
      <c r="X310" s="7"/>
      <c r="Y310" s="7"/>
      <c r="Z310" s="7"/>
      <c r="AA310" s="7"/>
      <c r="AB310" s="7"/>
      <c r="AC310" s="7"/>
    </row>
    <row r="311" ht="15.75" customHeight="1">
      <c r="A311" s="8" t="s">
        <v>1585</v>
      </c>
      <c r="B311" s="5" t="s">
        <v>133</v>
      </c>
      <c r="C311" s="5" t="s">
        <v>15</v>
      </c>
      <c r="D311" s="5" t="s">
        <v>1586</v>
      </c>
      <c r="E311" s="5" t="s">
        <v>1588</v>
      </c>
      <c r="F311" s="5" t="s">
        <v>45</v>
      </c>
      <c r="G311" s="5"/>
      <c r="H311" s="5" t="s">
        <v>52</v>
      </c>
      <c r="I311" s="5"/>
      <c r="J311" s="78" t="s">
        <v>14</v>
      </c>
      <c r="K311" s="78"/>
      <c r="L311" s="85"/>
      <c r="M311" s="5"/>
      <c r="N311" s="85"/>
      <c r="O311" s="22"/>
      <c r="P311" s="7" t="str">
        <f t="shared" si="3"/>
        <v>OK</v>
      </c>
      <c r="Q311" s="7"/>
      <c r="R311" s="7"/>
      <c r="S311" s="7"/>
      <c r="T311" s="7"/>
      <c r="U311" s="7"/>
      <c r="V311" s="7"/>
      <c r="W311" s="7"/>
      <c r="X311" s="7"/>
      <c r="Y311" s="7"/>
      <c r="Z311" s="7"/>
      <c r="AA311" s="7"/>
      <c r="AB311" s="7"/>
      <c r="AC311" s="7"/>
    </row>
    <row r="312" ht="15.75" customHeight="1">
      <c r="A312" s="8" t="s">
        <v>1590</v>
      </c>
      <c r="B312" s="5" t="s">
        <v>133</v>
      </c>
      <c r="C312" s="5" t="s">
        <v>15</v>
      </c>
      <c r="D312" s="5" t="s">
        <v>1591</v>
      </c>
      <c r="E312" s="5" t="s">
        <v>1594</v>
      </c>
      <c r="F312" s="5" t="s">
        <v>38</v>
      </c>
      <c r="G312" s="5"/>
      <c r="H312" s="5" t="s">
        <v>111</v>
      </c>
      <c r="I312" s="5"/>
      <c r="J312" s="78" t="s">
        <v>14</v>
      </c>
      <c r="K312" s="78"/>
      <c r="L312" s="85"/>
      <c r="M312" s="5"/>
      <c r="N312" s="85"/>
      <c r="O312" s="22"/>
      <c r="P312" s="7" t="str">
        <f t="shared" si="3"/>
        <v>OK</v>
      </c>
      <c r="Q312" s="7"/>
      <c r="R312" s="7"/>
      <c r="S312" s="7"/>
      <c r="T312" s="7"/>
      <c r="U312" s="7"/>
      <c r="V312" s="7"/>
      <c r="W312" s="7"/>
      <c r="X312" s="7"/>
      <c r="Y312" s="7"/>
      <c r="Z312" s="7"/>
      <c r="AA312" s="7"/>
      <c r="AB312" s="7"/>
      <c r="AC312" s="7"/>
    </row>
    <row r="313" ht="15.75" customHeight="1">
      <c r="A313" s="8" t="s">
        <v>1595</v>
      </c>
      <c r="B313" s="5" t="s">
        <v>133</v>
      </c>
      <c r="C313" s="5" t="s">
        <v>15</v>
      </c>
      <c r="D313" s="5" t="s">
        <v>1596</v>
      </c>
      <c r="E313" s="5" t="s">
        <v>1598</v>
      </c>
      <c r="F313" s="5" t="s">
        <v>45</v>
      </c>
      <c r="G313" s="5"/>
      <c r="H313" s="5" t="s">
        <v>31</v>
      </c>
      <c r="I313" s="5"/>
      <c r="J313" s="78" t="s">
        <v>14</v>
      </c>
      <c r="K313" s="78"/>
      <c r="L313" s="85"/>
      <c r="M313" s="5"/>
      <c r="N313" s="85"/>
      <c r="O313" s="22"/>
      <c r="P313" s="7" t="str">
        <f t="shared" si="3"/>
        <v>OK</v>
      </c>
      <c r="Q313" s="7"/>
      <c r="R313" s="7"/>
      <c r="S313" s="7"/>
      <c r="T313" s="7"/>
      <c r="U313" s="7"/>
      <c r="V313" s="7"/>
      <c r="W313" s="7"/>
      <c r="X313" s="7"/>
      <c r="Y313" s="7"/>
      <c r="Z313" s="7"/>
      <c r="AA313" s="7"/>
      <c r="AB313" s="7"/>
      <c r="AC313" s="7"/>
    </row>
    <row r="314" ht="15.75" customHeight="1">
      <c r="A314" s="8" t="s">
        <v>1600</v>
      </c>
      <c r="B314" s="5" t="s">
        <v>133</v>
      </c>
      <c r="C314" s="5" t="s">
        <v>15</v>
      </c>
      <c r="D314" s="5" t="s">
        <v>1601</v>
      </c>
      <c r="E314" s="5" t="s">
        <v>1602</v>
      </c>
      <c r="F314" s="5" t="s">
        <v>45</v>
      </c>
      <c r="G314" s="5"/>
      <c r="H314" s="5" t="s">
        <v>68</v>
      </c>
      <c r="I314" s="5"/>
      <c r="J314" s="78" t="s">
        <v>14</v>
      </c>
      <c r="K314" s="78"/>
      <c r="L314" s="85"/>
      <c r="M314" s="5"/>
      <c r="N314" s="85"/>
      <c r="O314" s="22"/>
      <c r="P314" s="7" t="str">
        <f t="shared" si="3"/>
        <v>OK</v>
      </c>
      <c r="Q314" s="7"/>
      <c r="R314" s="7"/>
      <c r="S314" s="7"/>
      <c r="T314" s="7"/>
      <c r="U314" s="7"/>
      <c r="V314" s="7"/>
      <c r="W314" s="7"/>
      <c r="X314" s="7"/>
      <c r="Y314" s="7"/>
      <c r="Z314" s="7"/>
      <c r="AA314" s="7"/>
      <c r="AB314" s="7"/>
      <c r="AC314" s="7"/>
    </row>
    <row r="315" ht="15.75" customHeight="1">
      <c r="A315" s="8" t="s">
        <v>1605</v>
      </c>
      <c r="B315" s="5" t="s">
        <v>133</v>
      </c>
      <c r="C315" s="5" t="s">
        <v>15</v>
      </c>
      <c r="D315" s="5" t="s">
        <v>1606</v>
      </c>
      <c r="E315" s="5" t="s">
        <v>1607</v>
      </c>
      <c r="F315" s="5" t="s">
        <v>45</v>
      </c>
      <c r="G315" s="5"/>
      <c r="H315" s="5" t="s">
        <v>111</v>
      </c>
      <c r="I315" s="5"/>
      <c r="J315" s="78" t="s">
        <v>14</v>
      </c>
      <c r="K315" s="78"/>
      <c r="L315" s="85"/>
      <c r="M315" s="5"/>
      <c r="N315" s="85"/>
      <c r="O315" s="22"/>
      <c r="P315" s="7" t="str">
        <f t="shared" si="3"/>
        <v>OK</v>
      </c>
      <c r="Q315" s="7"/>
      <c r="R315" s="7"/>
      <c r="S315" s="7"/>
      <c r="T315" s="7"/>
      <c r="U315" s="7"/>
      <c r="V315" s="7"/>
      <c r="W315" s="7"/>
      <c r="X315" s="7"/>
      <c r="Y315" s="7"/>
      <c r="Z315" s="7"/>
      <c r="AA315" s="7"/>
      <c r="AB315" s="7"/>
      <c r="AC315" s="7"/>
    </row>
    <row r="316" ht="15.75" customHeight="1">
      <c r="A316" s="8" t="s">
        <v>1610</v>
      </c>
      <c r="B316" s="5" t="s">
        <v>133</v>
      </c>
      <c r="C316" s="5" t="s">
        <v>15</v>
      </c>
      <c r="D316" s="5" t="s">
        <v>2646</v>
      </c>
      <c r="E316" s="5" t="s">
        <v>1612</v>
      </c>
      <c r="F316" s="5" t="s">
        <v>21</v>
      </c>
      <c r="G316" s="5"/>
      <c r="H316" s="5" t="s">
        <v>68</v>
      </c>
      <c r="I316" s="5"/>
      <c r="J316" s="78" t="s">
        <v>14</v>
      </c>
      <c r="K316" s="78"/>
      <c r="L316" s="85"/>
      <c r="M316" s="5"/>
      <c r="N316" s="85"/>
      <c r="O316" s="22"/>
      <c r="P316" s="7" t="str">
        <f t="shared" si="3"/>
        <v>OK</v>
      </c>
      <c r="Q316" s="7"/>
      <c r="R316" s="7"/>
      <c r="S316" s="7"/>
      <c r="T316" s="7"/>
      <c r="U316" s="7"/>
      <c r="V316" s="7"/>
      <c r="W316" s="7"/>
      <c r="X316" s="7"/>
      <c r="Y316" s="7"/>
      <c r="Z316" s="7"/>
      <c r="AA316" s="7"/>
      <c r="AB316" s="7"/>
      <c r="AC316" s="7"/>
    </row>
    <row r="317" ht="15.75" customHeight="1">
      <c r="A317" s="8" t="s">
        <v>1615</v>
      </c>
      <c r="B317" s="5" t="s">
        <v>133</v>
      </c>
      <c r="C317" s="5" t="s">
        <v>15</v>
      </c>
      <c r="D317" s="5" t="s">
        <v>1616</v>
      </c>
      <c r="E317" s="5" t="s">
        <v>1619</v>
      </c>
      <c r="F317" s="5" t="s">
        <v>38</v>
      </c>
      <c r="G317" s="5"/>
      <c r="H317" s="5" t="s">
        <v>39</v>
      </c>
      <c r="I317" s="5"/>
      <c r="J317" s="78" t="s">
        <v>14</v>
      </c>
      <c r="K317" s="78"/>
      <c r="L317" s="85"/>
      <c r="M317" s="5"/>
      <c r="N317" s="85"/>
      <c r="O317" s="22"/>
      <c r="P317" s="7" t="str">
        <f t="shared" si="3"/>
        <v>OK</v>
      </c>
      <c r="Q317" s="7"/>
      <c r="R317" s="7"/>
      <c r="S317" s="7"/>
      <c r="T317" s="7"/>
      <c r="U317" s="7"/>
      <c r="V317" s="7"/>
      <c r="W317" s="7"/>
      <c r="X317" s="7"/>
      <c r="Y317" s="7"/>
      <c r="Z317" s="7"/>
      <c r="AA317" s="7"/>
      <c r="AB317" s="7"/>
      <c r="AC317" s="7"/>
    </row>
    <row r="318" ht="21.0" customHeight="1">
      <c r="A318" s="8" t="s">
        <v>1620</v>
      </c>
      <c r="B318" s="5" t="s">
        <v>133</v>
      </c>
      <c r="C318" s="5" t="s">
        <v>15</v>
      </c>
      <c r="D318" s="5" t="s">
        <v>1621</v>
      </c>
      <c r="E318" s="5" t="s">
        <v>1623</v>
      </c>
      <c r="F318" s="5" t="s">
        <v>74</v>
      </c>
      <c r="G318" s="5"/>
      <c r="H318" s="5" t="s">
        <v>111</v>
      </c>
      <c r="I318" s="5"/>
      <c r="J318" s="78" t="s">
        <v>133</v>
      </c>
      <c r="K318" s="78"/>
      <c r="L318" s="85"/>
      <c r="M318" s="5"/>
      <c r="N318" s="85"/>
      <c r="O318" s="22"/>
      <c r="P318" s="7" t="str">
        <f t="shared" si="3"/>
        <v>OK</v>
      </c>
      <c r="Q318" s="7"/>
      <c r="R318" s="7"/>
      <c r="S318" s="7"/>
      <c r="T318" s="7"/>
      <c r="U318" s="7"/>
      <c r="V318" s="7"/>
      <c r="W318" s="7"/>
      <c r="X318" s="7"/>
      <c r="Y318" s="7"/>
      <c r="Z318" s="7"/>
      <c r="AA318" s="7"/>
      <c r="AB318" s="7"/>
      <c r="AC318" s="7"/>
    </row>
    <row r="319" ht="27.0" hidden="1" customHeight="1">
      <c r="A319" s="90" t="s">
        <v>1625</v>
      </c>
      <c r="B319" s="91" t="s">
        <v>14</v>
      </c>
      <c r="C319" s="92" t="s">
        <v>15</v>
      </c>
      <c r="D319" s="92" t="s">
        <v>1626</v>
      </c>
      <c r="E319" s="93"/>
      <c r="F319" s="92" t="s">
        <v>21</v>
      </c>
      <c r="G319" s="92"/>
      <c r="H319" s="92" t="s">
        <v>23</v>
      </c>
      <c r="I319" s="21"/>
      <c r="J319" s="78" t="s">
        <v>133</v>
      </c>
      <c r="K319" s="78"/>
      <c r="L319" s="21"/>
      <c r="M319" s="92"/>
      <c r="N319" s="21"/>
      <c r="O319" s="22"/>
      <c r="P319" s="92" t="str">
        <f t="shared" si="3"/>
        <v>OK</v>
      </c>
      <c r="Q319" s="93"/>
      <c r="R319" s="93"/>
      <c r="S319" s="93"/>
      <c r="T319" s="93"/>
      <c r="U319" s="93"/>
      <c r="V319" s="93"/>
      <c r="W319" s="93"/>
      <c r="X319" s="93"/>
      <c r="Y319" s="93"/>
      <c r="Z319" s="93"/>
      <c r="AA319" s="93"/>
      <c r="AB319" s="93"/>
      <c r="AC319" s="93"/>
    </row>
    <row r="320" ht="15.75" hidden="1" customHeight="1">
      <c r="A320" s="8" t="s">
        <v>1630</v>
      </c>
      <c r="B320" s="5" t="s">
        <v>14</v>
      </c>
      <c r="C320" s="5" t="s">
        <v>15</v>
      </c>
      <c r="D320" s="8" t="s">
        <v>1631</v>
      </c>
      <c r="E320" s="7"/>
      <c r="F320" s="5" t="s">
        <v>38</v>
      </c>
      <c r="G320" s="5"/>
      <c r="H320" s="5" t="s">
        <v>30</v>
      </c>
      <c r="I320" s="5"/>
      <c r="J320" s="78" t="s">
        <v>133</v>
      </c>
      <c r="K320" s="78"/>
      <c r="L320" s="85"/>
      <c r="M320" s="5"/>
      <c r="N320" s="85"/>
      <c r="O320" s="22"/>
      <c r="P320" s="7" t="str">
        <f t="shared" si="3"/>
        <v>OK</v>
      </c>
      <c r="Q320" s="7"/>
      <c r="R320" s="7"/>
      <c r="S320" s="7"/>
      <c r="T320" s="7"/>
      <c r="U320" s="7"/>
      <c r="V320" s="7"/>
      <c r="W320" s="7"/>
      <c r="X320" s="7"/>
      <c r="Y320" s="7"/>
      <c r="Z320" s="7"/>
      <c r="AA320" s="7"/>
      <c r="AB320" s="7"/>
      <c r="AC320" s="7"/>
    </row>
    <row r="321" ht="15.75" hidden="1" customHeight="1">
      <c r="A321" s="11" t="s">
        <v>1635</v>
      </c>
      <c r="B321" s="5" t="s">
        <v>14</v>
      </c>
      <c r="C321" s="5" t="s">
        <v>15</v>
      </c>
      <c r="D321" s="8" t="s">
        <v>1636</v>
      </c>
      <c r="E321" s="7"/>
      <c r="F321" s="5" t="s">
        <v>38</v>
      </c>
      <c r="G321" s="5"/>
      <c r="H321" s="5" t="s">
        <v>39</v>
      </c>
      <c r="I321" s="5"/>
      <c r="J321" s="78" t="s">
        <v>133</v>
      </c>
      <c r="K321" s="78"/>
      <c r="L321" s="85"/>
      <c r="M321" s="5"/>
      <c r="N321" s="85"/>
      <c r="O321" s="86"/>
      <c r="P321" s="7" t="str">
        <f t="shared" si="3"/>
        <v>OK</v>
      </c>
      <c r="Q321" s="7"/>
      <c r="R321" s="7"/>
      <c r="S321" s="7"/>
      <c r="T321" s="7"/>
      <c r="U321" s="7"/>
      <c r="V321" s="7"/>
      <c r="W321" s="7"/>
      <c r="X321" s="7"/>
      <c r="Y321" s="7"/>
      <c r="Z321" s="7"/>
      <c r="AA321" s="7"/>
      <c r="AB321" s="7"/>
      <c r="AC321" s="7"/>
    </row>
    <row r="322" ht="15.75" hidden="1" customHeight="1">
      <c r="A322" s="11" t="s">
        <v>1640</v>
      </c>
      <c r="B322" s="5" t="s">
        <v>14</v>
      </c>
      <c r="C322" s="5" t="s">
        <v>15</v>
      </c>
      <c r="D322" s="8" t="s">
        <v>1641</v>
      </c>
      <c r="E322" s="7"/>
      <c r="F322" s="5" t="s">
        <v>37</v>
      </c>
      <c r="G322" s="5"/>
      <c r="H322" s="5" t="s">
        <v>22</v>
      </c>
      <c r="I322" s="5"/>
      <c r="J322" s="78" t="s">
        <v>133</v>
      </c>
      <c r="K322" s="78"/>
      <c r="L322" s="85"/>
      <c r="M322" s="5"/>
      <c r="N322" s="85"/>
      <c r="O322" s="22"/>
      <c r="P322" s="7" t="str">
        <f t="shared" si="3"/>
        <v>OK</v>
      </c>
      <c r="Q322" s="7"/>
      <c r="R322" s="7"/>
      <c r="S322" s="7"/>
      <c r="T322" s="7"/>
      <c r="U322" s="7"/>
      <c r="V322" s="7"/>
      <c r="W322" s="7"/>
      <c r="X322" s="7"/>
      <c r="Y322" s="7"/>
      <c r="Z322" s="7"/>
      <c r="AA322" s="7"/>
      <c r="AB322" s="7"/>
      <c r="AC322" s="7"/>
    </row>
    <row r="323" ht="15.75" hidden="1" customHeight="1">
      <c r="A323" s="11" t="s">
        <v>1645</v>
      </c>
      <c r="B323" s="5" t="s">
        <v>14</v>
      </c>
      <c r="C323" s="5" t="s">
        <v>15</v>
      </c>
      <c r="D323" s="8" t="s">
        <v>1646</v>
      </c>
      <c r="E323" s="7"/>
      <c r="F323" s="5" t="s">
        <v>74</v>
      </c>
      <c r="G323" s="5"/>
      <c r="H323" s="5" t="s">
        <v>68</v>
      </c>
      <c r="I323" s="5"/>
      <c r="J323" s="78" t="s">
        <v>133</v>
      </c>
      <c r="K323" s="78"/>
      <c r="L323" s="85"/>
      <c r="M323" s="5"/>
      <c r="N323" s="85"/>
      <c r="O323" s="22"/>
      <c r="P323" s="7" t="str">
        <f t="shared" si="3"/>
        <v>OK</v>
      </c>
      <c r="Q323" s="7"/>
      <c r="R323" s="7"/>
      <c r="S323" s="7"/>
      <c r="T323" s="7"/>
      <c r="U323" s="7"/>
      <c r="V323" s="7"/>
      <c r="W323" s="7"/>
      <c r="X323" s="7"/>
      <c r="Y323" s="7"/>
      <c r="Z323" s="7"/>
      <c r="AA323" s="7"/>
      <c r="AB323" s="7"/>
      <c r="AC323" s="7"/>
    </row>
    <row r="324" ht="15.75" hidden="1" customHeight="1">
      <c r="A324" s="11" t="s">
        <v>1650</v>
      </c>
      <c r="B324" s="5" t="s">
        <v>14</v>
      </c>
      <c r="C324" s="5" t="s">
        <v>15</v>
      </c>
      <c r="D324" s="8" t="s">
        <v>1651</v>
      </c>
      <c r="E324" s="7"/>
      <c r="F324" s="5" t="s">
        <v>21</v>
      </c>
      <c r="G324" s="5"/>
      <c r="H324" s="5" t="s">
        <v>23</v>
      </c>
      <c r="I324" s="5"/>
      <c r="J324" s="78" t="s">
        <v>133</v>
      </c>
      <c r="K324" s="78"/>
      <c r="L324" s="85"/>
      <c r="M324" s="5"/>
      <c r="N324" s="85"/>
      <c r="O324" s="22"/>
      <c r="P324" s="7" t="str">
        <f t="shared" si="3"/>
        <v>OK</v>
      </c>
      <c r="Q324" s="7"/>
      <c r="R324" s="7"/>
      <c r="S324" s="7"/>
      <c r="T324" s="7"/>
      <c r="U324" s="7"/>
      <c r="V324" s="7"/>
      <c r="W324" s="7"/>
      <c r="X324" s="7"/>
      <c r="Y324" s="7"/>
      <c r="Z324" s="7"/>
      <c r="AA324" s="7"/>
      <c r="AB324" s="7"/>
      <c r="AC324" s="7"/>
    </row>
    <row r="325" ht="15.75" hidden="1" customHeight="1">
      <c r="A325" s="11" t="s">
        <v>1655</v>
      </c>
      <c r="B325" s="5" t="s">
        <v>14</v>
      </c>
      <c r="C325" s="5" t="s">
        <v>15</v>
      </c>
      <c r="D325" s="8" t="s">
        <v>1656</v>
      </c>
      <c r="E325" s="7"/>
      <c r="F325" s="5" t="s">
        <v>51</v>
      </c>
      <c r="G325" s="5"/>
      <c r="H325" s="5" t="s">
        <v>30</v>
      </c>
      <c r="I325" s="5"/>
      <c r="J325" s="78" t="s">
        <v>133</v>
      </c>
      <c r="K325" s="78"/>
      <c r="L325" s="85"/>
      <c r="M325" s="5"/>
      <c r="N325" s="85"/>
      <c r="O325" s="22"/>
      <c r="P325" s="7" t="str">
        <f t="shared" si="3"/>
        <v>OK</v>
      </c>
      <c r="Q325" s="7"/>
      <c r="R325" s="7"/>
      <c r="S325" s="7"/>
      <c r="T325" s="7"/>
      <c r="U325" s="7"/>
      <c r="V325" s="7"/>
      <c r="W325" s="7"/>
      <c r="X325" s="7"/>
      <c r="Y325" s="7"/>
      <c r="Z325" s="7"/>
      <c r="AA325" s="7"/>
      <c r="AB325" s="7"/>
      <c r="AC325" s="7"/>
    </row>
    <row r="326" ht="15.75" hidden="1" customHeight="1">
      <c r="A326" s="11" t="s">
        <v>1660</v>
      </c>
      <c r="B326" s="5" t="s">
        <v>14</v>
      </c>
      <c r="C326" s="5" t="s">
        <v>15</v>
      </c>
      <c r="D326" s="8" t="s">
        <v>1661</v>
      </c>
      <c r="E326" s="7"/>
      <c r="F326" s="5" t="s">
        <v>51</v>
      </c>
      <c r="G326" s="5"/>
      <c r="H326" s="5" t="s">
        <v>39</v>
      </c>
      <c r="I326" s="5"/>
      <c r="J326" s="78" t="s">
        <v>133</v>
      </c>
      <c r="K326" s="78"/>
      <c r="L326" s="85"/>
      <c r="M326" s="5"/>
      <c r="N326" s="85"/>
      <c r="O326" s="22"/>
      <c r="P326" s="7" t="str">
        <f t="shared" si="3"/>
        <v>OK</v>
      </c>
      <c r="Q326" s="7"/>
      <c r="R326" s="7"/>
      <c r="S326" s="7"/>
      <c r="T326" s="7"/>
      <c r="U326" s="7"/>
      <c r="V326" s="7"/>
      <c r="W326" s="7"/>
      <c r="X326" s="7"/>
      <c r="Y326" s="7"/>
      <c r="Z326" s="7"/>
      <c r="AA326" s="7"/>
      <c r="AB326" s="7"/>
      <c r="AC326" s="7"/>
    </row>
    <row r="327" ht="15.75" hidden="1" customHeight="1">
      <c r="A327" s="11" t="s">
        <v>1665</v>
      </c>
      <c r="B327" s="5" t="s">
        <v>14</v>
      </c>
      <c r="C327" s="5" t="s">
        <v>15</v>
      </c>
      <c r="D327" s="8" t="s">
        <v>1666</v>
      </c>
      <c r="E327" s="7"/>
      <c r="F327" s="5" t="s">
        <v>21</v>
      </c>
      <c r="G327" s="5"/>
      <c r="H327" s="5" t="s">
        <v>75</v>
      </c>
      <c r="I327" s="5"/>
      <c r="J327" s="78" t="s">
        <v>133</v>
      </c>
      <c r="K327" s="78"/>
      <c r="L327" s="85"/>
      <c r="M327" s="5"/>
      <c r="N327" s="85"/>
      <c r="O327" s="22"/>
      <c r="P327" s="7" t="str">
        <f t="shared" si="3"/>
        <v>OK</v>
      </c>
      <c r="Q327" s="7"/>
      <c r="R327" s="7"/>
      <c r="S327" s="7"/>
      <c r="T327" s="7"/>
      <c r="U327" s="7"/>
      <c r="V327" s="7"/>
      <c r="W327" s="7"/>
      <c r="X327" s="7"/>
      <c r="Y327" s="7"/>
      <c r="Z327" s="7"/>
      <c r="AA327" s="7"/>
      <c r="AB327" s="7"/>
      <c r="AC327" s="7"/>
    </row>
    <row r="328" ht="15.75" hidden="1" customHeight="1">
      <c r="A328" s="11" t="s">
        <v>1670</v>
      </c>
      <c r="B328" s="5" t="s">
        <v>14</v>
      </c>
      <c r="C328" s="5" t="s">
        <v>15</v>
      </c>
      <c r="D328" s="8" t="s">
        <v>1671</v>
      </c>
      <c r="E328" s="7"/>
      <c r="F328" s="5" t="s">
        <v>51</v>
      </c>
      <c r="G328" s="5"/>
      <c r="H328" s="5" t="s">
        <v>31</v>
      </c>
      <c r="I328" s="5"/>
      <c r="J328" s="78" t="s">
        <v>133</v>
      </c>
      <c r="K328" s="78"/>
      <c r="L328" s="85"/>
      <c r="M328" s="5"/>
      <c r="N328" s="85"/>
      <c r="O328" s="22"/>
      <c r="P328" s="7" t="str">
        <f t="shared" si="3"/>
        <v>OK</v>
      </c>
      <c r="Q328" s="7"/>
      <c r="R328" s="7"/>
      <c r="S328" s="7"/>
      <c r="T328" s="7"/>
      <c r="U328" s="7"/>
      <c r="V328" s="7"/>
      <c r="W328" s="7"/>
      <c r="X328" s="7"/>
      <c r="Y328" s="7"/>
      <c r="Z328" s="7"/>
      <c r="AA328" s="7"/>
      <c r="AB328" s="7"/>
      <c r="AC328" s="7"/>
    </row>
    <row r="329" ht="15.75" hidden="1" customHeight="1">
      <c r="A329" s="11" t="s">
        <v>1675</v>
      </c>
      <c r="B329" s="5" t="s">
        <v>14</v>
      </c>
      <c r="C329" s="5" t="s">
        <v>15</v>
      </c>
      <c r="D329" s="8" t="s">
        <v>1676</v>
      </c>
      <c r="E329" s="7"/>
      <c r="F329" s="5" t="s">
        <v>21</v>
      </c>
      <c r="G329" s="5"/>
      <c r="H329" s="5" t="s">
        <v>111</v>
      </c>
      <c r="I329" s="5"/>
      <c r="J329" s="78" t="s">
        <v>133</v>
      </c>
      <c r="K329" s="78"/>
      <c r="L329" s="85"/>
      <c r="M329" s="5"/>
      <c r="N329" s="85"/>
      <c r="O329" s="22"/>
      <c r="P329" s="7" t="str">
        <f t="shared" si="3"/>
        <v>OK</v>
      </c>
      <c r="Q329" s="7"/>
      <c r="R329" s="7"/>
      <c r="S329" s="7"/>
      <c r="T329" s="7"/>
      <c r="U329" s="7"/>
      <c r="V329" s="7"/>
      <c r="W329" s="7"/>
      <c r="X329" s="7"/>
      <c r="Y329" s="7"/>
      <c r="Z329" s="7"/>
      <c r="AA329" s="7"/>
      <c r="AB329" s="7"/>
      <c r="AC329" s="7"/>
    </row>
    <row r="330" ht="15.75" hidden="1" customHeight="1">
      <c r="A330" s="11" t="s">
        <v>1680</v>
      </c>
      <c r="B330" s="5" t="s">
        <v>14</v>
      </c>
      <c r="C330" s="5" t="s">
        <v>15</v>
      </c>
      <c r="D330" s="8" t="s">
        <v>1681</v>
      </c>
      <c r="E330" s="7"/>
      <c r="F330" s="5" t="s">
        <v>38</v>
      </c>
      <c r="G330" s="5"/>
      <c r="H330" s="5" t="s">
        <v>31</v>
      </c>
      <c r="I330" s="5"/>
      <c r="J330" s="78" t="s">
        <v>133</v>
      </c>
      <c r="K330" s="78"/>
      <c r="L330" s="85"/>
      <c r="M330" s="5"/>
      <c r="N330" s="85"/>
      <c r="O330" s="22"/>
      <c r="P330" s="7" t="str">
        <f t="shared" si="3"/>
        <v>OK</v>
      </c>
      <c r="Q330" s="7"/>
      <c r="R330" s="7"/>
      <c r="S330" s="7"/>
      <c r="T330" s="7"/>
      <c r="U330" s="7"/>
      <c r="V330" s="7"/>
      <c r="W330" s="7"/>
      <c r="X330" s="7"/>
      <c r="Y330" s="7"/>
      <c r="Z330" s="7"/>
      <c r="AA330" s="7"/>
      <c r="AB330" s="7"/>
      <c r="AC330" s="7"/>
    </row>
    <row r="331" ht="15.75" hidden="1" customHeight="1">
      <c r="A331" s="11" t="s">
        <v>1685</v>
      </c>
      <c r="B331" s="5" t="s">
        <v>14</v>
      </c>
      <c r="C331" s="5" t="s">
        <v>15</v>
      </c>
      <c r="D331" s="8" t="s">
        <v>1686</v>
      </c>
      <c r="E331" s="7"/>
      <c r="F331" s="5" t="s">
        <v>21</v>
      </c>
      <c r="G331" s="5"/>
      <c r="H331" s="5" t="s">
        <v>22</v>
      </c>
      <c r="I331" s="5"/>
      <c r="J331" s="78" t="s">
        <v>133</v>
      </c>
      <c r="K331" s="78"/>
      <c r="L331" s="85"/>
      <c r="M331" s="5"/>
      <c r="N331" s="85"/>
      <c r="O331" s="22"/>
      <c r="P331" s="7" t="str">
        <f t="shared" si="3"/>
        <v>OK</v>
      </c>
      <c r="Q331" s="7"/>
      <c r="R331" s="7"/>
      <c r="S331" s="7"/>
      <c r="T331" s="7"/>
      <c r="U331" s="7"/>
      <c r="V331" s="7"/>
      <c r="W331" s="7"/>
      <c r="X331" s="7"/>
      <c r="Y331" s="7"/>
      <c r="Z331" s="7"/>
      <c r="AA331" s="7"/>
      <c r="AB331" s="7"/>
      <c r="AC331" s="7"/>
    </row>
    <row r="332" ht="15.75" hidden="1" customHeight="1">
      <c r="A332" s="23" t="s">
        <v>1690</v>
      </c>
      <c r="B332" s="13" t="s">
        <v>14</v>
      </c>
      <c r="C332" s="13" t="s">
        <v>15</v>
      </c>
      <c r="D332" s="4" t="s">
        <v>1691</v>
      </c>
      <c r="E332" s="15"/>
      <c r="F332" s="13" t="s">
        <v>20</v>
      </c>
      <c r="G332" s="13"/>
      <c r="H332" s="13" t="s">
        <v>22</v>
      </c>
      <c r="I332" s="13"/>
      <c r="J332" s="78" t="s">
        <v>133</v>
      </c>
      <c r="K332" s="78"/>
      <c r="L332" s="88"/>
      <c r="M332" s="13"/>
      <c r="N332" s="88"/>
      <c r="O332" s="94"/>
      <c r="P332" s="15" t="str">
        <f t="shared" si="3"/>
        <v>OK</v>
      </c>
      <c r="Q332" s="15"/>
      <c r="R332" s="15"/>
      <c r="S332" s="15"/>
      <c r="T332" s="15"/>
      <c r="U332" s="15"/>
      <c r="V332" s="15"/>
      <c r="W332" s="15"/>
      <c r="X332" s="15"/>
      <c r="Y332" s="15"/>
      <c r="Z332" s="15"/>
      <c r="AA332" s="15"/>
      <c r="AB332" s="15"/>
      <c r="AC332" s="15"/>
    </row>
    <row r="333" ht="15.75" hidden="1" customHeight="1">
      <c r="A333" s="11" t="s">
        <v>1695</v>
      </c>
      <c r="B333" s="5" t="s">
        <v>14</v>
      </c>
      <c r="C333" s="5" t="s">
        <v>15</v>
      </c>
      <c r="D333" s="8" t="s">
        <v>1696</v>
      </c>
      <c r="E333" s="7"/>
      <c r="F333" s="5" t="s">
        <v>51</v>
      </c>
      <c r="G333" s="5"/>
      <c r="H333" s="5" t="s">
        <v>22</v>
      </c>
      <c r="I333" s="5"/>
      <c r="J333" s="78" t="s">
        <v>133</v>
      </c>
      <c r="K333" s="78"/>
      <c r="L333" s="85"/>
      <c r="M333" s="5"/>
      <c r="N333" s="85"/>
      <c r="O333" s="22"/>
      <c r="P333" s="7" t="str">
        <f t="shared" si="3"/>
        <v>OK</v>
      </c>
      <c r="Q333" s="7"/>
      <c r="R333" s="7"/>
      <c r="S333" s="7"/>
      <c r="T333" s="7"/>
      <c r="U333" s="7"/>
      <c r="V333" s="7"/>
      <c r="W333" s="7"/>
      <c r="X333" s="7"/>
      <c r="Y333" s="7"/>
      <c r="Z333" s="7"/>
      <c r="AA333" s="7"/>
      <c r="AB333" s="7"/>
      <c r="AC333" s="7"/>
    </row>
    <row r="334" ht="15.75" hidden="1" customHeight="1">
      <c r="A334" s="23" t="s">
        <v>2647</v>
      </c>
      <c r="B334" s="13" t="s">
        <v>14</v>
      </c>
      <c r="C334" s="13" t="s">
        <v>15</v>
      </c>
      <c r="D334" s="4" t="s">
        <v>1701</v>
      </c>
      <c r="E334" s="15"/>
      <c r="F334" s="13" t="s">
        <v>74</v>
      </c>
      <c r="G334" s="13"/>
      <c r="H334" s="13" t="s">
        <v>52</v>
      </c>
      <c r="I334" s="13"/>
      <c r="J334" s="78" t="s">
        <v>133</v>
      </c>
      <c r="K334" s="78"/>
      <c r="L334" s="88"/>
      <c r="M334" s="13"/>
      <c r="N334" s="88"/>
      <c r="O334" s="94"/>
      <c r="P334" s="15" t="str">
        <f t="shared" si="3"/>
        <v>OK</v>
      </c>
      <c r="Q334" s="15"/>
      <c r="R334" s="15"/>
      <c r="S334" s="15"/>
      <c r="T334" s="15"/>
      <c r="U334" s="15"/>
      <c r="V334" s="15"/>
      <c r="W334" s="15"/>
      <c r="X334" s="15"/>
      <c r="Y334" s="15"/>
      <c r="Z334" s="15"/>
      <c r="AA334" s="15"/>
      <c r="AB334" s="15"/>
      <c r="AC334" s="15"/>
    </row>
    <row r="335" ht="15.75" hidden="1" customHeight="1">
      <c r="A335" s="11" t="s">
        <v>1705</v>
      </c>
      <c r="B335" s="5" t="s">
        <v>14</v>
      </c>
      <c r="C335" s="5" t="s">
        <v>15</v>
      </c>
      <c r="D335" s="8" t="s">
        <v>1706</v>
      </c>
      <c r="E335" s="7"/>
      <c r="F335" s="5" t="s">
        <v>38</v>
      </c>
      <c r="G335" s="5"/>
      <c r="H335" s="5" t="s">
        <v>39</v>
      </c>
      <c r="I335" s="5"/>
      <c r="J335" s="78" t="s">
        <v>133</v>
      </c>
      <c r="K335" s="78"/>
      <c r="L335" s="85"/>
      <c r="M335" s="5"/>
      <c r="N335" s="85"/>
      <c r="O335" s="22"/>
      <c r="P335" s="7" t="str">
        <f t="shared" si="3"/>
        <v>OK</v>
      </c>
      <c r="Q335" s="7"/>
      <c r="R335" s="7"/>
      <c r="S335" s="7"/>
      <c r="T335" s="7"/>
      <c r="U335" s="7"/>
      <c r="V335" s="7"/>
      <c r="W335" s="7"/>
      <c r="X335" s="7"/>
      <c r="Y335" s="7"/>
      <c r="Z335" s="7"/>
      <c r="AA335" s="7"/>
      <c r="AB335" s="7"/>
      <c r="AC335" s="7"/>
    </row>
    <row r="336" ht="15.75" hidden="1" customHeight="1">
      <c r="A336" s="11" t="s">
        <v>1710</v>
      </c>
      <c r="B336" s="5" t="s">
        <v>14</v>
      </c>
      <c r="C336" s="5" t="s">
        <v>15</v>
      </c>
      <c r="D336" s="8" t="s">
        <v>1711</v>
      </c>
      <c r="E336" s="7"/>
      <c r="F336" s="5" t="s">
        <v>51</v>
      </c>
      <c r="G336" s="5"/>
      <c r="H336" s="5" t="s">
        <v>23</v>
      </c>
      <c r="I336" s="5"/>
      <c r="J336" s="78" t="s">
        <v>133</v>
      </c>
      <c r="K336" s="78"/>
      <c r="L336" s="85"/>
      <c r="M336" s="5"/>
      <c r="N336" s="85"/>
      <c r="O336" s="22"/>
      <c r="P336" s="7" t="str">
        <f t="shared" si="3"/>
        <v>OK</v>
      </c>
      <c r="Q336" s="7"/>
      <c r="R336" s="7"/>
      <c r="S336" s="7"/>
      <c r="T336" s="7"/>
      <c r="U336" s="7"/>
      <c r="V336" s="7"/>
      <c r="W336" s="7"/>
      <c r="X336" s="7"/>
      <c r="Y336" s="7"/>
      <c r="Z336" s="7"/>
      <c r="AA336" s="7"/>
      <c r="AB336" s="7"/>
      <c r="AC336" s="7"/>
    </row>
    <row r="337" ht="15.75" hidden="1" customHeight="1">
      <c r="A337" s="11" t="s">
        <v>1715</v>
      </c>
      <c r="B337" s="5" t="s">
        <v>14</v>
      </c>
      <c r="C337" s="5" t="s">
        <v>15</v>
      </c>
      <c r="D337" s="8" t="s">
        <v>1716</v>
      </c>
      <c r="E337" s="7"/>
      <c r="F337" s="5" t="s">
        <v>51</v>
      </c>
      <c r="G337" s="5"/>
      <c r="H337" s="5" t="s">
        <v>39</v>
      </c>
      <c r="I337" s="5"/>
      <c r="J337" s="78" t="s">
        <v>133</v>
      </c>
      <c r="K337" s="78"/>
      <c r="L337" s="85"/>
      <c r="M337" s="5"/>
      <c r="N337" s="85"/>
      <c r="O337" s="22"/>
      <c r="P337" s="7" t="str">
        <f t="shared" si="3"/>
        <v>OK</v>
      </c>
      <c r="Q337" s="7"/>
      <c r="R337" s="7"/>
      <c r="S337" s="7"/>
      <c r="T337" s="7"/>
      <c r="U337" s="7"/>
      <c r="V337" s="7"/>
      <c r="W337" s="7"/>
      <c r="X337" s="7"/>
      <c r="Y337" s="7"/>
      <c r="Z337" s="7"/>
      <c r="AA337" s="7"/>
      <c r="AB337" s="7"/>
      <c r="AC337" s="7"/>
    </row>
    <row r="338" ht="15.75" hidden="1" customHeight="1">
      <c r="A338" s="11" t="s">
        <v>1720</v>
      </c>
      <c r="B338" s="5" t="s">
        <v>14</v>
      </c>
      <c r="C338" s="5" t="s">
        <v>15</v>
      </c>
      <c r="D338" s="8" t="s">
        <v>1721</v>
      </c>
      <c r="E338" s="7"/>
      <c r="F338" s="5" t="s">
        <v>37</v>
      </c>
      <c r="G338" s="5"/>
      <c r="H338" s="5" t="s">
        <v>23</v>
      </c>
      <c r="I338" s="5"/>
      <c r="J338" s="78" t="s">
        <v>133</v>
      </c>
      <c r="K338" s="78"/>
      <c r="L338" s="85"/>
      <c r="M338" s="5"/>
      <c r="N338" s="85"/>
      <c r="O338" s="22"/>
      <c r="P338" s="7" t="str">
        <f t="shared" si="3"/>
        <v>OK</v>
      </c>
      <c r="Q338" s="7"/>
      <c r="R338" s="7"/>
      <c r="S338" s="7"/>
      <c r="T338" s="7"/>
      <c r="U338" s="7"/>
      <c r="V338" s="7"/>
      <c r="W338" s="7"/>
      <c r="X338" s="7"/>
      <c r="Y338" s="7"/>
      <c r="Z338" s="7"/>
      <c r="AA338" s="7"/>
      <c r="AB338" s="7"/>
      <c r="AC338" s="7"/>
    </row>
    <row r="339" ht="15.75" hidden="1" customHeight="1">
      <c r="A339" s="11" t="s">
        <v>1725</v>
      </c>
      <c r="B339" s="5" t="s">
        <v>14</v>
      </c>
      <c r="C339" s="5" t="s">
        <v>15</v>
      </c>
      <c r="D339" s="8" t="s">
        <v>1726</v>
      </c>
      <c r="E339" s="7"/>
      <c r="F339" s="5" t="s">
        <v>37</v>
      </c>
      <c r="G339" s="5"/>
      <c r="H339" s="5" t="s">
        <v>111</v>
      </c>
      <c r="I339" s="5"/>
      <c r="J339" s="78" t="s">
        <v>133</v>
      </c>
      <c r="K339" s="78"/>
      <c r="L339" s="85"/>
      <c r="M339" s="5"/>
      <c r="N339" s="85"/>
      <c r="O339" s="22"/>
      <c r="P339" s="7" t="str">
        <f t="shared" si="3"/>
        <v>OK</v>
      </c>
      <c r="Q339" s="7"/>
      <c r="R339" s="7"/>
      <c r="S339" s="7"/>
      <c r="T339" s="7"/>
      <c r="U339" s="7"/>
      <c r="V339" s="7"/>
      <c r="W339" s="7"/>
      <c r="X339" s="7"/>
      <c r="Y339" s="7"/>
      <c r="Z339" s="7"/>
      <c r="AA339" s="7"/>
      <c r="AB339" s="7"/>
      <c r="AC339" s="7"/>
    </row>
    <row r="340" ht="15.75" hidden="1" customHeight="1">
      <c r="A340" s="11" t="s">
        <v>1730</v>
      </c>
      <c r="B340" s="5" t="s">
        <v>14</v>
      </c>
      <c r="C340" s="5" t="s">
        <v>15</v>
      </c>
      <c r="D340" s="8" t="s">
        <v>1731</v>
      </c>
      <c r="E340" s="7"/>
      <c r="F340" s="5" t="s">
        <v>37</v>
      </c>
      <c r="G340" s="5"/>
      <c r="H340" s="5" t="s">
        <v>22</v>
      </c>
      <c r="I340" s="5"/>
      <c r="J340" s="78" t="s">
        <v>133</v>
      </c>
      <c r="K340" s="78"/>
      <c r="L340" s="85"/>
      <c r="M340" s="5"/>
      <c r="N340" s="85"/>
      <c r="O340" s="22"/>
      <c r="P340" s="7" t="str">
        <f t="shared" si="3"/>
        <v>OK</v>
      </c>
      <c r="Q340" s="7"/>
      <c r="R340" s="7"/>
      <c r="S340" s="7"/>
      <c r="T340" s="7"/>
      <c r="U340" s="7"/>
      <c r="V340" s="7"/>
      <c r="W340" s="7"/>
      <c r="X340" s="7"/>
      <c r="Y340" s="7"/>
      <c r="Z340" s="7"/>
      <c r="AA340" s="7"/>
      <c r="AB340" s="7"/>
      <c r="AC340" s="7"/>
    </row>
    <row r="341" ht="15.75" hidden="1" customHeight="1">
      <c r="A341" s="11" t="s">
        <v>1735</v>
      </c>
      <c r="B341" s="5" t="s">
        <v>14</v>
      </c>
      <c r="C341" s="5" t="s">
        <v>15</v>
      </c>
      <c r="D341" s="8" t="s">
        <v>1736</v>
      </c>
      <c r="E341" s="7"/>
      <c r="F341" s="5" t="s">
        <v>51</v>
      </c>
      <c r="G341" s="5"/>
      <c r="H341" s="5" t="s">
        <v>31</v>
      </c>
      <c r="I341" s="5"/>
      <c r="J341" s="78" t="s">
        <v>133</v>
      </c>
      <c r="K341" s="78"/>
      <c r="L341" s="85"/>
      <c r="M341" s="5"/>
      <c r="N341" s="85"/>
      <c r="O341" s="22"/>
      <c r="P341" s="7" t="str">
        <f t="shared" si="3"/>
        <v>OK</v>
      </c>
      <c r="Q341" s="7"/>
      <c r="R341" s="7"/>
      <c r="S341" s="7"/>
      <c r="T341" s="7"/>
      <c r="U341" s="7"/>
      <c r="V341" s="7"/>
      <c r="W341" s="7"/>
      <c r="X341" s="7"/>
      <c r="Y341" s="7"/>
      <c r="Z341" s="7"/>
      <c r="AA341" s="7"/>
      <c r="AB341" s="7"/>
      <c r="AC341" s="7"/>
    </row>
    <row r="342" ht="15.75" hidden="1" customHeight="1">
      <c r="A342" s="11" t="s">
        <v>1740</v>
      </c>
      <c r="B342" s="5" t="s">
        <v>14</v>
      </c>
      <c r="C342" s="5" t="s">
        <v>15</v>
      </c>
      <c r="D342" s="8" t="s">
        <v>1741</v>
      </c>
      <c r="E342" s="7"/>
      <c r="F342" s="5" t="s">
        <v>21</v>
      </c>
      <c r="G342" s="5"/>
      <c r="H342" s="5" t="s">
        <v>22</v>
      </c>
      <c r="I342" s="5"/>
      <c r="J342" s="78" t="s">
        <v>133</v>
      </c>
      <c r="K342" s="78"/>
      <c r="L342" s="85"/>
      <c r="M342" s="5"/>
      <c r="N342" s="85"/>
      <c r="O342" s="22"/>
      <c r="P342" s="7" t="str">
        <f t="shared" si="3"/>
        <v>OK</v>
      </c>
      <c r="Q342" s="7"/>
      <c r="R342" s="7"/>
      <c r="S342" s="7"/>
      <c r="T342" s="7"/>
      <c r="U342" s="7"/>
      <c r="V342" s="7"/>
      <c r="W342" s="7"/>
      <c r="X342" s="7"/>
      <c r="Y342" s="7"/>
      <c r="Z342" s="7"/>
      <c r="AA342" s="7"/>
      <c r="AB342" s="7"/>
      <c r="AC342" s="7"/>
    </row>
    <row r="343" ht="15.75" hidden="1" customHeight="1">
      <c r="A343" s="11" t="s">
        <v>1745</v>
      </c>
      <c r="B343" s="5" t="s">
        <v>14</v>
      </c>
      <c r="C343" s="5" t="s">
        <v>15</v>
      </c>
      <c r="D343" s="8" t="s">
        <v>1746</v>
      </c>
      <c r="E343" s="7"/>
      <c r="F343" s="5" t="s">
        <v>37</v>
      </c>
      <c r="G343" s="5"/>
      <c r="H343" s="5" t="s">
        <v>30</v>
      </c>
      <c r="I343" s="5"/>
      <c r="J343" s="78" t="s">
        <v>133</v>
      </c>
      <c r="K343" s="78"/>
      <c r="L343" s="85"/>
      <c r="M343" s="5"/>
      <c r="N343" s="85"/>
      <c r="O343" s="22"/>
      <c r="P343" s="7" t="str">
        <f t="shared" si="3"/>
        <v>OK</v>
      </c>
      <c r="Q343" s="7"/>
      <c r="R343" s="7"/>
      <c r="S343" s="7"/>
      <c r="T343" s="7"/>
      <c r="U343" s="7"/>
      <c r="V343" s="7"/>
      <c r="W343" s="7"/>
      <c r="X343" s="7"/>
      <c r="Y343" s="7"/>
      <c r="Z343" s="7"/>
      <c r="AA343" s="7"/>
      <c r="AB343" s="7"/>
      <c r="AC343" s="7"/>
    </row>
    <row r="344" ht="15.75" hidden="1" customHeight="1">
      <c r="A344" s="23" t="s">
        <v>2648</v>
      </c>
      <c r="B344" s="13" t="s">
        <v>14</v>
      </c>
      <c r="C344" s="13" t="s">
        <v>15</v>
      </c>
      <c r="D344" s="4" t="s">
        <v>2649</v>
      </c>
      <c r="E344" s="15"/>
      <c r="F344" s="13" t="s">
        <v>20</v>
      </c>
      <c r="G344" s="13"/>
      <c r="H344" s="13" t="s">
        <v>68</v>
      </c>
      <c r="I344" s="13"/>
      <c r="J344" s="78" t="s">
        <v>133</v>
      </c>
      <c r="K344" s="78"/>
      <c r="L344" s="88"/>
      <c r="M344" s="13"/>
      <c r="N344" s="88"/>
      <c r="O344" s="94"/>
      <c r="P344" s="15" t="str">
        <f t="shared" si="3"/>
        <v>OK</v>
      </c>
      <c r="Q344" s="15"/>
      <c r="R344" s="15"/>
      <c r="S344" s="15"/>
      <c r="T344" s="15"/>
      <c r="U344" s="15"/>
      <c r="V344" s="15"/>
      <c r="W344" s="15"/>
      <c r="X344" s="15"/>
      <c r="Y344" s="15"/>
      <c r="Z344" s="15"/>
      <c r="AA344" s="15"/>
      <c r="AB344" s="15"/>
      <c r="AC344" s="15"/>
    </row>
    <row r="345" ht="15.75" hidden="1" customHeight="1">
      <c r="A345" s="23" t="s">
        <v>1751</v>
      </c>
      <c r="B345" s="13" t="s">
        <v>14</v>
      </c>
      <c r="C345" s="13" t="s">
        <v>15</v>
      </c>
      <c r="D345" s="4" t="s">
        <v>1752</v>
      </c>
      <c r="E345" s="15"/>
      <c r="F345" s="13" t="s">
        <v>20</v>
      </c>
      <c r="G345" s="13"/>
      <c r="H345" s="13" t="s">
        <v>31</v>
      </c>
      <c r="I345" s="13"/>
      <c r="J345" s="78" t="s">
        <v>133</v>
      </c>
      <c r="K345" s="78"/>
      <c r="L345" s="88"/>
      <c r="M345" s="13"/>
      <c r="N345" s="88"/>
      <c r="O345" s="94"/>
      <c r="P345" s="15" t="str">
        <f t="shared" si="3"/>
        <v>OK</v>
      </c>
      <c r="Q345" s="15"/>
      <c r="R345" s="15"/>
      <c r="S345" s="15"/>
      <c r="T345" s="15"/>
      <c r="U345" s="15"/>
      <c r="V345" s="15"/>
      <c r="W345" s="15"/>
      <c r="X345" s="15"/>
      <c r="Y345" s="15"/>
      <c r="Z345" s="15"/>
      <c r="AA345" s="15"/>
      <c r="AB345" s="15"/>
      <c r="AC345" s="15"/>
    </row>
    <row r="346" ht="15.75" hidden="1" customHeight="1">
      <c r="A346" s="11" t="s">
        <v>1756</v>
      </c>
      <c r="B346" s="5" t="s">
        <v>14</v>
      </c>
      <c r="C346" s="5" t="s">
        <v>15</v>
      </c>
      <c r="D346" s="8" t="s">
        <v>1757</v>
      </c>
      <c r="E346" s="7"/>
      <c r="F346" s="5" t="s">
        <v>29</v>
      </c>
      <c r="G346" s="5"/>
      <c r="H346" s="5" t="s">
        <v>68</v>
      </c>
      <c r="I346" s="5"/>
      <c r="J346" s="78" t="s">
        <v>133</v>
      </c>
      <c r="K346" s="78"/>
      <c r="L346" s="85"/>
      <c r="M346" s="5"/>
      <c r="N346" s="85"/>
      <c r="O346" s="22"/>
      <c r="P346" s="7" t="str">
        <f t="shared" si="3"/>
        <v>OK</v>
      </c>
      <c r="Q346" s="7"/>
      <c r="R346" s="7"/>
      <c r="S346" s="7"/>
      <c r="T346" s="7"/>
      <c r="U346" s="7"/>
      <c r="V346" s="7"/>
      <c r="W346" s="7"/>
      <c r="X346" s="7"/>
      <c r="Y346" s="7"/>
      <c r="Z346" s="7"/>
      <c r="AA346" s="7"/>
      <c r="AB346" s="7"/>
      <c r="AC346" s="7"/>
    </row>
    <row r="347" ht="15.75" hidden="1" customHeight="1">
      <c r="A347" s="11" t="s">
        <v>1761</v>
      </c>
      <c r="B347" s="5" t="s">
        <v>14</v>
      </c>
      <c r="C347" s="5" t="s">
        <v>15</v>
      </c>
      <c r="D347" s="8" t="s">
        <v>1762</v>
      </c>
      <c r="E347" s="7"/>
      <c r="F347" s="5" t="s">
        <v>45</v>
      </c>
      <c r="G347" s="5"/>
      <c r="H347" s="5" t="s">
        <v>23</v>
      </c>
      <c r="I347" s="5"/>
      <c r="J347" s="78" t="s">
        <v>133</v>
      </c>
      <c r="K347" s="78"/>
      <c r="L347" s="85"/>
      <c r="M347" s="5"/>
      <c r="N347" s="85"/>
      <c r="O347" s="22"/>
      <c r="P347" s="7" t="str">
        <f t="shared" si="3"/>
        <v>OK</v>
      </c>
      <c r="Q347" s="7"/>
      <c r="R347" s="7"/>
      <c r="S347" s="7"/>
      <c r="T347" s="7"/>
      <c r="U347" s="7"/>
      <c r="V347" s="7"/>
      <c r="W347" s="7"/>
      <c r="X347" s="7"/>
      <c r="Y347" s="7"/>
      <c r="Z347" s="7"/>
      <c r="AA347" s="7"/>
      <c r="AB347" s="7"/>
      <c r="AC347" s="7"/>
    </row>
    <row r="348" ht="15.75" hidden="1" customHeight="1">
      <c r="A348" s="11" t="s">
        <v>1766</v>
      </c>
      <c r="B348" s="5" t="s">
        <v>14</v>
      </c>
      <c r="C348" s="5" t="s">
        <v>15</v>
      </c>
      <c r="D348" s="8" t="s">
        <v>1767</v>
      </c>
      <c r="E348" s="7"/>
      <c r="F348" s="5" t="s">
        <v>37</v>
      </c>
      <c r="G348" s="5"/>
      <c r="H348" s="5" t="s">
        <v>30</v>
      </c>
      <c r="I348" s="5"/>
      <c r="J348" s="78" t="s">
        <v>133</v>
      </c>
      <c r="K348" s="78"/>
      <c r="L348" s="85"/>
      <c r="M348" s="5"/>
      <c r="N348" s="85"/>
      <c r="O348" s="22"/>
      <c r="P348" s="7" t="str">
        <f t="shared" si="3"/>
        <v>OK</v>
      </c>
      <c r="Q348" s="7"/>
      <c r="R348" s="7"/>
      <c r="S348" s="7"/>
      <c r="T348" s="7"/>
      <c r="U348" s="7"/>
      <c r="V348" s="7"/>
      <c r="W348" s="7"/>
      <c r="X348" s="7"/>
      <c r="Y348" s="7"/>
      <c r="Z348" s="7"/>
      <c r="AA348" s="7"/>
      <c r="AB348" s="7"/>
      <c r="AC348" s="7"/>
    </row>
    <row r="349" ht="15.75" hidden="1" customHeight="1">
      <c r="A349" s="11" t="s">
        <v>1771</v>
      </c>
      <c r="B349" s="5" t="s">
        <v>14</v>
      </c>
      <c r="C349" s="5" t="s">
        <v>15</v>
      </c>
      <c r="D349" s="8" t="s">
        <v>1772</v>
      </c>
      <c r="E349" s="7"/>
      <c r="F349" s="5" t="s">
        <v>37</v>
      </c>
      <c r="G349" s="5"/>
      <c r="H349" s="5" t="s">
        <v>30</v>
      </c>
      <c r="I349" s="5"/>
      <c r="J349" s="78" t="s">
        <v>133</v>
      </c>
      <c r="K349" s="78"/>
      <c r="L349" s="85"/>
      <c r="M349" s="5"/>
      <c r="N349" s="85"/>
      <c r="O349" s="22"/>
      <c r="P349" s="7" t="str">
        <f t="shared" si="3"/>
        <v>OK</v>
      </c>
      <c r="Q349" s="7"/>
      <c r="R349" s="7"/>
      <c r="S349" s="7"/>
      <c r="T349" s="7"/>
      <c r="U349" s="7"/>
      <c r="V349" s="7"/>
      <c r="W349" s="7"/>
      <c r="X349" s="7"/>
      <c r="Y349" s="7"/>
      <c r="Z349" s="7"/>
      <c r="AA349" s="7"/>
      <c r="AB349" s="7"/>
      <c r="AC349" s="7"/>
    </row>
    <row r="350" ht="15.75" hidden="1" customHeight="1">
      <c r="A350" s="11" t="s">
        <v>1776</v>
      </c>
      <c r="B350" s="5" t="s">
        <v>14</v>
      </c>
      <c r="C350" s="5" t="s">
        <v>15</v>
      </c>
      <c r="D350" s="8" t="s">
        <v>1777</v>
      </c>
      <c r="E350" s="7"/>
      <c r="F350" s="5" t="s">
        <v>37</v>
      </c>
      <c r="G350" s="5"/>
      <c r="H350" s="5" t="s">
        <v>39</v>
      </c>
      <c r="I350" s="5"/>
      <c r="J350" s="78" t="s">
        <v>133</v>
      </c>
      <c r="K350" s="78"/>
      <c r="L350" s="85"/>
      <c r="M350" s="5"/>
      <c r="N350" s="85"/>
      <c r="O350" s="22"/>
      <c r="P350" s="7" t="str">
        <f t="shared" si="3"/>
        <v>OK</v>
      </c>
      <c r="Q350" s="7"/>
      <c r="R350" s="7"/>
      <c r="S350" s="7"/>
      <c r="T350" s="7"/>
      <c r="U350" s="7"/>
      <c r="V350" s="7"/>
      <c r="W350" s="7"/>
      <c r="X350" s="7"/>
      <c r="Y350" s="7"/>
      <c r="Z350" s="7"/>
      <c r="AA350" s="7"/>
      <c r="AB350" s="7"/>
      <c r="AC350" s="7"/>
    </row>
    <row r="351" ht="15.75" hidden="1" customHeight="1">
      <c r="A351" s="11" t="s">
        <v>1781</v>
      </c>
      <c r="B351" s="5" t="s">
        <v>14</v>
      </c>
      <c r="C351" s="5" t="s">
        <v>15</v>
      </c>
      <c r="D351" s="8" t="s">
        <v>1782</v>
      </c>
      <c r="E351" s="7"/>
      <c r="F351" s="5" t="s">
        <v>51</v>
      </c>
      <c r="G351" s="5"/>
      <c r="H351" s="5" t="s">
        <v>23</v>
      </c>
      <c r="I351" s="5"/>
      <c r="J351" s="78" t="s">
        <v>133</v>
      </c>
      <c r="K351" s="78"/>
      <c r="L351" s="85"/>
      <c r="M351" s="5"/>
      <c r="N351" s="85"/>
      <c r="O351" s="22"/>
      <c r="P351" s="7" t="str">
        <f t="shared" si="3"/>
        <v>OK</v>
      </c>
      <c r="Q351" s="7"/>
      <c r="R351" s="7"/>
      <c r="S351" s="7"/>
      <c r="T351" s="7"/>
      <c r="U351" s="7"/>
      <c r="V351" s="7"/>
      <c r="W351" s="7"/>
      <c r="X351" s="7"/>
      <c r="Y351" s="7"/>
      <c r="Z351" s="7"/>
      <c r="AA351" s="7"/>
      <c r="AB351" s="7"/>
      <c r="AC351" s="7"/>
    </row>
    <row r="352" ht="15.75" hidden="1" customHeight="1">
      <c r="A352" s="11" t="s">
        <v>1786</v>
      </c>
      <c r="B352" s="5" t="s">
        <v>14</v>
      </c>
      <c r="C352" s="5" t="s">
        <v>15</v>
      </c>
      <c r="D352" s="8" t="s">
        <v>1787</v>
      </c>
      <c r="E352" s="7"/>
      <c r="F352" s="5" t="s">
        <v>20</v>
      </c>
      <c r="G352" s="5"/>
      <c r="H352" s="5" t="s">
        <v>111</v>
      </c>
      <c r="I352" s="5"/>
      <c r="J352" s="78" t="s">
        <v>133</v>
      </c>
      <c r="K352" s="78"/>
      <c r="L352" s="85"/>
      <c r="M352" s="5"/>
      <c r="N352" s="85"/>
      <c r="O352" s="22"/>
      <c r="P352" s="7" t="str">
        <f t="shared" si="3"/>
        <v>OK</v>
      </c>
      <c r="Q352" s="7"/>
      <c r="R352" s="7"/>
      <c r="S352" s="7"/>
      <c r="T352" s="7"/>
      <c r="U352" s="7"/>
      <c r="V352" s="7"/>
      <c r="W352" s="7"/>
      <c r="X352" s="7"/>
      <c r="Y352" s="7"/>
      <c r="Z352" s="7"/>
      <c r="AA352" s="7"/>
      <c r="AB352" s="7"/>
      <c r="AC352" s="7"/>
    </row>
    <row r="353" ht="15.75" hidden="1" customHeight="1">
      <c r="A353" s="25" t="s">
        <v>1791</v>
      </c>
      <c r="B353" s="17" t="s">
        <v>14</v>
      </c>
      <c r="C353" s="17" t="s">
        <v>15</v>
      </c>
      <c r="D353" s="16" t="s">
        <v>1792</v>
      </c>
      <c r="E353" s="18"/>
      <c r="F353" s="17" t="s">
        <v>51</v>
      </c>
      <c r="G353" s="17"/>
      <c r="H353" s="17" t="s">
        <v>23</v>
      </c>
      <c r="I353" s="17"/>
      <c r="J353" s="78" t="s">
        <v>133</v>
      </c>
      <c r="K353" s="78"/>
      <c r="L353" s="88"/>
      <c r="M353" s="17"/>
      <c r="N353" s="88"/>
      <c r="O353" s="94"/>
      <c r="P353" s="18" t="str">
        <f t="shared" si="3"/>
        <v>OK</v>
      </c>
      <c r="Q353" s="18"/>
      <c r="R353" s="18"/>
      <c r="S353" s="18"/>
      <c r="T353" s="18"/>
      <c r="U353" s="18"/>
      <c r="V353" s="18"/>
      <c r="W353" s="18"/>
      <c r="X353" s="18"/>
      <c r="Y353" s="18"/>
      <c r="Z353" s="18"/>
      <c r="AA353" s="18"/>
      <c r="AB353" s="18"/>
      <c r="AC353" s="18"/>
    </row>
    <row r="354" ht="15.75" hidden="1" customHeight="1">
      <c r="A354" s="11" t="s">
        <v>1796</v>
      </c>
      <c r="B354" s="5" t="s">
        <v>14</v>
      </c>
      <c r="C354" s="5" t="s">
        <v>15</v>
      </c>
      <c r="D354" s="8" t="s">
        <v>1797</v>
      </c>
      <c r="E354" s="7"/>
      <c r="F354" s="5" t="s">
        <v>21</v>
      </c>
      <c r="G354" s="5"/>
      <c r="H354" s="5" t="s">
        <v>30</v>
      </c>
      <c r="I354" s="5"/>
      <c r="J354" s="78" t="s">
        <v>133</v>
      </c>
      <c r="K354" s="78"/>
      <c r="L354" s="85"/>
      <c r="M354" s="5"/>
      <c r="N354" s="85"/>
      <c r="O354" s="22"/>
      <c r="P354" s="7" t="str">
        <f t="shared" si="3"/>
        <v>OK</v>
      </c>
      <c r="Q354" s="7"/>
      <c r="R354" s="7"/>
      <c r="S354" s="7"/>
      <c r="T354" s="7"/>
      <c r="U354" s="7"/>
      <c r="V354" s="7"/>
      <c r="W354" s="7"/>
      <c r="X354" s="7"/>
      <c r="Y354" s="7"/>
      <c r="Z354" s="7"/>
      <c r="AA354" s="7"/>
      <c r="AB354" s="7"/>
      <c r="AC354" s="7"/>
    </row>
    <row r="355" ht="15.75" hidden="1" customHeight="1">
      <c r="A355" s="11" t="s">
        <v>1801</v>
      </c>
      <c r="B355" s="5" t="s">
        <v>14</v>
      </c>
      <c r="C355" s="5" t="s">
        <v>15</v>
      </c>
      <c r="D355" s="8" t="s">
        <v>1654</v>
      </c>
      <c r="E355" s="7"/>
      <c r="F355" s="5" t="s">
        <v>51</v>
      </c>
      <c r="G355" s="5"/>
      <c r="H355" s="5" t="s">
        <v>30</v>
      </c>
      <c r="I355" s="5"/>
      <c r="J355" s="78" t="s">
        <v>133</v>
      </c>
      <c r="K355" s="78"/>
      <c r="L355" s="85"/>
      <c r="M355" s="5"/>
      <c r="N355" s="85"/>
      <c r="O355" s="22"/>
      <c r="P355" s="7" t="str">
        <f t="shared" si="3"/>
        <v>OK</v>
      </c>
      <c r="Q355" s="7"/>
      <c r="R355" s="7"/>
      <c r="S355" s="7"/>
      <c r="T355" s="7"/>
      <c r="U355" s="7"/>
      <c r="V355" s="7"/>
      <c r="W355" s="7"/>
      <c r="X355" s="7"/>
      <c r="Y355" s="7"/>
      <c r="Z355" s="7"/>
      <c r="AA355" s="7"/>
      <c r="AB355" s="7"/>
      <c r="AC355" s="7"/>
    </row>
    <row r="356" ht="15.75" hidden="1" customHeight="1">
      <c r="A356" s="23" t="s">
        <v>2650</v>
      </c>
      <c r="B356" s="13" t="s">
        <v>14</v>
      </c>
      <c r="C356" s="13" t="s">
        <v>15</v>
      </c>
      <c r="D356" s="4" t="s">
        <v>2651</v>
      </c>
      <c r="E356" s="13" t="s">
        <v>2652</v>
      </c>
      <c r="F356" s="13" t="s">
        <v>20</v>
      </c>
      <c r="G356" s="13"/>
      <c r="H356" s="13" t="s">
        <v>23</v>
      </c>
      <c r="I356" s="13"/>
      <c r="J356" s="78" t="s">
        <v>133</v>
      </c>
      <c r="K356" s="78"/>
      <c r="L356" s="88"/>
      <c r="M356" s="13"/>
      <c r="N356" s="88"/>
      <c r="O356" s="94"/>
      <c r="P356" s="15" t="str">
        <f t="shared" si="3"/>
        <v>OK</v>
      </c>
      <c r="Q356" s="15"/>
      <c r="R356" s="15"/>
      <c r="S356" s="15"/>
      <c r="T356" s="15"/>
      <c r="U356" s="15"/>
      <c r="V356" s="15"/>
      <c r="W356" s="15"/>
      <c r="X356" s="15"/>
      <c r="Y356" s="15"/>
      <c r="Z356" s="15"/>
      <c r="AA356" s="15"/>
      <c r="AB356" s="15"/>
      <c r="AC356" s="15"/>
    </row>
    <row r="357" ht="15.75" hidden="1" customHeight="1">
      <c r="A357" s="11" t="s">
        <v>1805</v>
      </c>
      <c r="B357" s="5" t="s">
        <v>14</v>
      </c>
      <c r="C357" s="5" t="s">
        <v>15</v>
      </c>
      <c r="D357" s="8" t="s">
        <v>1806</v>
      </c>
      <c r="E357" s="7"/>
      <c r="F357" s="5" t="s">
        <v>21</v>
      </c>
      <c r="G357" s="5"/>
      <c r="H357" s="5" t="s">
        <v>52</v>
      </c>
      <c r="I357" s="5"/>
      <c r="J357" s="78" t="s">
        <v>133</v>
      </c>
      <c r="K357" s="78"/>
      <c r="L357" s="85"/>
      <c r="M357" s="5"/>
      <c r="N357" s="85"/>
      <c r="O357" s="22"/>
      <c r="P357" s="7" t="str">
        <f t="shared" si="3"/>
        <v>OK</v>
      </c>
      <c r="Q357" s="7"/>
      <c r="R357" s="7"/>
      <c r="S357" s="7"/>
      <c r="T357" s="7"/>
      <c r="U357" s="7"/>
      <c r="V357" s="7"/>
      <c r="W357" s="7"/>
      <c r="X357" s="7"/>
      <c r="Y357" s="7"/>
      <c r="Z357" s="7"/>
      <c r="AA357" s="7"/>
      <c r="AB357" s="7"/>
      <c r="AC357" s="7"/>
    </row>
    <row r="358" ht="15.75" hidden="1" customHeight="1">
      <c r="A358" s="11" t="s">
        <v>1810</v>
      </c>
      <c r="B358" s="5" t="s">
        <v>14</v>
      </c>
      <c r="C358" s="5" t="s">
        <v>15</v>
      </c>
      <c r="D358" s="8" t="s">
        <v>1811</v>
      </c>
      <c r="E358" s="7"/>
      <c r="F358" s="5" t="s">
        <v>37</v>
      </c>
      <c r="G358" s="5"/>
      <c r="H358" s="5" t="s">
        <v>31</v>
      </c>
      <c r="I358" s="5"/>
      <c r="J358" s="78" t="s">
        <v>133</v>
      </c>
      <c r="K358" s="78"/>
      <c r="L358" s="85"/>
      <c r="M358" s="5"/>
      <c r="N358" s="85"/>
      <c r="O358" s="22"/>
      <c r="P358" s="7" t="str">
        <f t="shared" si="3"/>
        <v>OK</v>
      </c>
      <c r="Q358" s="7"/>
      <c r="R358" s="7"/>
      <c r="S358" s="7"/>
      <c r="T358" s="7"/>
      <c r="U358" s="7"/>
      <c r="V358" s="7"/>
      <c r="W358" s="7"/>
      <c r="X358" s="7"/>
      <c r="Y358" s="7"/>
      <c r="Z358" s="7"/>
      <c r="AA358" s="7"/>
      <c r="AB358" s="7"/>
      <c r="AC358" s="7"/>
    </row>
    <row r="359" ht="15.75" hidden="1" customHeight="1">
      <c r="A359" s="11" t="s">
        <v>1815</v>
      </c>
      <c r="B359" s="5" t="s">
        <v>14</v>
      </c>
      <c r="C359" s="5" t="s">
        <v>15</v>
      </c>
      <c r="D359" s="8" t="s">
        <v>1816</v>
      </c>
      <c r="E359" s="7"/>
      <c r="F359" s="5" t="s">
        <v>74</v>
      </c>
      <c r="G359" s="5"/>
      <c r="H359" s="5" t="s">
        <v>39</v>
      </c>
      <c r="I359" s="5"/>
      <c r="J359" s="78" t="s">
        <v>133</v>
      </c>
      <c r="K359" s="78"/>
      <c r="L359" s="85"/>
      <c r="M359" s="5"/>
      <c r="N359" s="85"/>
      <c r="O359" s="22"/>
      <c r="P359" s="7" t="str">
        <f t="shared" si="3"/>
        <v>OK</v>
      </c>
      <c r="Q359" s="7"/>
      <c r="R359" s="7"/>
      <c r="S359" s="7"/>
      <c r="T359" s="7"/>
      <c r="U359" s="7"/>
      <c r="V359" s="7"/>
      <c r="W359" s="7"/>
      <c r="X359" s="7"/>
      <c r="Y359" s="7"/>
      <c r="Z359" s="7"/>
      <c r="AA359" s="7"/>
      <c r="AB359" s="7"/>
      <c r="AC359" s="7"/>
    </row>
    <row r="360" ht="15.75" hidden="1" customHeight="1">
      <c r="A360" s="11" t="s">
        <v>1820</v>
      </c>
      <c r="B360" s="5" t="s">
        <v>14</v>
      </c>
      <c r="C360" s="5" t="s">
        <v>15</v>
      </c>
      <c r="D360" s="8" t="s">
        <v>1821</v>
      </c>
      <c r="E360" s="7"/>
      <c r="F360" s="5" t="s">
        <v>74</v>
      </c>
      <c r="G360" s="5"/>
      <c r="H360" s="5" t="s">
        <v>31</v>
      </c>
      <c r="I360" s="5"/>
      <c r="J360" s="78" t="s">
        <v>133</v>
      </c>
      <c r="K360" s="78"/>
      <c r="L360" s="85"/>
      <c r="M360" s="5"/>
      <c r="N360" s="85"/>
      <c r="O360" s="22"/>
      <c r="P360" s="7" t="str">
        <f t="shared" si="3"/>
        <v>OK</v>
      </c>
      <c r="Q360" s="7"/>
      <c r="R360" s="7"/>
      <c r="S360" s="7"/>
      <c r="T360" s="7"/>
      <c r="U360" s="7"/>
      <c r="V360" s="7"/>
      <c r="W360" s="7"/>
      <c r="X360" s="7"/>
      <c r="Y360" s="7"/>
      <c r="Z360" s="7"/>
      <c r="AA360" s="7"/>
      <c r="AB360" s="7"/>
      <c r="AC360" s="7"/>
    </row>
    <row r="361" ht="15.75" hidden="1" customHeight="1">
      <c r="A361" s="11" t="s">
        <v>1825</v>
      </c>
      <c r="B361" s="5" t="s">
        <v>14</v>
      </c>
      <c r="C361" s="5" t="s">
        <v>15</v>
      </c>
      <c r="D361" s="8" t="s">
        <v>1826</v>
      </c>
      <c r="E361" s="7"/>
      <c r="F361" s="5" t="s">
        <v>74</v>
      </c>
      <c r="G361" s="5"/>
      <c r="H361" s="5" t="s">
        <v>30</v>
      </c>
      <c r="I361" s="5"/>
      <c r="J361" s="78" t="s">
        <v>133</v>
      </c>
      <c r="K361" s="78"/>
      <c r="L361" s="85"/>
      <c r="M361" s="5"/>
      <c r="N361" s="85"/>
      <c r="O361" s="22"/>
      <c r="P361" s="7" t="str">
        <f t="shared" si="3"/>
        <v>OK</v>
      </c>
      <c r="Q361" s="7"/>
      <c r="R361" s="7"/>
      <c r="S361" s="7"/>
      <c r="T361" s="7"/>
      <c r="U361" s="7"/>
      <c r="V361" s="7"/>
      <c r="W361" s="7"/>
      <c r="X361" s="7"/>
      <c r="Y361" s="7"/>
      <c r="Z361" s="7"/>
      <c r="AA361" s="7"/>
      <c r="AB361" s="7"/>
      <c r="AC361" s="7"/>
    </row>
    <row r="362" ht="15.75" hidden="1" customHeight="1">
      <c r="A362" s="11" t="s">
        <v>1830</v>
      </c>
      <c r="B362" s="5" t="s">
        <v>14</v>
      </c>
      <c r="C362" s="5" t="s">
        <v>15</v>
      </c>
      <c r="D362" s="8" t="s">
        <v>1831</v>
      </c>
      <c r="E362" s="7"/>
      <c r="F362" s="5" t="s">
        <v>51</v>
      </c>
      <c r="G362" s="5"/>
      <c r="H362" s="5" t="s">
        <v>23</v>
      </c>
      <c r="I362" s="5"/>
      <c r="J362" s="78" t="s">
        <v>133</v>
      </c>
      <c r="K362" s="78"/>
      <c r="L362" s="85"/>
      <c r="M362" s="5"/>
      <c r="N362" s="85"/>
      <c r="O362" s="22"/>
      <c r="P362" s="7" t="str">
        <f t="shared" si="3"/>
        <v>OK</v>
      </c>
      <c r="Q362" s="7"/>
      <c r="R362" s="7"/>
      <c r="S362" s="7"/>
      <c r="T362" s="7"/>
      <c r="U362" s="7"/>
      <c r="V362" s="7"/>
      <c r="W362" s="7"/>
      <c r="X362" s="7"/>
      <c r="Y362" s="7"/>
      <c r="Z362" s="7"/>
      <c r="AA362" s="7"/>
      <c r="AB362" s="7"/>
      <c r="AC362" s="7"/>
    </row>
    <row r="363" ht="15.75" hidden="1" customHeight="1">
      <c r="A363" s="11" t="s">
        <v>1835</v>
      </c>
      <c r="B363" s="5" t="s">
        <v>14</v>
      </c>
      <c r="C363" s="5" t="s">
        <v>15</v>
      </c>
      <c r="D363" s="8" t="s">
        <v>1836</v>
      </c>
      <c r="E363" s="7"/>
      <c r="F363" s="5" t="s">
        <v>74</v>
      </c>
      <c r="G363" s="5"/>
      <c r="H363" s="5" t="s">
        <v>75</v>
      </c>
      <c r="I363" s="5"/>
      <c r="J363" s="78" t="s">
        <v>133</v>
      </c>
      <c r="K363" s="78"/>
      <c r="L363" s="85"/>
      <c r="M363" s="5"/>
      <c r="N363" s="85"/>
      <c r="O363" s="22"/>
      <c r="P363" s="7" t="str">
        <f t="shared" si="3"/>
        <v>OK</v>
      </c>
      <c r="Q363" s="7"/>
      <c r="R363" s="7"/>
      <c r="S363" s="7"/>
      <c r="T363" s="7"/>
      <c r="U363" s="7"/>
      <c r="V363" s="7"/>
      <c r="W363" s="7"/>
      <c r="X363" s="7"/>
      <c r="Y363" s="7"/>
      <c r="Z363" s="7"/>
      <c r="AA363" s="7"/>
      <c r="AB363" s="7"/>
      <c r="AC363" s="7"/>
    </row>
    <row r="364" ht="15.75" hidden="1" customHeight="1">
      <c r="A364" s="11" t="s">
        <v>1840</v>
      </c>
      <c r="B364" s="5" t="s">
        <v>14</v>
      </c>
      <c r="C364" s="5" t="s">
        <v>15</v>
      </c>
      <c r="D364" s="8" t="s">
        <v>1841</v>
      </c>
      <c r="E364" s="7"/>
      <c r="F364" s="5" t="s">
        <v>21</v>
      </c>
      <c r="G364" s="5"/>
      <c r="H364" s="5" t="s">
        <v>23</v>
      </c>
      <c r="I364" s="5"/>
      <c r="J364" s="78" t="s">
        <v>133</v>
      </c>
      <c r="K364" s="78"/>
      <c r="L364" s="85"/>
      <c r="M364" s="5"/>
      <c r="N364" s="85"/>
      <c r="O364" s="22"/>
      <c r="P364" s="7" t="str">
        <f t="shared" si="3"/>
        <v>OK</v>
      </c>
      <c r="Q364" s="7"/>
      <c r="R364" s="7"/>
      <c r="S364" s="7"/>
      <c r="T364" s="7"/>
      <c r="U364" s="7"/>
      <c r="V364" s="7"/>
      <c r="W364" s="7"/>
      <c r="X364" s="7"/>
      <c r="Y364" s="7"/>
      <c r="Z364" s="7"/>
      <c r="AA364" s="7"/>
      <c r="AB364" s="7"/>
      <c r="AC364" s="7"/>
    </row>
    <row r="365" ht="15.75" hidden="1" customHeight="1">
      <c r="A365" s="11" t="s">
        <v>1845</v>
      </c>
      <c r="B365" s="5" t="s">
        <v>14</v>
      </c>
      <c r="C365" s="5" t="s">
        <v>15</v>
      </c>
      <c r="D365" s="8" t="s">
        <v>1846</v>
      </c>
      <c r="E365" s="7"/>
      <c r="F365" s="5" t="s">
        <v>74</v>
      </c>
      <c r="G365" s="5"/>
      <c r="H365" s="5" t="s">
        <v>22</v>
      </c>
      <c r="I365" s="5"/>
      <c r="J365" s="78" t="s">
        <v>14</v>
      </c>
      <c r="K365" s="78"/>
      <c r="L365" s="85"/>
      <c r="M365" s="5"/>
      <c r="N365" s="85"/>
      <c r="O365" s="22"/>
      <c r="P365" s="7" t="str">
        <f t="shared" si="3"/>
        <v>OK</v>
      </c>
      <c r="Q365" s="7"/>
      <c r="R365" s="7"/>
      <c r="S365" s="7"/>
      <c r="T365" s="7"/>
      <c r="U365" s="7"/>
      <c r="V365" s="7"/>
      <c r="W365" s="7"/>
      <c r="X365" s="7"/>
      <c r="Y365" s="7"/>
      <c r="Z365" s="7"/>
      <c r="AA365" s="7"/>
      <c r="AB365" s="7"/>
      <c r="AC365" s="7"/>
    </row>
    <row r="366" ht="15.75" customHeight="1">
      <c r="A366" s="11" t="s">
        <v>1855</v>
      </c>
      <c r="B366" s="5" t="s">
        <v>133</v>
      </c>
      <c r="C366" s="5" t="s">
        <v>15</v>
      </c>
      <c r="D366" s="8" t="s">
        <v>1856</v>
      </c>
      <c r="E366" s="5" t="s">
        <v>1858</v>
      </c>
      <c r="F366" s="5" t="s">
        <v>51</v>
      </c>
      <c r="G366" s="5"/>
      <c r="H366" s="5" t="s">
        <v>30</v>
      </c>
      <c r="I366" s="5"/>
      <c r="J366" s="78" t="s">
        <v>14</v>
      </c>
      <c r="K366" s="78"/>
      <c r="L366" s="85"/>
      <c r="M366" s="5"/>
      <c r="N366" s="85"/>
      <c r="O366" s="22"/>
      <c r="P366" s="7" t="str">
        <f t="shared" si="3"/>
        <v>OK</v>
      </c>
      <c r="Q366" s="7"/>
      <c r="R366" s="7"/>
      <c r="S366" s="7"/>
      <c r="T366" s="7"/>
      <c r="U366" s="7"/>
      <c r="V366" s="7"/>
      <c r="W366" s="7"/>
      <c r="X366" s="7"/>
      <c r="Y366" s="7"/>
      <c r="Z366" s="7"/>
      <c r="AA366" s="7"/>
      <c r="AB366" s="7"/>
      <c r="AC366" s="7"/>
    </row>
    <row r="367" ht="15.75" customHeight="1">
      <c r="A367" s="11" t="s">
        <v>1859</v>
      </c>
      <c r="B367" s="5" t="s">
        <v>133</v>
      </c>
      <c r="C367" s="5" t="s">
        <v>15</v>
      </c>
      <c r="D367" s="8" t="s">
        <v>1860</v>
      </c>
      <c r="E367" s="5" t="s">
        <v>1863</v>
      </c>
      <c r="F367" s="5" t="s">
        <v>51</v>
      </c>
      <c r="G367" s="5"/>
      <c r="H367" s="5" t="s">
        <v>22</v>
      </c>
      <c r="I367" s="5"/>
      <c r="J367" s="78" t="s">
        <v>14</v>
      </c>
      <c r="K367" s="78"/>
      <c r="L367" s="85"/>
      <c r="M367" s="5"/>
      <c r="N367" s="85"/>
      <c r="O367" s="22"/>
      <c r="P367" s="7" t="str">
        <f t="shared" si="3"/>
        <v>OK</v>
      </c>
      <c r="Q367" s="7"/>
      <c r="R367" s="7"/>
      <c r="S367" s="7"/>
      <c r="T367" s="7"/>
      <c r="U367" s="7"/>
      <c r="V367" s="7"/>
      <c r="W367" s="7"/>
      <c r="X367" s="7"/>
      <c r="Y367" s="7"/>
      <c r="Z367" s="7"/>
      <c r="AA367" s="7"/>
      <c r="AB367" s="7"/>
      <c r="AC367" s="7"/>
    </row>
    <row r="368" ht="15.75" customHeight="1">
      <c r="A368" s="11" t="s">
        <v>1864</v>
      </c>
      <c r="B368" s="5" t="s">
        <v>133</v>
      </c>
      <c r="C368" s="5" t="s">
        <v>15</v>
      </c>
      <c r="D368" s="8" t="s">
        <v>1865</v>
      </c>
      <c r="E368" s="5" t="s">
        <v>1867</v>
      </c>
      <c r="F368" s="5" t="s">
        <v>74</v>
      </c>
      <c r="G368" s="5"/>
      <c r="H368" s="5" t="s">
        <v>111</v>
      </c>
      <c r="I368" s="5"/>
      <c r="J368" s="78" t="s">
        <v>14</v>
      </c>
      <c r="K368" s="78"/>
      <c r="L368" s="85"/>
      <c r="M368" s="5"/>
      <c r="N368" s="85"/>
      <c r="O368" s="22"/>
      <c r="P368" s="7" t="str">
        <f t="shared" si="3"/>
        <v>OK</v>
      </c>
      <c r="Q368" s="7"/>
      <c r="R368" s="7"/>
      <c r="S368" s="7"/>
      <c r="T368" s="7"/>
      <c r="U368" s="7"/>
      <c r="V368" s="7"/>
      <c r="W368" s="7"/>
      <c r="X368" s="7"/>
      <c r="Y368" s="7"/>
      <c r="Z368" s="7"/>
      <c r="AA368" s="7"/>
      <c r="AB368" s="7"/>
      <c r="AC368" s="7"/>
    </row>
    <row r="369" ht="15.75" customHeight="1">
      <c r="A369" s="11" t="s">
        <v>1869</v>
      </c>
      <c r="B369" s="5" t="s">
        <v>133</v>
      </c>
      <c r="C369" s="5" t="s">
        <v>15</v>
      </c>
      <c r="D369" s="8" t="s">
        <v>1870</v>
      </c>
      <c r="E369" s="5" t="s">
        <v>1871</v>
      </c>
      <c r="F369" s="5" t="s">
        <v>37</v>
      </c>
      <c r="G369" s="5"/>
      <c r="H369" s="5" t="s">
        <v>75</v>
      </c>
      <c r="I369" s="5"/>
      <c r="J369" s="78" t="s">
        <v>14</v>
      </c>
      <c r="K369" s="78"/>
      <c r="L369" s="85"/>
      <c r="M369" s="5"/>
      <c r="N369" s="85"/>
      <c r="O369" s="22"/>
      <c r="P369" s="7" t="str">
        <f t="shared" si="3"/>
        <v>OK</v>
      </c>
      <c r="Q369" s="7"/>
      <c r="R369" s="7"/>
      <c r="S369" s="7"/>
      <c r="T369" s="7"/>
      <c r="U369" s="7"/>
      <c r="V369" s="7"/>
      <c r="W369" s="7"/>
      <c r="X369" s="7"/>
      <c r="Y369" s="7"/>
      <c r="Z369" s="7"/>
      <c r="AA369" s="7"/>
      <c r="AB369" s="7"/>
      <c r="AC369" s="7"/>
    </row>
    <row r="370" ht="15.75" customHeight="1">
      <c r="A370" s="11" t="s">
        <v>1874</v>
      </c>
      <c r="B370" s="5" t="s">
        <v>133</v>
      </c>
      <c r="C370" s="5" t="s">
        <v>15</v>
      </c>
      <c r="D370" s="8" t="s">
        <v>1875</v>
      </c>
      <c r="E370" s="5" t="s">
        <v>1878</v>
      </c>
      <c r="F370" s="5" t="s">
        <v>29</v>
      </c>
      <c r="G370" s="5"/>
      <c r="H370" s="5" t="s">
        <v>111</v>
      </c>
      <c r="I370" s="5"/>
      <c r="J370" s="78" t="s">
        <v>14</v>
      </c>
      <c r="K370" s="78"/>
      <c r="L370" s="85"/>
      <c r="M370" s="5"/>
      <c r="N370" s="85"/>
      <c r="O370" s="22"/>
      <c r="P370" s="7" t="str">
        <f t="shared" si="3"/>
        <v>OK</v>
      </c>
      <c r="Q370" s="7"/>
      <c r="R370" s="7"/>
      <c r="S370" s="7"/>
      <c r="T370" s="7"/>
      <c r="U370" s="7"/>
      <c r="V370" s="7"/>
      <c r="W370" s="7"/>
      <c r="X370" s="7"/>
      <c r="Y370" s="7"/>
      <c r="Z370" s="7"/>
      <c r="AA370" s="7"/>
      <c r="AB370" s="7"/>
      <c r="AC370" s="7"/>
    </row>
    <row r="371" ht="15.75" customHeight="1">
      <c r="A371" s="11" t="s">
        <v>1879</v>
      </c>
      <c r="B371" s="5" t="s">
        <v>133</v>
      </c>
      <c r="C371" s="5" t="s">
        <v>15</v>
      </c>
      <c r="D371" s="8" t="s">
        <v>1880</v>
      </c>
      <c r="E371" s="5" t="s">
        <v>1883</v>
      </c>
      <c r="F371" s="5" t="s">
        <v>21</v>
      </c>
      <c r="G371" s="5"/>
      <c r="H371" s="5" t="s">
        <v>22</v>
      </c>
      <c r="I371" s="5"/>
      <c r="J371" s="78" t="s">
        <v>14</v>
      </c>
      <c r="K371" s="78"/>
      <c r="L371" s="85"/>
      <c r="M371" s="5"/>
      <c r="N371" s="85"/>
      <c r="O371" s="22"/>
      <c r="P371" s="7" t="str">
        <f t="shared" si="3"/>
        <v>OK</v>
      </c>
      <c r="Q371" s="7"/>
      <c r="R371" s="7"/>
      <c r="S371" s="7"/>
      <c r="T371" s="7"/>
      <c r="U371" s="7"/>
      <c r="V371" s="7"/>
      <c r="W371" s="7"/>
      <c r="X371" s="7"/>
      <c r="Y371" s="7"/>
      <c r="Z371" s="7"/>
      <c r="AA371" s="7"/>
      <c r="AB371" s="7"/>
      <c r="AC371" s="7"/>
    </row>
    <row r="372" ht="15.75" customHeight="1">
      <c r="A372" s="11" t="s">
        <v>1884</v>
      </c>
      <c r="B372" s="5" t="s">
        <v>133</v>
      </c>
      <c r="C372" s="5" t="s">
        <v>15</v>
      </c>
      <c r="D372" s="8" t="s">
        <v>1885</v>
      </c>
      <c r="E372" s="5" t="s">
        <v>1887</v>
      </c>
      <c r="F372" s="5" t="s">
        <v>21</v>
      </c>
      <c r="G372" s="5"/>
      <c r="H372" s="5" t="s">
        <v>31</v>
      </c>
      <c r="I372" s="5"/>
      <c r="J372" s="78" t="s">
        <v>14</v>
      </c>
      <c r="K372" s="78"/>
      <c r="L372" s="85"/>
      <c r="M372" s="5"/>
      <c r="N372" s="85"/>
      <c r="O372" s="22"/>
      <c r="P372" s="7" t="str">
        <f t="shared" si="3"/>
        <v>OK</v>
      </c>
      <c r="Q372" s="7"/>
      <c r="R372" s="7"/>
      <c r="S372" s="7"/>
      <c r="T372" s="7"/>
      <c r="U372" s="7"/>
      <c r="V372" s="7"/>
      <c r="W372" s="7"/>
      <c r="X372" s="7"/>
      <c r="Y372" s="7"/>
      <c r="Z372" s="7"/>
      <c r="AA372" s="7"/>
      <c r="AB372" s="7"/>
      <c r="AC372" s="7"/>
    </row>
    <row r="373" ht="15.75" customHeight="1">
      <c r="A373" s="11" t="s">
        <v>1889</v>
      </c>
      <c r="B373" s="5" t="s">
        <v>133</v>
      </c>
      <c r="C373" s="5" t="s">
        <v>15</v>
      </c>
      <c r="D373" s="8" t="s">
        <v>1890</v>
      </c>
      <c r="E373" s="5" t="s">
        <v>1893</v>
      </c>
      <c r="F373" s="5" t="s">
        <v>38</v>
      </c>
      <c r="G373" s="5"/>
      <c r="H373" s="5" t="s">
        <v>75</v>
      </c>
      <c r="I373" s="5"/>
      <c r="J373" s="78" t="s">
        <v>14</v>
      </c>
      <c r="K373" s="78"/>
      <c r="L373" s="85"/>
      <c r="M373" s="5"/>
      <c r="N373" s="85"/>
      <c r="O373" s="22"/>
      <c r="P373" s="7" t="str">
        <f t="shared" si="3"/>
        <v>OK</v>
      </c>
      <c r="Q373" s="7"/>
      <c r="R373" s="7"/>
      <c r="S373" s="7"/>
      <c r="T373" s="7"/>
      <c r="U373" s="7"/>
      <c r="V373" s="7"/>
      <c r="W373" s="7"/>
      <c r="X373" s="7"/>
      <c r="Y373" s="7"/>
      <c r="Z373" s="7"/>
      <c r="AA373" s="7"/>
      <c r="AB373" s="7"/>
      <c r="AC373" s="7"/>
    </row>
    <row r="374" ht="15.75" customHeight="1">
      <c r="A374" s="11" t="s">
        <v>1894</v>
      </c>
      <c r="B374" s="5" t="s">
        <v>133</v>
      </c>
      <c r="C374" s="5" t="s">
        <v>15</v>
      </c>
      <c r="D374" s="8" t="s">
        <v>1895</v>
      </c>
      <c r="E374" s="5" t="s">
        <v>1898</v>
      </c>
      <c r="F374" s="5" t="s">
        <v>51</v>
      </c>
      <c r="G374" s="5"/>
      <c r="H374" s="5" t="s">
        <v>31</v>
      </c>
      <c r="I374" s="5"/>
      <c r="J374" s="78" t="s">
        <v>14</v>
      </c>
      <c r="K374" s="78"/>
      <c r="L374" s="85"/>
      <c r="M374" s="5"/>
      <c r="N374" s="85"/>
      <c r="O374" s="22"/>
      <c r="P374" s="7" t="str">
        <f t="shared" si="3"/>
        <v>OK</v>
      </c>
      <c r="Q374" s="7"/>
      <c r="R374" s="7"/>
      <c r="S374" s="7"/>
      <c r="T374" s="7"/>
      <c r="U374" s="7"/>
      <c r="V374" s="7"/>
      <c r="W374" s="7"/>
      <c r="X374" s="7"/>
      <c r="Y374" s="7"/>
      <c r="Z374" s="7"/>
      <c r="AA374" s="7"/>
      <c r="AB374" s="7"/>
      <c r="AC374" s="7"/>
    </row>
    <row r="375" ht="15.75" customHeight="1">
      <c r="A375" s="11" t="s">
        <v>1899</v>
      </c>
      <c r="B375" s="5" t="s">
        <v>133</v>
      </c>
      <c r="C375" s="5" t="s">
        <v>15</v>
      </c>
      <c r="D375" s="8" t="s">
        <v>1900</v>
      </c>
      <c r="E375" s="5" t="s">
        <v>1902</v>
      </c>
      <c r="F375" s="5" t="s">
        <v>38</v>
      </c>
      <c r="G375" s="5"/>
      <c r="H375" s="5" t="s">
        <v>39</v>
      </c>
      <c r="I375" s="5"/>
      <c r="J375" s="78" t="s">
        <v>14</v>
      </c>
      <c r="K375" s="78"/>
      <c r="L375" s="85"/>
      <c r="M375" s="5"/>
      <c r="N375" s="85"/>
      <c r="O375" s="22"/>
      <c r="P375" s="7" t="str">
        <f t="shared" si="3"/>
        <v>OK</v>
      </c>
      <c r="Q375" s="7"/>
      <c r="R375" s="7"/>
      <c r="S375" s="7"/>
      <c r="T375" s="7"/>
      <c r="U375" s="7"/>
      <c r="V375" s="7"/>
      <c r="W375" s="7"/>
      <c r="X375" s="7"/>
      <c r="Y375" s="7"/>
      <c r="Z375" s="7"/>
      <c r="AA375" s="7"/>
      <c r="AB375" s="7"/>
      <c r="AC375" s="7"/>
    </row>
    <row r="376" ht="15.75" customHeight="1">
      <c r="A376" s="11" t="s">
        <v>1904</v>
      </c>
      <c r="B376" s="5" t="s">
        <v>133</v>
      </c>
      <c r="C376" s="5" t="s">
        <v>15</v>
      </c>
      <c r="D376" s="8" t="s">
        <v>2653</v>
      </c>
      <c r="E376" s="5" t="s">
        <v>1907</v>
      </c>
      <c r="F376" s="5" t="s">
        <v>20</v>
      </c>
      <c r="G376" s="5"/>
      <c r="H376" s="5" t="s">
        <v>111</v>
      </c>
      <c r="I376" s="5"/>
      <c r="J376" s="78" t="s">
        <v>14</v>
      </c>
      <c r="K376" s="78"/>
      <c r="L376" s="85"/>
      <c r="M376" s="5"/>
      <c r="N376" s="85"/>
      <c r="O376" s="22"/>
      <c r="P376" s="7" t="str">
        <f t="shared" si="3"/>
        <v>OK</v>
      </c>
      <c r="Q376" s="7"/>
      <c r="R376" s="7"/>
      <c r="S376" s="7"/>
      <c r="T376" s="7"/>
      <c r="U376" s="7"/>
      <c r="V376" s="7"/>
      <c r="W376" s="7"/>
      <c r="X376" s="7"/>
      <c r="Y376" s="7"/>
      <c r="Z376" s="7"/>
      <c r="AA376" s="7"/>
      <c r="AB376" s="7"/>
      <c r="AC376" s="7"/>
    </row>
    <row r="377" ht="15.75" customHeight="1">
      <c r="A377" s="11" t="s">
        <v>1909</v>
      </c>
      <c r="B377" s="5" t="s">
        <v>133</v>
      </c>
      <c r="C377" s="5" t="s">
        <v>15</v>
      </c>
      <c r="D377" s="8" t="s">
        <v>1910</v>
      </c>
      <c r="E377" s="5" t="s">
        <v>1913</v>
      </c>
      <c r="F377" s="5" t="s">
        <v>29</v>
      </c>
      <c r="G377" s="5"/>
      <c r="H377" s="5" t="s">
        <v>31</v>
      </c>
      <c r="I377" s="5"/>
      <c r="J377" s="78" t="s">
        <v>14</v>
      </c>
      <c r="K377" s="78"/>
      <c r="L377" s="85"/>
      <c r="M377" s="5"/>
      <c r="N377" s="85"/>
      <c r="O377" s="22"/>
      <c r="P377" s="7" t="str">
        <f t="shared" si="3"/>
        <v>OK</v>
      </c>
      <c r="Q377" s="7"/>
      <c r="R377" s="7"/>
      <c r="S377" s="7"/>
      <c r="T377" s="7"/>
      <c r="U377" s="7"/>
      <c r="V377" s="7"/>
      <c r="W377" s="7"/>
      <c r="X377" s="7"/>
      <c r="Y377" s="7"/>
      <c r="Z377" s="7"/>
      <c r="AA377" s="7"/>
      <c r="AB377" s="7"/>
      <c r="AC377" s="7"/>
    </row>
    <row r="378" ht="15.75" customHeight="1">
      <c r="A378" s="11" t="s">
        <v>1914</v>
      </c>
      <c r="B378" s="5" t="s">
        <v>133</v>
      </c>
      <c r="C378" s="5" t="s">
        <v>15</v>
      </c>
      <c r="D378" s="8" t="s">
        <v>1915</v>
      </c>
      <c r="E378" s="5" t="s">
        <v>1918</v>
      </c>
      <c r="F378" s="5" t="s">
        <v>29</v>
      </c>
      <c r="G378" s="5"/>
      <c r="H378" s="5" t="s">
        <v>52</v>
      </c>
      <c r="I378" s="5"/>
      <c r="J378" s="78" t="s">
        <v>14</v>
      </c>
      <c r="K378" s="78"/>
      <c r="L378" s="85"/>
      <c r="M378" s="5"/>
      <c r="N378" s="85"/>
      <c r="O378" s="22"/>
      <c r="P378" s="7" t="str">
        <f t="shared" si="3"/>
        <v>OK</v>
      </c>
      <c r="Q378" s="7"/>
      <c r="R378" s="7"/>
      <c r="S378" s="7"/>
      <c r="T378" s="7"/>
      <c r="U378" s="7"/>
      <c r="V378" s="7"/>
      <c r="W378" s="7"/>
      <c r="X378" s="7"/>
      <c r="Y378" s="7"/>
      <c r="Z378" s="7"/>
      <c r="AA378" s="7"/>
      <c r="AB378" s="7"/>
      <c r="AC378" s="7"/>
    </row>
    <row r="379" ht="15.75" customHeight="1">
      <c r="A379" s="11" t="s">
        <v>1919</v>
      </c>
      <c r="B379" s="5" t="s">
        <v>133</v>
      </c>
      <c r="C379" s="5" t="s">
        <v>15</v>
      </c>
      <c r="D379" s="8" t="s">
        <v>1920</v>
      </c>
      <c r="E379" s="5" t="s">
        <v>1921</v>
      </c>
      <c r="F379" s="5" t="s">
        <v>29</v>
      </c>
      <c r="G379" s="5"/>
      <c r="H379" s="5" t="s">
        <v>39</v>
      </c>
      <c r="I379" s="5"/>
      <c r="J379" s="78" t="s">
        <v>14</v>
      </c>
      <c r="K379" s="78"/>
      <c r="L379" s="85"/>
      <c r="M379" s="5"/>
      <c r="N379" s="85"/>
      <c r="O379" s="22"/>
      <c r="P379" s="7" t="str">
        <f t="shared" si="3"/>
        <v>OK</v>
      </c>
      <c r="Q379" s="7"/>
      <c r="R379" s="7"/>
      <c r="S379" s="7"/>
      <c r="T379" s="7"/>
      <c r="U379" s="7"/>
      <c r="V379" s="7"/>
      <c r="W379" s="7"/>
      <c r="X379" s="7"/>
      <c r="Y379" s="7"/>
      <c r="Z379" s="7"/>
      <c r="AA379" s="7"/>
      <c r="AB379" s="7"/>
      <c r="AC379" s="7"/>
    </row>
    <row r="380" ht="15.75" customHeight="1">
      <c r="A380" s="11" t="s">
        <v>1924</v>
      </c>
      <c r="B380" s="5" t="s">
        <v>133</v>
      </c>
      <c r="C380" s="5" t="s">
        <v>15</v>
      </c>
      <c r="D380" s="8" t="s">
        <v>1925</v>
      </c>
      <c r="E380" s="5" t="s">
        <v>1927</v>
      </c>
      <c r="F380" s="5" t="s">
        <v>37</v>
      </c>
      <c r="G380" s="5"/>
      <c r="H380" s="5" t="s">
        <v>22</v>
      </c>
      <c r="I380" s="5"/>
      <c r="J380" s="78" t="s">
        <v>14</v>
      </c>
      <c r="K380" s="78"/>
      <c r="L380" s="85"/>
      <c r="M380" s="5"/>
      <c r="N380" s="85"/>
      <c r="O380" s="22"/>
      <c r="P380" s="7" t="str">
        <f t="shared" si="3"/>
        <v>OK</v>
      </c>
      <c r="Q380" s="7"/>
      <c r="R380" s="7"/>
      <c r="S380" s="7"/>
      <c r="T380" s="7"/>
      <c r="U380" s="7"/>
      <c r="V380" s="7"/>
      <c r="W380" s="7"/>
      <c r="X380" s="7"/>
      <c r="Y380" s="7"/>
      <c r="Z380" s="7"/>
      <c r="AA380" s="7"/>
      <c r="AB380" s="7"/>
      <c r="AC380" s="7"/>
    </row>
    <row r="381" ht="15.75" customHeight="1">
      <c r="A381" s="11" t="s">
        <v>1929</v>
      </c>
      <c r="B381" s="5" t="s">
        <v>133</v>
      </c>
      <c r="C381" s="5" t="s">
        <v>15</v>
      </c>
      <c r="D381" s="8" t="s">
        <v>1930</v>
      </c>
      <c r="E381" s="5" t="s">
        <v>1931</v>
      </c>
      <c r="F381" s="5" t="s">
        <v>21</v>
      </c>
      <c r="G381" s="5"/>
      <c r="H381" s="5" t="s">
        <v>52</v>
      </c>
      <c r="I381" s="5"/>
      <c r="J381" s="78" t="s">
        <v>14</v>
      </c>
      <c r="K381" s="78"/>
      <c r="L381" s="85"/>
      <c r="M381" s="5"/>
      <c r="N381" s="85"/>
      <c r="O381" s="22"/>
      <c r="P381" s="7" t="str">
        <f t="shared" si="3"/>
        <v>OK</v>
      </c>
      <c r="Q381" s="7"/>
      <c r="R381" s="7"/>
      <c r="S381" s="7"/>
      <c r="T381" s="7"/>
      <c r="U381" s="7"/>
      <c r="V381" s="7"/>
      <c r="W381" s="7"/>
      <c r="X381" s="7"/>
      <c r="Y381" s="7"/>
      <c r="Z381" s="7"/>
      <c r="AA381" s="7"/>
      <c r="AB381" s="7"/>
      <c r="AC381" s="7"/>
    </row>
    <row r="382" ht="15.75" customHeight="1">
      <c r="A382" s="11" t="s">
        <v>1934</v>
      </c>
      <c r="B382" s="5" t="s">
        <v>133</v>
      </c>
      <c r="C382" s="5" t="s">
        <v>15</v>
      </c>
      <c r="D382" s="8" t="s">
        <v>1935</v>
      </c>
      <c r="E382" s="5" t="s">
        <v>1937</v>
      </c>
      <c r="F382" s="5" t="s">
        <v>51</v>
      </c>
      <c r="G382" s="5"/>
      <c r="H382" s="5" t="s">
        <v>22</v>
      </c>
      <c r="I382" s="5"/>
      <c r="J382" s="78" t="s">
        <v>14</v>
      </c>
      <c r="K382" s="78"/>
      <c r="L382" s="85"/>
      <c r="M382" s="5"/>
      <c r="N382" s="85"/>
      <c r="O382" s="22"/>
      <c r="P382" s="7" t="str">
        <f t="shared" si="3"/>
        <v>OK</v>
      </c>
      <c r="Q382" s="7"/>
      <c r="R382" s="7"/>
      <c r="S382" s="7"/>
      <c r="T382" s="7"/>
      <c r="U382" s="7"/>
      <c r="V382" s="7"/>
      <c r="W382" s="7"/>
      <c r="X382" s="7"/>
      <c r="Y382" s="7"/>
      <c r="Z382" s="7"/>
      <c r="AA382" s="7"/>
      <c r="AB382" s="7"/>
      <c r="AC382" s="7"/>
    </row>
    <row r="383" ht="15.75" customHeight="1">
      <c r="A383" s="11" t="s">
        <v>1939</v>
      </c>
      <c r="B383" s="5" t="s">
        <v>133</v>
      </c>
      <c r="C383" s="5" t="s">
        <v>15</v>
      </c>
      <c r="D383" s="8" t="s">
        <v>1940</v>
      </c>
      <c r="E383" s="5" t="s">
        <v>1943</v>
      </c>
      <c r="F383" s="5" t="s">
        <v>37</v>
      </c>
      <c r="G383" s="5"/>
      <c r="H383" s="5" t="s">
        <v>30</v>
      </c>
      <c r="I383" s="5"/>
      <c r="J383" s="78" t="s">
        <v>14</v>
      </c>
      <c r="K383" s="78"/>
      <c r="L383" s="85"/>
      <c r="M383" s="5"/>
      <c r="N383" s="85"/>
      <c r="O383" s="22"/>
      <c r="P383" s="7" t="str">
        <f t="shared" si="3"/>
        <v>OK</v>
      </c>
      <c r="Q383" s="7"/>
      <c r="R383" s="7"/>
      <c r="S383" s="7"/>
      <c r="T383" s="7"/>
      <c r="U383" s="7"/>
      <c r="V383" s="7"/>
      <c r="W383" s="7"/>
      <c r="X383" s="7"/>
      <c r="Y383" s="7"/>
      <c r="Z383" s="7"/>
      <c r="AA383" s="7"/>
      <c r="AB383" s="7"/>
      <c r="AC383" s="7"/>
    </row>
    <row r="384" ht="15.75" customHeight="1">
      <c r="A384" s="11" t="s">
        <v>1944</v>
      </c>
      <c r="B384" s="5" t="s">
        <v>133</v>
      </c>
      <c r="C384" s="5" t="s">
        <v>15</v>
      </c>
      <c r="D384" s="8" t="s">
        <v>1945</v>
      </c>
      <c r="E384" s="5" t="s">
        <v>1946</v>
      </c>
      <c r="F384" s="5" t="s">
        <v>51</v>
      </c>
      <c r="G384" s="5"/>
      <c r="H384" s="5" t="s">
        <v>23</v>
      </c>
      <c r="I384" s="5"/>
      <c r="J384" s="78" t="s">
        <v>14</v>
      </c>
      <c r="K384" s="78"/>
      <c r="L384" s="85"/>
      <c r="M384" s="5"/>
      <c r="N384" s="85"/>
      <c r="O384" s="22"/>
      <c r="P384" s="7" t="str">
        <f t="shared" si="3"/>
        <v>OK</v>
      </c>
      <c r="Q384" s="7"/>
      <c r="R384" s="7"/>
      <c r="S384" s="7"/>
      <c r="T384" s="7"/>
      <c r="U384" s="7"/>
      <c r="V384" s="7"/>
      <c r="W384" s="7"/>
      <c r="X384" s="7"/>
      <c r="Y384" s="7"/>
      <c r="Z384" s="7"/>
      <c r="AA384" s="7"/>
      <c r="AB384" s="7"/>
      <c r="AC384" s="7"/>
    </row>
    <row r="385" ht="15.75" customHeight="1">
      <c r="A385" s="11" t="s">
        <v>1949</v>
      </c>
      <c r="B385" s="5" t="s">
        <v>133</v>
      </c>
      <c r="C385" s="5" t="s">
        <v>15</v>
      </c>
      <c r="D385" s="8" t="s">
        <v>1950</v>
      </c>
      <c r="E385" s="5" t="s">
        <v>1951</v>
      </c>
      <c r="F385" s="5" t="s">
        <v>37</v>
      </c>
      <c r="G385" s="5"/>
      <c r="H385" s="5" t="s">
        <v>52</v>
      </c>
      <c r="I385" s="5"/>
      <c r="J385" s="78" t="s">
        <v>14</v>
      </c>
      <c r="K385" s="78"/>
      <c r="L385" s="85"/>
      <c r="M385" s="5"/>
      <c r="N385" s="85"/>
      <c r="O385" s="22"/>
      <c r="P385" s="7" t="str">
        <f t="shared" si="3"/>
        <v>OK</v>
      </c>
      <c r="Q385" s="7"/>
      <c r="R385" s="7"/>
      <c r="S385" s="7"/>
      <c r="T385" s="7"/>
      <c r="U385" s="7"/>
      <c r="V385" s="7"/>
      <c r="W385" s="7"/>
      <c r="X385" s="7"/>
      <c r="Y385" s="7"/>
      <c r="Z385" s="7"/>
      <c r="AA385" s="7"/>
      <c r="AB385" s="7"/>
      <c r="AC385" s="7"/>
    </row>
    <row r="386" ht="15.75" customHeight="1">
      <c r="A386" s="11" t="s">
        <v>1954</v>
      </c>
      <c r="B386" s="5" t="s">
        <v>133</v>
      </c>
      <c r="C386" s="5" t="s">
        <v>15</v>
      </c>
      <c r="D386" s="8" t="s">
        <v>1955</v>
      </c>
      <c r="E386" s="5" t="s">
        <v>1959</v>
      </c>
      <c r="F386" s="5" t="s">
        <v>29</v>
      </c>
      <c r="G386" s="5"/>
      <c r="H386" s="5" t="s">
        <v>39</v>
      </c>
      <c r="I386" s="5"/>
      <c r="J386" s="78" t="s">
        <v>14</v>
      </c>
      <c r="K386" s="78"/>
      <c r="L386" s="85"/>
      <c r="M386" s="5"/>
      <c r="N386" s="85"/>
      <c r="O386" s="22"/>
      <c r="P386" s="7" t="str">
        <f t="shared" si="3"/>
        <v>OK</v>
      </c>
      <c r="Q386" s="7"/>
      <c r="R386" s="7"/>
      <c r="S386" s="7"/>
      <c r="T386" s="7"/>
      <c r="U386" s="7"/>
      <c r="V386" s="7"/>
      <c r="W386" s="7"/>
      <c r="X386" s="7"/>
      <c r="Y386" s="7"/>
      <c r="Z386" s="7"/>
      <c r="AA386" s="7"/>
      <c r="AB386" s="7"/>
      <c r="AC386" s="7"/>
    </row>
    <row r="387" ht="15.75" customHeight="1">
      <c r="A387" s="11" t="s">
        <v>1960</v>
      </c>
      <c r="B387" s="5" t="s">
        <v>133</v>
      </c>
      <c r="C387" s="5" t="s">
        <v>15</v>
      </c>
      <c r="D387" s="8" t="s">
        <v>1961</v>
      </c>
      <c r="E387" s="5" t="s">
        <v>1964</v>
      </c>
      <c r="F387" s="5" t="s">
        <v>38</v>
      </c>
      <c r="G387" s="5"/>
      <c r="H387" s="5" t="s">
        <v>31</v>
      </c>
      <c r="I387" s="5"/>
      <c r="J387" s="78" t="s">
        <v>14</v>
      </c>
      <c r="K387" s="78"/>
      <c r="L387" s="85"/>
      <c r="M387" s="5"/>
      <c r="N387" s="85"/>
      <c r="O387" s="22"/>
      <c r="P387" s="7" t="str">
        <f t="shared" si="3"/>
        <v>OK</v>
      </c>
      <c r="Q387" s="7"/>
      <c r="R387" s="7"/>
      <c r="S387" s="7"/>
      <c r="T387" s="7"/>
      <c r="U387" s="7"/>
      <c r="V387" s="7"/>
      <c r="W387" s="7"/>
      <c r="X387" s="7"/>
      <c r="Y387" s="7"/>
      <c r="Z387" s="7"/>
      <c r="AA387" s="7"/>
      <c r="AB387" s="7"/>
      <c r="AC387" s="7"/>
    </row>
    <row r="388" ht="15.75" customHeight="1">
      <c r="A388" s="11" t="s">
        <v>1965</v>
      </c>
      <c r="B388" s="5" t="s">
        <v>133</v>
      </c>
      <c r="C388" s="5" t="s">
        <v>15</v>
      </c>
      <c r="D388" s="8" t="s">
        <v>1966</v>
      </c>
      <c r="E388" s="5" t="s">
        <v>1970</v>
      </c>
      <c r="F388" s="5" t="s">
        <v>51</v>
      </c>
      <c r="G388" s="5"/>
      <c r="H388" s="5" t="s">
        <v>31</v>
      </c>
      <c r="I388" s="5"/>
      <c r="J388" s="78" t="s">
        <v>14</v>
      </c>
      <c r="K388" s="78"/>
      <c r="L388" s="85"/>
      <c r="M388" s="5"/>
      <c r="N388" s="85"/>
      <c r="O388" s="22"/>
      <c r="P388" s="7" t="str">
        <f t="shared" si="3"/>
        <v>OK</v>
      </c>
      <c r="Q388" s="7"/>
      <c r="R388" s="7"/>
      <c r="S388" s="7"/>
      <c r="T388" s="7"/>
      <c r="U388" s="7"/>
      <c r="V388" s="7"/>
      <c r="W388" s="7"/>
      <c r="X388" s="7"/>
      <c r="Y388" s="7"/>
      <c r="Z388" s="7"/>
      <c r="AA388" s="7"/>
      <c r="AB388" s="7"/>
      <c r="AC388" s="7"/>
    </row>
    <row r="389" ht="15.75" customHeight="1">
      <c r="A389" s="11" t="s">
        <v>1971</v>
      </c>
      <c r="B389" s="5" t="s">
        <v>133</v>
      </c>
      <c r="C389" s="5" t="s">
        <v>15</v>
      </c>
      <c r="D389" s="8" t="s">
        <v>1972</v>
      </c>
      <c r="E389" s="5" t="s">
        <v>1975</v>
      </c>
      <c r="F389" s="5" t="s">
        <v>51</v>
      </c>
      <c r="G389" s="5"/>
      <c r="H389" s="5" t="s">
        <v>52</v>
      </c>
      <c r="I389" s="5"/>
      <c r="J389" s="78" t="s">
        <v>14</v>
      </c>
      <c r="K389" s="78"/>
      <c r="L389" s="85"/>
      <c r="M389" s="5"/>
      <c r="N389" s="85"/>
      <c r="O389" s="22"/>
      <c r="P389" s="7" t="str">
        <f t="shared" si="3"/>
        <v>OK</v>
      </c>
      <c r="Q389" s="7"/>
      <c r="R389" s="7"/>
      <c r="S389" s="7"/>
      <c r="T389" s="7"/>
      <c r="U389" s="7"/>
      <c r="V389" s="7"/>
      <c r="W389" s="7"/>
      <c r="X389" s="7"/>
      <c r="Y389" s="7"/>
      <c r="Z389" s="7"/>
      <c r="AA389" s="7"/>
      <c r="AB389" s="7"/>
      <c r="AC389" s="7"/>
    </row>
    <row r="390" ht="15.75" customHeight="1">
      <c r="A390" s="11" t="s">
        <v>1976</v>
      </c>
      <c r="B390" s="5" t="s">
        <v>133</v>
      </c>
      <c r="C390" s="5" t="s">
        <v>15</v>
      </c>
      <c r="D390" s="8" t="s">
        <v>2654</v>
      </c>
      <c r="E390" s="5" t="s">
        <v>1979</v>
      </c>
      <c r="F390" s="5" t="s">
        <v>38</v>
      </c>
      <c r="G390" s="5"/>
      <c r="H390" s="5" t="s">
        <v>31</v>
      </c>
      <c r="I390" s="5"/>
      <c r="J390" s="78" t="s">
        <v>14</v>
      </c>
      <c r="K390" s="78"/>
      <c r="L390" s="85"/>
      <c r="M390" s="5"/>
      <c r="N390" s="85"/>
      <c r="O390" s="22"/>
      <c r="P390" s="7" t="str">
        <f t="shared" si="3"/>
        <v>OK</v>
      </c>
      <c r="Q390" s="7"/>
      <c r="R390" s="7"/>
      <c r="S390" s="7"/>
      <c r="T390" s="7"/>
      <c r="U390" s="7"/>
      <c r="V390" s="7"/>
      <c r="W390" s="7"/>
      <c r="X390" s="7"/>
      <c r="Y390" s="7"/>
      <c r="Z390" s="7"/>
      <c r="AA390" s="7"/>
      <c r="AB390" s="7"/>
      <c r="AC390" s="7"/>
    </row>
    <row r="391" ht="15.75" customHeight="1">
      <c r="A391" s="11" t="s">
        <v>1981</v>
      </c>
      <c r="B391" s="5" t="s">
        <v>133</v>
      </c>
      <c r="C391" s="5" t="s">
        <v>15</v>
      </c>
      <c r="D391" s="8" t="s">
        <v>1982</v>
      </c>
      <c r="E391" s="5" t="s">
        <v>1985</v>
      </c>
      <c r="F391" s="5" t="s">
        <v>45</v>
      </c>
      <c r="G391" s="5"/>
      <c r="H391" s="5" t="s">
        <v>30</v>
      </c>
      <c r="I391" s="5"/>
      <c r="J391" s="78" t="s">
        <v>14</v>
      </c>
      <c r="K391" s="78"/>
      <c r="L391" s="85"/>
      <c r="M391" s="5"/>
      <c r="N391" s="85"/>
      <c r="O391" s="22"/>
      <c r="P391" s="7" t="str">
        <f t="shared" si="3"/>
        <v>OK</v>
      </c>
      <c r="Q391" s="7"/>
      <c r="R391" s="7"/>
      <c r="S391" s="7"/>
      <c r="T391" s="7"/>
      <c r="U391" s="7"/>
      <c r="V391" s="7"/>
      <c r="W391" s="7"/>
      <c r="X391" s="7"/>
      <c r="Y391" s="7"/>
      <c r="Z391" s="7"/>
      <c r="AA391" s="7"/>
      <c r="AB391" s="7"/>
      <c r="AC391" s="7"/>
    </row>
    <row r="392" ht="15.75" customHeight="1">
      <c r="A392" s="11" t="s">
        <v>1986</v>
      </c>
      <c r="B392" s="5" t="s">
        <v>133</v>
      </c>
      <c r="C392" s="5" t="s">
        <v>15</v>
      </c>
      <c r="D392" s="8" t="s">
        <v>1987</v>
      </c>
      <c r="E392" s="5" t="s">
        <v>1990</v>
      </c>
      <c r="F392" s="5" t="s">
        <v>51</v>
      </c>
      <c r="G392" s="5"/>
      <c r="H392" s="5" t="s">
        <v>52</v>
      </c>
      <c r="I392" s="5"/>
      <c r="J392" s="78" t="s">
        <v>14</v>
      </c>
      <c r="K392" s="78"/>
      <c r="L392" s="85"/>
      <c r="M392" s="5"/>
      <c r="N392" s="85"/>
      <c r="O392" s="22"/>
      <c r="P392" s="7" t="str">
        <f t="shared" si="3"/>
        <v>OK</v>
      </c>
      <c r="Q392" s="7"/>
      <c r="R392" s="7"/>
      <c r="S392" s="7"/>
      <c r="T392" s="7"/>
      <c r="U392" s="7"/>
      <c r="V392" s="7"/>
      <c r="W392" s="7"/>
      <c r="X392" s="7"/>
      <c r="Y392" s="7"/>
      <c r="Z392" s="7"/>
      <c r="AA392" s="7"/>
      <c r="AB392" s="7"/>
      <c r="AC392" s="7"/>
    </row>
    <row r="393" ht="15.75" customHeight="1">
      <c r="A393" s="11" t="s">
        <v>1991</v>
      </c>
      <c r="B393" s="5" t="s">
        <v>133</v>
      </c>
      <c r="C393" s="5" t="s">
        <v>15</v>
      </c>
      <c r="D393" s="8" t="s">
        <v>1992</v>
      </c>
      <c r="E393" s="5" t="s">
        <v>1995</v>
      </c>
      <c r="F393" s="5" t="s">
        <v>51</v>
      </c>
      <c r="G393" s="5"/>
      <c r="H393" s="5" t="s">
        <v>52</v>
      </c>
      <c r="I393" s="5"/>
      <c r="J393" s="78" t="s">
        <v>14</v>
      </c>
      <c r="K393" s="78"/>
      <c r="L393" s="85"/>
      <c r="M393" s="5"/>
      <c r="N393" s="85"/>
      <c r="O393" s="22"/>
      <c r="P393" s="7" t="str">
        <f t="shared" si="3"/>
        <v>OK</v>
      </c>
      <c r="Q393" s="7"/>
      <c r="R393" s="7"/>
      <c r="S393" s="7"/>
      <c r="T393" s="7"/>
      <c r="U393" s="7"/>
      <c r="V393" s="7"/>
      <c r="W393" s="7"/>
      <c r="X393" s="7"/>
      <c r="Y393" s="7"/>
      <c r="Z393" s="7"/>
      <c r="AA393" s="7"/>
      <c r="AB393" s="7"/>
      <c r="AC393" s="7"/>
    </row>
    <row r="394" ht="15.75" customHeight="1">
      <c r="A394" s="11" t="s">
        <v>1996</v>
      </c>
      <c r="B394" s="5" t="s">
        <v>133</v>
      </c>
      <c r="C394" s="5" t="s">
        <v>15</v>
      </c>
      <c r="D394" s="8" t="s">
        <v>1997</v>
      </c>
      <c r="E394" s="5" t="s">
        <v>2000</v>
      </c>
      <c r="F394" s="5" t="s">
        <v>51</v>
      </c>
      <c r="G394" s="5"/>
      <c r="H394" s="5" t="s">
        <v>31</v>
      </c>
      <c r="I394" s="5"/>
      <c r="J394" s="78" t="s">
        <v>14</v>
      </c>
      <c r="K394" s="78"/>
      <c r="L394" s="85"/>
      <c r="M394" s="5"/>
      <c r="N394" s="85"/>
      <c r="O394" s="22"/>
      <c r="P394" s="7" t="str">
        <f t="shared" si="3"/>
        <v>OK</v>
      </c>
      <c r="Q394" s="7"/>
      <c r="R394" s="7"/>
      <c r="S394" s="7"/>
      <c r="T394" s="7"/>
      <c r="U394" s="7"/>
      <c r="V394" s="7"/>
      <c r="W394" s="7"/>
      <c r="X394" s="7"/>
      <c r="Y394" s="7"/>
      <c r="Z394" s="7"/>
      <c r="AA394" s="7"/>
      <c r="AB394" s="7"/>
      <c r="AC394" s="7"/>
    </row>
    <row r="395" ht="15.75" customHeight="1">
      <c r="A395" s="11" t="s">
        <v>2001</v>
      </c>
      <c r="B395" s="5" t="s">
        <v>133</v>
      </c>
      <c r="C395" s="5" t="s">
        <v>15</v>
      </c>
      <c r="D395" s="8" t="s">
        <v>2002</v>
      </c>
      <c r="E395" s="5" t="s">
        <v>2005</v>
      </c>
      <c r="F395" s="5" t="s">
        <v>74</v>
      </c>
      <c r="G395" s="5"/>
      <c r="H395" s="5" t="s">
        <v>30</v>
      </c>
      <c r="I395" s="5"/>
      <c r="J395" s="78" t="s">
        <v>14</v>
      </c>
      <c r="K395" s="78"/>
      <c r="L395" s="85"/>
      <c r="M395" s="5"/>
      <c r="N395" s="85"/>
      <c r="O395" s="22"/>
      <c r="P395" s="7" t="str">
        <f t="shared" si="3"/>
        <v>OK</v>
      </c>
      <c r="Q395" s="7"/>
      <c r="R395" s="7"/>
      <c r="S395" s="7"/>
      <c r="T395" s="7"/>
      <c r="U395" s="7"/>
      <c r="V395" s="7"/>
      <c r="W395" s="7"/>
      <c r="X395" s="7"/>
      <c r="Y395" s="7"/>
      <c r="Z395" s="7"/>
      <c r="AA395" s="7"/>
      <c r="AB395" s="7"/>
      <c r="AC395" s="7"/>
    </row>
    <row r="396" ht="15.75" customHeight="1">
      <c r="A396" s="11" t="s">
        <v>2006</v>
      </c>
      <c r="B396" s="5" t="s">
        <v>133</v>
      </c>
      <c r="C396" s="5" t="s">
        <v>15</v>
      </c>
      <c r="D396" s="8" t="s">
        <v>2007</v>
      </c>
      <c r="E396" s="5" t="s">
        <v>2010</v>
      </c>
      <c r="F396" s="5" t="s">
        <v>37</v>
      </c>
      <c r="G396" s="5"/>
      <c r="H396" s="5" t="s">
        <v>31</v>
      </c>
      <c r="I396" s="5"/>
      <c r="J396" s="78" t="s">
        <v>14</v>
      </c>
      <c r="K396" s="78"/>
      <c r="L396" s="85"/>
      <c r="M396" s="5"/>
      <c r="N396" s="85"/>
      <c r="O396" s="22"/>
      <c r="P396" s="7" t="str">
        <f t="shared" si="3"/>
        <v>OK</v>
      </c>
      <c r="Q396" s="7"/>
      <c r="R396" s="7"/>
      <c r="S396" s="7"/>
      <c r="T396" s="7"/>
      <c r="U396" s="7"/>
      <c r="V396" s="7"/>
      <c r="W396" s="7"/>
      <c r="X396" s="7"/>
      <c r="Y396" s="7"/>
      <c r="Z396" s="7"/>
      <c r="AA396" s="7"/>
      <c r="AB396" s="7"/>
      <c r="AC396" s="7"/>
    </row>
    <row r="397" ht="15.75" customHeight="1">
      <c r="A397" s="11" t="s">
        <v>2011</v>
      </c>
      <c r="B397" s="5" t="s">
        <v>133</v>
      </c>
      <c r="C397" s="5" t="s">
        <v>15</v>
      </c>
      <c r="D397" s="8" t="s">
        <v>2012</v>
      </c>
      <c r="E397" s="5" t="s">
        <v>2015</v>
      </c>
      <c r="F397" s="5" t="s">
        <v>51</v>
      </c>
      <c r="G397" s="5"/>
      <c r="H397" s="5" t="s">
        <v>111</v>
      </c>
      <c r="I397" s="5"/>
      <c r="J397" s="78" t="s">
        <v>14</v>
      </c>
      <c r="K397" s="78"/>
      <c r="L397" s="85"/>
      <c r="M397" s="5"/>
      <c r="N397" s="85"/>
      <c r="O397" s="22"/>
      <c r="P397" s="7" t="str">
        <f t="shared" si="3"/>
        <v>OK</v>
      </c>
      <c r="Q397" s="7"/>
      <c r="R397" s="7"/>
      <c r="S397" s="7"/>
      <c r="T397" s="7"/>
      <c r="U397" s="7"/>
      <c r="V397" s="7"/>
      <c r="W397" s="7"/>
      <c r="X397" s="7"/>
      <c r="Y397" s="7"/>
      <c r="Z397" s="7"/>
      <c r="AA397" s="7"/>
      <c r="AB397" s="7"/>
      <c r="AC397" s="7"/>
    </row>
    <row r="398" ht="15.75" customHeight="1">
      <c r="A398" s="11" t="s">
        <v>2016</v>
      </c>
      <c r="B398" s="5" t="s">
        <v>133</v>
      </c>
      <c r="C398" s="5" t="s">
        <v>15</v>
      </c>
      <c r="D398" s="8" t="s">
        <v>2017</v>
      </c>
      <c r="E398" s="5" t="s">
        <v>2020</v>
      </c>
      <c r="F398" s="5" t="s">
        <v>51</v>
      </c>
      <c r="G398" s="5"/>
      <c r="H398" s="5" t="s">
        <v>52</v>
      </c>
      <c r="I398" s="5"/>
      <c r="J398" s="78" t="s">
        <v>14</v>
      </c>
      <c r="K398" s="78"/>
      <c r="L398" s="85"/>
      <c r="M398" s="5"/>
      <c r="N398" s="85"/>
      <c r="O398" s="22"/>
      <c r="P398" s="7" t="str">
        <f t="shared" si="3"/>
        <v>OK</v>
      </c>
      <c r="Q398" s="7"/>
      <c r="R398" s="7"/>
      <c r="S398" s="7"/>
      <c r="T398" s="7"/>
      <c r="U398" s="7"/>
      <c r="V398" s="7"/>
      <c r="W398" s="7"/>
      <c r="X398" s="7"/>
      <c r="Y398" s="7"/>
      <c r="Z398" s="7"/>
      <c r="AA398" s="7"/>
      <c r="AB398" s="7"/>
      <c r="AC398" s="7"/>
    </row>
    <row r="399" ht="15.75" customHeight="1">
      <c r="A399" s="11" t="s">
        <v>2021</v>
      </c>
      <c r="B399" s="5" t="s">
        <v>133</v>
      </c>
      <c r="C399" s="5" t="s">
        <v>15</v>
      </c>
      <c r="D399" s="8" t="s">
        <v>2022</v>
      </c>
      <c r="E399" s="5" t="s">
        <v>2025</v>
      </c>
      <c r="F399" s="5" t="s">
        <v>74</v>
      </c>
      <c r="G399" s="5"/>
      <c r="H399" s="5" t="s">
        <v>31</v>
      </c>
      <c r="I399" s="5"/>
      <c r="J399" s="78" t="s">
        <v>14</v>
      </c>
      <c r="K399" s="78"/>
      <c r="L399" s="85"/>
      <c r="M399" s="5"/>
      <c r="N399" s="85"/>
      <c r="O399" s="22"/>
      <c r="P399" s="7" t="str">
        <f t="shared" si="3"/>
        <v>OK</v>
      </c>
      <c r="Q399" s="7"/>
      <c r="R399" s="7"/>
      <c r="S399" s="7"/>
      <c r="T399" s="7"/>
      <c r="U399" s="7"/>
      <c r="V399" s="7"/>
      <c r="W399" s="7"/>
      <c r="X399" s="7"/>
      <c r="Y399" s="7"/>
      <c r="Z399" s="7"/>
      <c r="AA399" s="7"/>
      <c r="AB399" s="7"/>
      <c r="AC399" s="7"/>
    </row>
    <row r="400" ht="15.75" customHeight="1">
      <c r="A400" s="11" t="s">
        <v>2026</v>
      </c>
      <c r="B400" s="5" t="s">
        <v>133</v>
      </c>
      <c r="C400" s="5" t="s">
        <v>15</v>
      </c>
      <c r="D400" s="8" t="s">
        <v>2027</v>
      </c>
      <c r="E400" s="5" t="s">
        <v>2028</v>
      </c>
      <c r="F400" s="5" t="s">
        <v>51</v>
      </c>
      <c r="G400" s="5"/>
      <c r="H400" s="5" t="s">
        <v>22</v>
      </c>
      <c r="I400" s="5"/>
      <c r="J400" s="78" t="s">
        <v>14</v>
      </c>
      <c r="K400" s="78"/>
      <c r="L400" s="85"/>
      <c r="M400" s="5"/>
      <c r="N400" s="85"/>
      <c r="O400" s="22"/>
      <c r="P400" s="7" t="str">
        <f t="shared" si="3"/>
        <v>OK</v>
      </c>
      <c r="Q400" s="7"/>
      <c r="R400" s="7"/>
      <c r="S400" s="7"/>
      <c r="T400" s="7"/>
      <c r="U400" s="7"/>
      <c r="V400" s="7"/>
      <c r="W400" s="7"/>
      <c r="X400" s="7"/>
      <c r="Y400" s="7"/>
      <c r="Z400" s="7"/>
      <c r="AA400" s="7"/>
      <c r="AB400" s="7"/>
      <c r="AC400" s="7"/>
    </row>
    <row r="401" ht="15.75" customHeight="1">
      <c r="A401" s="11" t="s">
        <v>2031</v>
      </c>
      <c r="B401" s="5" t="s">
        <v>133</v>
      </c>
      <c r="C401" s="5" t="s">
        <v>15</v>
      </c>
      <c r="D401" s="8" t="s">
        <v>2032</v>
      </c>
      <c r="E401" s="5" t="s">
        <v>2033</v>
      </c>
      <c r="F401" s="5" t="s">
        <v>38</v>
      </c>
      <c r="G401" s="5"/>
      <c r="H401" s="5" t="s">
        <v>52</v>
      </c>
      <c r="I401" s="5"/>
      <c r="J401" s="78" t="s">
        <v>14</v>
      </c>
      <c r="K401" s="78"/>
      <c r="L401" s="85"/>
      <c r="M401" s="5"/>
      <c r="N401" s="85"/>
      <c r="O401" s="22"/>
      <c r="P401" s="7" t="str">
        <f t="shared" si="3"/>
        <v>OK</v>
      </c>
      <c r="Q401" s="7"/>
      <c r="R401" s="7"/>
      <c r="S401" s="7"/>
      <c r="T401" s="7"/>
      <c r="U401" s="7"/>
      <c r="V401" s="7"/>
      <c r="W401" s="7"/>
      <c r="X401" s="7"/>
      <c r="Y401" s="7"/>
      <c r="Z401" s="7"/>
      <c r="AA401" s="7"/>
      <c r="AB401" s="7"/>
      <c r="AC401" s="7"/>
    </row>
    <row r="402" ht="15.75" customHeight="1">
      <c r="A402" s="11" t="s">
        <v>2036</v>
      </c>
      <c r="B402" s="5" t="s">
        <v>133</v>
      </c>
      <c r="C402" s="5" t="s">
        <v>15</v>
      </c>
      <c r="D402" s="8" t="s">
        <v>2037</v>
      </c>
      <c r="E402" s="5" t="s">
        <v>2039</v>
      </c>
      <c r="F402" s="5" t="s">
        <v>51</v>
      </c>
      <c r="G402" s="5"/>
      <c r="H402" s="5" t="s">
        <v>30</v>
      </c>
      <c r="I402" s="5"/>
      <c r="J402" s="78" t="s">
        <v>14</v>
      </c>
      <c r="K402" s="78"/>
      <c r="L402" s="85"/>
      <c r="M402" s="5"/>
      <c r="N402" s="85"/>
      <c r="O402" s="22"/>
      <c r="P402" s="7" t="str">
        <f t="shared" si="3"/>
        <v>OK</v>
      </c>
      <c r="Q402" s="7"/>
      <c r="R402" s="7"/>
      <c r="S402" s="7"/>
      <c r="T402" s="7"/>
      <c r="U402" s="7"/>
      <c r="V402" s="7"/>
      <c r="W402" s="7"/>
      <c r="X402" s="7"/>
      <c r="Y402" s="7"/>
      <c r="Z402" s="7"/>
      <c r="AA402" s="7"/>
      <c r="AB402" s="7"/>
      <c r="AC402" s="7"/>
    </row>
    <row r="403" ht="15.75" customHeight="1">
      <c r="A403" s="11" t="s">
        <v>2040</v>
      </c>
      <c r="B403" s="5" t="s">
        <v>133</v>
      </c>
      <c r="C403" s="5" t="s">
        <v>15</v>
      </c>
      <c r="D403" s="8" t="s">
        <v>2041</v>
      </c>
      <c r="E403" s="5" t="s">
        <v>2043</v>
      </c>
      <c r="F403" s="5" t="s">
        <v>38</v>
      </c>
      <c r="G403" s="5"/>
      <c r="H403" s="5" t="s">
        <v>30</v>
      </c>
      <c r="I403" s="5"/>
      <c r="J403" s="78" t="s">
        <v>14</v>
      </c>
      <c r="K403" s="78"/>
      <c r="L403" s="85"/>
      <c r="M403" s="5"/>
      <c r="N403" s="85"/>
      <c r="O403" s="22"/>
      <c r="P403" s="7" t="str">
        <f t="shared" si="3"/>
        <v>OK</v>
      </c>
      <c r="Q403" s="7"/>
      <c r="R403" s="7"/>
      <c r="S403" s="7"/>
      <c r="T403" s="7"/>
      <c r="U403" s="7"/>
      <c r="V403" s="7"/>
      <c r="W403" s="7"/>
      <c r="X403" s="7"/>
      <c r="Y403" s="7"/>
      <c r="Z403" s="7"/>
      <c r="AA403" s="7"/>
      <c r="AB403" s="7"/>
      <c r="AC403" s="7"/>
    </row>
    <row r="404" ht="15.75" customHeight="1">
      <c r="A404" s="11" t="s">
        <v>2045</v>
      </c>
      <c r="B404" s="5" t="s">
        <v>133</v>
      </c>
      <c r="C404" s="5" t="s">
        <v>15</v>
      </c>
      <c r="D404" s="8" t="s">
        <v>2046</v>
      </c>
      <c r="E404" s="5" t="s">
        <v>2049</v>
      </c>
      <c r="F404" s="5" t="s">
        <v>74</v>
      </c>
      <c r="G404" s="5"/>
      <c r="H404" s="5" t="s">
        <v>31</v>
      </c>
      <c r="I404" s="5"/>
      <c r="J404" s="78" t="s">
        <v>14</v>
      </c>
      <c r="K404" s="78"/>
      <c r="L404" s="85"/>
      <c r="M404" s="5"/>
      <c r="N404" s="85"/>
      <c r="O404" s="22"/>
      <c r="P404" s="7" t="str">
        <f t="shared" si="3"/>
        <v>OK</v>
      </c>
      <c r="Q404" s="7"/>
      <c r="R404" s="7"/>
      <c r="S404" s="7"/>
      <c r="T404" s="7"/>
      <c r="U404" s="7"/>
      <c r="V404" s="7"/>
      <c r="W404" s="7"/>
      <c r="X404" s="7"/>
      <c r="Y404" s="7"/>
      <c r="Z404" s="7"/>
      <c r="AA404" s="7"/>
      <c r="AB404" s="7"/>
      <c r="AC404" s="7"/>
    </row>
    <row r="405" ht="15.75" customHeight="1">
      <c r="A405" s="11" t="s">
        <v>2050</v>
      </c>
      <c r="B405" s="5" t="s">
        <v>133</v>
      </c>
      <c r="C405" s="5" t="s">
        <v>15</v>
      </c>
      <c r="D405" s="8" t="s">
        <v>2051</v>
      </c>
      <c r="E405" s="5" t="s">
        <v>2054</v>
      </c>
      <c r="F405" s="5" t="s">
        <v>21</v>
      </c>
      <c r="G405" s="5"/>
      <c r="H405" s="5" t="s">
        <v>31</v>
      </c>
      <c r="I405" s="5"/>
      <c r="J405" s="78" t="s">
        <v>14</v>
      </c>
      <c r="K405" s="78"/>
      <c r="L405" s="85"/>
      <c r="M405" s="5"/>
      <c r="N405" s="85"/>
      <c r="O405" s="22"/>
      <c r="P405" s="7" t="str">
        <f t="shared" si="3"/>
        <v>OK</v>
      </c>
      <c r="Q405" s="7"/>
      <c r="R405" s="7"/>
      <c r="S405" s="7"/>
      <c r="T405" s="7"/>
      <c r="U405" s="7"/>
      <c r="V405" s="7"/>
      <c r="W405" s="7"/>
      <c r="X405" s="7"/>
      <c r="Y405" s="7"/>
      <c r="Z405" s="7"/>
      <c r="AA405" s="7"/>
      <c r="AB405" s="7"/>
      <c r="AC405" s="7"/>
    </row>
    <row r="406" ht="15.75" customHeight="1">
      <c r="A406" s="11" t="s">
        <v>2055</v>
      </c>
      <c r="B406" s="5" t="s">
        <v>133</v>
      </c>
      <c r="C406" s="5" t="s">
        <v>15</v>
      </c>
      <c r="D406" s="8" t="s">
        <v>2056</v>
      </c>
      <c r="E406" s="5" t="s">
        <v>2005</v>
      </c>
      <c r="F406" s="5" t="s">
        <v>38</v>
      </c>
      <c r="G406" s="5"/>
      <c r="H406" s="5" t="s">
        <v>31</v>
      </c>
      <c r="I406" s="5"/>
      <c r="J406" s="78" t="s">
        <v>14</v>
      </c>
      <c r="K406" s="78"/>
      <c r="L406" s="85"/>
      <c r="M406" s="5"/>
      <c r="N406" s="85"/>
      <c r="O406" s="22"/>
      <c r="P406" s="7" t="str">
        <f t="shared" si="3"/>
        <v>OK</v>
      </c>
      <c r="Q406" s="7"/>
      <c r="R406" s="7"/>
      <c r="S406" s="7"/>
      <c r="T406" s="7"/>
      <c r="U406" s="7"/>
      <c r="V406" s="7"/>
      <c r="W406" s="7"/>
      <c r="X406" s="7"/>
      <c r="Y406" s="7"/>
      <c r="Z406" s="7"/>
      <c r="AA406" s="7"/>
      <c r="AB406" s="7"/>
      <c r="AC406" s="7"/>
    </row>
    <row r="407" ht="15.75" customHeight="1">
      <c r="A407" s="11" t="s">
        <v>2057</v>
      </c>
      <c r="B407" s="5" t="s">
        <v>133</v>
      </c>
      <c r="C407" s="5" t="s">
        <v>15</v>
      </c>
      <c r="D407" s="8" t="s">
        <v>2058</v>
      </c>
      <c r="E407" s="5" t="s">
        <v>2059</v>
      </c>
      <c r="F407" s="5" t="s">
        <v>51</v>
      </c>
      <c r="G407" s="5"/>
      <c r="H407" s="5" t="s">
        <v>111</v>
      </c>
      <c r="I407" s="5"/>
      <c r="J407" s="78" t="s">
        <v>14</v>
      </c>
      <c r="K407" s="78"/>
      <c r="L407" s="85"/>
      <c r="M407" s="5"/>
      <c r="N407" s="85"/>
      <c r="O407" s="22"/>
      <c r="P407" s="7" t="str">
        <f t="shared" si="3"/>
        <v>OK</v>
      </c>
      <c r="Q407" s="7"/>
      <c r="R407" s="7"/>
      <c r="S407" s="7"/>
      <c r="T407" s="7"/>
      <c r="U407" s="7"/>
      <c r="V407" s="7"/>
      <c r="W407" s="7"/>
      <c r="X407" s="7"/>
      <c r="Y407" s="7"/>
      <c r="Z407" s="7"/>
      <c r="AA407" s="7"/>
      <c r="AB407" s="7"/>
      <c r="AC407" s="7"/>
    </row>
    <row r="408" ht="15.75" customHeight="1">
      <c r="A408" s="11" t="s">
        <v>2060</v>
      </c>
      <c r="B408" s="5" t="s">
        <v>133</v>
      </c>
      <c r="C408" s="5" t="s">
        <v>15</v>
      </c>
      <c r="D408" s="8" t="s">
        <v>2655</v>
      </c>
      <c r="E408" s="5" t="s">
        <v>2062</v>
      </c>
      <c r="F408" s="5" t="s">
        <v>51</v>
      </c>
      <c r="G408" s="5"/>
      <c r="H408" s="5" t="s">
        <v>31</v>
      </c>
      <c r="I408" s="5"/>
      <c r="J408" s="78" t="s">
        <v>14</v>
      </c>
      <c r="K408" s="78"/>
      <c r="L408" s="85"/>
      <c r="M408" s="5"/>
      <c r="N408" s="85"/>
      <c r="O408" s="22"/>
      <c r="P408" s="7" t="str">
        <f t="shared" si="3"/>
        <v>OK</v>
      </c>
      <c r="Q408" s="7"/>
      <c r="R408" s="7"/>
      <c r="S408" s="7"/>
      <c r="T408" s="7"/>
      <c r="U408" s="7"/>
      <c r="V408" s="7"/>
      <c r="W408" s="7"/>
      <c r="X408" s="7"/>
      <c r="Y408" s="7"/>
      <c r="Z408" s="7"/>
      <c r="AA408" s="7"/>
      <c r="AB408" s="7"/>
      <c r="AC408" s="7"/>
    </row>
    <row r="409" ht="15.75" customHeight="1">
      <c r="A409" s="11" t="s">
        <v>2064</v>
      </c>
      <c r="B409" s="5" t="s">
        <v>133</v>
      </c>
      <c r="C409" s="5" t="s">
        <v>15</v>
      </c>
      <c r="D409" s="8" t="s">
        <v>2656</v>
      </c>
      <c r="E409" s="5" t="s">
        <v>2068</v>
      </c>
      <c r="F409" s="5" t="s">
        <v>37</v>
      </c>
      <c r="G409" s="5"/>
      <c r="H409" s="5" t="s">
        <v>31</v>
      </c>
      <c r="I409" s="5"/>
      <c r="J409" s="78" t="s">
        <v>14</v>
      </c>
      <c r="K409" s="78"/>
      <c r="L409" s="85"/>
      <c r="M409" s="5"/>
      <c r="N409" s="85"/>
      <c r="O409" s="22"/>
      <c r="P409" s="7" t="str">
        <f t="shared" si="3"/>
        <v>OK</v>
      </c>
      <c r="Q409" s="7"/>
      <c r="R409" s="7"/>
      <c r="S409" s="7"/>
      <c r="T409" s="7"/>
      <c r="U409" s="7"/>
      <c r="V409" s="7"/>
      <c r="W409" s="7"/>
      <c r="X409" s="7"/>
      <c r="Y409" s="7"/>
      <c r="Z409" s="7"/>
      <c r="AA409" s="7"/>
      <c r="AB409" s="7"/>
      <c r="AC409" s="7"/>
    </row>
    <row r="410" ht="15.75" customHeight="1">
      <c r="A410" s="11" t="s">
        <v>2069</v>
      </c>
      <c r="B410" s="5" t="s">
        <v>133</v>
      </c>
      <c r="C410" s="5" t="s">
        <v>15</v>
      </c>
      <c r="D410" s="8" t="s">
        <v>2070</v>
      </c>
      <c r="E410" s="5" t="s">
        <v>2071</v>
      </c>
      <c r="F410" s="5" t="s">
        <v>51</v>
      </c>
      <c r="G410" s="5"/>
      <c r="H410" s="5" t="s">
        <v>31</v>
      </c>
      <c r="I410" s="5"/>
      <c r="J410" s="78" t="s">
        <v>14</v>
      </c>
      <c r="K410" s="78"/>
      <c r="L410" s="85"/>
      <c r="M410" s="5"/>
      <c r="N410" s="85"/>
      <c r="O410" s="22"/>
      <c r="P410" s="7" t="str">
        <f t="shared" si="3"/>
        <v>OK</v>
      </c>
      <c r="Q410" s="7"/>
      <c r="R410" s="7"/>
      <c r="S410" s="7"/>
      <c r="T410" s="7"/>
      <c r="U410" s="7"/>
      <c r="V410" s="7"/>
      <c r="W410" s="7"/>
      <c r="X410" s="7"/>
      <c r="Y410" s="7"/>
      <c r="Z410" s="7"/>
      <c r="AA410" s="7"/>
      <c r="AB410" s="7"/>
      <c r="AC410" s="7"/>
    </row>
    <row r="411" ht="15.75" customHeight="1">
      <c r="A411" s="11" t="s">
        <v>2073</v>
      </c>
      <c r="B411" s="5" t="s">
        <v>133</v>
      </c>
      <c r="C411" s="5" t="s">
        <v>15</v>
      </c>
      <c r="D411" s="5" t="s">
        <v>2074</v>
      </c>
      <c r="E411" s="5" t="s">
        <v>2075</v>
      </c>
      <c r="F411" s="5" t="s">
        <v>21</v>
      </c>
      <c r="G411" s="5"/>
      <c r="H411" s="5" t="s">
        <v>111</v>
      </c>
      <c r="I411" s="5"/>
      <c r="J411" s="78" t="s">
        <v>14</v>
      </c>
      <c r="K411" s="78"/>
      <c r="L411" s="85"/>
      <c r="M411" s="5"/>
      <c r="N411" s="85"/>
      <c r="O411" s="22"/>
      <c r="P411" s="7" t="str">
        <f t="shared" si="3"/>
        <v>OK</v>
      </c>
      <c r="Q411" s="7"/>
      <c r="R411" s="7"/>
      <c r="S411" s="7"/>
      <c r="T411" s="7"/>
      <c r="U411" s="7"/>
      <c r="V411" s="7"/>
      <c r="W411" s="7"/>
      <c r="X411" s="7"/>
      <c r="Y411" s="7"/>
      <c r="Z411" s="7"/>
      <c r="AA411" s="7"/>
      <c r="AB411" s="7"/>
      <c r="AC411" s="7"/>
    </row>
    <row r="412" ht="15.75" customHeight="1">
      <c r="A412" s="8" t="s">
        <v>2078</v>
      </c>
      <c r="B412" s="5" t="s">
        <v>133</v>
      </c>
      <c r="C412" s="5" t="s">
        <v>15</v>
      </c>
      <c r="D412" s="5" t="s">
        <v>2079</v>
      </c>
      <c r="E412" s="5" t="s">
        <v>2082</v>
      </c>
      <c r="F412" s="5" t="s">
        <v>37</v>
      </c>
      <c r="G412" s="5"/>
      <c r="H412" s="5" t="s">
        <v>22</v>
      </c>
      <c r="I412" s="5"/>
      <c r="J412" s="78" t="s">
        <v>14</v>
      </c>
      <c r="K412" s="78"/>
      <c r="L412" s="85"/>
      <c r="M412" s="5"/>
      <c r="N412" s="85"/>
      <c r="O412" s="22"/>
      <c r="P412" s="7" t="str">
        <f t="shared" si="3"/>
        <v>OK</v>
      </c>
      <c r="Q412" s="7"/>
      <c r="R412" s="7"/>
      <c r="S412" s="7"/>
      <c r="T412" s="7"/>
      <c r="U412" s="7"/>
      <c r="V412" s="7"/>
      <c r="W412" s="7"/>
      <c r="X412" s="7"/>
      <c r="Y412" s="7"/>
      <c r="Z412" s="7"/>
      <c r="AA412" s="7"/>
      <c r="AB412" s="7"/>
      <c r="AC412" s="7"/>
    </row>
    <row r="413" ht="15.75" customHeight="1">
      <c r="A413" s="8" t="s">
        <v>2083</v>
      </c>
      <c r="B413" s="5" t="s">
        <v>133</v>
      </c>
      <c r="C413" s="5" t="s">
        <v>15</v>
      </c>
      <c r="D413" s="5" t="s">
        <v>2084</v>
      </c>
      <c r="E413" s="5" t="s">
        <v>2086</v>
      </c>
      <c r="F413" s="5" t="s">
        <v>20</v>
      </c>
      <c r="G413" s="5"/>
      <c r="H413" s="5" t="s">
        <v>52</v>
      </c>
      <c r="I413" s="5"/>
      <c r="J413" s="78" t="s">
        <v>14</v>
      </c>
      <c r="K413" s="78"/>
      <c r="L413" s="85"/>
      <c r="M413" s="5"/>
      <c r="N413" s="85"/>
      <c r="O413" s="22"/>
      <c r="P413" s="7" t="str">
        <f t="shared" si="3"/>
        <v>OK</v>
      </c>
      <c r="Q413" s="7"/>
      <c r="R413" s="7"/>
      <c r="S413" s="7"/>
      <c r="T413" s="7"/>
      <c r="U413" s="7"/>
      <c r="V413" s="7"/>
      <c r="W413" s="7"/>
      <c r="X413" s="7"/>
      <c r="Y413" s="7"/>
      <c r="Z413" s="7"/>
      <c r="AA413" s="7"/>
      <c r="AB413" s="7"/>
      <c r="AC413" s="7"/>
    </row>
    <row r="414" ht="15.75" customHeight="1">
      <c r="A414" s="8" t="s">
        <v>2088</v>
      </c>
      <c r="B414" s="5" t="s">
        <v>133</v>
      </c>
      <c r="C414" s="5" t="s">
        <v>15</v>
      </c>
      <c r="D414" s="5" t="s">
        <v>2089</v>
      </c>
      <c r="E414" s="5" t="s">
        <v>2092</v>
      </c>
      <c r="F414" s="5" t="s">
        <v>37</v>
      </c>
      <c r="G414" s="5"/>
      <c r="H414" s="5" t="s">
        <v>30</v>
      </c>
      <c r="I414" s="5"/>
      <c r="J414" s="78" t="s">
        <v>14</v>
      </c>
      <c r="K414" s="78"/>
      <c r="L414" s="85"/>
      <c r="M414" s="5"/>
      <c r="N414" s="85"/>
      <c r="O414" s="22"/>
      <c r="P414" s="7" t="str">
        <f t="shared" si="3"/>
        <v>OK</v>
      </c>
      <c r="Q414" s="7"/>
      <c r="R414" s="7"/>
      <c r="S414" s="7"/>
      <c r="T414" s="7"/>
      <c r="U414" s="7"/>
      <c r="V414" s="7"/>
      <c r="W414" s="7"/>
      <c r="X414" s="7"/>
      <c r="Y414" s="7"/>
      <c r="Z414" s="7"/>
      <c r="AA414" s="7"/>
      <c r="AB414" s="7"/>
      <c r="AC414" s="7"/>
    </row>
    <row r="415" ht="15.75" customHeight="1">
      <c r="A415" s="8" t="s">
        <v>2093</v>
      </c>
      <c r="B415" s="5" t="s">
        <v>133</v>
      </c>
      <c r="C415" s="5" t="s">
        <v>15</v>
      </c>
      <c r="D415" s="5" t="s">
        <v>2094</v>
      </c>
      <c r="E415" s="5" t="s">
        <v>2095</v>
      </c>
      <c r="F415" s="5" t="s">
        <v>21</v>
      </c>
      <c r="G415" s="5"/>
      <c r="H415" s="5" t="s">
        <v>23</v>
      </c>
      <c r="I415" s="5"/>
      <c r="J415" s="78" t="s">
        <v>14</v>
      </c>
      <c r="K415" s="78"/>
      <c r="L415" s="85"/>
      <c r="M415" s="5"/>
      <c r="N415" s="85"/>
      <c r="O415" s="22"/>
      <c r="P415" s="7" t="str">
        <f t="shared" si="3"/>
        <v>OK</v>
      </c>
      <c r="Q415" s="7"/>
      <c r="R415" s="7"/>
      <c r="S415" s="7"/>
      <c r="T415" s="7"/>
      <c r="U415" s="7"/>
      <c r="V415" s="7"/>
      <c r="W415" s="7"/>
      <c r="X415" s="7"/>
      <c r="Y415" s="7"/>
      <c r="Z415" s="7"/>
      <c r="AA415" s="7"/>
      <c r="AB415" s="7"/>
      <c r="AC415" s="7"/>
    </row>
    <row r="416" ht="15.75" customHeight="1">
      <c r="A416" s="8" t="s">
        <v>2098</v>
      </c>
      <c r="B416" s="5" t="s">
        <v>133</v>
      </c>
      <c r="C416" s="5" t="s">
        <v>15</v>
      </c>
      <c r="D416" s="5" t="s">
        <v>2099</v>
      </c>
      <c r="E416" s="5" t="s">
        <v>2100</v>
      </c>
      <c r="F416" s="5" t="s">
        <v>45</v>
      </c>
      <c r="G416" s="5"/>
      <c r="H416" s="5" t="s">
        <v>22</v>
      </c>
      <c r="I416" s="5"/>
      <c r="J416" s="78" t="s">
        <v>14</v>
      </c>
      <c r="K416" s="78"/>
      <c r="L416" s="85"/>
      <c r="M416" s="5"/>
      <c r="N416" s="85"/>
      <c r="O416" s="22"/>
      <c r="P416" s="7" t="str">
        <f t="shared" si="3"/>
        <v>OK</v>
      </c>
      <c r="Q416" s="7"/>
      <c r="R416" s="7"/>
      <c r="S416" s="7"/>
      <c r="T416" s="7"/>
      <c r="U416" s="7"/>
      <c r="V416" s="7"/>
      <c r="W416" s="7"/>
      <c r="X416" s="7"/>
      <c r="Y416" s="7"/>
      <c r="Z416" s="7"/>
      <c r="AA416" s="7"/>
      <c r="AB416" s="7"/>
      <c r="AC416" s="7"/>
    </row>
    <row r="417" ht="15.75" customHeight="1">
      <c r="A417" s="8" t="s">
        <v>2103</v>
      </c>
      <c r="B417" s="5" t="s">
        <v>133</v>
      </c>
      <c r="C417" s="5" t="s">
        <v>15</v>
      </c>
      <c r="D417" s="5" t="s">
        <v>2104</v>
      </c>
      <c r="E417" s="5" t="s">
        <v>2105</v>
      </c>
      <c r="F417" s="5" t="s">
        <v>74</v>
      </c>
      <c r="G417" s="5"/>
      <c r="H417" s="5" t="s">
        <v>68</v>
      </c>
      <c r="I417" s="5"/>
      <c r="J417" s="78" t="s">
        <v>14</v>
      </c>
      <c r="K417" s="78"/>
      <c r="L417" s="85"/>
      <c r="M417" s="5"/>
      <c r="N417" s="85"/>
      <c r="O417" s="22"/>
      <c r="P417" s="7" t="str">
        <f t="shared" si="3"/>
        <v>OK</v>
      </c>
      <c r="Q417" s="7"/>
      <c r="R417" s="7"/>
      <c r="S417" s="7"/>
      <c r="T417" s="7"/>
      <c r="U417" s="7"/>
      <c r="V417" s="7"/>
      <c r="W417" s="7"/>
      <c r="X417" s="7"/>
      <c r="Y417" s="7"/>
      <c r="Z417" s="7"/>
      <c r="AA417" s="7"/>
      <c r="AB417" s="7"/>
      <c r="AC417" s="7"/>
    </row>
    <row r="418" ht="15.75" customHeight="1">
      <c r="A418" s="8" t="s">
        <v>2108</v>
      </c>
      <c r="B418" s="5" t="s">
        <v>133</v>
      </c>
      <c r="C418" s="5" t="s">
        <v>15</v>
      </c>
      <c r="D418" s="5" t="s">
        <v>2109</v>
      </c>
      <c r="E418" s="5" t="s">
        <v>2110</v>
      </c>
      <c r="F418" s="5" t="s">
        <v>38</v>
      </c>
      <c r="G418" s="5"/>
      <c r="H418" s="5" t="s">
        <v>31</v>
      </c>
      <c r="I418" s="5"/>
      <c r="J418" s="78" t="s">
        <v>14</v>
      </c>
      <c r="K418" s="78"/>
      <c r="L418" s="85"/>
      <c r="M418" s="5"/>
      <c r="N418" s="85"/>
      <c r="O418" s="22"/>
      <c r="P418" s="7" t="str">
        <f t="shared" si="3"/>
        <v>OK</v>
      </c>
      <c r="Q418" s="7"/>
      <c r="R418" s="7"/>
      <c r="S418" s="7"/>
      <c r="T418" s="7"/>
      <c r="U418" s="7"/>
      <c r="V418" s="7"/>
      <c r="W418" s="7"/>
      <c r="X418" s="7"/>
      <c r="Y418" s="7"/>
      <c r="Z418" s="7"/>
      <c r="AA418" s="7"/>
      <c r="AB418" s="7"/>
      <c r="AC418" s="7"/>
    </row>
    <row r="419" ht="15.75" customHeight="1">
      <c r="A419" s="8" t="s">
        <v>2113</v>
      </c>
      <c r="B419" s="5" t="s">
        <v>133</v>
      </c>
      <c r="C419" s="5" t="s">
        <v>15</v>
      </c>
      <c r="D419" s="5" t="s">
        <v>2114</v>
      </c>
      <c r="E419" s="5" t="s">
        <v>2117</v>
      </c>
      <c r="F419" s="5" t="s">
        <v>20</v>
      </c>
      <c r="G419" s="5"/>
      <c r="H419" s="5" t="s">
        <v>111</v>
      </c>
      <c r="I419" s="5"/>
      <c r="J419" s="78" t="s">
        <v>14</v>
      </c>
      <c r="K419" s="78"/>
      <c r="L419" s="85"/>
      <c r="M419" s="5"/>
      <c r="N419" s="85"/>
      <c r="O419" s="22"/>
      <c r="P419" s="7" t="str">
        <f t="shared" si="3"/>
        <v>OK</v>
      </c>
      <c r="Q419" s="7"/>
      <c r="R419" s="7"/>
      <c r="S419" s="7"/>
      <c r="T419" s="7"/>
      <c r="U419" s="7"/>
      <c r="V419" s="7"/>
      <c r="W419" s="7"/>
      <c r="X419" s="7"/>
      <c r="Y419" s="7"/>
      <c r="Z419" s="7"/>
      <c r="AA419" s="7"/>
      <c r="AB419" s="7"/>
      <c r="AC419" s="7"/>
    </row>
    <row r="420" ht="15.75" customHeight="1">
      <c r="A420" s="8" t="s">
        <v>2118</v>
      </c>
      <c r="B420" s="5" t="s">
        <v>133</v>
      </c>
      <c r="C420" s="5" t="s">
        <v>15</v>
      </c>
      <c r="D420" s="5" t="s">
        <v>2119</v>
      </c>
      <c r="E420" s="5" t="s">
        <v>2120</v>
      </c>
      <c r="F420" s="5" t="s">
        <v>29</v>
      </c>
      <c r="G420" s="5"/>
      <c r="H420" s="5" t="s">
        <v>39</v>
      </c>
      <c r="I420" s="5"/>
      <c r="J420" s="78" t="s">
        <v>14</v>
      </c>
      <c r="K420" s="78"/>
      <c r="L420" s="85"/>
      <c r="M420" s="5"/>
      <c r="N420" s="85"/>
      <c r="O420" s="22"/>
      <c r="P420" s="7" t="str">
        <f t="shared" si="3"/>
        <v>OK</v>
      </c>
      <c r="Q420" s="7"/>
      <c r="R420" s="7"/>
      <c r="S420" s="7"/>
      <c r="T420" s="7"/>
      <c r="U420" s="7"/>
      <c r="V420" s="7"/>
      <c r="W420" s="7"/>
      <c r="X420" s="7"/>
      <c r="Y420" s="7"/>
      <c r="Z420" s="7"/>
      <c r="AA420" s="7"/>
      <c r="AB420" s="7"/>
      <c r="AC420" s="7"/>
    </row>
    <row r="421" ht="15.75" customHeight="1">
      <c r="A421" s="8" t="s">
        <v>2123</v>
      </c>
      <c r="B421" s="5" t="s">
        <v>133</v>
      </c>
      <c r="C421" s="5" t="s">
        <v>15</v>
      </c>
      <c r="D421" s="5" t="s">
        <v>2124</v>
      </c>
      <c r="E421" s="5" t="s">
        <v>2126</v>
      </c>
      <c r="F421" s="5" t="s">
        <v>20</v>
      </c>
      <c r="G421" s="5"/>
      <c r="H421" s="5" t="s">
        <v>22</v>
      </c>
      <c r="I421" s="5"/>
      <c r="J421" s="78" t="s">
        <v>14</v>
      </c>
      <c r="K421" s="78"/>
      <c r="L421" s="85"/>
      <c r="M421" s="5"/>
      <c r="N421" s="85"/>
      <c r="O421" s="22"/>
      <c r="P421" s="7" t="str">
        <f t="shared" si="3"/>
        <v>OK</v>
      </c>
      <c r="Q421" s="7"/>
      <c r="R421" s="7"/>
      <c r="S421" s="7"/>
      <c r="T421" s="7"/>
      <c r="U421" s="7"/>
      <c r="V421" s="7"/>
      <c r="W421" s="7"/>
      <c r="X421" s="7"/>
      <c r="Y421" s="7"/>
      <c r="Z421" s="7"/>
      <c r="AA421" s="7"/>
      <c r="AB421" s="7"/>
      <c r="AC421" s="7"/>
    </row>
    <row r="422" ht="15.75" customHeight="1">
      <c r="A422" s="8" t="s">
        <v>2128</v>
      </c>
      <c r="B422" s="5" t="s">
        <v>133</v>
      </c>
      <c r="C422" s="5" t="s">
        <v>15</v>
      </c>
      <c r="D422" s="5" t="s">
        <v>2129</v>
      </c>
      <c r="E422" s="5" t="s">
        <v>2130</v>
      </c>
      <c r="F422" s="5" t="s">
        <v>29</v>
      </c>
      <c r="G422" s="5"/>
      <c r="H422" s="5" t="s">
        <v>23</v>
      </c>
      <c r="I422" s="5"/>
      <c r="J422" s="78" t="s">
        <v>14</v>
      </c>
      <c r="K422" s="78"/>
      <c r="L422" s="85"/>
      <c r="M422" s="5"/>
      <c r="N422" s="85"/>
      <c r="O422" s="22"/>
      <c r="P422" s="7" t="str">
        <f t="shared" si="3"/>
        <v>OK</v>
      </c>
      <c r="Q422" s="7"/>
      <c r="R422" s="7"/>
      <c r="S422" s="7"/>
      <c r="T422" s="7"/>
      <c r="U422" s="7"/>
      <c r="V422" s="7"/>
      <c r="W422" s="7"/>
      <c r="X422" s="7"/>
      <c r="Y422" s="7"/>
      <c r="Z422" s="7"/>
      <c r="AA422" s="7"/>
      <c r="AB422" s="7"/>
      <c r="AC422" s="7"/>
    </row>
    <row r="423" ht="15.75" customHeight="1">
      <c r="A423" s="8" t="s">
        <v>2133</v>
      </c>
      <c r="B423" s="5" t="s">
        <v>133</v>
      </c>
      <c r="C423" s="5" t="s">
        <v>15</v>
      </c>
      <c r="D423" s="5" t="s">
        <v>2134</v>
      </c>
      <c r="E423" s="5" t="s">
        <v>2135</v>
      </c>
      <c r="F423" s="5" t="s">
        <v>38</v>
      </c>
      <c r="G423" s="5"/>
      <c r="H423" s="5" t="s">
        <v>30</v>
      </c>
      <c r="I423" s="5"/>
      <c r="J423" s="78" t="s">
        <v>14</v>
      </c>
      <c r="K423" s="78"/>
      <c r="L423" s="85"/>
      <c r="M423" s="5"/>
      <c r="N423" s="85"/>
      <c r="O423" s="22"/>
      <c r="P423" s="7" t="str">
        <f t="shared" si="3"/>
        <v>OK</v>
      </c>
      <c r="Q423" s="7"/>
      <c r="R423" s="7"/>
      <c r="S423" s="7"/>
      <c r="T423" s="7"/>
      <c r="U423" s="7"/>
      <c r="V423" s="7"/>
      <c r="W423" s="7"/>
      <c r="X423" s="7"/>
      <c r="Y423" s="7"/>
      <c r="Z423" s="7"/>
      <c r="AA423" s="7"/>
      <c r="AB423" s="7"/>
      <c r="AC423" s="7"/>
    </row>
    <row r="424" ht="15.75" customHeight="1">
      <c r="A424" s="8" t="s">
        <v>2138</v>
      </c>
      <c r="B424" s="5" t="s">
        <v>133</v>
      </c>
      <c r="C424" s="5" t="s">
        <v>15</v>
      </c>
      <c r="D424" s="5" t="s">
        <v>2139</v>
      </c>
      <c r="E424" s="5" t="s">
        <v>2140</v>
      </c>
      <c r="F424" s="5" t="s">
        <v>29</v>
      </c>
      <c r="G424" s="5"/>
      <c r="H424" s="5" t="s">
        <v>52</v>
      </c>
      <c r="I424" s="5"/>
      <c r="J424" s="78" t="s">
        <v>14</v>
      </c>
      <c r="K424" s="78"/>
      <c r="L424" s="85"/>
      <c r="M424" s="5"/>
      <c r="N424" s="85"/>
      <c r="O424" s="22"/>
      <c r="P424" s="7" t="str">
        <f t="shared" si="3"/>
        <v>OK</v>
      </c>
      <c r="Q424" s="7"/>
      <c r="R424" s="7"/>
      <c r="S424" s="7"/>
      <c r="T424" s="7"/>
      <c r="U424" s="7"/>
      <c r="V424" s="7"/>
      <c r="W424" s="7"/>
      <c r="X424" s="7"/>
      <c r="Y424" s="7"/>
      <c r="Z424" s="7"/>
      <c r="AA424" s="7"/>
      <c r="AB424" s="7"/>
      <c r="AC424" s="7"/>
    </row>
    <row r="425" ht="15.75" customHeight="1">
      <c r="A425" s="8" t="s">
        <v>2143</v>
      </c>
      <c r="B425" s="5" t="s">
        <v>133</v>
      </c>
      <c r="C425" s="5" t="s">
        <v>15</v>
      </c>
      <c r="D425" s="5" t="s">
        <v>2144</v>
      </c>
      <c r="E425" s="5" t="s">
        <v>2147</v>
      </c>
      <c r="F425" s="5" t="s">
        <v>45</v>
      </c>
      <c r="G425" s="5"/>
      <c r="H425" s="5" t="s">
        <v>52</v>
      </c>
      <c r="I425" s="5"/>
      <c r="J425" s="78" t="s">
        <v>14</v>
      </c>
      <c r="K425" s="78"/>
      <c r="L425" s="85"/>
      <c r="M425" s="5"/>
      <c r="N425" s="85"/>
      <c r="O425" s="22"/>
      <c r="P425" s="7" t="str">
        <f t="shared" si="3"/>
        <v>OK</v>
      </c>
      <c r="Q425" s="7"/>
      <c r="R425" s="7"/>
      <c r="S425" s="7"/>
      <c r="T425" s="7"/>
      <c r="U425" s="7"/>
      <c r="V425" s="7"/>
      <c r="W425" s="7"/>
      <c r="X425" s="7"/>
      <c r="Y425" s="7"/>
      <c r="Z425" s="7"/>
      <c r="AA425" s="7"/>
      <c r="AB425" s="7"/>
      <c r="AC425" s="7"/>
    </row>
    <row r="426" ht="15.75" customHeight="1">
      <c r="A426" s="8" t="s">
        <v>2148</v>
      </c>
      <c r="B426" s="5" t="s">
        <v>133</v>
      </c>
      <c r="C426" s="5" t="s">
        <v>15</v>
      </c>
      <c r="D426" s="5" t="s">
        <v>2149</v>
      </c>
      <c r="E426" s="5" t="s">
        <v>2153</v>
      </c>
      <c r="F426" s="5" t="s">
        <v>37</v>
      </c>
      <c r="G426" s="5"/>
      <c r="H426" s="5" t="s">
        <v>111</v>
      </c>
      <c r="I426" s="5"/>
      <c r="J426" s="78" t="s">
        <v>14</v>
      </c>
      <c r="K426" s="78"/>
      <c r="L426" s="85"/>
      <c r="M426" s="5"/>
      <c r="N426" s="85"/>
      <c r="O426" s="22"/>
      <c r="P426" s="7" t="str">
        <f t="shared" si="3"/>
        <v>OK</v>
      </c>
      <c r="Q426" s="7"/>
      <c r="R426" s="7"/>
      <c r="S426" s="7"/>
      <c r="T426" s="7"/>
      <c r="U426" s="7"/>
      <c r="V426" s="7"/>
      <c r="W426" s="7"/>
      <c r="X426" s="7"/>
      <c r="Y426" s="7"/>
      <c r="Z426" s="7"/>
      <c r="AA426" s="7"/>
      <c r="AB426" s="7"/>
      <c r="AC426" s="7"/>
    </row>
    <row r="427" ht="15.75" customHeight="1">
      <c r="A427" s="8" t="s">
        <v>2154</v>
      </c>
      <c r="B427" s="5" t="s">
        <v>133</v>
      </c>
      <c r="C427" s="5" t="s">
        <v>15</v>
      </c>
      <c r="D427" s="5" t="s">
        <v>2155</v>
      </c>
      <c r="E427" s="5" t="s">
        <v>2157</v>
      </c>
      <c r="F427" s="5" t="s">
        <v>45</v>
      </c>
      <c r="G427" s="5"/>
      <c r="H427" s="5" t="s">
        <v>111</v>
      </c>
      <c r="I427" s="5"/>
      <c r="J427" s="78" t="s">
        <v>14</v>
      </c>
      <c r="K427" s="78"/>
      <c r="L427" s="85"/>
      <c r="M427" s="5"/>
      <c r="N427" s="85"/>
      <c r="O427" s="22"/>
      <c r="P427" s="7" t="str">
        <f t="shared" si="3"/>
        <v>OK</v>
      </c>
      <c r="Q427" s="7"/>
      <c r="R427" s="7"/>
      <c r="S427" s="7"/>
      <c r="T427" s="7"/>
      <c r="U427" s="7"/>
      <c r="V427" s="7"/>
      <c r="W427" s="7"/>
      <c r="X427" s="7"/>
      <c r="Y427" s="7"/>
      <c r="Z427" s="7"/>
      <c r="AA427" s="7"/>
      <c r="AB427" s="7"/>
      <c r="AC427" s="7"/>
    </row>
    <row r="428" ht="15.75" customHeight="1">
      <c r="A428" s="8" t="s">
        <v>2159</v>
      </c>
      <c r="B428" s="5" t="s">
        <v>133</v>
      </c>
      <c r="C428" s="5" t="s">
        <v>15</v>
      </c>
      <c r="D428" s="5" t="s">
        <v>2160</v>
      </c>
      <c r="E428" s="5" t="s">
        <v>2161</v>
      </c>
      <c r="F428" s="5" t="s">
        <v>29</v>
      </c>
      <c r="G428" s="5"/>
      <c r="H428" s="5" t="s">
        <v>75</v>
      </c>
      <c r="I428" s="5"/>
      <c r="J428" s="78" t="s">
        <v>14</v>
      </c>
      <c r="K428" s="78"/>
      <c r="L428" s="85"/>
      <c r="M428" s="5"/>
      <c r="N428" s="85"/>
      <c r="O428" s="22"/>
      <c r="P428" s="7" t="str">
        <f t="shared" si="3"/>
        <v>OK</v>
      </c>
      <c r="Q428" s="7"/>
      <c r="R428" s="7"/>
      <c r="S428" s="7"/>
      <c r="T428" s="7"/>
      <c r="U428" s="7"/>
      <c r="V428" s="7"/>
      <c r="W428" s="7"/>
      <c r="X428" s="7"/>
      <c r="Y428" s="7"/>
      <c r="Z428" s="7"/>
      <c r="AA428" s="7"/>
      <c r="AB428" s="7"/>
      <c r="AC428" s="7"/>
    </row>
    <row r="429" ht="15.75" customHeight="1">
      <c r="A429" s="8" t="s">
        <v>2164</v>
      </c>
      <c r="B429" s="5" t="s">
        <v>133</v>
      </c>
      <c r="C429" s="5" t="s">
        <v>15</v>
      </c>
      <c r="D429" s="5" t="s">
        <v>2165</v>
      </c>
      <c r="E429" s="5" t="s">
        <v>2167</v>
      </c>
      <c r="F429" s="5" t="s">
        <v>20</v>
      </c>
      <c r="G429" s="5"/>
      <c r="H429" s="5" t="s">
        <v>111</v>
      </c>
      <c r="I429" s="5"/>
      <c r="J429" s="78" t="s">
        <v>14</v>
      </c>
      <c r="K429" s="78"/>
      <c r="L429" s="85"/>
      <c r="M429" s="5"/>
      <c r="N429" s="85"/>
      <c r="O429" s="22"/>
      <c r="P429" s="7" t="str">
        <f t="shared" si="3"/>
        <v>OK</v>
      </c>
      <c r="Q429" s="7"/>
      <c r="R429" s="7"/>
      <c r="S429" s="7"/>
      <c r="T429" s="7"/>
      <c r="U429" s="7"/>
      <c r="V429" s="7"/>
      <c r="W429" s="7"/>
      <c r="X429" s="7"/>
      <c r="Y429" s="7"/>
      <c r="Z429" s="7"/>
      <c r="AA429" s="7"/>
      <c r="AB429" s="7"/>
      <c r="AC429" s="7"/>
    </row>
    <row r="430" ht="15.75" customHeight="1">
      <c r="A430" s="8" t="s">
        <v>2169</v>
      </c>
      <c r="B430" s="5" t="s">
        <v>133</v>
      </c>
      <c r="C430" s="5" t="s">
        <v>15</v>
      </c>
      <c r="D430" s="5" t="s">
        <v>2170</v>
      </c>
      <c r="E430" s="5" t="s">
        <v>2171</v>
      </c>
      <c r="F430" s="5" t="s">
        <v>74</v>
      </c>
      <c r="G430" s="5"/>
      <c r="H430" s="5" t="s">
        <v>75</v>
      </c>
      <c r="I430" s="5"/>
      <c r="J430" s="78" t="s">
        <v>14</v>
      </c>
      <c r="K430" s="78"/>
      <c r="L430" s="85"/>
      <c r="M430" s="5"/>
      <c r="N430" s="85"/>
      <c r="O430" s="22"/>
      <c r="P430" s="7" t="str">
        <f t="shared" si="3"/>
        <v>OK</v>
      </c>
      <c r="Q430" s="7"/>
      <c r="R430" s="7"/>
      <c r="S430" s="7"/>
      <c r="T430" s="7"/>
      <c r="U430" s="7"/>
      <c r="V430" s="7"/>
      <c r="W430" s="7"/>
      <c r="X430" s="7"/>
      <c r="Y430" s="7"/>
      <c r="Z430" s="7"/>
      <c r="AA430" s="7"/>
      <c r="AB430" s="7"/>
      <c r="AC430" s="7"/>
    </row>
    <row r="431" ht="15.75" customHeight="1">
      <c r="A431" s="8" t="s">
        <v>2174</v>
      </c>
      <c r="B431" s="5" t="s">
        <v>133</v>
      </c>
      <c r="C431" s="5" t="s">
        <v>15</v>
      </c>
      <c r="D431" s="5" t="s">
        <v>2175</v>
      </c>
      <c r="E431" s="5" t="s">
        <v>2178</v>
      </c>
      <c r="F431" s="5" t="s">
        <v>21</v>
      </c>
      <c r="G431" s="5"/>
      <c r="H431" s="5" t="s">
        <v>39</v>
      </c>
      <c r="I431" s="5"/>
      <c r="J431" s="78" t="s">
        <v>14</v>
      </c>
      <c r="K431" s="78"/>
      <c r="L431" s="85"/>
      <c r="M431" s="5"/>
      <c r="N431" s="85"/>
      <c r="O431" s="22"/>
      <c r="P431" s="7" t="str">
        <f t="shared" si="3"/>
        <v>OK</v>
      </c>
      <c r="Q431" s="7"/>
      <c r="R431" s="7"/>
      <c r="S431" s="7"/>
      <c r="T431" s="7"/>
      <c r="U431" s="7"/>
      <c r="V431" s="7"/>
      <c r="W431" s="7"/>
      <c r="X431" s="7"/>
      <c r="Y431" s="7"/>
      <c r="Z431" s="7"/>
      <c r="AA431" s="7"/>
      <c r="AB431" s="7"/>
      <c r="AC431" s="7"/>
    </row>
    <row r="432" ht="15.75" customHeight="1">
      <c r="A432" s="8" t="s">
        <v>2179</v>
      </c>
      <c r="B432" s="5" t="s">
        <v>133</v>
      </c>
      <c r="C432" s="5" t="s">
        <v>15</v>
      </c>
      <c r="D432" s="5" t="s">
        <v>2180</v>
      </c>
      <c r="E432" s="5" t="s">
        <v>2181</v>
      </c>
      <c r="F432" s="5" t="s">
        <v>45</v>
      </c>
      <c r="G432" s="5"/>
      <c r="H432" s="5" t="s">
        <v>111</v>
      </c>
      <c r="I432" s="5"/>
      <c r="J432" s="78" t="s">
        <v>14</v>
      </c>
      <c r="K432" s="78"/>
      <c r="L432" s="85"/>
      <c r="M432" s="5"/>
      <c r="N432" s="85"/>
      <c r="O432" s="22"/>
      <c r="P432" s="7" t="str">
        <f t="shared" si="3"/>
        <v>OK</v>
      </c>
      <c r="Q432" s="7"/>
      <c r="R432" s="7"/>
      <c r="S432" s="7"/>
      <c r="T432" s="7"/>
      <c r="U432" s="7"/>
      <c r="V432" s="7"/>
      <c r="W432" s="7"/>
      <c r="X432" s="7"/>
      <c r="Y432" s="7"/>
      <c r="Z432" s="7"/>
      <c r="AA432" s="7"/>
      <c r="AB432" s="7"/>
      <c r="AC432" s="7"/>
    </row>
    <row r="433" ht="15.75" customHeight="1">
      <c r="A433" s="8" t="s">
        <v>2184</v>
      </c>
      <c r="B433" s="5" t="s">
        <v>133</v>
      </c>
      <c r="C433" s="5" t="s">
        <v>15</v>
      </c>
      <c r="D433" s="5" t="s">
        <v>2185</v>
      </c>
      <c r="E433" s="5" t="s">
        <v>2186</v>
      </c>
      <c r="F433" s="5" t="s">
        <v>29</v>
      </c>
      <c r="G433" s="5"/>
      <c r="H433" s="5" t="s">
        <v>52</v>
      </c>
      <c r="I433" s="5"/>
      <c r="J433" s="78" t="s">
        <v>14</v>
      </c>
      <c r="K433" s="78"/>
      <c r="L433" s="85"/>
      <c r="M433" s="5"/>
      <c r="N433" s="85"/>
      <c r="O433" s="22"/>
      <c r="P433" s="7" t="str">
        <f t="shared" si="3"/>
        <v>OK</v>
      </c>
      <c r="Q433" s="7"/>
      <c r="R433" s="7"/>
      <c r="S433" s="7"/>
      <c r="T433" s="7"/>
      <c r="U433" s="7"/>
      <c r="V433" s="7"/>
      <c r="W433" s="7"/>
      <c r="X433" s="7"/>
      <c r="Y433" s="7"/>
      <c r="Z433" s="7"/>
      <c r="AA433" s="7"/>
      <c r="AB433" s="7"/>
      <c r="AC433" s="7"/>
    </row>
    <row r="434" ht="15.75" customHeight="1">
      <c r="A434" s="8" t="s">
        <v>2189</v>
      </c>
      <c r="B434" s="5" t="s">
        <v>133</v>
      </c>
      <c r="C434" s="5" t="s">
        <v>15</v>
      </c>
      <c r="D434" s="5" t="s">
        <v>2190</v>
      </c>
      <c r="E434" s="5" t="s">
        <v>2191</v>
      </c>
      <c r="F434" s="5" t="s">
        <v>74</v>
      </c>
      <c r="G434" s="5"/>
      <c r="H434" s="5" t="s">
        <v>30</v>
      </c>
      <c r="I434" s="5"/>
      <c r="J434" s="78" t="s">
        <v>14</v>
      </c>
      <c r="K434" s="78"/>
      <c r="L434" s="85"/>
      <c r="M434" s="5"/>
      <c r="N434" s="85"/>
      <c r="O434" s="22"/>
      <c r="P434" s="7" t="str">
        <f t="shared" si="3"/>
        <v>OK</v>
      </c>
      <c r="Q434" s="7"/>
      <c r="R434" s="7"/>
      <c r="S434" s="7"/>
      <c r="T434" s="7"/>
      <c r="U434" s="7"/>
      <c r="V434" s="7"/>
      <c r="W434" s="7"/>
      <c r="X434" s="7"/>
      <c r="Y434" s="7"/>
      <c r="Z434" s="7"/>
      <c r="AA434" s="7"/>
      <c r="AB434" s="7"/>
      <c r="AC434" s="7"/>
    </row>
    <row r="435" ht="15.75" customHeight="1">
      <c r="A435" s="8" t="s">
        <v>2194</v>
      </c>
      <c r="B435" s="5" t="s">
        <v>133</v>
      </c>
      <c r="C435" s="5" t="s">
        <v>15</v>
      </c>
      <c r="D435" s="5" t="s">
        <v>2195</v>
      </c>
      <c r="E435" s="5" t="s">
        <v>2198</v>
      </c>
      <c r="F435" s="5" t="s">
        <v>21</v>
      </c>
      <c r="G435" s="5"/>
      <c r="H435" s="5" t="s">
        <v>30</v>
      </c>
      <c r="I435" s="5"/>
      <c r="J435" s="78" t="s">
        <v>14</v>
      </c>
      <c r="K435" s="78"/>
      <c r="L435" s="85"/>
      <c r="M435" s="5"/>
      <c r="N435" s="85"/>
      <c r="O435" s="22"/>
      <c r="P435" s="7" t="str">
        <f t="shared" si="3"/>
        <v>OK</v>
      </c>
      <c r="Q435" s="7"/>
      <c r="R435" s="7"/>
      <c r="S435" s="7"/>
      <c r="T435" s="7"/>
      <c r="U435" s="7"/>
      <c r="V435" s="7"/>
      <c r="W435" s="7"/>
      <c r="X435" s="7"/>
      <c r="Y435" s="7"/>
      <c r="Z435" s="7"/>
      <c r="AA435" s="7"/>
      <c r="AB435" s="7"/>
      <c r="AC435" s="7"/>
    </row>
    <row r="436" ht="15.75" customHeight="1">
      <c r="A436" s="8" t="s">
        <v>2199</v>
      </c>
      <c r="B436" s="5" t="s">
        <v>133</v>
      </c>
      <c r="C436" s="5" t="s">
        <v>15</v>
      </c>
      <c r="D436" s="5" t="s">
        <v>2200</v>
      </c>
      <c r="E436" s="5" t="s">
        <v>2202</v>
      </c>
      <c r="F436" s="5" t="s">
        <v>29</v>
      </c>
      <c r="G436" s="5"/>
      <c r="H436" s="5" t="s">
        <v>31</v>
      </c>
      <c r="I436" s="5"/>
      <c r="J436" s="78" t="s">
        <v>14</v>
      </c>
      <c r="K436" s="78"/>
      <c r="L436" s="85"/>
      <c r="M436" s="5"/>
      <c r="N436" s="85"/>
      <c r="O436" s="22"/>
      <c r="P436" s="7" t="str">
        <f t="shared" si="3"/>
        <v>OK</v>
      </c>
      <c r="Q436" s="7"/>
      <c r="R436" s="7"/>
      <c r="S436" s="7"/>
      <c r="T436" s="7"/>
      <c r="U436" s="7"/>
      <c r="V436" s="7"/>
      <c r="W436" s="7"/>
      <c r="X436" s="7"/>
      <c r="Y436" s="7"/>
      <c r="Z436" s="7"/>
      <c r="AA436" s="7"/>
      <c r="AB436" s="7"/>
      <c r="AC436" s="7"/>
    </row>
    <row r="437" ht="15.75" customHeight="1">
      <c r="A437" s="8" t="s">
        <v>2204</v>
      </c>
      <c r="B437" s="5" t="s">
        <v>133</v>
      </c>
      <c r="C437" s="5" t="s">
        <v>15</v>
      </c>
      <c r="D437" s="5" t="s">
        <v>2205</v>
      </c>
      <c r="E437" s="5" t="s">
        <v>2209</v>
      </c>
      <c r="F437" s="5" t="s">
        <v>38</v>
      </c>
      <c r="G437" s="5"/>
      <c r="H437" s="5" t="s">
        <v>31</v>
      </c>
      <c r="I437" s="5"/>
      <c r="J437" s="78" t="s">
        <v>14</v>
      </c>
      <c r="K437" s="78"/>
      <c r="L437" s="85"/>
      <c r="M437" s="5"/>
      <c r="N437" s="85"/>
      <c r="O437" s="22"/>
      <c r="P437" s="7" t="str">
        <f t="shared" si="3"/>
        <v>OK</v>
      </c>
      <c r="Q437" s="7"/>
      <c r="R437" s="7"/>
      <c r="S437" s="7"/>
      <c r="T437" s="7"/>
      <c r="U437" s="7"/>
      <c r="V437" s="7"/>
      <c r="W437" s="7"/>
      <c r="X437" s="7"/>
      <c r="Y437" s="7"/>
      <c r="Z437" s="7"/>
      <c r="AA437" s="7"/>
      <c r="AB437" s="7"/>
      <c r="AC437" s="7"/>
    </row>
    <row r="438" ht="15.75" customHeight="1">
      <c r="A438" s="8" t="s">
        <v>2210</v>
      </c>
      <c r="B438" s="5" t="s">
        <v>133</v>
      </c>
      <c r="C438" s="5" t="s">
        <v>15</v>
      </c>
      <c r="D438" s="5" t="s">
        <v>2211</v>
      </c>
      <c r="E438" s="5" t="s">
        <v>2212</v>
      </c>
      <c r="F438" s="5" t="s">
        <v>21</v>
      </c>
      <c r="G438" s="5"/>
      <c r="H438" s="5" t="s">
        <v>75</v>
      </c>
      <c r="I438" s="5"/>
      <c r="J438" s="78" t="s">
        <v>14</v>
      </c>
      <c r="K438" s="78"/>
      <c r="L438" s="85"/>
      <c r="M438" s="5"/>
      <c r="N438" s="85"/>
      <c r="O438" s="22"/>
      <c r="P438" s="7" t="str">
        <f t="shared" si="3"/>
        <v>OK</v>
      </c>
      <c r="Q438" s="7"/>
      <c r="R438" s="7"/>
      <c r="S438" s="7"/>
      <c r="T438" s="7"/>
      <c r="U438" s="7"/>
      <c r="V438" s="7"/>
      <c r="W438" s="7"/>
      <c r="X438" s="7"/>
      <c r="Y438" s="7"/>
      <c r="Z438" s="7"/>
      <c r="AA438" s="7"/>
      <c r="AB438" s="7"/>
      <c r="AC438" s="7"/>
    </row>
    <row r="439" ht="15.75" customHeight="1">
      <c r="A439" s="8" t="s">
        <v>2215</v>
      </c>
      <c r="B439" s="5" t="s">
        <v>133</v>
      </c>
      <c r="C439" s="5" t="s">
        <v>15</v>
      </c>
      <c r="D439" s="5" t="s">
        <v>2216</v>
      </c>
      <c r="E439" s="5" t="s">
        <v>2217</v>
      </c>
      <c r="F439" s="5" t="s">
        <v>29</v>
      </c>
      <c r="G439" s="5"/>
      <c r="H439" s="5" t="s">
        <v>30</v>
      </c>
      <c r="I439" s="5"/>
      <c r="J439" s="78" t="s">
        <v>14</v>
      </c>
      <c r="K439" s="78"/>
      <c r="L439" s="85"/>
      <c r="M439" s="5"/>
      <c r="N439" s="85"/>
      <c r="O439" s="22"/>
      <c r="P439" s="7" t="str">
        <f t="shared" si="3"/>
        <v>OK</v>
      </c>
      <c r="Q439" s="7"/>
      <c r="R439" s="7"/>
      <c r="S439" s="7"/>
      <c r="T439" s="7"/>
      <c r="U439" s="7"/>
      <c r="V439" s="7"/>
      <c r="W439" s="7"/>
      <c r="X439" s="7"/>
      <c r="Y439" s="7"/>
      <c r="Z439" s="7"/>
      <c r="AA439" s="7"/>
      <c r="AB439" s="7"/>
      <c r="AC439" s="7"/>
    </row>
    <row r="440" ht="15.75" customHeight="1">
      <c r="A440" s="8" t="s">
        <v>2220</v>
      </c>
      <c r="B440" s="5" t="s">
        <v>133</v>
      </c>
      <c r="C440" s="5" t="s">
        <v>15</v>
      </c>
      <c r="D440" s="5" t="s">
        <v>2221</v>
      </c>
      <c r="E440" s="5" t="s">
        <v>2222</v>
      </c>
      <c r="F440" s="5" t="s">
        <v>21</v>
      </c>
      <c r="G440" s="5"/>
      <c r="H440" s="5" t="s">
        <v>31</v>
      </c>
      <c r="I440" s="5"/>
      <c r="J440" s="78" t="s">
        <v>14</v>
      </c>
      <c r="K440" s="78"/>
      <c r="L440" s="85"/>
      <c r="M440" s="5"/>
      <c r="N440" s="85"/>
      <c r="O440" s="22"/>
      <c r="P440" s="7" t="str">
        <f t="shared" si="3"/>
        <v>OK</v>
      </c>
      <c r="Q440" s="7"/>
      <c r="R440" s="7"/>
      <c r="S440" s="7"/>
      <c r="T440" s="7"/>
      <c r="U440" s="7"/>
      <c r="V440" s="7"/>
      <c r="W440" s="7"/>
      <c r="X440" s="7"/>
      <c r="Y440" s="7"/>
      <c r="Z440" s="7"/>
      <c r="AA440" s="7"/>
      <c r="AB440" s="7"/>
      <c r="AC440" s="7"/>
    </row>
    <row r="441" ht="15.75" customHeight="1">
      <c r="A441" s="8" t="s">
        <v>2225</v>
      </c>
      <c r="B441" s="5" t="s">
        <v>133</v>
      </c>
      <c r="C441" s="5" t="s">
        <v>15</v>
      </c>
      <c r="D441" s="5" t="s">
        <v>2226</v>
      </c>
      <c r="E441" s="5" t="s">
        <v>2227</v>
      </c>
      <c r="F441" s="5" t="s">
        <v>29</v>
      </c>
      <c r="G441" s="5"/>
      <c r="H441" s="5" t="s">
        <v>39</v>
      </c>
      <c r="I441" s="5"/>
      <c r="J441" s="78" t="s">
        <v>14</v>
      </c>
      <c r="K441" s="78"/>
      <c r="L441" s="85"/>
      <c r="M441" s="5"/>
      <c r="N441" s="85"/>
      <c r="O441" s="22"/>
      <c r="P441" s="7" t="str">
        <f t="shared" si="3"/>
        <v>OK</v>
      </c>
      <c r="Q441" s="7"/>
      <c r="R441" s="7"/>
      <c r="S441" s="7"/>
      <c r="T441" s="7"/>
      <c r="U441" s="7"/>
      <c r="V441" s="7"/>
      <c r="W441" s="7"/>
      <c r="X441" s="7"/>
      <c r="Y441" s="7"/>
      <c r="Z441" s="7"/>
      <c r="AA441" s="7"/>
      <c r="AB441" s="7"/>
      <c r="AC441" s="7"/>
    </row>
    <row r="442" ht="15.75" customHeight="1">
      <c r="A442" s="8" t="s">
        <v>2230</v>
      </c>
      <c r="B442" s="5" t="s">
        <v>133</v>
      </c>
      <c r="C442" s="5" t="s">
        <v>15</v>
      </c>
      <c r="D442" s="5" t="s">
        <v>2231</v>
      </c>
      <c r="E442" s="5" t="s">
        <v>2233</v>
      </c>
      <c r="F442" s="5" t="s">
        <v>74</v>
      </c>
      <c r="G442" s="5"/>
      <c r="H442" s="5" t="s">
        <v>39</v>
      </c>
      <c r="I442" s="5"/>
      <c r="J442" s="78" t="s">
        <v>14</v>
      </c>
      <c r="K442" s="78"/>
      <c r="L442" s="85"/>
      <c r="M442" s="5"/>
      <c r="N442" s="85"/>
      <c r="O442" s="22"/>
      <c r="P442" s="7" t="str">
        <f t="shared" si="3"/>
        <v>OK</v>
      </c>
      <c r="Q442" s="7"/>
      <c r="R442" s="7"/>
      <c r="S442" s="7"/>
      <c r="T442" s="7"/>
      <c r="U442" s="7"/>
      <c r="V442" s="7"/>
      <c r="W442" s="7"/>
      <c r="X442" s="7"/>
      <c r="Y442" s="7"/>
      <c r="Z442" s="7"/>
      <c r="AA442" s="7"/>
      <c r="AB442" s="7"/>
      <c r="AC442" s="7"/>
    </row>
    <row r="443" ht="15.75" customHeight="1">
      <c r="A443" s="8" t="s">
        <v>2235</v>
      </c>
      <c r="B443" s="5" t="s">
        <v>133</v>
      </c>
      <c r="C443" s="5" t="s">
        <v>15</v>
      </c>
      <c r="D443" s="5" t="s">
        <v>2236</v>
      </c>
      <c r="E443" s="5" t="s">
        <v>2237</v>
      </c>
      <c r="F443" s="5" t="s">
        <v>20</v>
      </c>
      <c r="G443" s="5"/>
      <c r="H443" s="5" t="s">
        <v>22</v>
      </c>
      <c r="I443" s="5"/>
      <c r="J443" s="78" t="s">
        <v>14</v>
      </c>
      <c r="K443" s="78"/>
      <c r="L443" s="85"/>
      <c r="M443" s="5"/>
      <c r="N443" s="85"/>
      <c r="O443" s="22"/>
      <c r="P443" s="7" t="str">
        <f t="shared" si="3"/>
        <v>OK</v>
      </c>
      <c r="Q443" s="7"/>
      <c r="R443" s="7"/>
      <c r="S443" s="7"/>
      <c r="T443" s="7"/>
      <c r="U443" s="7"/>
      <c r="V443" s="7"/>
      <c r="W443" s="7"/>
      <c r="X443" s="7"/>
      <c r="Y443" s="7"/>
      <c r="Z443" s="7"/>
      <c r="AA443" s="7"/>
      <c r="AB443" s="7"/>
      <c r="AC443" s="7"/>
    </row>
    <row r="444" ht="15.75" customHeight="1">
      <c r="A444" s="8" t="s">
        <v>2240</v>
      </c>
      <c r="B444" s="5" t="s">
        <v>133</v>
      </c>
      <c r="C444" s="5" t="s">
        <v>15</v>
      </c>
      <c r="D444" s="5" t="s">
        <v>2241</v>
      </c>
      <c r="E444" s="5" t="s">
        <v>2242</v>
      </c>
      <c r="F444" s="5" t="s">
        <v>45</v>
      </c>
      <c r="G444" s="5"/>
      <c r="H444" s="5" t="s">
        <v>30</v>
      </c>
      <c r="I444" s="5"/>
      <c r="J444" s="78" t="s">
        <v>14</v>
      </c>
      <c r="K444" s="78"/>
      <c r="L444" s="85"/>
      <c r="M444" s="5"/>
      <c r="N444" s="85"/>
      <c r="O444" s="22"/>
      <c r="P444" s="7" t="str">
        <f t="shared" si="3"/>
        <v>OK</v>
      </c>
      <c r="Q444" s="7"/>
      <c r="R444" s="7"/>
      <c r="S444" s="7"/>
      <c r="T444" s="7"/>
      <c r="U444" s="7"/>
      <c r="V444" s="7"/>
      <c r="W444" s="7"/>
      <c r="X444" s="7"/>
      <c r="Y444" s="7"/>
      <c r="Z444" s="7"/>
      <c r="AA444" s="7"/>
      <c r="AB444" s="7"/>
      <c r="AC444" s="7"/>
    </row>
    <row r="445" ht="15.75" customHeight="1">
      <c r="A445" s="8" t="s">
        <v>2245</v>
      </c>
      <c r="B445" s="5" t="s">
        <v>133</v>
      </c>
      <c r="C445" s="5" t="s">
        <v>15</v>
      </c>
      <c r="D445" s="5" t="s">
        <v>2246</v>
      </c>
      <c r="E445" s="5" t="s">
        <v>2249</v>
      </c>
      <c r="F445" s="5" t="s">
        <v>45</v>
      </c>
      <c r="G445" s="5"/>
      <c r="H445" s="5" t="s">
        <v>111</v>
      </c>
      <c r="I445" s="5"/>
      <c r="J445" s="78" t="s">
        <v>14</v>
      </c>
      <c r="K445" s="78"/>
      <c r="L445" s="85"/>
      <c r="M445" s="5"/>
      <c r="N445" s="85"/>
      <c r="O445" s="22"/>
      <c r="P445" s="7" t="str">
        <f t="shared" si="3"/>
        <v>OK</v>
      </c>
      <c r="Q445" s="7"/>
      <c r="R445" s="7"/>
      <c r="S445" s="7"/>
      <c r="T445" s="7"/>
      <c r="U445" s="7"/>
      <c r="V445" s="7"/>
      <c r="W445" s="7"/>
      <c r="X445" s="7"/>
      <c r="Y445" s="7"/>
      <c r="Z445" s="7"/>
      <c r="AA445" s="7"/>
      <c r="AB445" s="7"/>
      <c r="AC445" s="7"/>
    </row>
    <row r="446" ht="15.75" customHeight="1">
      <c r="A446" s="8" t="s">
        <v>2250</v>
      </c>
      <c r="B446" s="5" t="s">
        <v>133</v>
      </c>
      <c r="C446" s="5" t="s">
        <v>15</v>
      </c>
      <c r="D446" s="5" t="s">
        <v>2251</v>
      </c>
      <c r="E446" s="5" t="s">
        <v>2252</v>
      </c>
      <c r="F446" s="5" t="s">
        <v>20</v>
      </c>
      <c r="G446" s="5"/>
      <c r="H446" s="5" t="s">
        <v>52</v>
      </c>
      <c r="I446" s="5"/>
      <c r="J446" s="78" t="s">
        <v>14</v>
      </c>
      <c r="K446" s="78"/>
      <c r="L446" s="85"/>
      <c r="M446" s="5"/>
      <c r="N446" s="85"/>
      <c r="O446" s="22"/>
      <c r="P446" s="7" t="str">
        <f t="shared" si="3"/>
        <v>OK</v>
      </c>
      <c r="Q446" s="7"/>
      <c r="R446" s="7"/>
      <c r="S446" s="7"/>
      <c r="T446" s="7"/>
      <c r="U446" s="7"/>
      <c r="V446" s="7"/>
      <c r="W446" s="7"/>
      <c r="X446" s="7"/>
      <c r="Y446" s="7"/>
      <c r="Z446" s="7"/>
      <c r="AA446" s="7"/>
      <c r="AB446" s="7"/>
      <c r="AC446" s="7"/>
    </row>
    <row r="447" ht="15.75" customHeight="1">
      <c r="A447" s="8" t="s">
        <v>2255</v>
      </c>
      <c r="B447" s="5" t="s">
        <v>133</v>
      </c>
      <c r="C447" s="5" t="s">
        <v>15</v>
      </c>
      <c r="D447" s="5" t="s">
        <v>2256</v>
      </c>
      <c r="E447" s="5" t="s">
        <v>2257</v>
      </c>
      <c r="F447" s="5" t="s">
        <v>37</v>
      </c>
      <c r="G447" s="5"/>
      <c r="H447" s="5" t="s">
        <v>111</v>
      </c>
      <c r="I447" s="5"/>
      <c r="J447" s="78" t="s">
        <v>14</v>
      </c>
      <c r="K447" s="78"/>
      <c r="L447" s="85"/>
      <c r="M447" s="5"/>
      <c r="N447" s="85"/>
      <c r="O447" s="22"/>
      <c r="P447" s="7" t="str">
        <f t="shared" si="3"/>
        <v>OK</v>
      </c>
      <c r="Q447" s="7"/>
      <c r="R447" s="7"/>
      <c r="S447" s="7"/>
      <c r="T447" s="7"/>
      <c r="U447" s="7"/>
      <c r="V447" s="7"/>
      <c r="W447" s="7"/>
      <c r="X447" s="7"/>
      <c r="Y447" s="7"/>
      <c r="Z447" s="7"/>
      <c r="AA447" s="7"/>
      <c r="AB447" s="7"/>
      <c r="AC447" s="7"/>
    </row>
    <row r="448" ht="15.75" customHeight="1">
      <c r="A448" s="8" t="s">
        <v>2260</v>
      </c>
      <c r="B448" s="5" t="s">
        <v>133</v>
      </c>
      <c r="C448" s="5" t="s">
        <v>15</v>
      </c>
      <c r="D448" s="5" t="s">
        <v>2261</v>
      </c>
      <c r="E448" s="5" t="s">
        <v>2262</v>
      </c>
      <c r="F448" s="5" t="s">
        <v>74</v>
      </c>
      <c r="G448" s="5"/>
      <c r="H448" s="5" t="s">
        <v>30</v>
      </c>
      <c r="I448" s="5"/>
      <c r="J448" s="78" t="s">
        <v>14</v>
      </c>
      <c r="K448" s="78"/>
      <c r="L448" s="85"/>
      <c r="M448" s="5"/>
      <c r="N448" s="85"/>
      <c r="O448" s="22"/>
      <c r="P448" s="7" t="str">
        <f t="shared" si="3"/>
        <v>OK</v>
      </c>
      <c r="Q448" s="7"/>
      <c r="R448" s="7"/>
      <c r="S448" s="7"/>
      <c r="T448" s="7"/>
      <c r="U448" s="7"/>
      <c r="V448" s="7"/>
      <c r="W448" s="7"/>
      <c r="X448" s="7"/>
      <c r="Y448" s="7"/>
      <c r="Z448" s="7"/>
      <c r="AA448" s="7"/>
      <c r="AB448" s="7"/>
      <c r="AC448" s="7"/>
    </row>
    <row r="449" ht="15.75" customHeight="1">
      <c r="A449" s="8" t="s">
        <v>2265</v>
      </c>
      <c r="B449" s="5" t="s">
        <v>133</v>
      </c>
      <c r="C449" s="5" t="s">
        <v>15</v>
      </c>
      <c r="D449" s="5" t="s">
        <v>2266</v>
      </c>
      <c r="E449" s="5" t="s">
        <v>2269</v>
      </c>
      <c r="F449" s="5" t="s">
        <v>45</v>
      </c>
      <c r="G449" s="5"/>
      <c r="H449" s="5" t="s">
        <v>31</v>
      </c>
      <c r="I449" s="5"/>
      <c r="J449" s="78" t="s">
        <v>14</v>
      </c>
      <c r="K449" s="78"/>
      <c r="L449" s="85"/>
      <c r="M449" s="5"/>
      <c r="N449" s="85"/>
      <c r="O449" s="22"/>
      <c r="P449" s="7" t="str">
        <f t="shared" si="3"/>
        <v>OK</v>
      </c>
      <c r="Q449" s="7"/>
      <c r="R449" s="7"/>
      <c r="S449" s="7"/>
      <c r="T449" s="7"/>
      <c r="U449" s="7"/>
      <c r="V449" s="7"/>
      <c r="W449" s="7"/>
      <c r="X449" s="7"/>
      <c r="Y449" s="7"/>
      <c r="Z449" s="7"/>
      <c r="AA449" s="7"/>
      <c r="AB449" s="7"/>
      <c r="AC449" s="7"/>
    </row>
    <row r="450" ht="15.75" customHeight="1">
      <c r="A450" s="8" t="s">
        <v>2270</v>
      </c>
      <c r="B450" s="5" t="s">
        <v>133</v>
      </c>
      <c r="C450" s="5" t="s">
        <v>15</v>
      </c>
      <c r="D450" s="5" t="s">
        <v>2271</v>
      </c>
      <c r="E450" s="5" t="s">
        <v>2272</v>
      </c>
      <c r="F450" s="5" t="s">
        <v>38</v>
      </c>
      <c r="G450" s="5"/>
      <c r="H450" s="5" t="s">
        <v>75</v>
      </c>
      <c r="I450" s="5"/>
      <c r="J450" s="78" t="s">
        <v>14</v>
      </c>
      <c r="K450" s="78"/>
      <c r="L450" s="85"/>
      <c r="M450" s="5"/>
      <c r="N450" s="85"/>
      <c r="O450" s="22"/>
      <c r="P450" s="7" t="str">
        <f t="shared" si="3"/>
        <v>OK</v>
      </c>
      <c r="Q450" s="7"/>
      <c r="R450" s="7"/>
      <c r="S450" s="7"/>
      <c r="T450" s="7"/>
      <c r="U450" s="7"/>
      <c r="V450" s="7"/>
      <c r="W450" s="7"/>
      <c r="X450" s="7"/>
      <c r="Y450" s="7"/>
      <c r="Z450" s="7"/>
      <c r="AA450" s="7"/>
      <c r="AB450" s="7"/>
      <c r="AC450" s="7"/>
    </row>
    <row r="451" ht="15.75" customHeight="1">
      <c r="A451" s="8" t="s">
        <v>2275</v>
      </c>
      <c r="B451" s="5" t="s">
        <v>133</v>
      </c>
      <c r="C451" s="5" t="s">
        <v>15</v>
      </c>
      <c r="D451" s="5" t="s">
        <v>2276</v>
      </c>
      <c r="E451" s="5" t="s">
        <v>2277</v>
      </c>
      <c r="F451" s="5" t="s">
        <v>45</v>
      </c>
      <c r="G451" s="5"/>
      <c r="H451" s="5" t="s">
        <v>39</v>
      </c>
      <c r="I451" s="5"/>
      <c r="J451" s="78" t="s">
        <v>14</v>
      </c>
      <c r="K451" s="78"/>
      <c r="L451" s="85"/>
      <c r="M451" s="5"/>
      <c r="N451" s="85"/>
      <c r="O451" s="22"/>
      <c r="P451" s="7" t="str">
        <f t="shared" si="3"/>
        <v>OK</v>
      </c>
      <c r="Q451" s="7"/>
      <c r="R451" s="7"/>
      <c r="S451" s="7"/>
      <c r="T451" s="7"/>
      <c r="U451" s="7"/>
      <c r="V451" s="7"/>
      <c r="W451" s="7"/>
      <c r="X451" s="7"/>
      <c r="Y451" s="7"/>
      <c r="Z451" s="7"/>
      <c r="AA451" s="7"/>
      <c r="AB451" s="7"/>
      <c r="AC451" s="7"/>
    </row>
    <row r="452" ht="15.75" customHeight="1">
      <c r="A452" s="8" t="s">
        <v>2280</v>
      </c>
      <c r="B452" s="5" t="s">
        <v>133</v>
      </c>
      <c r="C452" s="5" t="s">
        <v>15</v>
      </c>
      <c r="D452" s="5" t="s">
        <v>2281</v>
      </c>
      <c r="E452" s="5" t="s">
        <v>2284</v>
      </c>
      <c r="F452" s="5" t="s">
        <v>45</v>
      </c>
      <c r="G452" s="5"/>
      <c r="H452" s="5" t="s">
        <v>30</v>
      </c>
      <c r="I452" s="5"/>
      <c r="J452" s="78" t="s">
        <v>14</v>
      </c>
      <c r="K452" s="78"/>
      <c r="L452" s="85"/>
      <c r="M452" s="5"/>
      <c r="N452" s="85"/>
      <c r="O452" s="22"/>
      <c r="P452" s="7" t="str">
        <f t="shared" si="3"/>
        <v>OK</v>
      </c>
      <c r="Q452" s="7"/>
      <c r="R452" s="7"/>
      <c r="S452" s="7"/>
      <c r="T452" s="7"/>
      <c r="U452" s="7"/>
      <c r="V452" s="7"/>
      <c r="W452" s="7"/>
      <c r="X452" s="7"/>
      <c r="Y452" s="7"/>
      <c r="Z452" s="7"/>
      <c r="AA452" s="7"/>
      <c r="AB452" s="7"/>
      <c r="AC452" s="7"/>
    </row>
    <row r="453" ht="15.75" customHeight="1">
      <c r="A453" s="8" t="s">
        <v>2285</v>
      </c>
      <c r="B453" s="5" t="s">
        <v>133</v>
      </c>
      <c r="C453" s="5" t="s">
        <v>15</v>
      </c>
      <c r="D453" s="5" t="s">
        <v>2286</v>
      </c>
      <c r="E453" s="5" t="s">
        <v>2288</v>
      </c>
      <c r="F453" s="5" t="s">
        <v>29</v>
      </c>
      <c r="G453" s="5"/>
      <c r="H453" s="5" t="s">
        <v>39</v>
      </c>
      <c r="I453" s="5"/>
      <c r="J453" s="78" t="s">
        <v>14</v>
      </c>
      <c r="K453" s="78"/>
      <c r="L453" s="85"/>
      <c r="M453" s="5"/>
      <c r="N453" s="85"/>
      <c r="O453" s="22"/>
      <c r="P453" s="7" t="str">
        <f t="shared" si="3"/>
        <v>OK</v>
      </c>
      <c r="Q453" s="7"/>
      <c r="R453" s="7"/>
      <c r="S453" s="7"/>
      <c r="T453" s="7"/>
      <c r="U453" s="7"/>
      <c r="V453" s="7"/>
      <c r="W453" s="7"/>
      <c r="X453" s="7"/>
      <c r="Y453" s="7"/>
      <c r="Z453" s="7"/>
      <c r="AA453" s="7"/>
      <c r="AB453" s="7"/>
      <c r="AC453" s="7"/>
    </row>
    <row r="454" ht="15.75" customHeight="1">
      <c r="A454" s="8" t="s">
        <v>2290</v>
      </c>
      <c r="B454" s="5" t="s">
        <v>133</v>
      </c>
      <c r="C454" s="5" t="s">
        <v>15</v>
      </c>
      <c r="D454" s="5" t="s">
        <v>2291</v>
      </c>
      <c r="E454" s="5" t="s">
        <v>2294</v>
      </c>
      <c r="F454" s="5" t="s">
        <v>37</v>
      </c>
      <c r="G454" s="5"/>
      <c r="H454" s="5" t="s">
        <v>23</v>
      </c>
      <c r="I454" s="5"/>
      <c r="J454" s="78" t="s">
        <v>14</v>
      </c>
      <c r="K454" s="78"/>
      <c r="L454" s="85"/>
      <c r="M454" s="5"/>
      <c r="N454" s="85"/>
      <c r="O454" s="22"/>
      <c r="P454" s="7" t="str">
        <f t="shared" si="3"/>
        <v>OK</v>
      </c>
      <c r="Q454" s="7"/>
      <c r="R454" s="7"/>
      <c r="S454" s="7"/>
      <c r="T454" s="7"/>
      <c r="U454" s="7"/>
      <c r="V454" s="7"/>
      <c r="W454" s="7"/>
      <c r="X454" s="7"/>
      <c r="Y454" s="7"/>
      <c r="Z454" s="7"/>
      <c r="AA454" s="7"/>
      <c r="AB454" s="7"/>
      <c r="AC454" s="7"/>
    </row>
    <row r="455" ht="15.75" customHeight="1">
      <c r="A455" s="8" t="s">
        <v>2295</v>
      </c>
      <c r="B455" s="5" t="s">
        <v>133</v>
      </c>
      <c r="C455" s="5" t="s">
        <v>15</v>
      </c>
      <c r="D455" s="5" t="s">
        <v>2296</v>
      </c>
      <c r="E455" s="5" t="s">
        <v>2297</v>
      </c>
      <c r="F455" s="5" t="s">
        <v>74</v>
      </c>
      <c r="G455" s="5"/>
      <c r="H455" s="5" t="s">
        <v>52</v>
      </c>
      <c r="I455" s="5"/>
      <c r="J455" s="78" t="s">
        <v>14</v>
      </c>
      <c r="K455" s="78"/>
      <c r="L455" s="85"/>
      <c r="M455" s="5"/>
      <c r="N455" s="85"/>
      <c r="O455" s="22"/>
      <c r="P455" s="7" t="str">
        <f t="shared" si="3"/>
        <v>OK</v>
      </c>
      <c r="Q455" s="7"/>
      <c r="R455" s="7"/>
      <c r="S455" s="7"/>
      <c r="T455" s="7"/>
      <c r="U455" s="7"/>
      <c r="V455" s="7"/>
      <c r="W455" s="7"/>
      <c r="X455" s="7"/>
      <c r="Y455" s="7"/>
      <c r="Z455" s="7"/>
      <c r="AA455" s="7"/>
      <c r="AB455" s="7"/>
      <c r="AC455" s="7"/>
    </row>
    <row r="456" ht="15.75" customHeight="1">
      <c r="A456" s="8" t="s">
        <v>2300</v>
      </c>
      <c r="B456" s="5" t="s">
        <v>133</v>
      </c>
      <c r="C456" s="5" t="s">
        <v>15</v>
      </c>
      <c r="D456" s="5" t="s">
        <v>2301</v>
      </c>
      <c r="E456" s="5" t="s">
        <v>2302</v>
      </c>
      <c r="F456" s="5" t="s">
        <v>20</v>
      </c>
      <c r="G456" s="5"/>
      <c r="H456" s="5" t="s">
        <v>75</v>
      </c>
      <c r="I456" s="5"/>
      <c r="J456" s="78" t="s">
        <v>14</v>
      </c>
      <c r="K456" s="78"/>
      <c r="L456" s="85"/>
      <c r="M456" s="5"/>
      <c r="N456" s="85"/>
      <c r="O456" s="22"/>
      <c r="P456" s="7" t="str">
        <f t="shared" si="3"/>
        <v>OK</v>
      </c>
      <c r="Q456" s="7"/>
      <c r="R456" s="7"/>
      <c r="S456" s="7"/>
      <c r="T456" s="7"/>
      <c r="U456" s="7"/>
      <c r="V456" s="7"/>
      <c r="W456" s="7"/>
      <c r="X456" s="7"/>
      <c r="Y456" s="7"/>
      <c r="Z456" s="7"/>
      <c r="AA456" s="7"/>
      <c r="AB456" s="7"/>
      <c r="AC456" s="7"/>
    </row>
    <row r="457" ht="15.75" customHeight="1">
      <c r="A457" s="8" t="s">
        <v>2305</v>
      </c>
      <c r="B457" s="5" t="s">
        <v>133</v>
      </c>
      <c r="C457" s="5" t="s">
        <v>15</v>
      </c>
      <c r="D457" s="5" t="s">
        <v>2306</v>
      </c>
      <c r="E457" s="5" t="s">
        <v>2309</v>
      </c>
      <c r="F457" s="5" t="s">
        <v>21</v>
      </c>
      <c r="G457" s="5"/>
      <c r="H457" s="5" t="s">
        <v>75</v>
      </c>
      <c r="I457" s="5"/>
      <c r="J457" s="78" t="s">
        <v>14</v>
      </c>
      <c r="K457" s="78"/>
      <c r="L457" s="85"/>
      <c r="M457" s="5"/>
      <c r="N457" s="85"/>
      <c r="O457" s="22"/>
      <c r="P457" s="7" t="str">
        <f t="shared" si="3"/>
        <v>OK</v>
      </c>
      <c r="Q457" s="7"/>
      <c r="R457" s="7"/>
      <c r="S457" s="7"/>
      <c r="T457" s="7"/>
      <c r="U457" s="7"/>
      <c r="V457" s="7"/>
      <c r="W457" s="7"/>
      <c r="X457" s="7"/>
      <c r="Y457" s="7"/>
      <c r="Z457" s="7"/>
      <c r="AA457" s="7"/>
      <c r="AB457" s="7"/>
      <c r="AC457" s="7"/>
    </row>
    <row r="458" ht="15.75" customHeight="1">
      <c r="A458" s="8" t="s">
        <v>2310</v>
      </c>
      <c r="B458" s="5" t="s">
        <v>133</v>
      </c>
      <c r="C458" s="5" t="s">
        <v>15</v>
      </c>
      <c r="D458" s="5" t="s">
        <v>2311</v>
      </c>
      <c r="E458" s="5" t="s">
        <v>2313</v>
      </c>
      <c r="F458" s="5" t="s">
        <v>74</v>
      </c>
      <c r="G458" s="5"/>
      <c r="H458" s="5" t="s">
        <v>39</v>
      </c>
      <c r="I458" s="5"/>
      <c r="J458" s="78" t="s">
        <v>14</v>
      </c>
      <c r="K458" s="78"/>
      <c r="L458" s="85"/>
      <c r="M458" s="5"/>
      <c r="N458" s="85"/>
      <c r="O458" s="22"/>
      <c r="P458" s="7" t="str">
        <f t="shared" si="3"/>
        <v>OK</v>
      </c>
      <c r="Q458" s="7"/>
      <c r="R458" s="7"/>
      <c r="S458" s="7"/>
      <c r="T458" s="7"/>
      <c r="U458" s="7"/>
      <c r="V458" s="7"/>
      <c r="W458" s="7"/>
      <c r="X458" s="7"/>
      <c r="Y458" s="7"/>
      <c r="Z458" s="7"/>
      <c r="AA458" s="7"/>
      <c r="AB458" s="7"/>
      <c r="AC458" s="7"/>
    </row>
    <row r="459" ht="15.75" customHeight="1">
      <c r="A459" s="8" t="s">
        <v>2315</v>
      </c>
      <c r="B459" s="5" t="s">
        <v>133</v>
      </c>
      <c r="C459" s="5" t="s">
        <v>15</v>
      </c>
      <c r="D459" s="5" t="s">
        <v>2316</v>
      </c>
      <c r="E459" s="5" t="s">
        <v>2320</v>
      </c>
      <c r="F459" s="5" t="s">
        <v>21</v>
      </c>
      <c r="G459" s="5"/>
      <c r="H459" s="5" t="s">
        <v>52</v>
      </c>
      <c r="I459" s="5"/>
      <c r="J459" s="78" t="s">
        <v>14</v>
      </c>
      <c r="K459" s="78"/>
      <c r="L459" s="85"/>
      <c r="M459" s="5"/>
      <c r="N459" s="85"/>
      <c r="O459" s="22"/>
      <c r="P459" s="7" t="str">
        <f t="shared" si="3"/>
        <v>OK</v>
      </c>
      <c r="Q459" s="7"/>
      <c r="R459" s="7"/>
      <c r="S459" s="7"/>
      <c r="T459" s="7"/>
      <c r="U459" s="7"/>
      <c r="V459" s="7"/>
      <c r="W459" s="7"/>
      <c r="X459" s="7"/>
      <c r="Y459" s="7"/>
      <c r="Z459" s="7"/>
      <c r="AA459" s="7"/>
      <c r="AB459" s="7"/>
      <c r="AC459" s="7"/>
    </row>
    <row r="460" ht="15.75" customHeight="1">
      <c r="A460" s="8" t="s">
        <v>2321</v>
      </c>
      <c r="B460" s="5" t="s">
        <v>133</v>
      </c>
      <c r="C460" s="5" t="s">
        <v>15</v>
      </c>
      <c r="D460" s="5" t="s">
        <v>2322</v>
      </c>
      <c r="E460" s="5" t="s">
        <v>2324</v>
      </c>
      <c r="F460" s="5" t="s">
        <v>74</v>
      </c>
      <c r="G460" s="5"/>
      <c r="H460" s="5" t="s">
        <v>39</v>
      </c>
      <c r="I460" s="5"/>
      <c r="J460" s="78" t="s">
        <v>14</v>
      </c>
      <c r="K460" s="78"/>
      <c r="L460" s="85"/>
      <c r="M460" s="5"/>
      <c r="N460" s="85"/>
      <c r="O460" s="22"/>
      <c r="P460" s="7" t="str">
        <f t="shared" si="3"/>
        <v>OK</v>
      </c>
      <c r="Q460" s="7"/>
      <c r="R460" s="7"/>
      <c r="S460" s="7"/>
      <c r="T460" s="7"/>
      <c r="U460" s="7"/>
      <c r="V460" s="7"/>
      <c r="W460" s="7"/>
      <c r="X460" s="7"/>
      <c r="Y460" s="7"/>
      <c r="Z460" s="7"/>
      <c r="AA460" s="7"/>
      <c r="AB460" s="7"/>
      <c r="AC460" s="7"/>
    </row>
    <row r="461" ht="15.75" customHeight="1">
      <c r="A461" s="8" t="s">
        <v>2326</v>
      </c>
      <c r="B461" s="5" t="s">
        <v>133</v>
      </c>
      <c r="C461" s="5" t="s">
        <v>15</v>
      </c>
      <c r="D461" s="5" t="s">
        <v>2327</v>
      </c>
      <c r="E461" s="5" t="s">
        <v>2330</v>
      </c>
      <c r="F461" s="5" t="s">
        <v>37</v>
      </c>
      <c r="G461" s="5"/>
      <c r="H461" s="5" t="s">
        <v>39</v>
      </c>
      <c r="I461" s="5"/>
      <c r="J461" s="78" t="s">
        <v>14</v>
      </c>
      <c r="K461" s="78"/>
      <c r="L461" s="85"/>
      <c r="M461" s="5"/>
      <c r="N461" s="85"/>
      <c r="O461" s="22"/>
      <c r="P461" s="7" t="str">
        <f t="shared" si="3"/>
        <v>OK</v>
      </c>
      <c r="Q461" s="7"/>
      <c r="R461" s="7"/>
      <c r="S461" s="7"/>
      <c r="T461" s="7"/>
      <c r="U461" s="7"/>
      <c r="V461" s="7"/>
      <c r="W461" s="7"/>
      <c r="X461" s="7"/>
      <c r="Y461" s="7"/>
      <c r="Z461" s="7"/>
      <c r="AA461" s="7"/>
      <c r="AB461" s="7"/>
      <c r="AC461" s="7"/>
    </row>
    <row r="462" ht="15.75" customHeight="1">
      <c r="A462" s="8" t="s">
        <v>2331</v>
      </c>
      <c r="B462" s="5" t="s">
        <v>133</v>
      </c>
      <c r="C462" s="5" t="s">
        <v>15</v>
      </c>
      <c r="D462" s="5" t="s">
        <v>2332</v>
      </c>
      <c r="E462" s="5" t="s">
        <v>2333</v>
      </c>
      <c r="F462" s="5" t="s">
        <v>29</v>
      </c>
      <c r="G462" s="5"/>
      <c r="H462" s="5" t="s">
        <v>111</v>
      </c>
      <c r="I462" s="5"/>
      <c r="J462" s="78" t="s">
        <v>14</v>
      </c>
      <c r="K462" s="78"/>
      <c r="L462" s="85"/>
      <c r="M462" s="5"/>
      <c r="N462" s="85"/>
      <c r="O462" s="22"/>
      <c r="P462" s="7" t="str">
        <f t="shared" si="3"/>
        <v>OK</v>
      </c>
      <c r="Q462" s="7"/>
      <c r="R462" s="7"/>
      <c r="S462" s="7"/>
      <c r="T462" s="7"/>
      <c r="U462" s="7"/>
      <c r="V462" s="7"/>
      <c r="W462" s="7"/>
      <c r="X462" s="7"/>
      <c r="Y462" s="7"/>
      <c r="Z462" s="7"/>
      <c r="AA462" s="7"/>
      <c r="AB462" s="7"/>
      <c r="AC462" s="7"/>
    </row>
    <row r="463" ht="15.75" customHeight="1">
      <c r="A463" s="8" t="s">
        <v>2336</v>
      </c>
      <c r="B463" s="5" t="s">
        <v>133</v>
      </c>
      <c r="C463" s="5" t="s">
        <v>15</v>
      </c>
      <c r="D463" s="5" t="s">
        <v>2337</v>
      </c>
      <c r="E463" s="5" t="s">
        <v>2340</v>
      </c>
      <c r="F463" s="5" t="s">
        <v>29</v>
      </c>
      <c r="G463" s="5"/>
      <c r="H463" s="5" t="s">
        <v>31</v>
      </c>
      <c r="I463" s="5"/>
      <c r="J463" s="78" t="s">
        <v>14</v>
      </c>
      <c r="K463" s="78"/>
      <c r="L463" s="85"/>
      <c r="M463" s="5"/>
      <c r="N463" s="85"/>
      <c r="O463" s="22"/>
      <c r="P463" s="7" t="str">
        <f t="shared" si="3"/>
        <v>OK</v>
      </c>
      <c r="Q463" s="7"/>
      <c r="R463" s="7"/>
      <c r="S463" s="7"/>
      <c r="T463" s="7"/>
      <c r="U463" s="7"/>
      <c r="V463" s="7"/>
      <c r="W463" s="7"/>
      <c r="X463" s="7"/>
      <c r="Y463" s="7"/>
      <c r="Z463" s="7"/>
      <c r="AA463" s="7"/>
      <c r="AB463" s="7"/>
      <c r="AC463" s="7"/>
    </row>
    <row r="464" ht="15.75" customHeight="1">
      <c r="A464" s="8" t="s">
        <v>2341</v>
      </c>
      <c r="B464" s="5" t="s">
        <v>133</v>
      </c>
      <c r="C464" s="5" t="s">
        <v>15</v>
      </c>
      <c r="D464" s="5" t="s">
        <v>2342</v>
      </c>
      <c r="E464" s="5" t="s">
        <v>2343</v>
      </c>
      <c r="F464" s="5" t="s">
        <v>20</v>
      </c>
      <c r="G464" s="5"/>
      <c r="H464" s="5" t="s">
        <v>39</v>
      </c>
      <c r="I464" s="5"/>
      <c r="J464" s="78" t="s">
        <v>14</v>
      </c>
      <c r="K464" s="78"/>
      <c r="L464" s="85"/>
      <c r="M464" s="5"/>
      <c r="N464" s="85"/>
      <c r="O464" s="22"/>
      <c r="P464" s="7" t="str">
        <f t="shared" si="3"/>
        <v>OK</v>
      </c>
      <c r="Q464" s="7"/>
      <c r="R464" s="7"/>
      <c r="S464" s="7"/>
      <c r="T464" s="7"/>
      <c r="U464" s="7"/>
      <c r="V464" s="7"/>
      <c r="W464" s="7"/>
      <c r="X464" s="7"/>
      <c r="Y464" s="7"/>
      <c r="Z464" s="7"/>
      <c r="AA464" s="7"/>
      <c r="AB464" s="7"/>
      <c r="AC464" s="7"/>
    </row>
    <row r="465" ht="15.75" customHeight="1">
      <c r="A465" s="8" t="s">
        <v>2346</v>
      </c>
      <c r="B465" s="5" t="s">
        <v>133</v>
      </c>
      <c r="C465" s="5" t="s">
        <v>15</v>
      </c>
      <c r="D465" s="5" t="s">
        <v>2347</v>
      </c>
      <c r="E465" s="5" t="s">
        <v>1519</v>
      </c>
      <c r="F465" s="5" t="s">
        <v>45</v>
      </c>
      <c r="G465" s="5"/>
      <c r="H465" s="5" t="s">
        <v>111</v>
      </c>
      <c r="I465" s="5"/>
      <c r="J465" s="78" t="s">
        <v>14</v>
      </c>
      <c r="K465" s="78"/>
      <c r="L465" s="85"/>
      <c r="M465" s="5"/>
      <c r="N465" s="85"/>
      <c r="O465" s="22"/>
      <c r="P465" s="7" t="str">
        <f t="shared" si="3"/>
        <v>OK</v>
      </c>
      <c r="Q465" s="7"/>
      <c r="R465" s="7"/>
      <c r="S465" s="7"/>
      <c r="T465" s="7"/>
      <c r="U465" s="7"/>
      <c r="V465" s="7"/>
      <c r="W465" s="7"/>
      <c r="X465" s="7"/>
      <c r="Y465" s="7"/>
      <c r="Z465" s="7"/>
      <c r="AA465" s="7"/>
      <c r="AB465" s="7"/>
      <c r="AC465" s="7"/>
    </row>
    <row r="466" ht="15.75" customHeight="1">
      <c r="A466" s="8" t="s">
        <v>2350</v>
      </c>
      <c r="B466" s="5" t="s">
        <v>133</v>
      </c>
      <c r="C466" s="5" t="s">
        <v>15</v>
      </c>
      <c r="D466" s="5" t="s">
        <v>2351</v>
      </c>
      <c r="E466" s="5" t="s">
        <v>2352</v>
      </c>
      <c r="F466" s="5" t="s">
        <v>74</v>
      </c>
      <c r="G466" s="5"/>
      <c r="H466" s="5" t="s">
        <v>31</v>
      </c>
      <c r="I466" s="5"/>
      <c r="J466" s="78" t="s">
        <v>14</v>
      </c>
      <c r="K466" s="78"/>
      <c r="L466" s="85"/>
      <c r="M466" s="5"/>
      <c r="N466" s="85"/>
      <c r="O466" s="22"/>
      <c r="P466" s="7" t="str">
        <f t="shared" si="3"/>
        <v>OK</v>
      </c>
      <c r="Q466" s="7"/>
      <c r="R466" s="7"/>
      <c r="S466" s="7"/>
      <c r="T466" s="7"/>
      <c r="U466" s="7"/>
      <c r="V466" s="7"/>
      <c r="W466" s="7"/>
      <c r="X466" s="7"/>
      <c r="Y466" s="7"/>
      <c r="Z466" s="7"/>
      <c r="AA466" s="7"/>
      <c r="AB466" s="7"/>
      <c r="AC466" s="7"/>
    </row>
    <row r="467" ht="15.75" customHeight="1">
      <c r="A467" s="8" t="s">
        <v>2355</v>
      </c>
      <c r="B467" s="5" t="s">
        <v>133</v>
      </c>
      <c r="C467" s="5" t="s">
        <v>15</v>
      </c>
      <c r="D467" s="5" t="s">
        <v>2356</v>
      </c>
      <c r="E467" s="5" t="s">
        <v>2359</v>
      </c>
      <c r="F467" s="5" t="s">
        <v>74</v>
      </c>
      <c r="G467" s="5"/>
      <c r="H467" s="5" t="s">
        <v>31</v>
      </c>
      <c r="I467" s="5"/>
      <c r="J467" s="78" t="s">
        <v>14</v>
      </c>
      <c r="K467" s="78"/>
      <c r="L467" s="85"/>
      <c r="M467" s="5"/>
      <c r="N467" s="85"/>
      <c r="O467" s="22"/>
      <c r="P467" s="7" t="str">
        <f t="shared" si="3"/>
        <v>OK</v>
      </c>
      <c r="Q467" s="7"/>
      <c r="R467" s="7"/>
      <c r="S467" s="7"/>
      <c r="T467" s="7"/>
      <c r="U467" s="7"/>
      <c r="V467" s="7"/>
      <c r="W467" s="7"/>
      <c r="X467" s="7"/>
      <c r="Y467" s="7"/>
      <c r="Z467" s="7"/>
      <c r="AA467" s="7"/>
      <c r="AB467" s="7"/>
      <c r="AC467" s="7"/>
    </row>
    <row r="468" ht="15.75" customHeight="1">
      <c r="A468" s="8" t="s">
        <v>2360</v>
      </c>
      <c r="B468" s="5" t="s">
        <v>133</v>
      </c>
      <c r="C468" s="5" t="s">
        <v>15</v>
      </c>
      <c r="D468" s="5" t="s">
        <v>2361</v>
      </c>
      <c r="E468" s="5" t="s">
        <v>2362</v>
      </c>
      <c r="F468" s="5" t="s">
        <v>45</v>
      </c>
      <c r="G468" s="5"/>
      <c r="H468" s="5" t="s">
        <v>30</v>
      </c>
      <c r="I468" s="5"/>
      <c r="J468" s="78" t="s">
        <v>14</v>
      </c>
      <c r="K468" s="78"/>
      <c r="L468" s="85"/>
      <c r="M468" s="5"/>
      <c r="N468" s="85"/>
      <c r="O468" s="22"/>
      <c r="P468" s="7" t="str">
        <f t="shared" si="3"/>
        <v>OK</v>
      </c>
      <c r="Q468" s="7"/>
      <c r="R468" s="7"/>
      <c r="S468" s="7"/>
      <c r="T468" s="7"/>
      <c r="U468" s="7"/>
      <c r="V468" s="7"/>
      <c r="W468" s="7"/>
      <c r="X468" s="7"/>
      <c r="Y468" s="7"/>
      <c r="Z468" s="7"/>
      <c r="AA468" s="7"/>
      <c r="AB468" s="7"/>
      <c r="AC468" s="7"/>
    </row>
    <row r="469" ht="15.75" customHeight="1">
      <c r="A469" s="8" t="s">
        <v>2365</v>
      </c>
      <c r="B469" s="5" t="s">
        <v>133</v>
      </c>
      <c r="C469" s="5" t="s">
        <v>15</v>
      </c>
      <c r="D469" s="5" t="s">
        <v>2366</v>
      </c>
      <c r="E469" s="5" t="s">
        <v>2367</v>
      </c>
      <c r="F469" s="5" t="s">
        <v>29</v>
      </c>
      <c r="G469" s="5"/>
      <c r="H469" s="5" t="s">
        <v>39</v>
      </c>
      <c r="I469" s="5"/>
      <c r="J469" s="78" t="s">
        <v>14</v>
      </c>
      <c r="K469" s="78"/>
      <c r="L469" s="85"/>
      <c r="M469" s="5"/>
      <c r="N469" s="85"/>
      <c r="O469" s="22"/>
      <c r="P469" s="7" t="str">
        <f t="shared" si="3"/>
        <v>OK</v>
      </c>
      <c r="Q469" s="7"/>
      <c r="R469" s="7"/>
      <c r="S469" s="7"/>
      <c r="T469" s="7"/>
      <c r="U469" s="7"/>
      <c r="V469" s="7"/>
      <c r="W469" s="7"/>
      <c r="X469" s="7"/>
      <c r="Y469" s="7"/>
      <c r="Z469" s="7"/>
      <c r="AA469" s="7"/>
      <c r="AB469" s="7"/>
      <c r="AC469" s="7"/>
    </row>
    <row r="470" ht="15.75" customHeight="1">
      <c r="A470" s="8" t="s">
        <v>2370</v>
      </c>
      <c r="B470" s="5" t="s">
        <v>133</v>
      </c>
      <c r="C470" s="5" t="s">
        <v>15</v>
      </c>
      <c r="D470" s="5" t="s">
        <v>2371</v>
      </c>
      <c r="E470" s="5" t="s">
        <v>2374</v>
      </c>
      <c r="F470" s="5" t="s">
        <v>29</v>
      </c>
      <c r="G470" s="5"/>
      <c r="H470" s="5" t="s">
        <v>52</v>
      </c>
      <c r="I470" s="5"/>
      <c r="J470" s="78" t="s">
        <v>14</v>
      </c>
      <c r="K470" s="78"/>
      <c r="L470" s="85"/>
      <c r="M470" s="5"/>
      <c r="N470" s="85"/>
      <c r="O470" s="22"/>
      <c r="P470" s="7" t="str">
        <f t="shared" si="3"/>
        <v>OK</v>
      </c>
      <c r="Q470" s="7"/>
      <c r="R470" s="7"/>
      <c r="S470" s="7"/>
      <c r="T470" s="7"/>
      <c r="U470" s="7"/>
      <c r="V470" s="7"/>
      <c r="W470" s="7"/>
      <c r="X470" s="7"/>
      <c r="Y470" s="7"/>
      <c r="Z470" s="7"/>
      <c r="AA470" s="7"/>
      <c r="AB470" s="7"/>
      <c r="AC470" s="7"/>
    </row>
    <row r="471" ht="15.75" customHeight="1">
      <c r="A471" s="8" t="s">
        <v>2375</v>
      </c>
      <c r="B471" s="5" t="s">
        <v>133</v>
      </c>
      <c r="C471" s="5" t="s">
        <v>15</v>
      </c>
      <c r="D471" s="5" t="s">
        <v>2376</v>
      </c>
      <c r="E471" s="5" t="s">
        <v>2380</v>
      </c>
      <c r="F471" s="5" t="s">
        <v>37</v>
      </c>
      <c r="G471" s="5"/>
      <c r="H471" s="5" t="s">
        <v>30</v>
      </c>
      <c r="I471" s="5"/>
      <c r="J471" s="78" t="s">
        <v>14</v>
      </c>
      <c r="K471" s="78"/>
      <c r="L471" s="85"/>
      <c r="M471" s="5"/>
      <c r="N471" s="85"/>
      <c r="O471" s="22"/>
      <c r="P471" s="7" t="str">
        <f t="shared" si="3"/>
        <v>OK</v>
      </c>
      <c r="Q471" s="7"/>
      <c r="R471" s="7"/>
      <c r="S471" s="7"/>
      <c r="T471" s="7"/>
      <c r="U471" s="7"/>
      <c r="V471" s="7"/>
      <c r="W471" s="7"/>
      <c r="X471" s="7"/>
      <c r="Y471" s="7"/>
      <c r="Z471" s="7"/>
      <c r="AA471" s="7"/>
      <c r="AB471" s="7"/>
      <c r="AC471" s="7"/>
    </row>
    <row r="472" ht="15.75" customHeight="1">
      <c r="A472" s="8" t="s">
        <v>2381</v>
      </c>
      <c r="B472" s="5" t="s">
        <v>133</v>
      </c>
      <c r="C472" s="5" t="s">
        <v>15</v>
      </c>
      <c r="D472" s="5" t="s">
        <v>2382</v>
      </c>
      <c r="E472" s="5" t="s">
        <v>2385</v>
      </c>
      <c r="F472" s="5" t="s">
        <v>74</v>
      </c>
      <c r="G472" s="5"/>
      <c r="H472" s="5" t="s">
        <v>75</v>
      </c>
      <c r="I472" s="5"/>
      <c r="J472" s="78" t="s">
        <v>14</v>
      </c>
      <c r="K472" s="78"/>
      <c r="L472" s="85"/>
      <c r="M472" s="5"/>
      <c r="N472" s="85"/>
      <c r="O472" s="22"/>
      <c r="P472" s="7" t="str">
        <f t="shared" si="3"/>
        <v>OK</v>
      </c>
      <c r="Q472" s="7"/>
      <c r="R472" s="7"/>
      <c r="S472" s="7"/>
      <c r="T472" s="7"/>
      <c r="U472" s="7"/>
      <c r="V472" s="7"/>
      <c r="W472" s="7"/>
      <c r="X472" s="7"/>
      <c r="Y472" s="7"/>
      <c r="Z472" s="7"/>
      <c r="AA472" s="7"/>
      <c r="AB472" s="7"/>
      <c r="AC472" s="7"/>
    </row>
    <row r="473" ht="15.75" customHeight="1">
      <c r="A473" s="8" t="s">
        <v>2386</v>
      </c>
      <c r="B473" s="5" t="s">
        <v>133</v>
      </c>
      <c r="C473" s="5" t="s">
        <v>15</v>
      </c>
      <c r="D473" s="5" t="s">
        <v>2387</v>
      </c>
      <c r="E473" s="5" t="s">
        <v>2389</v>
      </c>
      <c r="F473" s="5" t="s">
        <v>45</v>
      </c>
      <c r="G473" s="5"/>
      <c r="H473" s="5" t="s">
        <v>52</v>
      </c>
      <c r="I473" s="5"/>
      <c r="J473" s="78" t="s">
        <v>14</v>
      </c>
      <c r="K473" s="78"/>
      <c r="L473" s="85"/>
      <c r="M473" s="5"/>
      <c r="N473" s="85"/>
      <c r="O473" s="22"/>
      <c r="P473" s="7" t="str">
        <f t="shared" si="3"/>
        <v>OK</v>
      </c>
      <c r="Q473" s="7"/>
      <c r="R473" s="7"/>
      <c r="S473" s="7"/>
      <c r="T473" s="7"/>
      <c r="U473" s="7"/>
      <c r="V473" s="7"/>
      <c r="W473" s="7"/>
      <c r="X473" s="7"/>
      <c r="Y473" s="7"/>
      <c r="Z473" s="7"/>
      <c r="AA473" s="7"/>
      <c r="AB473" s="7"/>
      <c r="AC473" s="7"/>
    </row>
    <row r="474" ht="15.75" customHeight="1">
      <c r="A474" s="8" t="s">
        <v>2391</v>
      </c>
      <c r="B474" s="5" t="s">
        <v>133</v>
      </c>
      <c r="C474" s="5" t="s">
        <v>15</v>
      </c>
      <c r="D474" s="5" t="s">
        <v>2392</v>
      </c>
      <c r="E474" s="5" t="s">
        <v>2393</v>
      </c>
      <c r="F474" s="5" t="s">
        <v>21</v>
      </c>
      <c r="G474" s="5"/>
      <c r="H474" s="5" t="s">
        <v>75</v>
      </c>
      <c r="I474" s="5"/>
      <c r="J474" s="78" t="s">
        <v>14</v>
      </c>
      <c r="K474" s="78"/>
      <c r="L474" s="85"/>
      <c r="M474" s="5"/>
      <c r="N474" s="85"/>
      <c r="O474" s="22"/>
      <c r="P474" s="7" t="str">
        <f t="shared" si="3"/>
        <v>OK</v>
      </c>
      <c r="Q474" s="7"/>
      <c r="R474" s="7"/>
      <c r="S474" s="7"/>
      <c r="T474" s="7"/>
      <c r="U474" s="7"/>
      <c r="V474" s="7"/>
      <c r="W474" s="7"/>
      <c r="X474" s="7"/>
      <c r="Y474" s="7"/>
      <c r="Z474" s="7"/>
      <c r="AA474" s="7"/>
      <c r="AB474" s="7"/>
      <c r="AC474" s="7"/>
    </row>
    <row r="475" ht="15.75" customHeight="1">
      <c r="A475" s="8" t="s">
        <v>2396</v>
      </c>
      <c r="B475" s="5" t="s">
        <v>133</v>
      </c>
      <c r="C475" s="5" t="s">
        <v>15</v>
      </c>
      <c r="D475" s="5" t="s">
        <v>2397</v>
      </c>
      <c r="E475" s="5" t="s">
        <v>2398</v>
      </c>
      <c r="F475" s="5" t="s">
        <v>74</v>
      </c>
      <c r="G475" s="5"/>
      <c r="H475" s="5" t="s">
        <v>52</v>
      </c>
      <c r="I475" s="5"/>
      <c r="J475" s="78" t="s">
        <v>14</v>
      </c>
      <c r="K475" s="78"/>
      <c r="L475" s="85"/>
      <c r="M475" s="5"/>
      <c r="N475" s="85"/>
      <c r="O475" s="22"/>
      <c r="P475" s="7" t="str">
        <f t="shared" si="3"/>
        <v>OK</v>
      </c>
      <c r="Q475" s="7"/>
      <c r="R475" s="7"/>
      <c r="S475" s="7"/>
      <c r="T475" s="7"/>
      <c r="U475" s="7"/>
      <c r="V475" s="7"/>
      <c r="W475" s="7"/>
      <c r="X475" s="7"/>
      <c r="Y475" s="7"/>
      <c r="Z475" s="7"/>
      <c r="AA475" s="7"/>
      <c r="AB475" s="7"/>
      <c r="AC475" s="7"/>
    </row>
    <row r="476" ht="15.75" customHeight="1">
      <c r="A476" s="8" t="s">
        <v>2401</v>
      </c>
      <c r="B476" s="5" t="s">
        <v>133</v>
      </c>
      <c r="C476" s="5" t="s">
        <v>15</v>
      </c>
      <c r="D476" s="5" t="s">
        <v>2402</v>
      </c>
      <c r="E476" s="5" t="s">
        <v>2403</v>
      </c>
      <c r="F476" s="5" t="s">
        <v>74</v>
      </c>
      <c r="G476" s="5"/>
      <c r="H476" s="5" t="s">
        <v>75</v>
      </c>
      <c r="I476" s="5"/>
      <c r="J476" s="78" t="s">
        <v>14</v>
      </c>
      <c r="K476" s="78"/>
      <c r="L476" s="85"/>
      <c r="M476" s="5"/>
      <c r="N476" s="85"/>
      <c r="O476" s="22"/>
      <c r="P476" s="7" t="str">
        <f t="shared" si="3"/>
        <v>OK</v>
      </c>
      <c r="Q476" s="7"/>
      <c r="R476" s="7"/>
      <c r="S476" s="7"/>
      <c r="T476" s="7"/>
      <c r="U476" s="7"/>
      <c r="V476" s="7"/>
      <c r="W476" s="7"/>
      <c r="X476" s="7"/>
      <c r="Y476" s="7"/>
      <c r="Z476" s="7"/>
      <c r="AA476" s="7"/>
      <c r="AB476" s="7"/>
      <c r="AC476" s="7"/>
    </row>
    <row r="477" ht="15.75" customHeight="1">
      <c r="A477" s="8" t="s">
        <v>2406</v>
      </c>
      <c r="B477" s="5" t="s">
        <v>133</v>
      </c>
      <c r="C477" s="5" t="s">
        <v>15</v>
      </c>
      <c r="D477" s="5" t="s">
        <v>2407</v>
      </c>
      <c r="E477" s="5" t="s">
        <v>2408</v>
      </c>
      <c r="F477" s="5" t="s">
        <v>20</v>
      </c>
      <c r="G477" s="5"/>
      <c r="H477" s="5" t="s">
        <v>31</v>
      </c>
      <c r="I477" s="5"/>
      <c r="J477" s="78" t="s">
        <v>14</v>
      </c>
      <c r="K477" s="78"/>
      <c r="L477" s="85"/>
      <c r="M477" s="5"/>
      <c r="N477" s="85"/>
      <c r="O477" s="22"/>
      <c r="P477" s="7" t="str">
        <f t="shared" si="3"/>
        <v>OK</v>
      </c>
      <c r="Q477" s="7"/>
      <c r="R477" s="7"/>
      <c r="S477" s="7"/>
      <c r="T477" s="7"/>
      <c r="U477" s="7"/>
      <c r="V477" s="7"/>
      <c r="W477" s="7"/>
      <c r="X477" s="7"/>
      <c r="Y477" s="7"/>
      <c r="Z477" s="7"/>
      <c r="AA477" s="7"/>
      <c r="AB477" s="7"/>
      <c r="AC477" s="7"/>
    </row>
    <row r="478" ht="15.75" customHeight="1">
      <c r="A478" s="8" t="s">
        <v>2411</v>
      </c>
      <c r="B478" s="5" t="s">
        <v>133</v>
      </c>
      <c r="C478" s="5" t="s">
        <v>15</v>
      </c>
      <c r="D478" s="5" t="s">
        <v>2412</v>
      </c>
      <c r="E478" s="5" t="s">
        <v>2414</v>
      </c>
      <c r="F478" s="5" t="s">
        <v>74</v>
      </c>
      <c r="G478" s="5"/>
      <c r="H478" s="5" t="s">
        <v>39</v>
      </c>
      <c r="I478" s="5"/>
      <c r="J478" s="78" t="s">
        <v>14</v>
      </c>
      <c r="K478" s="78"/>
      <c r="L478" s="85"/>
      <c r="M478" s="5"/>
      <c r="N478" s="85"/>
      <c r="O478" s="22"/>
      <c r="P478" s="7" t="str">
        <f t="shared" si="3"/>
        <v>OK</v>
      </c>
      <c r="Q478" s="7"/>
      <c r="R478" s="7"/>
      <c r="S478" s="7"/>
      <c r="T478" s="7"/>
      <c r="U478" s="7"/>
      <c r="V478" s="7"/>
      <c r="W478" s="7"/>
      <c r="X478" s="7"/>
      <c r="Y478" s="7"/>
      <c r="Z478" s="7"/>
      <c r="AA478" s="7"/>
      <c r="AB478" s="7"/>
      <c r="AC478" s="7"/>
    </row>
    <row r="479" ht="15.75" customHeight="1">
      <c r="A479" s="8" t="s">
        <v>2416</v>
      </c>
      <c r="B479" s="5" t="s">
        <v>133</v>
      </c>
      <c r="C479" s="5" t="s">
        <v>15</v>
      </c>
      <c r="D479" s="5" t="s">
        <v>2417</v>
      </c>
      <c r="E479" s="5" t="s">
        <v>2421</v>
      </c>
      <c r="F479" s="5" t="s">
        <v>74</v>
      </c>
      <c r="G479" s="5"/>
      <c r="H479" s="5" t="s">
        <v>39</v>
      </c>
      <c r="I479" s="5"/>
      <c r="J479" s="78" t="s">
        <v>14</v>
      </c>
      <c r="K479" s="78"/>
      <c r="L479" s="85"/>
      <c r="M479" s="5"/>
      <c r="N479" s="85"/>
      <c r="O479" s="22"/>
      <c r="P479" s="7" t="str">
        <f t="shared" si="3"/>
        <v>OK</v>
      </c>
      <c r="Q479" s="7"/>
      <c r="R479" s="7"/>
      <c r="S479" s="7"/>
      <c r="T479" s="7"/>
      <c r="U479" s="7"/>
      <c r="V479" s="7"/>
      <c r="W479" s="7"/>
      <c r="X479" s="7"/>
      <c r="Y479" s="7"/>
      <c r="Z479" s="7"/>
      <c r="AA479" s="7"/>
      <c r="AB479" s="7"/>
      <c r="AC479" s="7"/>
    </row>
    <row r="480" ht="15.75" customHeight="1">
      <c r="A480" s="8" t="s">
        <v>2422</v>
      </c>
      <c r="B480" s="5" t="s">
        <v>133</v>
      </c>
      <c r="C480" s="5" t="s">
        <v>15</v>
      </c>
      <c r="D480" s="5" t="s">
        <v>2423</v>
      </c>
      <c r="E480" s="5" t="s">
        <v>2424</v>
      </c>
      <c r="F480" s="5" t="s">
        <v>29</v>
      </c>
      <c r="G480" s="5"/>
      <c r="H480" s="5" t="s">
        <v>23</v>
      </c>
      <c r="I480" s="5"/>
      <c r="J480" s="78" t="s">
        <v>14</v>
      </c>
      <c r="K480" s="78"/>
      <c r="L480" s="85"/>
      <c r="M480" s="5"/>
      <c r="N480" s="85"/>
      <c r="O480" s="22"/>
      <c r="P480" s="7" t="str">
        <f t="shared" si="3"/>
        <v>OK</v>
      </c>
      <c r="Q480" s="7"/>
      <c r="R480" s="7"/>
      <c r="S480" s="7"/>
      <c r="T480" s="7"/>
      <c r="U480" s="7"/>
      <c r="V480" s="7"/>
      <c r="W480" s="7"/>
      <c r="X480" s="7"/>
      <c r="Y480" s="7"/>
      <c r="Z480" s="7"/>
      <c r="AA480" s="7"/>
      <c r="AB480" s="7"/>
      <c r="AC480" s="7"/>
    </row>
    <row r="481" ht="15.75" customHeight="1">
      <c r="A481" s="8" t="s">
        <v>2427</v>
      </c>
      <c r="B481" s="5" t="s">
        <v>133</v>
      </c>
      <c r="C481" s="5" t="s">
        <v>15</v>
      </c>
      <c r="D481" s="5" t="s">
        <v>2428</v>
      </c>
      <c r="E481" s="5" t="s">
        <v>2429</v>
      </c>
      <c r="F481" s="5" t="s">
        <v>45</v>
      </c>
      <c r="G481" s="5"/>
      <c r="H481" s="5" t="s">
        <v>22</v>
      </c>
      <c r="I481" s="5"/>
      <c r="J481" s="78" t="s">
        <v>14</v>
      </c>
      <c r="K481" s="78"/>
      <c r="L481" s="85"/>
      <c r="M481" s="5"/>
      <c r="N481" s="85"/>
      <c r="O481" s="22"/>
      <c r="P481" s="7" t="str">
        <f t="shared" si="3"/>
        <v>OK</v>
      </c>
      <c r="Q481" s="7"/>
      <c r="R481" s="7"/>
      <c r="S481" s="7"/>
      <c r="T481" s="7"/>
      <c r="U481" s="7"/>
      <c r="V481" s="7"/>
      <c r="W481" s="7"/>
      <c r="X481" s="7"/>
      <c r="Y481" s="7"/>
      <c r="Z481" s="7"/>
      <c r="AA481" s="7"/>
      <c r="AB481" s="7"/>
      <c r="AC481" s="7"/>
    </row>
    <row r="482" ht="15.75" customHeight="1">
      <c r="A482" s="8" t="s">
        <v>2432</v>
      </c>
      <c r="B482" s="5" t="s">
        <v>133</v>
      </c>
      <c r="C482" s="5" t="s">
        <v>15</v>
      </c>
      <c r="D482" s="5" t="s">
        <v>2433</v>
      </c>
      <c r="E482" s="5" t="s">
        <v>2434</v>
      </c>
      <c r="F482" s="5" t="s">
        <v>74</v>
      </c>
      <c r="G482" s="5"/>
      <c r="H482" s="5" t="s">
        <v>68</v>
      </c>
      <c r="I482" s="5"/>
      <c r="J482" s="78" t="s">
        <v>14</v>
      </c>
      <c r="K482" s="78"/>
      <c r="L482" s="85"/>
      <c r="M482" s="5"/>
      <c r="N482" s="85"/>
      <c r="O482" s="22"/>
      <c r="P482" s="7" t="str">
        <f t="shared" si="3"/>
        <v>OK</v>
      </c>
      <c r="Q482" s="7"/>
      <c r="R482" s="7"/>
      <c r="S482" s="7"/>
      <c r="T482" s="7"/>
      <c r="U482" s="7"/>
      <c r="V482" s="7"/>
      <c r="W482" s="7"/>
      <c r="X482" s="7"/>
      <c r="Y482" s="7"/>
      <c r="Z482" s="7"/>
      <c r="AA482" s="7"/>
      <c r="AB482" s="7"/>
      <c r="AC482" s="7"/>
    </row>
    <row r="483" ht="15.75" customHeight="1">
      <c r="A483" s="8" t="s">
        <v>2437</v>
      </c>
      <c r="B483" s="5" t="s">
        <v>133</v>
      </c>
      <c r="C483" s="5" t="s">
        <v>15</v>
      </c>
      <c r="D483" s="5" t="s">
        <v>2438</v>
      </c>
      <c r="E483" s="5" t="s">
        <v>2439</v>
      </c>
      <c r="F483" s="5" t="s">
        <v>21</v>
      </c>
      <c r="G483" s="5"/>
      <c r="H483" s="5" t="s">
        <v>23</v>
      </c>
      <c r="I483" s="5"/>
      <c r="J483" s="78" t="s">
        <v>14</v>
      </c>
      <c r="K483" s="78"/>
      <c r="L483" s="85"/>
      <c r="M483" s="5"/>
      <c r="N483" s="85"/>
      <c r="O483" s="22"/>
      <c r="P483" s="7" t="str">
        <f t="shared" si="3"/>
        <v>OK</v>
      </c>
      <c r="Q483" s="7"/>
      <c r="R483" s="7"/>
      <c r="S483" s="7"/>
      <c r="T483" s="7"/>
      <c r="U483" s="7"/>
      <c r="V483" s="7"/>
      <c r="W483" s="7"/>
      <c r="X483" s="7"/>
      <c r="Y483" s="7"/>
      <c r="Z483" s="7"/>
      <c r="AA483" s="7"/>
      <c r="AB483" s="7"/>
      <c r="AC483" s="7"/>
    </row>
    <row r="484" ht="15.75" customHeight="1">
      <c r="A484" s="8" t="s">
        <v>2442</v>
      </c>
      <c r="B484" s="5" t="s">
        <v>133</v>
      </c>
      <c r="C484" s="5" t="s">
        <v>15</v>
      </c>
      <c r="D484" s="5" t="s">
        <v>2443</v>
      </c>
      <c r="E484" s="5" t="s">
        <v>2446</v>
      </c>
      <c r="F484" s="5" t="s">
        <v>38</v>
      </c>
      <c r="G484" s="5"/>
      <c r="H484" s="5" t="s">
        <v>22</v>
      </c>
      <c r="I484" s="5"/>
      <c r="J484" s="78" t="s">
        <v>14</v>
      </c>
      <c r="K484" s="78"/>
      <c r="L484" s="85"/>
      <c r="M484" s="5"/>
      <c r="N484" s="85"/>
      <c r="O484" s="22"/>
      <c r="P484" s="7" t="str">
        <f t="shared" si="3"/>
        <v>OK</v>
      </c>
      <c r="Q484" s="7"/>
      <c r="R484" s="7"/>
      <c r="S484" s="7"/>
      <c r="T484" s="7"/>
      <c r="U484" s="7"/>
      <c r="V484" s="7"/>
      <c r="W484" s="7"/>
      <c r="X484" s="7"/>
      <c r="Y484" s="7"/>
      <c r="Z484" s="7"/>
      <c r="AA484" s="7"/>
      <c r="AB484" s="7"/>
      <c r="AC484" s="7"/>
    </row>
    <row r="485" ht="15.75" customHeight="1">
      <c r="A485" s="8" t="s">
        <v>2447</v>
      </c>
      <c r="B485" s="5" t="s">
        <v>133</v>
      </c>
      <c r="C485" s="5" t="s">
        <v>15</v>
      </c>
      <c r="D485" s="5" t="s">
        <v>2448</v>
      </c>
      <c r="E485" s="5" t="s">
        <v>2451</v>
      </c>
      <c r="F485" s="5" t="s">
        <v>74</v>
      </c>
      <c r="G485" s="5"/>
      <c r="H485" s="5" t="s">
        <v>31</v>
      </c>
      <c r="I485" s="5"/>
      <c r="J485" s="78" t="s">
        <v>14</v>
      </c>
      <c r="K485" s="78"/>
      <c r="L485" s="85"/>
      <c r="M485" s="5"/>
      <c r="N485" s="85"/>
      <c r="O485" s="22"/>
      <c r="P485" s="7" t="str">
        <f t="shared" si="3"/>
        <v>OK</v>
      </c>
      <c r="Q485" s="7"/>
      <c r="R485" s="7"/>
      <c r="S485" s="7"/>
      <c r="T485" s="7"/>
      <c r="U485" s="7"/>
      <c r="V485" s="7"/>
      <c r="W485" s="7"/>
      <c r="X485" s="7"/>
      <c r="Y485" s="7"/>
      <c r="Z485" s="7"/>
      <c r="AA485" s="7"/>
      <c r="AB485" s="7"/>
      <c r="AC485" s="7"/>
    </row>
    <row r="486" ht="15.75" customHeight="1">
      <c r="A486" s="8" t="s">
        <v>2452</v>
      </c>
      <c r="B486" s="5" t="s">
        <v>133</v>
      </c>
      <c r="C486" s="5" t="s">
        <v>15</v>
      </c>
      <c r="D486" s="5" t="s">
        <v>2453</v>
      </c>
      <c r="E486" s="5" t="s">
        <v>2454</v>
      </c>
      <c r="F486" s="5" t="s">
        <v>38</v>
      </c>
      <c r="G486" s="5"/>
      <c r="H486" s="5" t="s">
        <v>22</v>
      </c>
      <c r="I486" s="5"/>
      <c r="J486" s="78" t="s">
        <v>14</v>
      </c>
      <c r="K486" s="78"/>
      <c r="L486" s="85"/>
      <c r="M486" s="5"/>
      <c r="N486" s="85"/>
      <c r="O486" s="22"/>
      <c r="P486" s="7" t="str">
        <f t="shared" si="3"/>
        <v>OK</v>
      </c>
      <c r="Q486" s="7"/>
      <c r="R486" s="7"/>
      <c r="S486" s="7"/>
      <c r="T486" s="7"/>
      <c r="U486" s="7"/>
      <c r="V486" s="7"/>
      <c r="W486" s="7"/>
      <c r="X486" s="7"/>
      <c r="Y486" s="7"/>
      <c r="Z486" s="7"/>
      <c r="AA486" s="7"/>
      <c r="AB486" s="7"/>
      <c r="AC486" s="7"/>
    </row>
    <row r="487" ht="15.75" customHeight="1">
      <c r="A487" s="8" t="s">
        <v>2457</v>
      </c>
      <c r="B487" s="5" t="s">
        <v>133</v>
      </c>
      <c r="C487" s="5" t="s">
        <v>15</v>
      </c>
      <c r="D487" s="5" t="s">
        <v>2458</v>
      </c>
      <c r="E487" s="5" t="s">
        <v>2460</v>
      </c>
      <c r="F487" s="5" t="s">
        <v>38</v>
      </c>
      <c r="G487" s="5"/>
      <c r="H487" s="5" t="s">
        <v>22</v>
      </c>
      <c r="I487" s="5"/>
      <c r="J487" s="78" t="s">
        <v>14</v>
      </c>
      <c r="K487" s="78"/>
      <c r="L487" s="85"/>
      <c r="M487" s="5"/>
      <c r="N487" s="85"/>
      <c r="O487" s="22"/>
      <c r="P487" s="7" t="str">
        <f t="shared" si="3"/>
        <v>OK</v>
      </c>
      <c r="Q487" s="7"/>
      <c r="R487" s="7"/>
      <c r="S487" s="7"/>
      <c r="T487" s="7"/>
      <c r="U487" s="7"/>
      <c r="V487" s="7"/>
      <c r="W487" s="7"/>
      <c r="X487" s="7"/>
      <c r="Y487" s="7"/>
      <c r="Z487" s="7"/>
      <c r="AA487" s="7"/>
      <c r="AB487" s="7"/>
      <c r="AC487" s="7"/>
    </row>
    <row r="488" ht="15.75" customHeight="1">
      <c r="A488" s="8" t="s">
        <v>2462</v>
      </c>
      <c r="B488" s="5" t="s">
        <v>133</v>
      </c>
      <c r="C488" s="5" t="s">
        <v>15</v>
      </c>
      <c r="D488" s="5" t="s">
        <v>2463</v>
      </c>
      <c r="E488" s="5" t="s">
        <v>2466</v>
      </c>
      <c r="F488" s="5" t="s">
        <v>29</v>
      </c>
      <c r="G488" s="5"/>
      <c r="H488" s="5" t="s">
        <v>39</v>
      </c>
      <c r="I488" s="5"/>
      <c r="J488" s="78" t="s">
        <v>14</v>
      </c>
      <c r="K488" s="78"/>
      <c r="L488" s="85"/>
      <c r="M488" s="5"/>
      <c r="N488" s="85"/>
      <c r="O488" s="22"/>
      <c r="P488" s="7" t="str">
        <f t="shared" si="3"/>
        <v>OK</v>
      </c>
      <c r="Q488" s="7"/>
      <c r="R488" s="7"/>
      <c r="S488" s="7"/>
      <c r="T488" s="7"/>
      <c r="U488" s="7"/>
      <c r="V488" s="7"/>
      <c r="W488" s="7"/>
      <c r="X488" s="7"/>
      <c r="Y488" s="7"/>
      <c r="Z488" s="7"/>
      <c r="AA488" s="7"/>
      <c r="AB488" s="7"/>
      <c r="AC488" s="7"/>
    </row>
    <row r="489" ht="15.75" customHeight="1">
      <c r="A489" s="8" t="s">
        <v>2467</v>
      </c>
      <c r="B489" s="5" t="s">
        <v>133</v>
      </c>
      <c r="C489" s="5" t="s">
        <v>15</v>
      </c>
      <c r="D489" s="5" t="s">
        <v>2468</v>
      </c>
      <c r="E489" s="5" t="s">
        <v>2469</v>
      </c>
      <c r="F489" s="5" t="s">
        <v>29</v>
      </c>
      <c r="G489" s="5"/>
      <c r="H489" s="5" t="s">
        <v>75</v>
      </c>
      <c r="I489" s="5"/>
      <c r="J489" s="78" t="s">
        <v>14</v>
      </c>
      <c r="K489" s="78"/>
      <c r="L489" s="85"/>
      <c r="M489" s="5"/>
      <c r="N489" s="85"/>
      <c r="O489" s="22"/>
      <c r="P489" s="7" t="str">
        <f t="shared" si="3"/>
        <v>OK</v>
      </c>
      <c r="Q489" s="7"/>
      <c r="R489" s="7"/>
      <c r="S489" s="7"/>
      <c r="T489" s="7"/>
      <c r="U489" s="7"/>
      <c r="V489" s="7"/>
      <c r="W489" s="7"/>
      <c r="X489" s="7"/>
      <c r="Y489" s="7"/>
      <c r="Z489" s="7"/>
      <c r="AA489" s="7"/>
      <c r="AB489" s="7"/>
      <c r="AC489" s="7"/>
    </row>
    <row r="490" ht="15.75" customHeight="1">
      <c r="A490" s="8" t="s">
        <v>2472</v>
      </c>
      <c r="B490" s="5" t="s">
        <v>133</v>
      </c>
      <c r="C490" s="5" t="s">
        <v>15</v>
      </c>
      <c r="D490" s="5" t="s">
        <v>2473</v>
      </c>
      <c r="E490" s="5" t="s">
        <v>2476</v>
      </c>
      <c r="F490" s="5" t="s">
        <v>74</v>
      </c>
      <c r="G490" s="5"/>
      <c r="H490" s="5" t="s">
        <v>52</v>
      </c>
      <c r="I490" s="5"/>
      <c r="J490" s="78" t="s">
        <v>14</v>
      </c>
      <c r="K490" s="78"/>
      <c r="L490" s="85"/>
      <c r="M490" s="5"/>
      <c r="N490" s="85"/>
      <c r="O490" s="22"/>
      <c r="P490" s="7" t="str">
        <f t="shared" si="3"/>
        <v>OK</v>
      </c>
      <c r="Q490" s="7"/>
      <c r="R490" s="7"/>
      <c r="S490" s="7"/>
      <c r="T490" s="7"/>
      <c r="U490" s="7"/>
      <c r="V490" s="7"/>
      <c r="W490" s="7"/>
      <c r="X490" s="7"/>
      <c r="Y490" s="7"/>
      <c r="Z490" s="7"/>
      <c r="AA490" s="7"/>
      <c r="AB490" s="7"/>
      <c r="AC490" s="7"/>
    </row>
    <row r="491" ht="15.75" customHeight="1">
      <c r="A491" s="8" t="s">
        <v>2477</v>
      </c>
      <c r="B491" s="5" t="s">
        <v>133</v>
      </c>
      <c r="C491" s="5" t="s">
        <v>15</v>
      </c>
      <c r="D491" s="5" t="s">
        <v>2478</v>
      </c>
      <c r="E491" s="5" t="s">
        <v>2479</v>
      </c>
      <c r="F491" s="5" t="s">
        <v>45</v>
      </c>
      <c r="G491" s="5"/>
      <c r="H491" s="5" t="s">
        <v>39</v>
      </c>
      <c r="I491" s="5"/>
      <c r="J491" s="78" t="s">
        <v>14</v>
      </c>
      <c r="K491" s="78"/>
      <c r="L491" s="85"/>
      <c r="M491" s="5"/>
      <c r="N491" s="85"/>
      <c r="O491" s="22"/>
      <c r="P491" s="7" t="str">
        <f t="shared" si="3"/>
        <v>OK</v>
      </c>
      <c r="Q491" s="7"/>
      <c r="R491" s="7"/>
      <c r="S491" s="7"/>
      <c r="T491" s="7"/>
      <c r="U491" s="7"/>
      <c r="V491" s="7"/>
      <c r="W491" s="7"/>
      <c r="X491" s="7"/>
      <c r="Y491" s="7"/>
      <c r="Z491" s="7"/>
      <c r="AA491" s="7"/>
      <c r="AB491" s="7"/>
      <c r="AC491" s="7"/>
    </row>
    <row r="492" ht="15.75" customHeight="1">
      <c r="A492" s="8" t="s">
        <v>2482</v>
      </c>
      <c r="B492" s="5" t="s">
        <v>133</v>
      </c>
      <c r="C492" s="5" t="s">
        <v>15</v>
      </c>
      <c r="D492" s="5" t="s">
        <v>2483</v>
      </c>
      <c r="E492" s="5" t="s">
        <v>2484</v>
      </c>
      <c r="F492" s="5" t="s">
        <v>38</v>
      </c>
      <c r="G492" s="5"/>
      <c r="H492" s="5" t="s">
        <v>30</v>
      </c>
      <c r="I492" s="5"/>
      <c r="J492" s="78" t="s">
        <v>14</v>
      </c>
      <c r="K492" s="78"/>
      <c r="L492" s="85"/>
      <c r="M492" s="5"/>
      <c r="N492" s="85"/>
      <c r="O492" s="22"/>
      <c r="P492" s="7" t="str">
        <f t="shared" si="3"/>
        <v>OK</v>
      </c>
      <c r="Q492" s="7"/>
      <c r="R492" s="7"/>
      <c r="S492" s="7"/>
      <c r="T492" s="7"/>
      <c r="U492" s="7"/>
      <c r="V492" s="7"/>
      <c r="W492" s="7"/>
      <c r="X492" s="7"/>
      <c r="Y492" s="7"/>
      <c r="Z492" s="7"/>
      <c r="AA492" s="7"/>
      <c r="AB492" s="7"/>
      <c r="AC492" s="7"/>
    </row>
    <row r="493" ht="15.75" customHeight="1">
      <c r="A493" s="8" t="s">
        <v>2487</v>
      </c>
      <c r="B493" s="5" t="s">
        <v>133</v>
      </c>
      <c r="C493" s="5" t="s">
        <v>15</v>
      </c>
      <c r="D493" s="5" t="s">
        <v>2488</v>
      </c>
      <c r="E493" s="5" t="s">
        <v>2490</v>
      </c>
      <c r="F493" s="5" t="s">
        <v>74</v>
      </c>
      <c r="G493" s="5"/>
      <c r="H493" s="5" t="s">
        <v>31</v>
      </c>
      <c r="I493" s="5"/>
      <c r="J493" s="78" t="s">
        <v>14</v>
      </c>
      <c r="K493" s="78"/>
      <c r="L493" s="85"/>
      <c r="M493" s="5"/>
      <c r="N493" s="85"/>
      <c r="O493" s="22"/>
      <c r="P493" s="7" t="str">
        <f t="shared" si="3"/>
        <v>OK</v>
      </c>
      <c r="Q493" s="7"/>
      <c r="R493" s="7"/>
      <c r="S493" s="7"/>
      <c r="T493" s="7"/>
      <c r="U493" s="7"/>
      <c r="V493" s="7"/>
      <c r="W493" s="7"/>
      <c r="X493" s="7"/>
      <c r="Y493" s="7"/>
      <c r="Z493" s="7"/>
      <c r="AA493" s="7"/>
      <c r="AB493" s="7"/>
      <c r="AC493" s="7"/>
    </row>
    <row r="494" ht="15.75" customHeight="1">
      <c r="A494" s="8" t="s">
        <v>2492</v>
      </c>
      <c r="B494" s="5" t="s">
        <v>133</v>
      </c>
      <c r="C494" s="5" t="s">
        <v>15</v>
      </c>
      <c r="D494" s="5" t="s">
        <v>2493</v>
      </c>
      <c r="E494" s="5" t="s">
        <v>2494</v>
      </c>
      <c r="F494" s="5" t="s">
        <v>74</v>
      </c>
      <c r="G494" s="5"/>
      <c r="H494" s="5" t="s">
        <v>39</v>
      </c>
      <c r="I494" s="5"/>
      <c r="J494" s="78" t="s">
        <v>14</v>
      </c>
      <c r="K494" s="78"/>
      <c r="L494" s="85"/>
      <c r="M494" s="5"/>
      <c r="N494" s="85"/>
      <c r="O494" s="22"/>
      <c r="P494" s="7" t="str">
        <f t="shared" si="3"/>
        <v>OK</v>
      </c>
      <c r="Q494" s="7"/>
      <c r="R494" s="7"/>
      <c r="S494" s="7"/>
      <c r="T494" s="7"/>
      <c r="U494" s="7"/>
      <c r="V494" s="7"/>
      <c r="W494" s="7"/>
      <c r="X494" s="7"/>
      <c r="Y494" s="7"/>
      <c r="Z494" s="7"/>
      <c r="AA494" s="7"/>
      <c r="AB494" s="7"/>
      <c r="AC494" s="7"/>
    </row>
    <row r="495" ht="15.75" customHeight="1">
      <c r="A495" s="8" t="s">
        <v>2497</v>
      </c>
      <c r="B495" s="5" t="s">
        <v>133</v>
      </c>
      <c r="C495" s="5" t="s">
        <v>15</v>
      </c>
      <c r="D495" s="5" t="s">
        <v>2498</v>
      </c>
      <c r="E495" s="5" t="s">
        <v>2501</v>
      </c>
      <c r="F495" s="5" t="s">
        <v>29</v>
      </c>
      <c r="G495" s="5"/>
      <c r="H495" s="5" t="s">
        <v>30</v>
      </c>
      <c r="I495" s="5"/>
      <c r="J495" s="78" t="s">
        <v>14</v>
      </c>
      <c r="K495" s="78"/>
      <c r="L495" s="85"/>
      <c r="M495" s="5"/>
      <c r="N495" s="85"/>
      <c r="O495" s="22"/>
      <c r="P495" s="7" t="str">
        <f t="shared" si="3"/>
        <v>OK</v>
      </c>
      <c r="Q495" s="7"/>
      <c r="R495" s="7"/>
      <c r="S495" s="7"/>
      <c r="T495" s="7"/>
      <c r="U495" s="7"/>
      <c r="V495" s="7"/>
      <c r="W495" s="7"/>
      <c r="X495" s="7"/>
      <c r="Y495" s="7"/>
      <c r="Z495" s="7"/>
      <c r="AA495" s="7"/>
      <c r="AB495" s="7"/>
      <c r="AC495" s="7"/>
    </row>
    <row r="496" ht="15.75" customHeight="1">
      <c r="A496" s="8" t="s">
        <v>2502</v>
      </c>
      <c r="B496" s="5" t="s">
        <v>133</v>
      </c>
      <c r="C496" s="5" t="s">
        <v>15</v>
      </c>
      <c r="D496" s="5" t="s">
        <v>2503</v>
      </c>
      <c r="E496" s="5" t="s">
        <v>2506</v>
      </c>
      <c r="F496" s="5" t="s">
        <v>20</v>
      </c>
      <c r="G496" s="5"/>
      <c r="H496" s="5" t="s">
        <v>30</v>
      </c>
      <c r="I496" s="5"/>
      <c r="J496" s="78" t="s">
        <v>14</v>
      </c>
      <c r="K496" s="78"/>
      <c r="L496" s="85"/>
      <c r="M496" s="5"/>
      <c r="N496" s="85"/>
      <c r="O496" s="22"/>
      <c r="P496" s="7" t="str">
        <f t="shared" si="3"/>
        <v>OK</v>
      </c>
      <c r="Q496" s="7"/>
      <c r="R496" s="7"/>
      <c r="S496" s="7"/>
      <c r="T496" s="7"/>
      <c r="U496" s="7"/>
      <c r="V496" s="7"/>
      <c r="W496" s="7"/>
      <c r="X496" s="7"/>
      <c r="Y496" s="7"/>
      <c r="Z496" s="7"/>
      <c r="AA496" s="7"/>
      <c r="AB496" s="7"/>
      <c r="AC496" s="7"/>
    </row>
    <row r="497" ht="15.75" customHeight="1">
      <c r="A497" s="8" t="s">
        <v>2507</v>
      </c>
      <c r="B497" s="5" t="s">
        <v>133</v>
      </c>
      <c r="C497" s="5" t="s">
        <v>15</v>
      </c>
      <c r="D497" s="5" t="s">
        <v>2508</v>
      </c>
      <c r="E497" s="5" t="s">
        <v>2509</v>
      </c>
      <c r="F497" s="5" t="s">
        <v>20</v>
      </c>
      <c r="G497" s="5"/>
      <c r="H497" s="5" t="s">
        <v>39</v>
      </c>
      <c r="I497" s="5"/>
      <c r="J497" s="78" t="s">
        <v>14</v>
      </c>
      <c r="K497" s="78"/>
      <c r="L497" s="85"/>
      <c r="M497" s="5"/>
      <c r="N497" s="85"/>
      <c r="O497" s="22"/>
      <c r="P497" s="7" t="str">
        <f t="shared" si="3"/>
        <v>OK</v>
      </c>
      <c r="Q497" s="7"/>
      <c r="R497" s="7"/>
      <c r="S497" s="7"/>
      <c r="T497" s="7"/>
      <c r="U497" s="7"/>
      <c r="V497" s="7"/>
      <c r="W497" s="7"/>
      <c r="X497" s="7"/>
      <c r="Y497" s="7"/>
      <c r="Z497" s="7"/>
      <c r="AA497" s="7"/>
      <c r="AB497" s="7"/>
      <c r="AC497" s="7"/>
    </row>
    <row r="498" ht="15.75" customHeight="1">
      <c r="A498" s="8" t="s">
        <v>2512</v>
      </c>
      <c r="B498" s="5" t="s">
        <v>133</v>
      </c>
      <c r="C498" s="5" t="s">
        <v>15</v>
      </c>
      <c r="D498" s="5" t="s">
        <v>2513</v>
      </c>
      <c r="E498" s="5" t="s">
        <v>2514</v>
      </c>
      <c r="F498" s="5" t="s">
        <v>74</v>
      </c>
      <c r="G498" s="5"/>
      <c r="H498" s="5" t="s">
        <v>22</v>
      </c>
      <c r="I498" s="5"/>
      <c r="J498" s="78" t="s">
        <v>14</v>
      </c>
      <c r="K498" s="78"/>
      <c r="L498" s="85"/>
      <c r="M498" s="5"/>
      <c r="N498" s="85"/>
      <c r="O498" s="22"/>
      <c r="P498" s="7" t="str">
        <f t="shared" si="3"/>
        <v>OK</v>
      </c>
      <c r="Q498" s="7"/>
      <c r="R498" s="7"/>
      <c r="S498" s="7"/>
      <c r="T498" s="7"/>
      <c r="U498" s="7"/>
      <c r="V498" s="7"/>
      <c r="W498" s="7"/>
      <c r="X498" s="7"/>
      <c r="Y498" s="7"/>
      <c r="Z498" s="7"/>
      <c r="AA498" s="7"/>
      <c r="AB498" s="7"/>
      <c r="AC498" s="7"/>
    </row>
    <row r="499" ht="15.75" customHeight="1">
      <c r="A499" s="8" t="s">
        <v>2517</v>
      </c>
      <c r="B499" s="5" t="s">
        <v>133</v>
      </c>
      <c r="C499" s="5" t="s">
        <v>15</v>
      </c>
      <c r="D499" s="5" t="s">
        <v>2518</v>
      </c>
      <c r="E499" s="5" t="s">
        <v>2519</v>
      </c>
      <c r="F499" s="5" t="s">
        <v>20</v>
      </c>
      <c r="G499" s="5"/>
      <c r="H499" s="5" t="s">
        <v>30</v>
      </c>
      <c r="I499" s="5"/>
      <c r="J499" s="78" t="s">
        <v>14</v>
      </c>
      <c r="K499" s="78"/>
      <c r="L499" s="85"/>
      <c r="M499" s="5"/>
      <c r="N499" s="85"/>
      <c r="O499" s="22"/>
      <c r="P499" s="7" t="str">
        <f t="shared" si="3"/>
        <v>OK</v>
      </c>
      <c r="Q499" s="7"/>
      <c r="R499" s="7"/>
      <c r="S499" s="7"/>
      <c r="T499" s="7"/>
      <c r="U499" s="7"/>
      <c r="V499" s="7"/>
      <c r="W499" s="7"/>
      <c r="X499" s="7"/>
      <c r="Y499" s="7"/>
      <c r="Z499" s="7"/>
      <c r="AA499" s="7"/>
      <c r="AB499" s="7"/>
      <c r="AC499" s="7"/>
    </row>
    <row r="500" ht="15.75" customHeight="1">
      <c r="A500" s="8" t="s">
        <v>2522</v>
      </c>
      <c r="B500" s="5" t="s">
        <v>133</v>
      </c>
      <c r="C500" s="5" t="s">
        <v>15</v>
      </c>
      <c r="D500" s="5" t="s">
        <v>2523</v>
      </c>
      <c r="E500" s="5" t="s">
        <v>2526</v>
      </c>
      <c r="F500" s="5" t="s">
        <v>29</v>
      </c>
      <c r="G500" s="5"/>
      <c r="H500" s="5" t="s">
        <v>75</v>
      </c>
      <c r="I500" s="5"/>
      <c r="J500" s="78" t="s">
        <v>14</v>
      </c>
      <c r="K500" s="78"/>
      <c r="L500" s="85"/>
      <c r="M500" s="5"/>
      <c r="N500" s="85"/>
      <c r="O500" s="22"/>
      <c r="P500" s="7" t="str">
        <f t="shared" si="3"/>
        <v>OK</v>
      </c>
      <c r="Q500" s="7"/>
      <c r="R500" s="7"/>
      <c r="S500" s="7"/>
      <c r="T500" s="7"/>
      <c r="U500" s="7"/>
      <c r="V500" s="7"/>
      <c r="W500" s="7"/>
      <c r="X500" s="7"/>
      <c r="Y500" s="7"/>
      <c r="Z500" s="7"/>
      <c r="AA500" s="7"/>
      <c r="AB500" s="7"/>
      <c r="AC500" s="7"/>
    </row>
    <row r="501" ht="15.75" customHeight="1">
      <c r="A501" s="8" t="s">
        <v>2527</v>
      </c>
      <c r="B501" s="5" t="s">
        <v>133</v>
      </c>
      <c r="C501" s="5" t="s">
        <v>15</v>
      </c>
      <c r="D501" s="5" t="s">
        <v>2528</v>
      </c>
      <c r="E501" s="5" t="s">
        <v>2530</v>
      </c>
      <c r="F501" s="5" t="s">
        <v>74</v>
      </c>
      <c r="G501" s="5"/>
      <c r="H501" s="5" t="s">
        <v>75</v>
      </c>
      <c r="I501" s="5"/>
      <c r="J501" s="78" t="s">
        <v>14</v>
      </c>
      <c r="K501" s="78"/>
      <c r="L501" s="85"/>
      <c r="M501" s="5"/>
      <c r="N501" s="85"/>
      <c r="O501" s="22"/>
      <c r="P501" s="7" t="str">
        <f t="shared" si="3"/>
        <v>OK</v>
      </c>
      <c r="Q501" s="7"/>
      <c r="R501" s="7"/>
      <c r="S501" s="7"/>
      <c r="T501" s="7"/>
      <c r="U501" s="7"/>
      <c r="V501" s="7"/>
      <c r="W501" s="7"/>
      <c r="X501" s="7"/>
      <c r="Y501" s="7"/>
      <c r="Z501" s="7"/>
      <c r="AA501" s="7"/>
      <c r="AB501" s="7"/>
      <c r="AC501" s="7"/>
    </row>
    <row r="502" ht="15.75" customHeight="1">
      <c r="A502" s="8" t="s">
        <v>2532</v>
      </c>
      <c r="B502" s="5" t="s">
        <v>133</v>
      </c>
      <c r="C502" s="5" t="s">
        <v>15</v>
      </c>
      <c r="D502" s="5" t="s">
        <v>2533</v>
      </c>
      <c r="E502" s="5" t="s">
        <v>2534</v>
      </c>
      <c r="F502" s="5" t="s">
        <v>20</v>
      </c>
      <c r="G502" s="5"/>
      <c r="H502" s="5" t="s">
        <v>39</v>
      </c>
      <c r="I502" s="5"/>
      <c r="J502" s="78" t="s">
        <v>14</v>
      </c>
      <c r="K502" s="78"/>
      <c r="L502" s="85"/>
      <c r="M502" s="5"/>
      <c r="N502" s="85"/>
      <c r="O502" s="22"/>
      <c r="P502" s="7" t="str">
        <f t="shared" si="3"/>
        <v>OK</v>
      </c>
      <c r="Q502" s="7"/>
      <c r="R502" s="7"/>
      <c r="S502" s="7"/>
      <c r="T502" s="7"/>
      <c r="U502" s="7"/>
      <c r="V502" s="7"/>
      <c r="W502" s="7"/>
      <c r="X502" s="7"/>
      <c r="Y502" s="7"/>
      <c r="Z502" s="7"/>
      <c r="AA502" s="7"/>
      <c r="AB502" s="7"/>
      <c r="AC502" s="7"/>
    </row>
    <row r="503" ht="15.75" customHeight="1">
      <c r="A503" s="8" t="s">
        <v>2537</v>
      </c>
      <c r="B503" s="5" t="s">
        <v>133</v>
      </c>
      <c r="C503" s="5" t="s">
        <v>15</v>
      </c>
      <c r="D503" s="5" t="s">
        <v>2538</v>
      </c>
      <c r="E503" s="5" t="s">
        <v>2541</v>
      </c>
      <c r="F503" s="5" t="s">
        <v>20</v>
      </c>
      <c r="G503" s="5"/>
      <c r="H503" s="5" t="s">
        <v>30</v>
      </c>
      <c r="I503" s="5"/>
      <c r="J503" s="78" t="s">
        <v>14</v>
      </c>
      <c r="K503" s="78"/>
      <c r="L503" s="85"/>
      <c r="M503" s="5"/>
      <c r="N503" s="85"/>
      <c r="O503" s="22"/>
      <c r="P503" s="7" t="str">
        <f t="shared" si="3"/>
        <v>OK</v>
      </c>
      <c r="Q503" s="7"/>
      <c r="R503" s="7"/>
      <c r="S503" s="7"/>
      <c r="T503" s="7"/>
      <c r="U503" s="7"/>
      <c r="V503" s="7"/>
      <c r="W503" s="7"/>
      <c r="X503" s="7"/>
      <c r="Y503" s="7"/>
      <c r="Z503" s="7"/>
      <c r="AA503" s="7"/>
      <c r="AB503" s="7"/>
      <c r="AC503" s="7"/>
    </row>
    <row r="504" ht="15.75" customHeight="1">
      <c r="A504" s="8" t="s">
        <v>2542</v>
      </c>
      <c r="B504" s="5" t="s">
        <v>133</v>
      </c>
      <c r="C504" s="5" t="s">
        <v>15</v>
      </c>
      <c r="D504" s="5" t="s">
        <v>2543</v>
      </c>
      <c r="E504" s="5" t="s">
        <v>2544</v>
      </c>
      <c r="F504" s="5" t="s">
        <v>29</v>
      </c>
      <c r="G504" s="5"/>
      <c r="H504" s="5" t="s">
        <v>39</v>
      </c>
      <c r="I504" s="5"/>
      <c r="J504" s="78" t="str">
        <f>IF(C504="Sabrina","Naomi",IF(C504="Naomi","Sabrina",""))</f>
        <v/>
      </c>
      <c r="K504" s="78"/>
      <c r="L504" s="85"/>
      <c r="M504" s="5"/>
      <c r="N504" s="85"/>
      <c r="O504" s="22"/>
      <c r="P504" s="7" t="str">
        <f t="shared" si="3"/>
        <v>OK</v>
      </c>
      <c r="Q504" s="7"/>
      <c r="R504" s="7"/>
      <c r="S504" s="7"/>
      <c r="T504" s="7"/>
      <c r="U504" s="7"/>
      <c r="V504" s="7"/>
      <c r="W504" s="7"/>
      <c r="X504" s="7"/>
      <c r="Y504" s="7"/>
      <c r="Z504" s="7"/>
      <c r="AA504" s="7"/>
      <c r="AB504" s="7"/>
      <c r="AC504" s="7"/>
    </row>
    <row r="505" ht="15.75" hidden="1" customHeight="1">
      <c r="A505" s="8"/>
      <c r="B505" s="5"/>
      <c r="C505" s="5"/>
      <c r="D505" s="5"/>
      <c r="E505" s="5"/>
      <c r="F505" s="5"/>
      <c r="G505" s="5"/>
      <c r="H505" s="5"/>
      <c r="I505" s="5"/>
      <c r="J505" s="78"/>
      <c r="K505" s="78"/>
      <c r="L505" s="85"/>
      <c r="M505" s="7"/>
      <c r="N505" s="85"/>
      <c r="O505" s="22"/>
      <c r="P505" s="7"/>
      <c r="Q505" s="7"/>
      <c r="R505" s="7"/>
      <c r="S505" s="7"/>
      <c r="T505" s="7"/>
      <c r="U505" s="7"/>
      <c r="V505" s="7"/>
      <c r="W505" s="7"/>
      <c r="X505" s="7"/>
      <c r="Y505" s="7"/>
      <c r="Z505" s="7"/>
      <c r="AA505" s="7"/>
      <c r="AB505" s="7"/>
      <c r="AC505" s="7"/>
    </row>
  </sheetData>
  <autoFilter ref="$A$1:$P$505">
    <filterColumn colId="1">
      <filters>
        <filter val="Naomi"/>
      </filters>
    </filterColumn>
  </autoFilter>
  <dataValidations>
    <dataValidation type="list" allowBlank="1" showErrorMessage="1" sqref="H2:I505 N2:O505">
      <formula1>Lists!$I$2:$I$10</formula1>
    </dataValidation>
    <dataValidation type="list" allowBlank="1" showErrorMessage="1" sqref="K2:K505">
      <formula1>Lists!$B$2:$B$4</formula1>
    </dataValidation>
    <dataValidation type="list" allowBlank="1" showErrorMessage="1" sqref="B2:B505 J2:J505">
      <formula1>Lists!$A$2:$A$3</formula1>
    </dataValidation>
    <dataValidation type="list" allowBlank="1" showErrorMessage="1" sqref="F2:G505 L2:M505">
      <formula1>Lists!$D$2:$D$9</formula1>
    </dataValidation>
    <dataValidation type="list" allowBlank="1" showErrorMessage="1" sqref="C2:C505">
      <formula1>Lists!$B$2:$B$4</formula1>
    </dataValidation>
  </dataValidations>
  <printOptions/>
  <pageMargins bottom="1.0" footer="0.0" header="0.0" left="0.75" right="0.75" top="1.0"/>
  <pageSetup orientation="landscape"/>
  <drawing r:id="rId1"/>
</worksheet>
</file>